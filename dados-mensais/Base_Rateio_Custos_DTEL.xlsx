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dtel-plataforma-rateio\dados-mensais\"/>
    </mc:Choice>
  </mc:AlternateContent>
  <xr:revisionPtr revIDLastSave="0" documentId="13_ncr:1_{CA6AF8AA-39B5-41DB-B200-E0E6B6D5C639}" xr6:coauthVersionLast="47" xr6:coauthVersionMax="47" xr10:uidLastSave="{00000000-0000-0000-0000-000000000000}"/>
  <bookViews>
    <workbookView xWindow="28680" yWindow="-120" windowWidth="29040" windowHeight="15720" tabRatio="801" activeTab="2" xr2:uid="{00000000-000D-0000-FFFF-FFFF00000000}"/>
  </bookViews>
  <sheets>
    <sheet name="PARÂMETROS" sheetId="1" r:id="rId1"/>
    <sheet name="SETORES" sheetId="2" r:id="rId2"/>
    <sheet name="CUSTOS MENSAIS" sheetId="3" r:id="rId3"/>
    <sheet name="RESUMO REEMBOLSO" sheetId="4" r:id="rId4"/>
    <sheet name="COMERCIAL VAREJO" sheetId="5" r:id="rId5"/>
    <sheet name="REEMBOLSO GERAL" sheetId="6" r:id="rId6"/>
  </sheets>
  <definedNames>
    <definedName name="_xlnm._FilterDatabase" localSheetId="0" hidden="1">PARÂMETROS!$A$38:$J$638</definedName>
    <definedName name="_xlnm._FilterDatabase" localSheetId="5" hidden="1">'REEMBOLSO GERAL'!$A$4:$H$4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60" i="3" l="1"/>
  <c r="F2061" i="3"/>
  <c r="F2062" i="3"/>
  <c r="F2063" i="3"/>
  <c r="F2064" i="3"/>
  <c r="F2065" i="3"/>
  <c r="F2066" i="3"/>
  <c r="F2067" i="3"/>
  <c r="F2068" i="3"/>
  <c r="F2069" i="3"/>
  <c r="F2070" i="3"/>
  <c r="F2058" i="3"/>
  <c r="F2059" i="3"/>
  <c r="F2054" i="3"/>
  <c r="F2416" i="3"/>
  <c r="F1822" i="3"/>
  <c r="F1766" i="3"/>
  <c r="F1742" i="3"/>
  <c r="F1741" i="3"/>
  <c r="F1738" i="3"/>
  <c r="F1699" i="3"/>
  <c r="F1670" i="3"/>
  <c r="F1626" i="3"/>
  <c r="F1611" i="3"/>
  <c r="F1580" i="3"/>
  <c r="F1568" i="3"/>
  <c r="F1540" i="3"/>
  <c r="F1527" i="3"/>
  <c r="F1431" i="3"/>
  <c r="F1419" i="3"/>
  <c r="F1406" i="3"/>
  <c r="F1388" i="3"/>
  <c r="F1420" i="3"/>
  <c r="F1407" i="3"/>
  <c r="F1389" i="3"/>
  <c r="F1351" i="3"/>
  <c r="F1300" i="3"/>
  <c r="F1299" i="3"/>
  <c r="F1301" i="3"/>
  <c r="F1307" i="3"/>
  <c r="F1405" i="3"/>
  <c r="F1765" i="3"/>
  <c r="F1767" i="3"/>
  <c r="F1612" i="3"/>
  <c r="F1610" i="3"/>
  <c r="F1671" i="3"/>
  <c r="F1669" i="3"/>
  <c r="F1418" i="3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6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6" i="5"/>
  <c r="H205" i="5"/>
  <c r="H204" i="5"/>
  <c r="H202" i="5"/>
  <c r="H201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0" i="5"/>
  <c r="H179" i="5"/>
  <c r="H178" i="5"/>
  <c r="H176" i="5"/>
  <c r="H175" i="5"/>
  <c r="H173" i="5"/>
  <c r="H172" i="5"/>
  <c r="H171" i="5"/>
  <c r="H170" i="5"/>
  <c r="H166" i="5"/>
  <c r="H165" i="5"/>
  <c r="H164" i="5"/>
  <c r="H162" i="5"/>
  <c r="H161" i="5"/>
  <c r="H159" i="5"/>
  <c r="H158" i="5"/>
  <c r="H157" i="5"/>
  <c r="H153" i="5"/>
  <c r="H152" i="5"/>
  <c r="H151" i="5"/>
  <c r="H149" i="5"/>
  <c r="H148" i="5"/>
  <c r="H146" i="5"/>
  <c r="H145" i="5"/>
  <c r="H144" i="5"/>
  <c r="H143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3" i="5"/>
  <c r="H82" i="5"/>
  <c r="H80" i="5"/>
  <c r="H79" i="5"/>
  <c r="H78" i="5"/>
  <c r="H76" i="5"/>
  <c r="H75" i="5"/>
  <c r="H74" i="5"/>
  <c r="H73" i="5"/>
  <c r="H72" i="5"/>
  <c r="H71" i="5"/>
  <c r="H70" i="5"/>
  <c r="H69" i="5"/>
  <c r="H68" i="5"/>
  <c r="H67" i="5"/>
  <c r="H66" i="5"/>
  <c r="H63" i="5"/>
  <c r="H62" i="5"/>
  <c r="H60" i="5"/>
  <c r="H59" i="5"/>
  <c r="H58" i="5"/>
  <c r="H56" i="5"/>
  <c r="H55" i="5"/>
  <c r="H54" i="5"/>
  <c r="H51" i="5"/>
  <c r="H50" i="5"/>
  <c r="H48" i="5"/>
  <c r="H47" i="5"/>
  <c r="H46" i="5"/>
  <c r="H44" i="5"/>
  <c r="H43" i="5"/>
  <c r="H40" i="5"/>
  <c r="H39" i="5"/>
  <c r="H390" i="5" s="1"/>
  <c r="H37" i="5"/>
  <c r="H36" i="5"/>
  <c r="H35" i="5"/>
  <c r="H33" i="5"/>
  <c r="H32" i="5"/>
  <c r="H31" i="5"/>
  <c r="D40" i="4"/>
  <c r="D39" i="4"/>
  <c r="D38" i="4"/>
  <c r="D37" i="4"/>
  <c r="D36" i="4"/>
  <c r="D35" i="4"/>
  <c r="D33" i="4"/>
  <c r="D41" i="4" s="1"/>
  <c r="D31" i="4"/>
  <c r="D30" i="4"/>
  <c r="D29" i="4"/>
  <c r="D28" i="4"/>
  <c r="D27" i="4"/>
  <c r="D26" i="4"/>
  <c r="D25" i="4"/>
  <c r="D24" i="4"/>
  <c r="D21" i="4"/>
  <c r="D20" i="4"/>
  <c r="D19" i="4"/>
  <c r="D18" i="4"/>
  <c r="D17" i="4"/>
  <c r="D16" i="4"/>
  <c r="D15" i="4"/>
  <c r="D14" i="4"/>
  <c r="D22" i="4" s="1"/>
  <c r="D11" i="4"/>
  <c r="D10" i="4"/>
  <c r="D9" i="4"/>
  <c r="D8" i="4"/>
  <c r="D7" i="4"/>
  <c r="D6" i="4"/>
  <c r="D5" i="4"/>
  <c r="D4" i="4"/>
  <c r="D12" i="4" s="1"/>
  <c r="D5" i="2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H1115" i="1" s="1"/>
  <c r="I1115" i="1" s="1"/>
  <c r="B1115" i="1"/>
  <c r="G1114" i="1"/>
  <c r="H1114" i="1" s="1"/>
  <c r="I1114" i="1" s="1"/>
  <c r="B1114" i="1"/>
  <c r="G1113" i="1"/>
  <c r="H1113" i="1" s="1"/>
  <c r="I1113" i="1" s="1"/>
  <c r="B1113" i="1"/>
  <c r="G1112" i="1"/>
  <c r="H1112" i="1" s="1"/>
  <c r="I1112" i="1" s="1"/>
  <c r="B1112" i="1"/>
  <c r="G1111" i="1"/>
  <c r="H1111" i="1" s="1"/>
  <c r="I1111" i="1" s="1"/>
  <c r="B1111" i="1"/>
  <c r="G1110" i="1"/>
  <c r="H1110" i="1" s="1"/>
  <c r="I1110" i="1" s="1"/>
  <c r="B1110" i="1"/>
  <c r="G1109" i="1"/>
  <c r="H1109" i="1" s="1"/>
  <c r="I1109" i="1" s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C908" i="1"/>
  <c r="B908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H682" i="1" s="1"/>
  <c r="I682" i="1" s="1"/>
  <c r="B682" i="1"/>
  <c r="G681" i="1"/>
  <c r="H681" i="1" s="1"/>
  <c r="I681" i="1" s="1"/>
  <c r="B681" i="1"/>
  <c r="G680" i="1"/>
  <c r="H680" i="1" s="1"/>
  <c r="I680" i="1" s="1"/>
  <c r="B680" i="1"/>
  <c r="G679" i="1"/>
  <c r="H679" i="1" s="1"/>
  <c r="I679" i="1" s="1"/>
  <c r="B679" i="1"/>
  <c r="G678" i="1"/>
  <c r="H678" i="1" s="1"/>
  <c r="I678" i="1" s="1"/>
  <c r="B678" i="1"/>
  <c r="G677" i="1"/>
  <c r="H677" i="1" s="1"/>
  <c r="I677" i="1" s="1"/>
  <c r="B677" i="1"/>
  <c r="G676" i="1"/>
  <c r="H676" i="1" s="1"/>
  <c r="I676" i="1" s="1"/>
  <c r="B676" i="1"/>
  <c r="G675" i="1"/>
  <c r="B675" i="1"/>
  <c r="G674" i="1"/>
  <c r="H674" i="1" s="1"/>
  <c r="I674" i="1" s="1"/>
  <c r="B674" i="1"/>
  <c r="G673" i="1"/>
  <c r="H673" i="1" s="1"/>
  <c r="I673" i="1" s="1"/>
  <c r="B673" i="1"/>
  <c r="G672" i="1"/>
  <c r="H672" i="1" s="1"/>
  <c r="I672" i="1" s="1"/>
  <c r="B672" i="1"/>
  <c r="G671" i="1"/>
  <c r="H671" i="1" s="1"/>
  <c r="I671" i="1" s="1"/>
  <c r="B671" i="1"/>
  <c r="G670" i="1"/>
  <c r="H670" i="1" s="1"/>
  <c r="I670" i="1" s="1"/>
  <c r="B670" i="1"/>
  <c r="G669" i="1"/>
  <c r="H669" i="1" s="1"/>
  <c r="I669" i="1" s="1"/>
  <c r="B669" i="1"/>
  <c r="G668" i="1"/>
  <c r="H668" i="1" s="1"/>
  <c r="I668" i="1" s="1"/>
  <c r="B668" i="1"/>
  <c r="G667" i="1"/>
  <c r="B667" i="1"/>
  <c r="G666" i="1"/>
  <c r="H666" i="1" s="1"/>
  <c r="I666" i="1" s="1"/>
  <c r="B666" i="1"/>
  <c r="G665" i="1"/>
  <c r="H665" i="1" s="1"/>
  <c r="I665" i="1" s="1"/>
  <c r="B665" i="1"/>
  <c r="G664" i="1"/>
  <c r="H664" i="1" s="1"/>
  <c r="I664" i="1" s="1"/>
  <c r="B664" i="1"/>
  <c r="G663" i="1"/>
  <c r="H663" i="1" s="1"/>
  <c r="I663" i="1" s="1"/>
  <c r="B663" i="1"/>
  <c r="G662" i="1"/>
  <c r="H662" i="1" s="1"/>
  <c r="I662" i="1" s="1"/>
  <c r="B662" i="1"/>
  <c r="G661" i="1"/>
  <c r="H661" i="1" s="1"/>
  <c r="I661" i="1" s="1"/>
  <c r="B661" i="1"/>
  <c r="G660" i="1"/>
  <c r="H660" i="1" s="1"/>
  <c r="I660" i="1" s="1"/>
  <c r="B660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C34" i="1"/>
  <c r="B34" i="1"/>
  <c r="C25" i="1"/>
  <c r="B25" i="1"/>
  <c r="C16" i="1"/>
  <c r="B16" i="1"/>
  <c r="G121" i="3"/>
  <c r="F121" i="3"/>
  <c r="G602" i="3"/>
  <c r="F602" i="3"/>
  <c r="G504" i="3"/>
  <c r="F504" i="3"/>
  <c r="D169" i="2" s="1"/>
  <c r="G1135" i="3"/>
  <c r="F1135" i="3"/>
  <c r="D168" i="2" s="1"/>
  <c r="G1696" i="3"/>
  <c r="F1696" i="3"/>
  <c r="D167" i="2" s="1"/>
  <c r="G2276" i="3"/>
  <c r="F2276" i="3"/>
  <c r="D166" i="2" s="1"/>
  <c r="G184" i="3"/>
  <c r="F184" i="3"/>
  <c r="G185" i="3"/>
  <c r="F185" i="3"/>
  <c r="G123" i="3"/>
  <c r="F123" i="3"/>
  <c r="G125" i="3"/>
  <c r="F125" i="3"/>
  <c r="G158" i="3"/>
  <c r="F158" i="3"/>
  <c r="G194" i="3"/>
  <c r="F194" i="3"/>
  <c r="G660" i="3"/>
  <c r="F660" i="3"/>
  <c r="G91" i="3"/>
  <c r="F91" i="3"/>
  <c r="G426" i="3"/>
  <c r="F426" i="3"/>
  <c r="G19" i="3"/>
  <c r="F19" i="3"/>
  <c r="G175" i="3"/>
  <c r="F175" i="3"/>
  <c r="G70" i="3"/>
  <c r="F70" i="3"/>
  <c r="G642" i="3"/>
  <c r="F642" i="3"/>
  <c r="G606" i="3"/>
  <c r="F606" i="3"/>
  <c r="G624" i="3"/>
  <c r="F624" i="3"/>
  <c r="G577" i="3"/>
  <c r="F577" i="3"/>
  <c r="G530" i="3"/>
  <c r="F530" i="3"/>
  <c r="G550" i="3"/>
  <c r="F550" i="3"/>
  <c r="G495" i="3"/>
  <c r="F495" i="3"/>
  <c r="G461" i="3"/>
  <c r="F461" i="3"/>
  <c r="G442" i="3"/>
  <c r="F442" i="3"/>
  <c r="G386" i="3"/>
  <c r="F386" i="3"/>
  <c r="G294" i="3"/>
  <c r="F294" i="3"/>
  <c r="G275" i="3"/>
  <c r="F275" i="3"/>
  <c r="G255" i="3"/>
  <c r="F255" i="3"/>
  <c r="G210" i="3"/>
  <c r="F210" i="3"/>
  <c r="G231" i="3"/>
  <c r="F231" i="3"/>
  <c r="G140" i="3"/>
  <c r="F140" i="3"/>
  <c r="G113" i="3"/>
  <c r="F113" i="3"/>
  <c r="G53" i="3"/>
  <c r="F53" i="3"/>
  <c r="G34" i="3"/>
  <c r="F34" i="3"/>
  <c r="G340" i="3"/>
  <c r="F340" i="3"/>
  <c r="G312" i="3"/>
  <c r="F312" i="3"/>
  <c r="G178" i="3"/>
  <c r="F178" i="3"/>
  <c r="G94" i="3"/>
  <c r="F94" i="3"/>
  <c r="G662" i="3"/>
  <c r="F662" i="3"/>
  <c r="G515" i="3"/>
  <c r="F515" i="3"/>
  <c r="G510" i="3"/>
  <c r="F510" i="3"/>
  <c r="G124" i="3"/>
  <c r="F124" i="3"/>
  <c r="G430" i="3"/>
  <c r="F430" i="3"/>
  <c r="G181" i="3"/>
  <c r="F181" i="3"/>
  <c r="G122" i="3"/>
  <c r="F122" i="3"/>
  <c r="G486" i="3"/>
  <c r="F486" i="3"/>
  <c r="G374" i="3"/>
  <c r="F374" i="3"/>
  <c r="G183" i="3"/>
  <c r="F183" i="3"/>
  <c r="G166" i="3"/>
  <c r="F166" i="3"/>
  <c r="G173" i="3"/>
  <c r="F173" i="3"/>
  <c r="G177" i="3"/>
  <c r="F177" i="3"/>
  <c r="G165" i="3"/>
  <c r="F165" i="3"/>
  <c r="F170" i="3"/>
  <c r="G168" i="3"/>
  <c r="F168" i="3"/>
  <c r="G169" i="3"/>
  <c r="F169" i="3"/>
  <c r="G182" i="3"/>
  <c r="F182" i="3"/>
  <c r="G174" i="3"/>
  <c r="F174" i="3"/>
  <c r="G167" i="3"/>
  <c r="F167" i="3"/>
  <c r="G647" i="3"/>
  <c r="F647" i="3"/>
  <c r="G656" i="3"/>
  <c r="F656" i="3"/>
  <c r="G638" i="3"/>
  <c r="F638" i="3"/>
  <c r="G620" i="3"/>
  <c r="F620" i="3"/>
  <c r="G601" i="3"/>
  <c r="F601" i="3"/>
  <c r="G590" i="3"/>
  <c r="F590" i="3"/>
  <c r="G422" i="3"/>
  <c r="F422" i="3"/>
  <c r="G405" i="3"/>
  <c r="F405" i="3"/>
  <c r="G404" i="3"/>
  <c r="F404" i="3"/>
  <c r="G307" i="3"/>
  <c r="F307" i="3"/>
  <c r="G109" i="3"/>
  <c r="F109" i="3"/>
  <c r="G589" i="3"/>
  <c r="F589" i="3"/>
  <c r="G587" i="3"/>
  <c r="F587" i="3"/>
  <c r="G588" i="3"/>
  <c r="F588" i="3"/>
  <c r="G593" i="3"/>
  <c r="F593" i="3"/>
  <c r="G592" i="3"/>
  <c r="F592" i="3"/>
  <c r="G11" i="3"/>
  <c r="F11" i="3"/>
  <c r="G20" i="3"/>
  <c r="F20" i="3"/>
  <c r="F15" i="3"/>
  <c r="F13" i="3"/>
  <c r="F14" i="3"/>
  <c r="G21" i="3"/>
  <c r="F21" i="3"/>
  <c r="G18" i="3"/>
  <c r="F18" i="3"/>
  <c r="G186" i="3"/>
  <c r="F186" i="3"/>
  <c r="G190" i="3"/>
  <c r="F190" i="3"/>
  <c r="G650" i="3"/>
  <c r="F650" i="3"/>
  <c r="G655" i="3"/>
  <c r="F655" i="3"/>
  <c r="G76" i="3"/>
  <c r="F76" i="3"/>
  <c r="G86" i="3"/>
  <c r="F86" i="3"/>
  <c r="G414" i="3"/>
  <c r="F414" i="3"/>
  <c r="G420" i="3"/>
  <c r="F420" i="3"/>
  <c r="G10" i="3"/>
  <c r="F10" i="3"/>
  <c r="G16" i="3"/>
  <c r="F16" i="3"/>
  <c r="G586" i="3"/>
  <c r="F586" i="3"/>
  <c r="G317" i="3"/>
  <c r="F317" i="3"/>
  <c r="G361" i="3"/>
  <c r="F361" i="3"/>
  <c r="G398" i="3"/>
  <c r="F398" i="3"/>
  <c r="G472" i="3"/>
  <c r="F472" i="3"/>
  <c r="G244" i="3"/>
  <c r="F244" i="3"/>
  <c r="G615" i="3"/>
  <c r="F615" i="3"/>
  <c r="G595" i="3"/>
  <c r="F595" i="3"/>
  <c r="G633" i="3"/>
  <c r="F633" i="3"/>
  <c r="G520" i="3"/>
  <c r="F520" i="3"/>
  <c r="G42" i="3"/>
  <c r="F42" i="3"/>
  <c r="G450" i="3"/>
  <c r="F450" i="3"/>
  <c r="G12" i="3"/>
  <c r="F12" i="3"/>
  <c r="G24" i="3"/>
  <c r="F24" i="3"/>
  <c r="G329" i="3"/>
  <c r="F329" i="3"/>
  <c r="G591" i="3"/>
  <c r="F591" i="3"/>
  <c r="G17" i="3"/>
  <c r="F17" i="3"/>
  <c r="G651" i="3"/>
  <c r="F651" i="3"/>
  <c r="G564" i="3"/>
  <c r="F564" i="3"/>
  <c r="G540" i="3"/>
  <c r="F540" i="3"/>
  <c r="G505" i="3"/>
  <c r="F505" i="3"/>
  <c r="G470" i="3"/>
  <c r="F470" i="3"/>
  <c r="G433" i="3"/>
  <c r="F433" i="3"/>
  <c r="G415" i="3"/>
  <c r="F415" i="3"/>
  <c r="G396" i="3"/>
  <c r="F396" i="3"/>
  <c r="G371" i="3"/>
  <c r="F371" i="3"/>
  <c r="G347" i="3"/>
  <c r="F347" i="3"/>
  <c r="G328" i="3"/>
  <c r="F328" i="3"/>
  <c r="G303" i="3"/>
  <c r="F303" i="3"/>
  <c r="G284" i="3"/>
  <c r="F284" i="3"/>
  <c r="G242" i="3"/>
  <c r="F242" i="3"/>
  <c r="G219" i="3"/>
  <c r="F219" i="3"/>
  <c r="G128" i="3"/>
  <c r="F128" i="3"/>
  <c r="G103" i="3"/>
  <c r="F103" i="3"/>
  <c r="G62" i="3"/>
  <c r="F62" i="3"/>
  <c r="G23" i="3"/>
  <c r="F23" i="3"/>
  <c r="G157" i="3"/>
  <c r="F157" i="3"/>
  <c r="G339" i="3"/>
  <c r="F339" i="3"/>
  <c r="G209" i="3"/>
  <c r="F209" i="3"/>
  <c r="G193" i="3"/>
  <c r="F193" i="3"/>
  <c r="G513" i="3"/>
  <c r="F513" i="3"/>
  <c r="G139" i="3"/>
  <c r="F139" i="3"/>
  <c r="G90" i="3"/>
  <c r="F90" i="3"/>
  <c r="G310" i="3"/>
  <c r="F310" i="3"/>
  <c r="G557" i="3"/>
  <c r="F557" i="3"/>
  <c r="G517" i="3"/>
  <c r="F517" i="3"/>
  <c r="G500" i="3"/>
  <c r="F500" i="3"/>
  <c r="G429" i="3"/>
  <c r="F429" i="3"/>
  <c r="G392" i="3"/>
  <c r="F392" i="3"/>
  <c r="G358" i="3"/>
  <c r="F358" i="3"/>
  <c r="G344" i="3"/>
  <c r="F344" i="3"/>
  <c r="G325" i="3"/>
  <c r="F325" i="3"/>
  <c r="G314" i="3"/>
  <c r="F314" i="3"/>
  <c r="G300" i="3"/>
  <c r="F300" i="3"/>
  <c r="G214" i="3"/>
  <c r="F214" i="3"/>
  <c r="G198" i="3"/>
  <c r="F198" i="3"/>
  <c r="G180" i="3"/>
  <c r="F180" i="3"/>
  <c r="G162" i="3"/>
  <c r="F162" i="3"/>
  <c r="G118" i="3"/>
  <c r="F118" i="3"/>
  <c r="G73" i="3"/>
  <c r="F73" i="3"/>
  <c r="G164" i="3"/>
  <c r="F164" i="3"/>
  <c r="G171" i="3"/>
  <c r="F171" i="3"/>
  <c r="G61" i="3"/>
  <c r="F61" i="3"/>
  <c r="G66" i="3"/>
  <c r="F66" i="3"/>
  <c r="G179" i="3"/>
  <c r="F179" i="3"/>
  <c r="G72" i="3"/>
  <c r="F72" i="3"/>
  <c r="G176" i="3"/>
  <c r="F176" i="3"/>
  <c r="G172" i="3"/>
  <c r="F172" i="3"/>
  <c r="G349" i="3"/>
  <c r="F349" i="3"/>
  <c r="G159" i="3"/>
  <c r="F159" i="3"/>
  <c r="G355" i="3"/>
  <c r="F355" i="3"/>
  <c r="G494" i="3"/>
  <c r="F494" i="3"/>
  <c r="G69" i="3"/>
  <c r="F69" i="3"/>
  <c r="G441" i="3"/>
  <c r="F441" i="3"/>
  <c r="G425" i="3"/>
  <c r="F425" i="3"/>
  <c r="G659" i="3"/>
  <c r="F659" i="3"/>
  <c r="F189" i="3"/>
  <c r="F187" i="3"/>
  <c r="F188" i="3"/>
  <c r="G195" i="3"/>
  <c r="F195" i="3"/>
  <c r="G199" i="3"/>
  <c r="F199" i="3"/>
  <c r="G192" i="3"/>
  <c r="F192" i="3"/>
  <c r="F320" i="3"/>
  <c r="F318" i="3"/>
  <c r="F319" i="3"/>
  <c r="G324" i="3"/>
  <c r="F324" i="3"/>
  <c r="G326" i="3"/>
  <c r="F326" i="3"/>
  <c r="G323" i="3"/>
  <c r="F323" i="3"/>
  <c r="F364" i="3"/>
  <c r="F362" i="3"/>
  <c r="F363" i="3"/>
  <c r="G368" i="3"/>
  <c r="F368" i="3"/>
  <c r="G369" i="3"/>
  <c r="F369" i="3"/>
  <c r="G367" i="3"/>
  <c r="F367" i="3"/>
  <c r="F306" i="3"/>
  <c r="F304" i="3"/>
  <c r="F305" i="3"/>
  <c r="G311" i="3"/>
  <c r="F311" i="3"/>
  <c r="G315" i="3"/>
  <c r="F315" i="3"/>
  <c r="G309" i="3"/>
  <c r="F309" i="3"/>
  <c r="F65" i="3"/>
  <c r="F63" i="3"/>
  <c r="F64" i="3"/>
  <c r="G71" i="3"/>
  <c r="F71" i="3"/>
  <c r="G74" i="3"/>
  <c r="F74" i="3"/>
  <c r="G68" i="3"/>
  <c r="F68" i="3"/>
  <c r="F654" i="3"/>
  <c r="F652" i="3"/>
  <c r="F653" i="3"/>
  <c r="G661" i="3"/>
  <c r="F661" i="3"/>
  <c r="G664" i="3"/>
  <c r="F664" i="3"/>
  <c r="G658" i="3"/>
  <c r="F658" i="3"/>
  <c r="F419" i="3"/>
  <c r="F417" i="3"/>
  <c r="F418" i="3"/>
  <c r="G427" i="3"/>
  <c r="F427" i="3"/>
  <c r="G431" i="3"/>
  <c r="F431" i="3"/>
  <c r="G424" i="3"/>
  <c r="F424" i="3"/>
  <c r="F352" i="3"/>
  <c r="F350" i="3"/>
  <c r="F351" i="3"/>
  <c r="G356" i="3"/>
  <c r="F356" i="3"/>
  <c r="G359" i="3"/>
  <c r="F359" i="3"/>
  <c r="G354" i="3"/>
  <c r="F354" i="3"/>
  <c r="F508" i="3"/>
  <c r="F506" i="3"/>
  <c r="F507" i="3"/>
  <c r="G514" i="3"/>
  <c r="F514" i="3"/>
  <c r="G518" i="3"/>
  <c r="F518" i="3"/>
  <c r="G512" i="3"/>
  <c r="F512" i="3"/>
  <c r="G313" i="3"/>
  <c r="F313" i="3"/>
  <c r="G95" i="3"/>
  <c r="F95" i="3"/>
  <c r="G197" i="3"/>
  <c r="F197" i="3"/>
  <c r="G196" i="3"/>
  <c r="F196" i="3"/>
  <c r="G191" i="3"/>
  <c r="F191" i="3"/>
  <c r="G321" i="3"/>
  <c r="F321" i="3"/>
  <c r="G316" i="3"/>
  <c r="F316" i="3"/>
  <c r="G322" i="3"/>
  <c r="F322" i="3"/>
  <c r="G365" i="3"/>
  <c r="F365" i="3"/>
  <c r="G360" i="3"/>
  <c r="F360" i="3"/>
  <c r="G366" i="3"/>
  <c r="F366" i="3"/>
  <c r="G308" i="3"/>
  <c r="F308" i="3"/>
  <c r="G67" i="3"/>
  <c r="F67" i="3"/>
  <c r="G663" i="3"/>
  <c r="F663" i="3"/>
  <c r="G657" i="3"/>
  <c r="F657" i="3"/>
  <c r="G421" i="3"/>
  <c r="F421" i="3"/>
  <c r="G416" i="3"/>
  <c r="F416" i="3"/>
  <c r="G428" i="3"/>
  <c r="F428" i="3"/>
  <c r="G423" i="3"/>
  <c r="F423" i="3"/>
  <c r="G348" i="3"/>
  <c r="F348" i="3"/>
  <c r="G357" i="3"/>
  <c r="F357" i="3"/>
  <c r="G353" i="3"/>
  <c r="F353" i="3"/>
  <c r="G509" i="3"/>
  <c r="F509" i="3"/>
  <c r="G516" i="3"/>
  <c r="F516" i="3"/>
  <c r="G511" i="3"/>
  <c r="F511" i="3"/>
  <c r="G373" i="3"/>
  <c r="F373" i="3"/>
  <c r="G150" i="3"/>
  <c r="F150" i="3"/>
  <c r="G628" i="3"/>
  <c r="F628" i="3"/>
  <c r="G6" i="3"/>
  <c r="F6" i="3"/>
  <c r="G583" i="3"/>
  <c r="F583" i="3"/>
  <c r="G446" i="3"/>
  <c r="F446" i="3"/>
  <c r="G38" i="3"/>
  <c r="F38" i="3"/>
  <c r="G646" i="3"/>
  <c r="F646" i="3"/>
  <c r="G610" i="3"/>
  <c r="F610" i="3"/>
  <c r="G134" i="3"/>
  <c r="F134" i="3"/>
  <c r="G104" i="3"/>
  <c r="F104" i="3"/>
  <c r="G641" i="3"/>
  <c r="F641" i="3"/>
  <c r="G97" i="3"/>
  <c r="F97" i="3"/>
  <c r="F636" i="3"/>
  <c r="F634" i="3"/>
  <c r="F635" i="3"/>
  <c r="F598" i="3"/>
  <c r="F596" i="3"/>
  <c r="F597" i="3"/>
  <c r="F618" i="3"/>
  <c r="F616" i="3"/>
  <c r="F617" i="3"/>
  <c r="G568" i="3"/>
  <c r="F568" i="3"/>
  <c r="G566" i="3"/>
  <c r="F566" i="3"/>
  <c r="G567" i="3"/>
  <c r="F567" i="3"/>
  <c r="F523" i="3"/>
  <c r="F521" i="3"/>
  <c r="F522" i="3"/>
  <c r="G543" i="3"/>
  <c r="F543" i="3"/>
  <c r="G541" i="3"/>
  <c r="F541" i="3"/>
  <c r="G542" i="3"/>
  <c r="F542" i="3"/>
  <c r="F489" i="3"/>
  <c r="F487" i="3"/>
  <c r="F488" i="3"/>
  <c r="F475" i="3"/>
  <c r="F473" i="3"/>
  <c r="F474" i="3"/>
  <c r="F453" i="3"/>
  <c r="F451" i="3"/>
  <c r="F452" i="3"/>
  <c r="F437" i="3"/>
  <c r="F435" i="3"/>
  <c r="F436" i="3"/>
  <c r="F401" i="3"/>
  <c r="F399" i="3"/>
  <c r="F400" i="3"/>
  <c r="F377" i="3"/>
  <c r="F375" i="3"/>
  <c r="F376" i="3"/>
  <c r="F287" i="3"/>
  <c r="F285" i="3"/>
  <c r="F286" i="3"/>
  <c r="F267" i="3"/>
  <c r="F265" i="3"/>
  <c r="F266" i="3"/>
  <c r="F247" i="3"/>
  <c r="F245" i="3"/>
  <c r="F246" i="3"/>
  <c r="F203" i="3"/>
  <c r="F201" i="3"/>
  <c r="F202" i="3"/>
  <c r="G222" i="3"/>
  <c r="F222" i="3"/>
  <c r="G220" i="3"/>
  <c r="F220" i="3"/>
  <c r="G221" i="3"/>
  <c r="F221" i="3"/>
  <c r="F153" i="3"/>
  <c r="F151" i="3"/>
  <c r="F152" i="3"/>
  <c r="F132" i="3"/>
  <c r="F130" i="3"/>
  <c r="F131" i="3"/>
  <c r="F107" i="3"/>
  <c r="F105" i="3"/>
  <c r="F106" i="3"/>
  <c r="F45" i="3"/>
  <c r="F43" i="3"/>
  <c r="F44" i="3"/>
  <c r="F27" i="3"/>
  <c r="F25" i="3"/>
  <c r="F26" i="3"/>
  <c r="F332" i="3"/>
  <c r="F330" i="3"/>
  <c r="F331" i="3"/>
  <c r="G5" i="3"/>
  <c r="F5" i="3"/>
  <c r="G648" i="3"/>
  <c r="F648" i="3"/>
  <c r="G640" i="3"/>
  <c r="F640" i="3"/>
  <c r="G643" i="3"/>
  <c r="F643" i="3"/>
  <c r="G639" i="3"/>
  <c r="F639" i="3"/>
  <c r="G649" i="3"/>
  <c r="F649" i="3"/>
  <c r="G632" i="3"/>
  <c r="F632" i="3"/>
  <c r="G637" i="3"/>
  <c r="F637" i="3"/>
  <c r="G645" i="3"/>
  <c r="F645" i="3"/>
  <c r="G644" i="3"/>
  <c r="F644" i="3"/>
  <c r="G612" i="3"/>
  <c r="F612" i="3"/>
  <c r="G604" i="3"/>
  <c r="F604" i="3"/>
  <c r="G605" i="3"/>
  <c r="F605" i="3"/>
  <c r="G611" i="3"/>
  <c r="F611" i="3"/>
  <c r="G607" i="3"/>
  <c r="F607" i="3"/>
  <c r="G603" i="3"/>
  <c r="F603" i="3"/>
  <c r="G613" i="3"/>
  <c r="F613" i="3"/>
  <c r="G594" i="3"/>
  <c r="F594" i="3"/>
  <c r="G599" i="3"/>
  <c r="F599" i="3"/>
  <c r="G609" i="3"/>
  <c r="F609" i="3"/>
  <c r="G608" i="3"/>
  <c r="F608" i="3"/>
  <c r="G630" i="3"/>
  <c r="F630" i="3"/>
  <c r="G622" i="3"/>
  <c r="F622" i="3"/>
  <c r="G623" i="3"/>
  <c r="F623" i="3"/>
  <c r="G629" i="3"/>
  <c r="F629" i="3"/>
  <c r="G625" i="3"/>
  <c r="F625" i="3"/>
  <c r="G621" i="3"/>
  <c r="F621" i="3"/>
  <c r="G631" i="3"/>
  <c r="F631" i="3"/>
  <c r="G614" i="3"/>
  <c r="F614" i="3"/>
  <c r="G619" i="3"/>
  <c r="F619" i="3"/>
  <c r="G627" i="3"/>
  <c r="F627" i="3"/>
  <c r="G626" i="3"/>
  <c r="F626" i="3"/>
  <c r="G584" i="3"/>
  <c r="F584" i="3"/>
  <c r="G575" i="3"/>
  <c r="F575" i="3"/>
  <c r="G576" i="3"/>
  <c r="F576" i="3"/>
  <c r="G565" i="3"/>
  <c r="F565" i="3"/>
  <c r="G578" i="3"/>
  <c r="F578" i="3"/>
  <c r="G581" i="3"/>
  <c r="F581" i="3"/>
  <c r="G582" i="3"/>
  <c r="F582" i="3"/>
  <c r="G573" i="3"/>
  <c r="F573" i="3"/>
  <c r="G572" i="3"/>
  <c r="F572" i="3"/>
  <c r="G571" i="3"/>
  <c r="F571" i="3"/>
  <c r="G403" i="3"/>
  <c r="F403" i="3"/>
  <c r="G600" i="3"/>
  <c r="F600" i="3"/>
  <c r="G455" i="3"/>
  <c r="F455" i="3"/>
  <c r="G47" i="3"/>
  <c r="F47" i="3"/>
  <c r="G570" i="3"/>
  <c r="F570" i="3"/>
  <c r="G574" i="3"/>
  <c r="F574" i="3"/>
  <c r="G585" i="3"/>
  <c r="F585" i="3"/>
  <c r="G563" i="3"/>
  <c r="F563" i="3"/>
  <c r="G569" i="3"/>
  <c r="F569" i="3"/>
  <c r="G580" i="3"/>
  <c r="F580" i="3"/>
  <c r="G579" i="3"/>
  <c r="F579" i="3"/>
  <c r="G536" i="3"/>
  <c r="F536" i="3"/>
  <c r="G528" i="3"/>
  <c r="F528" i="3"/>
  <c r="G529" i="3"/>
  <c r="F529" i="3"/>
  <c r="G535" i="3"/>
  <c r="F535" i="3"/>
  <c r="G531" i="3"/>
  <c r="F531" i="3"/>
  <c r="G534" i="3"/>
  <c r="F534" i="3"/>
  <c r="G526" i="3"/>
  <c r="F526" i="3"/>
  <c r="G525" i="3"/>
  <c r="F525" i="3"/>
  <c r="G527" i="3"/>
  <c r="F527" i="3"/>
  <c r="G537" i="3"/>
  <c r="F537" i="3"/>
  <c r="G519" i="3"/>
  <c r="F519" i="3"/>
  <c r="G524" i="3"/>
  <c r="F524" i="3"/>
  <c r="G533" i="3"/>
  <c r="F533" i="3"/>
  <c r="G532" i="3"/>
  <c r="F532" i="3"/>
  <c r="G560" i="3"/>
  <c r="F560" i="3"/>
  <c r="G548" i="3"/>
  <c r="F548" i="3"/>
  <c r="G549" i="3"/>
  <c r="F549" i="3"/>
  <c r="G551" i="3"/>
  <c r="F551" i="3"/>
  <c r="G554" i="3"/>
  <c r="F554" i="3"/>
  <c r="G538" i="3"/>
  <c r="F538" i="3"/>
  <c r="G556" i="3"/>
  <c r="F556" i="3"/>
  <c r="G562" i="3"/>
  <c r="F562" i="3"/>
  <c r="G546" i="3"/>
  <c r="F546" i="3"/>
  <c r="G545" i="3"/>
  <c r="F545" i="3"/>
  <c r="G547" i="3"/>
  <c r="F547" i="3"/>
  <c r="G561" i="3"/>
  <c r="F561" i="3"/>
  <c r="G539" i="3"/>
  <c r="F539" i="3"/>
  <c r="G544" i="3"/>
  <c r="F544" i="3"/>
  <c r="G553" i="3"/>
  <c r="F553" i="3"/>
  <c r="G552" i="3"/>
  <c r="F552" i="3"/>
  <c r="G502" i="3"/>
  <c r="F502" i="3"/>
  <c r="G493" i="3"/>
  <c r="F493" i="3"/>
  <c r="G499" i="3"/>
  <c r="F499" i="3"/>
  <c r="G496" i="3"/>
  <c r="F496" i="3"/>
  <c r="G485" i="3"/>
  <c r="F485" i="3"/>
  <c r="G492" i="3"/>
  <c r="F492" i="3"/>
  <c r="G503" i="3"/>
  <c r="F503" i="3"/>
  <c r="G484" i="3"/>
  <c r="F484" i="3"/>
  <c r="G490" i="3"/>
  <c r="F490" i="3"/>
  <c r="G501" i="3"/>
  <c r="F501" i="3"/>
  <c r="G498" i="3"/>
  <c r="F498" i="3"/>
  <c r="G497" i="3"/>
  <c r="F497" i="3"/>
  <c r="G482" i="3"/>
  <c r="F482" i="3"/>
  <c r="G478" i="3"/>
  <c r="F478" i="3"/>
  <c r="G471" i="3"/>
  <c r="F471" i="3"/>
  <c r="G480" i="3"/>
  <c r="F480" i="3"/>
  <c r="G481" i="3"/>
  <c r="F481" i="3"/>
  <c r="G476" i="3"/>
  <c r="F476" i="3"/>
  <c r="G479" i="3"/>
  <c r="F479" i="3"/>
  <c r="G477" i="3"/>
  <c r="F477" i="3"/>
  <c r="G483" i="3"/>
  <c r="F483" i="3"/>
  <c r="G468" i="3"/>
  <c r="F468" i="3"/>
  <c r="G459" i="3"/>
  <c r="F459" i="3"/>
  <c r="G460" i="3"/>
  <c r="F460" i="3"/>
  <c r="G467" i="3"/>
  <c r="F467" i="3"/>
  <c r="G462" i="3"/>
  <c r="F462" i="3"/>
  <c r="G466" i="3"/>
  <c r="F466" i="3"/>
  <c r="G457" i="3"/>
  <c r="F457" i="3"/>
  <c r="G456" i="3"/>
  <c r="F456" i="3"/>
  <c r="G463" i="3"/>
  <c r="F463" i="3"/>
  <c r="G458" i="3"/>
  <c r="F458" i="3"/>
  <c r="G469" i="3"/>
  <c r="F469" i="3"/>
  <c r="G449" i="3"/>
  <c r="F449" i="3"/>
  <c r="G454" i="3"/>
  <c r="F454" i="3"/>
  <c r="G465" i="3"/>
  <c r="F465" i="3"/>
  <c r="G464" i="3"/>
  <c r="F464" i="3"/>
  <c r="G447" i="3"/>
  <c r="F447" i="3"/>
  <c r="G440" i="3"/>
  <c r="F440" i="3"/>
  <c r="G434" i="3"/>
  <c r="F434" i="3"/>
  <c r="G443" i="3"/>
  <c r="F443" i="3"/>
  <c r="G439" i="3"/>
  <c r="F439" i="3"/>
  <c r="G448" i="3"/>
  <c r="F448" i="3"/>
  <c r="G432" i="3"/>
  <c r="F432" i="3"/>
  <c r="G438" i="3"/>
  <c r="F438" i="3"/>
  <c r="G445" i="3"/>
  <c r="F445" i="3"/>
  <c r="G444" i="3"/>
  <c r="F444" i="3"/>
  <c r="G412" i="3"/>
  <c r="F412" i="3"/>
  <c r="G407" i="3"/>
  <c r="F407" i="3"/>
  <c r="G397" i="3"/>
  <c r="F397" i="3"/>
  <c r="G409" i="3"/>
  <c r="F409" i="3"/>
  <c r="G402" i="3"/>
  <c r="F402" i="3"/>
  <c r="G408" i="3"/>
  <c r="F408" i="3"/>
  <c r="G406" i="3"/>
  <c r="F406" i="3"/>
  <c r="G413" i="3"/>
  <c r="F413" i="3"/>
  <c r="G411" i="3"/>
  <c r="F411" i="3"/>
  <c r="G410" i="3"/>
  <c r="F410" i="3"/>
  <c r="G394" i="3"/>
  <c r="F394" i="3"/>
  <c r="G384" i="3"/>
  <c r="F384" i="3"/>
  <c r="G385" i="3"/>
  <c r="F385" i="3"/>
  <c r="G387" i="3"/>
  <c r="F387" i="3"/>
  <c r="G391" i="3"/>
  <c r="F391" i="3"/>
  <c r="G379" i="3"/>
  <c r="F379" i="3"/>
  <c r="G382" i="3"/>
  <c r="F382" i="3"/>
  <c r="G381" i="3"/>
  <c r="F381" i="3"/>
  <c r="G388" i="3"/>
  <c r="F388" i="3"/>
  <c r="G372" i="3"/>
  <c r="F372" i="3"/>
  <c r="G383" i="3"/>
  <c r="F383" i="3"/>
  <c r="G395" i="3"/>
  <c r="F395" i="3"/>
  <c r="G370" i="3"/>
  <c r="F370" i="3"/>
  <c r="G378" i="3"/>
  <c r="F378" i="3"/>
  <c r="G390" i="3"/>
  <c r="F390" i="3"/>
  <c r="G389" i="3"/>
  <c r="F389" i="3"/>
  <c r="G301" i="3"/>
  <c r="F301" i="3"/>
  <c r="G292" i="3"/>
  <c r="F292" i="3"/>
  <c r="G293" i="3"/>
  <c r="F293" i="3"/>
  <c r="G295" i="3"/>
  <c r="F295" i="3"/>
  <c r="G290" i="3"/>
  <c r="F290" i="3"/>
  <c r="G289" i="3"/>
  <c r="F289" i="3"/>
  <c r="G296" i="3"/>
  <c r="F296" i="3"/>
  <c r="G291" i="3"/>
  <c r="F291" i="3"/>
  <c r="G302" i="3"/>
  <c r="F302" i="3"/>
  <c r="G283" i="3"/>
  <c r="F283" i="3"/>
  <c r="G288" i="3"/>
  <c r="F288" i="3"/>
  <c r="G298" i="3"/>
  <c r="F298" i="3"/>
  <c r="G297" i="3"/>
  <c r="F297" i="3"/>
  <c r="G281" i="3"/>
  <c r="F281" i="3"/>
  <c r="G273" i="3"/>
  <c r="F273" i="3"/>
  <c r="G274" i="3"/>
  <c r="F274" i="3"/>
  <c r="G276" i="3"/>
  <c r="F276" i="3"/>
  <c r="G269" i="3"/>
  <c r="F269" i="3"/>
  <c r="G280" i="3"/>
  <c r="F280" i="3"/>
  <c r="G279" i="3"/>
  <c r="F279" i="3"/>
  <c r="G271" i="3"/>
  <c r="F271" i="3"/>
  <c r="G270" i="3"/>
  <c r="F270" i="3"/>
  <c r="G272" i="3"/>
  <c r="F272" i="3"/>
  <c r="G282" i="3"/>
  <c r="F282" i="3"/>
  <c r="G264" i="3"/>
  <c r="F264" i="3"/>
  <c r="G268" i="3"/>
  <c r="F268" i="3"/>
  <c r="G278" i="3"/>
  <c r="F278" i="3"/>
  <c r="G277" i="3"/>
  <c r="F277" i="3"/>
  <c r="G262" i="3"/>
  <c r="F262" i="3"/>
  <c r="G253" i="3"/>
  <c r="F253" i="3"/>
  <c r="G254" i="3"/>
  <c r="F254" i="3"/>
  <c r="G243" i="3"/>
  <c r="F243" i="3"/>
  <c r="G256" i="3"/>
  <c r="F256" i="3"/>
  <c r="G260" i="3"/>
  <c r="F260" i="3"/>
  <c r="G259" i="3"/>
  <c r="F259" i="3"/>
  <c r="G251" i="3"/>
  <c r="F251" i="3"/>
  <c r="G250" i="3"/>
  <c r="F250" i="3"/>
  <c r="G252" i="3"/>
  <c r="F252" i="3"/>
  <c r="G263" i="3"/>
  <c r="F263" i="3"/>
  <c r="G241" i="3"/>
  <c r="F241" i="3"/>
  <c r="G249" i="3"/>
  <c r="F249" i="3"/>
  <c r="G248" i="3"/>
  <c r="F248" i="3"/>
  <c r="G258" i="3"/>
  <c r="F258" i="3"/>
  <c r="G257" i="3"/>
  <c r="F257" i="3"/>
  <c r="G215" i="3"/>
  <c r="F215" i="3"/>
  <c r="G208" i="3"/>
  <c r="F208" i="3"/>
  <c r="G211" i="3"/>
  <c r="F211" i="3"/>
  <c r="G206" i="3"/>
  <c r="F206" i="3"/>
  <c r="G205" i="3"/>
  <c r="F205" i="3"/>
  <c r="G217" i="3"/>
  <c r="F217" i="3"/>
  <c r="G207" i="3"/>
  <c r="F207" i="3"/>
  <c r="G216" i="3"/>
  <c r="F216" i="3"/>
  <c r="G200" i="3"/>
  <c r="F200" i="3"/>
  <c r="G204" i="3"/>
  <c r="F204" i="3"/>
  <c r="G213" i="3"/>
  <c r="F213" i="3"/>
  <c r="G212" i="3"/>
  <c r="F212" i="3"/>
  <c r="G239" i="3"/>
  <c r="F239" i="3"/>
  <c r="G228" i="3"/>
  <c r="F228" i="3"/>
  <c r="G230" i="3"/>
  <c r="F230" i="3"/>
  <c r="G232" i="3"/>
  <c r="F232" i="3"/>
  <c r="G226" i="3"/>
  <c r="F226" i="3"/>
  <c r="G225" i="3"/>
  <c r="F225" i="3"/>
  <c r="G229" i="3"/>
  <c r="F229" i="3"/>
  <c r="G224" i="3"/>
  <c r="F224" i="3"/>
  <c r="G491" i="3"/>
  <c r="F491" i="3"/>
  <c r="G380" i="3"/>
  <c r="F380" i="3"/>
  <c r="G227" i="3"/>
  <c r="F227" i="3"/>
  <c r="G240" i="3"/>
  <c r="F240" i="3"/>
  <c r="G218" i="3"/>
  <c r="F218" i="3"/>
  <c r="G223" i="3"/>
  <c r="F223" i="3"/>
  <c r="G235" i="3"/>
  <c r="F235" i="3"/>
  <c r="G234" i="3"/>
  <c r="F234" i="3"/>
  <c r="G163" i="3"/>
  <c r="F163" i="3"/>
  <c r="G156" i="3"/>
  <c r="F156" i="3"/>
  <c r="G155" i="3"/>
  <c r="F155" i="3"/>
  <c r="G149" i="3"/>
  <c r="F149" i="3"/>
  <c r="G148" i="3"/>
  <c r="F148" i="3"/>
  <c r="G154" i="3"/>
  <c r="F154" i="3"/>
  <c r="G161" i="3"/>
  <c r="F161" i="3"/>
  <c r="G160" i="3"/>
  <c r="F160" i="3"/>
  <c r="G129" i="3"/>
  <c r="F129" i="3"/>
  <c r="G146" i="3"/>
  <c r="F146" i="3"/>
  <c r="G138" i="3"/>
  <c r="F138" i="3"/>
  <c r="G141" i="3"/>
  <c r="F141" i="3"/>
  <c r="G145" i="3"/>
  <c r="F145" i="3"/>
  <c r="G136" i="3"/>
  <c r="F136" i="3"/>
  <c r="G135" i="3"/>
  <c r="F135" i="3"/>
  <c r="G127" i="3"/>
  <c r="F127" i="3"/>
  <c r="G137" i="3"/>
  <c r="F137" i="3"/>
  <c r="G147" i="3"/>
  <c r="F147" i="3"/>
  <c r="G126" i="3"/>
  <c r="F126" i="3"/>
  <c r="G133" i="3"/>
  <c r="F133" i="3"/>
  <c r="G144" i="3"/>
  <c r="F144" i="3"/>
  <c r="G143" i="3"/>
  <c r="F143" i="3"/>
  <c r="G119" i="3"/>
  <c r="F119" i="3"/>
  <c r="G111" i="3"/>
  <c r="F111" i="3"/>
  <c r="G112" i="3"/>
  <c r="F112" i="3"/>
  <c r="G114" i="3"/>
  <c r="F114" i="3"/>
  <c r="G117" i="3"/>
  <c r="F117" i="3"/>
  <c r="G110" i="3"/>
  <c r="F110" i="3"/>
  <c r="G120" i="3"/>
  <c r="F120" i="3"/>
  <c r="G102" i="3"/>
  <c r="F102" i="3"/>
  <c r="G108" i="3"/>
  <c r="F108" i="3"/>
  <c r="G116" i="3"/>
  <c r="F116" i="3"/>
  <c r="G115" i="3"/>
  <c r="F115" i="3"/>
  <c r="G99" i="3"/>
  <c r="F99" i="3"/>
  <c r="G83" i="3"/>
  <c r="F83" i="3"/>
  <c r="G75" i="3"/>
  <c r="F75" i="3"/>
  <c r="G78" i="3"/>
  <c r="F78" i="3"/>
  <c r="G98" i="3"/>
  <c r="F98" i="3"/>
  <c r="G100" i="3"/>
  <c r="F100" i="3"/>
  <c r="G89" i="3"/>
  <c r="F89" i="3"/>
  <c r="G77" i="3"/>
  <c r="F77" i="3"/>
  <c r="G101" i="3"/>
  <c r="F101" i="3"/>
  <c r="G82" i="3"/>
  <c r="F82" i="3"/>
  <c r="G96" i="3"/>
  <c r="F96" i="3"/>
  <c r="G87" i="3"/>
  <c r="F87" i="3"/>
  <c r="F81" i="3"/>
  <c r="F79" i="3"/>
  <c r="F80" i="3"/>
  <c r="G92" i="3"/>
  <c r="F92" i="3"/>
  <c r="G88" i="3"/>
  <c r="F88" i="3"/>
  <c r="G84" i="3"/>
  <c r="F84" i="3"/>
  <c r="G93" i="3"/>
  <c r="F93" i="3"/>
  <c r="G85" i="3"/>
  <c r="F85" i="3"/>
  <c r="G59" i="3"/>
  <c r="F59" i="3"/>
  <c r="G51" i="3"/>
  <c r="F51" i="3"/>
  <c r="G52" i="3"/>
  <c r="F52" i="3"/>
  <c r="G58" i="3"/>
  <c r="F58" i="3"/>
  <c r="G54" i="3"/>
  <c r="F54" i="3"/>
  <c r="G57" i="3"/>
  <c r="F57" i="3"/>
  <c r="G49" i="3"/>
  <c r="F49" i="3"/>
  <c r="G48" i="3"/>
  <c r="F48" i="3"/>
  <c r="G50" i="3"/>
  <c r="F50" i="3"/>
  <c r="G60" i="3"/>
  <c r="F60" i="3"/>
  <c r="G41" i="3"/>
  <c r="F41" i="3"/>
  <c r="G46" i="3"/>
  <c r="F46" i="3"/>
  <c r="G56" i="3"/>
  <c r="F56" i="3"/>
  <c r="G55" i="3"/>
  <c r="F55" i="3"/>
  <c r="G39" i="3"/>
  <c r="F39" i="3"/>
  <c r="G33" i="3"/>
  <c r="F33" i="3"/>
  <c r="G35" i="3"/>
  <c r="F35" i="3"/>
  <c r="G29" i="3"/>
  <c r="F29" i="3"/>
  <c r="G31" i="3"/>
  <c r="F31" i="3"/>
  <c r="G30" i="3"/>
  <c r="F30" i="3"/>
  <c r="G32" i="3"/>
  <c r="F32" i="3"/>
  <c r="G40" i="3"/>
  <c r="F40" i="3"/>
  <c r="G22" i="3"/>
  <c r="F22" i="3"/>
  <c r="G28" i="3"/>
  <c r="F28" i="3"/>
  <c r="G37" i="3"/>
  <c r="F37" i="3"/>
  <c r="G36" i="3"/>
  <c r="F36" i="3"/>
  <c r="G8" i="3"/>
  <c r="F8" i="3"/>
  <c r="G393" i="3"/>
  <c r="F393" i="3"/>
  <c r="G261" i="3"/>
  <c r="F261" i="3"/>
  <c r="G9" i="3"/>
  <c r="F9" i="3"/>
  <c r="G142" i="3"/>
  <c r="F142" i="3"/>
  <c r="G237" i="3"/>
  <c r="F237" i="3"/>
  <c r="G238" i="3"/>
  <c r="F238" i="3"/>
  <c r="G555" i="3"/>
  <c r="F555" i="3"/>
  <c r="G236" i="3"/>
  <c r="F236" i="3"/>
  <c r="G233" i="3"/>
  <c r="F233" i="3"/>
  <c r="G299" i="3"/>
  <c r="F299" i="3"/>
  <c r="G7" i="3"/>
  <c r="F7" i="3"/>
  <c r="G559" i="3"/>
  <c r="F559" i="3"/>
  <c r="G558" i="3"/>
  <c r="F558" i="3"/>
  <c r="G345" i="3"/>
  <c r="F345" i="3"/>
  <c r="G338" i="3"/>
  <c r="F338" i="3"/>
  <c r="G341" i="3"/>
  <c r="F341" i="3"/>
  <c r="G334" i="3"/>
  <c r="F334" i="3"/>
  <c r="G336" i="3"/>
  <c r="F336" i="3"/>
  <c r="G335" i="3"/>
  <c r="F335" i="3"/>
  <c r="G337" i="3"/>
  <c r="F337" i="3"/>
  <c r="G346" i="3"/>
  <c r="F346" i="3"/>
  <c r="G327" i="3"/>
  <c r="F327" i="3"/>
  <c r="G333" i="3"/>
  <c r="F333" i="3"/>
  <c r="G343" i="3"/>
  <c r="F343" i="3"/>
  <c r="G342" i="3"/>
  <c r="F342" i="3"/>
  <c r="F1287" i="3"/>
  <c r="F1834" i="3"/>
  <c r="F775" i="3"/>
  <c r="F1064" i="3"/>
  <c r="F827" i="3"/>
  <c r="F774" i="3"/>
  <c r="F1382" i="3"/>
  <c r="D124" i="2" s="1"/>
  <c r="F1937" i="3"/>
  <c r="D123" i="2" s="1"/>
  <c r="F829" i="3"/>
  <c r="D122" i="2" s="1"/>
  <c r="F1428" i="3"/>
  <c r="D121" i="2" s="1"/>
  <c r="F1983" i="3"/>
  <c r="D120" i="2" s="1"/>
  <c r="F814" i="3"/>
  <c r="F821" i="3"/>
  <c r="F824" i="3"/>
  <c r="F813" i="3"/>
  <c r="F818" i="3"/>
  <c r="F816" i="3"/>
  <c r="F817" i="3"/>
  <c r="F828" i="3"/>
  <c r="F822" i="3"/>
  <c r="F815" i="3"/>
  <c r="G1269" i="3"/>
  <c r="F1269" i="3"/>
  <c r="G1278" i="3"/>
  <c r="F1278" i="3"/>
  <c r="G1261" i="3"/>
  <c r="F1261" i="3"/>
  <c r="G1244" i="3"/>
  <c r="F1244" i="3"/>
  <c r="G1227" i="3"/>
  <c r="F1227" i="3"/>
  <c r="G1216" i="3"/>
  <c r="F1216" i="3"/>
  <c r="G1057" i="3"/>
  <c r="F1057" i="3"/>
  <c r="G1040" i="3"/>
  <c r="F1040" i="3"/>
  <c r="G1039" i="3"/>
  <c r="F1039" i="3"/>
  <c r="G945" i="3"/>
  <c r="F945" i="3"/>
  <c r="G763" i="3"/>
  <c r="F763" i="3"/>
  <c r="G1215" i="3"/>
  <c r="F1215" i="3"/>
  <c r="G1213" i="3"/>
  <c r="F1213" i="3"/>
  <c r="G1214" i="3"/>
  <c r="F1214" i="3"/>
  <c r="G1219" i="3"/>
  <c r="F1219" i="3"/>
  <c r="G1218" i="3"/>
  <c r="F1218" i="3"/>
  <c r="G671" i="3"/>
  <c r="F671" i="3"/>
  <c r="G679" i="3"/>
  <c r="F679" i="3"/>
  <c r="F675" i="3"/>
  <c r="F673" i="3"/>
  <c r="F674" i="3"/>
  <c r="G680" i="3"/>
  <c r="F680" i="3"/>
  <c r="G678" i="3"/>
  <c r="F678" i="3"/>
  <c r="G1212" i="3"/>
  <c r="F1212" i="3"/>
  <c r="G954" i="3"/>
  <c r="F954" i="3"/>
  <c r="G997" i="3"/>
  <c r="F997" i="3"/>
  <c r="G1033" i="3"/>
  <c r="F1033" i="3"/>
  <c r="G1104" i="3"/>
  <c r="F1104" i="3"/>
  <c r="G885" i="3"/>
  <c r="F885" i="3"/>
  <c r="G1239" i="3"/>
  <c r="F1239" i="3"/>
  <c r="G1221" i="3"/>
  <c r="F1221" i="3"/>
  <c r="G1256" i="3"/>
  <c r="F1256" i="3"/>
  <c r="G1149" i="3"/>
  <c r="F1149" i="3"/>
  <c r="G700" i="3"/>
  <c r="F700" i="3"/>
  <c r="G1083" i="3"/>
  <c r="F1083" i="3"/>
  <c r="G672" i="3"/>
  <c r="F672" i="3"/>
  <c r="G683" i="3"/>
  <c r="F683" i="3"/>
  <c r="G966" i="3"/>
  <c r="F966" i="3"/>
  <c r="G1217" i="3"/>
  <c r="G677" i="3"/>
  <c r="F677" i="3"/>
  <c r="F1427" i="3"/>
  <c r="F1423" i="3"/>
  <c r="F1417" i="3"/>
  <c r="G1815" i="3"/>
  <c r="F1815" i="3"/>
  <c r="G1784" i="3"/>
  <c r="F1784" i="3"/>
  <c r="G1799" i="3"/>
  <c r="F1799" i="3"/>
  <c r="G1721" i="3"/>
  <c r="F1721" i="3"/>
  <c r="G1662" i="3"/>
  <c r="F1662" i="3"/>
  <c r="G1327" i="3"/>
  <c r="F1327" i="3"/>
  <c r="G1814" i="3"/>
  <c r="F1814" i="3"/>
  <c r="G1783" i="3"/>
  <c r="F1783" i="3"/>
  <c r="G1798" i="3"/>
  <c r="F1798" i="3"/>
  <c r="G1720" i="3"/>
  <c r="F1720" i="3"/>
  <c r="G1661" i="3"/>
  <c r="F1661" i="3"/>
  <c r="G1326" i="3"/>
  <c r="F1326" i="3"/>
  <c r="G1816" i="3"/>
  <c r="F1816" i="3"/>
  <c r="G1288" i="3"/>
  <c r="F1288" i="3"/>
  <c r="G1770" i="3"/>
  <c r="F1770" i="3"/>
  <c r="G1769" i="3"/>
  <c r="F1769" i="3"/>
  <c r="G1290" i="3"/>
  <c r="F1290" i="3"/>
  <c r="G1295" i="3"/>
  <c r="F1295" i="3"/>
  <c r="G1294" i="3"/>
  <c r="F1294" i="3"/>
  <c r="G1538" i="3"/>
  <c r="F1538" i="3"/>
  <c r="G1578" i="3"/>
  <c r="F1578" i="3"/>
  <c r="G1764" i="3"/>
  <c r="F1764" i="3"/>
  <c r="G1537" i="3"/>
  <c r="F1537" i="3"/>
  <c r="G1577" i="3"/>
  <c r="F1577" i="3"/>
  <c r="G1609" i="3"/>
  <c r="F1609" i="3"/>
  <c r="G1668" i="3"/>
  <c r="F1668" i="3"/>
  <c r="G1477" i="3"/>
  <c r="F1477" i="3"/>
  <c r="G1789" i="3"/>
  <c r="F1789" i="3"/>
  <c r="G1773" i="3"/>
  <c r="F1773" i="3"/>
  <c r="G1805" i="3"/>
  <c r="F1805" i="3"/>
  <c r="G1709" i="3"/>
  <c r="F1709" i="3"/>
  <c r="G1315" i="3"/>
  <c r="F1315" i="3"/>
  <c r="G1649" i="3"/>
  <c r="F1649" i="3"/>
  <c r="G1291" i="3"/>
  <c r="F1291" i="3"/>
  <c r="G1298" i="3"/>
  <c r="F1298" i="3"/>
  <c r="G1550" i="3"/>
  <c r="F1550" i="3"/>
  <c r="G1768" i="3"/>
  <c r="G1293" i="3"/>
  <c r="F1293" i="3"/>
  <c r="F1975" i="3"/>
  <c r="F1973" i="3"/>
  <c r="F1974" i="3"/>
  <c r="F1982" i="3"/>
  <c r="F1978" i="3"/>
  <c r="F1972" i="3"/>
  <c r="G1835" i="3"/>
  <c r="F1835" i="3"/>
  <c r="F2361" i="3"/>
  <c r="F2359" i="3"/>
  <c r="F2360" i="3"/>
  <c r="G2364" i="3"/>
  <c r="F2364" i="3"/>
  <c r="G2363" i="3"/>
  <c r="F2363" i="3"/>
  <c r="G1836" i="3"/>
  <c r="F1836" i="3"/>
  <c r="F1840" i="3"/>
  <c r="F1838" i="3"/>
  <c r="F1839" i="3"/>
  <c r="G1844" i="3"/>
  <c r="F1844" i="3"/>
  <c r="G1843" i="3"/>
  <c r="F1843" i="3"/>
  <c r="G2101" i="3"/>
  <c r="F2101" i="3"/>
  <c r="G2142" i="3"/>
  <c r="F2142" i="3"/>
  <c r="G2358" i="3"/>
  <c r="F2358" i="3"/>
  <c r="G2100" i="3"/>
  <c r="F2100" i="3"/>
  <c r="G2141" i="3"/>
  <c r="F2141" i="3"/>
  <c r="G2177" i="3"/>
  <c r="F2177" i="3"/>
  <c r="G2245" i="3"/>
  <c r="F2245" i="3"/>
  <c r="G2036" i="3"/>
  <c r="F2036" i="3"/>
  <c r="G2390" i="3"/>
  <c r="F2390" i="3"/>
  <c r="G2367" i="3"/>
  <c r="F2367" i="3"/>
  <c r="G2413" i="3"/>
  <c r="F2413" i="3"/>
  <c r="G2289" i="3"/>
  <c r="F2289" i="3"/>
  <c r="G1863" i="3"/>
  <c r="F1863" i="3"/>
  <c r="G2218" i="3"/>
  <c r="F2218" i="3"/>
  <c r="G1837" i="3"/>
  <c r="F1837" i="3"/>
  <c r="G1847" i="3"/>
  <c r="F1847" i="3"/>
  <c r="G2113" i="3"/>
  <c r="F2113" i="3"/>
  <c r="G2362" i="3"/>
  <c r="G1842" i="3"/>
  <c r="F1842" i="3"/>
  <c r="G1273" i="3"/>
  <c r="F1273" i="3"/>
  <c r="G1191" i="3"/>
  <c r="G1168" i="3"/>
  <c r="F1168" i="3"/>
  <c r="G1136" i="3"/>
  <c r="F1136" i="3"/>
  <c r="G1102" i="3"/>
  <c r="F1102" i="3"/>
  <c r="G1067" i="3"/>
  <c r="F1067" i="3"/>
  <c r="G1050" i="3"/>
  <c r="F1050" i="3"/>
  <c r="G1031" i="3"/>
  <c r="F1031" i="3"/>
  <c r="G1007" i="3"/>
  <c r="F1007" i="3"/>
  <c r="G983" i="3"/>
  <c r="F983" i="3"/>
  <c r="G965" i="3"/>
  <c r="F965" i="3"/>
  <c r="G941" i="3"/>
  <c r="F941" i="3"/>
  <c r="G923" i="3"/>
  <c r="F923" i="3"/>
  <c r="G883" i="3"/>
  <c r="F883" i="3"/>
  <c r="G861" i="3"/>
  <c r="F861" i="3"/>
  <c r="G778" i="3"/>
  <c r="F778" i="3"/>
  <c r="G757" i="3"/>
  <c r="F757" i="3"/>
  <c r="G719" i="3"/>
  <c r="F719" i="3"/>
  <c r="G682" i="3"/>
  <c r="F682" i="3"/>
  <c r="G806" i="3"/>
  <c r="F806" i="3"/>
  <c r="G976" i="3"/>
  <c r="F976" i="3"/>
  <c r="G852" i="3"/>
  <c r="F852" i="3"/>
  <c r="G837" i="3"/>
  <c r="F837" i="3"/>
  <c r="G1143" i="3"/>
  <c r="F1143" i="3"/>
  <c r="G789" i="3"/>
  <c r="F789" i="3"/>
  <c r="G746" i="3"/>
  <c r="F746" i="3"/>
  <c r="G948" i="3"/>
  <c r="F948" i="3"/>
  <c r="G1184" i="3"/>
  <c r="F1184" i="3"/>
  <c r="G1146" i="3"/>
  <c r="F1146" i="3"/>
  <c r="G1131" i="3"/>
  <c r="F1131" i="3"/>
  <c r="G1063" i="3"/>
  <c r="F1063" i="3"/>
  <c r="G1027" i="3"/>
  <c r="F1027" i="3"/>
  <c r="G994" i="3"/>
  <c r="F994" i="3"/>
  <c r="G980" i="3"/>
  <c r="F980" i="3"/>
  <c r="G962" i="3"/>
  <c r="F962" i="3"/>
  <c r="G951" i="3"/>
  <c r="F951" i="3"/>
  <c r="G938" i="3"/>
  <c r="F938" i="3"/>
  <c r="G856" i="3"/>
  <c r="F856" i="3"/>
  <c r="G841" i="3"/>
  <c r="F841" i="3"/>
  <c r="G826" i="3"/>
  <c r="F826" i="3"/>
  <c r="G810" i="3"/>
  <c r="F810" i="3"/>
  <c r="G771" i="3"/>
  <c r="F771" i="3"/>
  <c r="G729" i="3"/>
  <c r="F729" i="3"/>
  <c r="G812" i="3"/>
  <c r="G819" i="3"/>
  <c r="G718" i="3"/>
  <c r="G723" i="3"/>
  <c r="G825" i="3"/>
  <c r="F825" i="3"/>
  <c r="G728" i="3"/>
  <c r="F728" i="3"/>
  <c r="G823" i="3"/>
  <c r="F823" i="3"/>
  <c r="G1424" i="3"/>
  <c r="F1424" i="3"/>
  <c r="G1979" i="3"/>
  <c r="F1979" i="3"/>
  <c r="G820" i="3"/>
  <c r="G985" i="3"/>
  <c r="F985" i="3"/>
  <c r="G807" i="3"/>
  <c r="F807" i="3"/>
  <c r="G991" i="3"/>
  <c r="F991" i="3"/>
  <c r="G1126" i="3"/>
  <c r="F1126" i="3"/>
  <c r="G726" i="3"/>
  <c r="F726" i="3"/>
  <c r="G1075" i="3"/>
  <c r="F1075" i="3"/>
  <c r="G1060" i="3"/>
  <c r="F1060" i="3"/>
  <c r="G1281" i="3"/>
  <c r="F1281" i="3"/>
  <c r="F833" i="3"/>
  <c r="F831" i="3"/>
  <c r="F832" i="3"/>
  <c r="G838" i="3"/>
  <c r="F838" i="3"/>
  <c r="G842" i="3"/>
  <c r="F842" i="3"/>
  <c r="G836" i="3"/>
  <c r="F836" i="3"/>
  <c r="F957" i="3"/>
  <c r="F955" i="3"/>
  <c r="F956" i="3"/>
  <c r="G961" i="3"/>
  <c r="F961" i="3"/>
  <c r="G963" i="3"/>
  <c r="F963" i="3"/>
  <c r="G960" i="3"/>
  <c r="F960" i="3"/>
  <c r="F1000" i="3"/>
  <c r="F998" i="3"/>
  <c r="F999" i="3"/>
  <c r="G1004" i="3"/>
  <c r="F1004" i="3"/>
  <c r="G1005" i="3"/>
  <c r="F1005" i="3"/>
  <c r="G1003" i="3"/>
  <c r="F1003" i="3"/>
  <c r="F944" i="3"/>
  <c r="F942" i="3"/>
  <c r="F943" i="3"/>
  <c r="G949" i="3"/>
  <c r="F949" i="3"/>
  <c r="G952" i="3"/>
  <c r="F952" i="3"/>
  <c r="G947" i="3"/>
  <c r="F947" i="3"/>
  <c r="F722" i="3"/>
  <c r="F720" i="3"/>
  <c r="F721" i="3"/>
  <c r="G727" i="3"/>
  <c r="F727" i="3"/>
  <c r="G730" i="3"/>
  <c r="F730" i="3"/>
  <c r="G725" i="3"/>
  <c r="F725" i="3"/>
  <c r="F1276" i="3"/>
  <c r="F1274" i="3"/>
  <c r="F1275" i="3"/>
  <c r="G1282" i="3"/>
  <c r="F1282" i="3"/>
  <c r="G1284" i="3"/>
  <c r="F1284" i="3"/>
  <c r="G1280" i="3"/>
  <c r="F1280" i="3"/>
  <c r="F1054" i="3"/>
  <c r="F1052" i="3"/>
  <c r="F1053" i="3"/>
  <c r="G1061" i="3"/>
  <c r="F1061" i="3"/>
  <c r="G1065" i="3"/>
  <c r="F1065" i="3"/>
  <c r="G1059" i="3"/>
  <c r="F1059" i="3"/>
  <c r="F988" i="3"/>
  <c r="F986" i="3"/>
  <c r="F987" i="3"/>
  <c r="G992" i="3"/>
  <c r="F992" i="3"/>
  <c r="G995" i="3"/>
  <c r="F995" i="3"/>
  <c r="G990" i="3"/>
  <c r="F990" i="3"/>
  <c r="F1139" i="3"/>
  <c r="F1137" i="3"/>
  <c r="F1138" i="3"/>
  <c r="G1144" i="3"/>
  <c r="F1144" i="3"/>
  <c r="G1147" i="3"/>
  <c r="F1147" i="3"/>
  <c r="G1142" i="3"/>
  <c r="F1142" i="3"/>
  <c r="G950" i="3"/>
  <c r="G749" i="3"/>
  <c r="G840" i="3"/>
  <c r="G839" i="3"/>
  <c r="G835" i="3"/>
  <c r="F835" i="3"/>
  <c r="G958" i="3"/>
  <c r="F958" i="3"/>
  <c r="G953" i="3"/>
  <c r="F953" i="3"/>
  <c r="G959" i="3"/>
  <c r="F959" i="3"/>
  <c r="G1001" i="3"/>
  <c r="F1001" i="3"/>
  <c r="G996" i="3"/>
  <c r="F996" i="3"/>
  <c r="G1002" i="3"/>
  <c r="F1002" i="3"/>
  <c r="G946" i="3"/>
  <c r="F946" i="3"/>
  <c r="G724" i="3"/>
  <c r="F724" i="3"/>
  <c r="G1283" i="3"/>
  <c r="G1279" i="3"/>
  <c r="F1279" i="3"/>
  <c r="G1056" i="3"/>
  <c r="F1056" i="3"/>
  <c r="G1051" i="3"/>
  <c r="F1051" i="3"/>
  <c r="G1062" i="3"/>
  <c r="G1058" i="3"/>
  <c r="F1058" i="3"/>
  <c r="G984" i="3"/>
  <c r="F984" i="3"/>
  <c r="G993" i="3"/>
  <c r="G989" i="3"/>
  <c r="F989" i="3"/>
  <c r="G1140" i="3"/>
  <c r="F1140" i="3"/>
  <c r="G1145" i="3"/>
  <c r="G1141" i="3"/>
  <c r="F1141" i="3"/>
  <c r="G1009" i="3"/>
  <c r="F1009" i="3"/>
  <c r="G799" i="3"/>
  <c r="F799" i="3"/>
  <c r="G1251" i="3"/>
  <c r="F1251" i="3"/>
  <c r="G666" i="3"/>
  <c r="G1209" i="3"/>
  <c r="F1209" i="3"/>
  <c r="G1079" i="3"/>
  <c r="F1079" i="3"/>
  <c r="G696" i="3"/>
  <c r="F696" i="3"/>
  <c r="G1268" i="3"/>
  <c r="F1268" i="3"/>
  <c r="G1234" i="3"/>
  <c r="F1234" i="3"/>
  <c r="G784" i="3"/>
  <c r="F784" i="3"/>
  <c r="G758" i="3"/>
  <c r="F758" i="3"/>
  <c r="G1264" i="3"/>
  <c r="F1264" i="3"/>
  <c r="G751" i="3"/>
  <c r="F751" i="3"/>
  <c r="F1224" i="3"/>
  <c r="F1222" i="3"/>
  <c r="F1223" i="3"/>
  <c r="F1242" i="3"/>
  <c r="F1240" i="3"/>
  <c r="F1241" i="3"/>
  <c r="G1195" i="3"/>
  <c r="F1195" i="3"/>
  <c r="G1193" i="3"/>
  <c r="F1193" i="3"/>
  <c r="G1194" i="3"/>
  <c r="F1194" i="3"/>
  <c r="F1152" i="3"/>
  <c r="F1150" i="3"/>
  <c r="F1151" i="3"/>
  <c r="G1171" i="3"/>
  <c r="F1171" i="3"/>
  <c r="G1169" i="3"/>
  <c r="F1169" i="3"/>
  <c r="G1170" i="3"/>
  <c r="F1170" i="3"/>
  <c r="F1121" i="3"/>
  <c r="F1119" i="3"/>
  <c r="F1120" i="3"/>
  <c r="F1107" i="3"/>
  <c r="F1105" i="3"/>
  <c r="F1106" i="3"/>
  <c r="F1086" i="3"/>
  <c r="F1084" i="3"/>
  <c r="F1085" i="3"/>
  <c r="F1071" i="3"/>
  <c r="F1069" i="3"/>
  <c r="F1070" i="3"/>
  <c r="F1036" i="3"/>
  <c r="F1034" i="3"/>
  <c r="F1035" i="3"/>
  <c r="F926" i="3"/>
  <c r="F924" i="3"/>
  <c r="F925" i="3"/>
  <c r="F907" i="3"/>
  <c r="F905" i="3"/>
  <c r="F906" i="3"/>
  <c r="F888" i="3"/>
  <c r="F886" i="3"/>
  <c r="F887" i="3"/>
  <c r="F846" i="3"/>
  <c r="F844" i="3"/>
  <c r="F845" i="3"/>
  <c r="F864" i="3"/>
  <c r="G862" i="3"/>
  <c r="F862" i="3"/>
  <c r="F863" i="3"/>
  <c r="F802" i="3"/>
  <c r="F800" i="3"/>
  <c r="F801" i="3"/>
  <c r="F782" i="3"/>
  <c r="F780" i="3"/>
  <c r="F781" i="3"/>
  <c r="F761" i="3"/>
  <c r="F759" i="3"/>
  <c r="F760" i="3"/>
  <c r="F703" i="3"/>
  <c r="F701" i="3"/>
  <c r="F702" i="3"/>
  <c r="F686" i="3"/>
  <c r="F684" i="3"/>
  <c r="F685" i="3"/>
  <c r="F969" i="3"/>
  <c r="F967" i="3"/>
  <c r="F968" i="3"/>
  <c r="G665" i="3"/>
  <c r="F665" i="3"/>
  <c r="G1270" i="3"/>
  <c r="G1263" i="3"/>
  <c r="G1265" i="3"/>
  <c r="F1265" i="3"/>
  <c r="G1262" i="3"/>
  <c r="G1271" i="3"/>
  <c r="F1271" i="3"/>
  <c r="G1255" i="3"/>
  <c r="G1260" i="3"/>
  <c r="G1267" i="3"/>
  <c r="G1266" i="3"/>
  <c r="G1236" i="3"/>
  <c r="F1236" i="3"/>
  <c r="G1229" i="3"/>
  <c r="F1229" i="3"/>
  <c r="G1230" i="3"/>
  <c r="F1230" i="3"/>
  <c r="G1235" i="3"/>
  <c r="F1235" i="3"/>
  <c r="G1231" i="3"/>
  <c r="F1231" i="3"/>
  <c r="G1228" i="3"/>
  <c r="F1228" i="3"/>
  <c r="G1237" i="3"/>
  <c r="F1237" i="3"/>
  <c r="G1220" i="3"/>
  <c r="G1225" i="3"/>
  <c r="G1233" i="3"/>
  <c r="G1232" i="3"/>
  <c r="G1253" i="3"/>
  <c r="F1253" i="3"/>
  <c r="G1246" i="3"/>
  <c r="F1246" i="3"/>
  <c r="G1247" i="3"/>
  <c r="F1247" i="3"/>
  <c r="G1252" i="3"/>
  <c r="F1252" i="3"/>
  <c r="G1248" i="3"/>
  <c r="F1248" i="3"/>
  <c r="G1245" i="3"/>
  <c r="F1245" i="3"/>
  <c r="G1254" i="3"/>
  <c r="F1254" i="3"/>
  <c r="G1238" i="3"/>
  <c r="G1243" i="3"/>
  <c r="G1250" i="3"/>
  <c r="G1249" i="3"/>
  <c r="G1210" i="3"/>
  <c r="F1210" i="3"/>
  <c r="G1202" i="3"/>
  <c r="F1202" i="3"/>
  <c r="G1203" i="3"/>
  <c r="F1203" i="3"/>
  <c r="G1192" i="3"/>
  <c r="G1204" i="3"/>
  <c r="G1207" i="3"/>
  <c r="F1207" i="3"/>
  <c r="G1208" i="3"/>
  <c r="F1208" i="3"/>
  <c r="G1200" i="3"/>
  <c r="F1200" i="3"/>
  <c r="G1199" i="3"/>
  <c r="F1199" i="3"/>
  <c r="G1198" i="3"/>
  <c r="F1198" i="3"/>
  <c r="G1038" i="3"/>
  <c r="F1038" i="3"/>
  <c r="G1226" i="3"/>
  <c r="F1226" i="3"/>
  <c r="G1088" i="3"/>
  <c r="F1088" i="3"/>
  <c r="G705" i="3"/>
  <c r="F705" i="3"/>
  <c r="G1197" i="3"/>
  <c r="F1197" i="3"/>
  <c r="G1201" i="3"/>
  <c r="F1201" i="3"/>
  <c r="G1211" i="3"/>
  <c r="F1211" i="3"/>
  <c r="G1190" i="3"/>
  <c r="G1196" i="3"/>
  <c r="G1206" i="3"/>
  <c r="G1205" i="3"/>
  <c r="G1164" i="3"/>
  <c r="F1164" i="3"/>
  <c r="G1157" i="3"/>
  <c r="F1157" i="3"/>
  <c r="G1158" i="3"/>
  <c r="F1158" i="3"/>
  <c r="G1163" i="3"/>
  <c r="F1163" i="3"/>
  <c r="G1159" i="3"/>
  <c r="F1159" i="3"/>
  <c r="G1162" i="3"/>
  <c r="F1162" i="3"/>
  <c r="G1155" i="3"/>
  <c r="F1155" i="3"/>
  <c r="G1154" i="3"/>
  <c r="F1154" i="3"/>
  <c r="G1156" i="3"/>
  <c r="F1156" i="3"/>
  <c r="G1165" i="3"/>
  <c r="F1165" i="3"/>
  <c r="G1148" i="3"/>
  <c r="G1153" i="3"/>
  <c r="G1161" i="3"/>
  <c r="G1160" i="3"/>
  <c r="G1187" i="3"/>
  <c r="F1187" i="3"/>
  <c r="G1176" i="3"/>
  <c r="F1176" i="3"/>
  <c r="G1177" i="3"/>
  <c r="F1177" i="3"/>
  <c r="G1178" i="3"/>
  <c r="F1178" i="3"/>
  <c r="G1181" i="3"/>
  <c r="F1181" i="3"/>
  <c r="G1166" i="3"/>
  <c r="F1166" i="3"/>
  <c r="G1183" i="3"/>
  <c r="F1183" i="3"/>
  <c r="G1189" i="3"/>
  <c r="F1189" i="3"/>
  <c r="G1174" i="3"/>
  <c r="F1174" i="3"/>
  <c r="G1173" i="3"/>
  <c r="F1173" i="3"/>
  <c r="G1175" i="3"/>
  <c r="F1175" i="3"/>
  <c r="G1188" i="3"/>
  <c r="F1188" i="3"/>
  <c r="G1167" i="3"/>
  <c r="G1172" i="3"/>
  <c r="G1180" i="3"/>
  <c r="G1179" i="3"/>
  <c r="G1133" i="3"/>
  <c r="F1133" i="3"/>
  <c r="G1125" i="3"/>
  <c r="F1125" i="3"/>
  <c r="G1130" i="3"/>
  <c r="F1130" i="3"/>
  <c r="G1127" i="3"/>
  <c r="F1127" i="3"/>
  <c r="G1117" i="3"/>
  <c r="F1117" i="3"/>
  <c r="G1124" i="3"/>
  <c r="F1124" i="3"/>
  <c r="G1134" i="3"/>
  <c r="F1134" i="3"/>
  <c r="G1116" i="3"/>
  <c r="G1122" i="3"/>
  <c r="G1132" i="3"/>
  <c r="F1132" i="3"/>
  <c r="G1129" i="3"/>
  <c r="G1128" i="3"/>
  <c r="G1114" i="3"/>
  <c r="F1114" i="3"/>
  <c r="G1110" i="3"/>
  <c r="F1110" i="3"/>
  <c r="G1103" i="3"/>
  <c r="F1103" i="3"/>
  <c r="G1112" i="3"/>
  <c r="F1112" i="3"/>
  <c r="G1113" i="3"/>
  <c r="F1113" i="3"/>
  <c r="G1108" i="3"/>
  <c r="F1108" i="3"/>
  <c r="G1111" i="3"/>
  <c r="F1111" i="3"/>
  <c r="G1109" i="3"/>
  <c r="F1109" i="3"/>
  <c r="G1115" i="3"/>
  <c r="F1115" i="3"/>
  <c r="G1100" i="3"/>
  <c r="F1100" i="3"/>
  <c r="G1092" i="3"/>
  <c r="F1092" i="3"/>
  <c r="G1093" i="3"/>
  <c r="F1093" i="3"/>
  <c r="G1099" i="3"/>
  <c r="F1099" i="3"/>
  <c r="G1094" i="3"/>
  <c r="F1094" i="3"/>
  <c r="G1098" i="3"/>
  <c r="F1098" i="3"/>
  <c r="G1090" i="3"/>
  <c r="F1090" i="3"/>
  <c r="G1089" i="3"/>
  <c r="F1089" i="3"/>
  <c r="G1095" i="3"/>
  <c r="F1095" i="3"/>
  <c r="G1091" i="3"/>
  <c r="F1091" i="3"/>
  <c r="G1101" i="3"/>
  <c r="F1101" i="3"/>
  <c r="G1082" i="3"/>
  <c r="G1087" i="3"/>
  <c r="G1097" i="3"/>
  <c r="G1096" i="3"/>
  <c r="G1080" i="3"/>
  <c r="F1080" i="3"/>
  <c r="G1074" i="3"/>
  <c r="F1074" i="3"/>
  <c r="G1068" i="3"/>
  <c r="F1068" i="3"/>
  <c r="G1076" i="3"/>
  <c r="F1076" i="3"/>
  <c r="G1073" i="3"/>
  <c r="F1073" i="3"/>
  <c r="G1081" i="3"/>
  <c r="F1081" i="3"/>
  <c r="G1066" i="3"/>
  <c r="G1072" i="3"/>
  <c r="G1078" i="3"/>
  <c r="G1077" i="3"/>
  <c r="G1047" i="3"/>
  <c r="F1047" i="3"/>
  <c r="G1042" i="3"/>
  <c r="F1042" i="3"/>
  <c r="G1032" i="3"/>
  <c r="F1032" i="3"/>
  <c r="G1044" i="3"/>
  <c r="F1044" i="3"/>
  <c r="G1037" i="3"/>
  <c r="F1037" i="3"/>
  <c r="G1043" i="3"/>
  <c r="F1043" i="3"/>
  <c r="G1041" i="3"/>
  <c r="F1041" i="3"/>
  <c r="G1048" i="3"/>
  <c r="F1048" i="3"/>
  <c r="G1046" i="3"/>
  <c r="G1045" i="3"/>
  <c r="G1029" i="3"/>
  <c r="G1020" i="3"/>
  <c r="G1021" i="3"/>
  <c r="F1021" i="3"/>
  <c r="G1022" i="3"/>
  <c r="F1022" i="3"/>
  <c r="G1026" i="3"/>
  <c r="G1015" i="3"/>
  <c r="F1015" i="3"/>
  <c r="G1018" i="3"/>
  <c r="F1018" i="3"/>
  <c r="G1017" i="3"/>
  <c r="F1017" i="3"/>
  <c r="G1023" i="3"/>
  <c r="F1023" i="3"/>
  <c r="G1008" i="3"/>
  <c r="F1008" i="3"/>
  <c r="G1019" i="3"/>
  <c r="G1030" i="3"/>
  <c r="F1030" i="3"/>
  <c r="G1006" i="3"/>
  <c r="G1014" i="3"/>
  <c r="G1025" i="3"/>
  <c r="G1024" i="3"/>
  <c r="G939" i="3"/>
  <c r="F939" i="3"/>
  <c r="G931" i="3"/>
  <c r="F931" i="3"/>
  <c r="G932" i="3"/>
  <c r="F932" i="3"/>
  <c r="G933" i="3"/>
  <c r="F933" i="3"/>
  <c r="G929" i="3"/>
  <c r="F929" i="3"/>
  <c r="G928" i="3"/>
  <c r="F928" i="3"/>
  <c r="G934" i="3"/>
  <c r="F934" i="3"/>
  <c r="G930" i="3"/>
  <c r="F930" i="3"/>
  <c r="G940" i="3"/>
  <c r="F940" i="3"/>
  <c r="G922" i="3"/>
  <c r="G927" i="3"/>
  <c r="G936" i="3"/>
  <c r="G935" i="3"/>
  <c r="G920" i="3"/>
  <c r="F920" i="3"/>
  <c r="G913" i="3"/>
  <c r="F913" i="3"/>
  <c r="G914" i="3"/>
  <c r="F914" i="3"/>
  <c r="G915" i="3"/>
  <c r="F915" i="3"/>
  <c r="G909" i="3"/>
  <c r="F909" i="3"/>
  <c r="G919" i="3"/>
  <c r="F919" i="3"/>
  <c r="G918" i="3"/>
  <c r="F918" i="3"/>
  <c r="G911" i="3"/>
  <c r="F911" i="3"/>
  <c r="G910" i="3"/>
  <c r="F910" i="3"/>
  <c r="G912" i="3"/>
  <c r="F912" i="3"/>
  <c r="G921" i="3"/>
  <c r="F921" i="3"/>
  <c r="G904" i="3"/>
  <c r="G908" i="3"/>
  <c r="G917" i="3"/>
  <c r="G916" i="3"/>
  <c r="G902" i="3"/>
  <c r="F902" i="3"/>
  <c r="G894" i="3"/>
  <c r="F894" i="3"/>
  <c r="G895" i="3"/>
  <c r="F895" i="3"/>
  <c r="G884" i="3"/>
  <c r="F884" i="3"/>
  <c r="G896" i="3"/>
  <c r="F896" i="3"/>
  <c r="G900" i="3"/>
  <c r="F900" i="3"/>
  <c r="G899" i="3"/>
  <c r="F899" i="3"/>
  <c r="G892" i="3"/>
  <c r="F892" i="3"/>
  <c r="G891" i="3"/>
  <c r="F891" i="3"/>
  <c r="G893" i="3"/>
  <c r="F893" i="3"/>
  <c r="G903" i="3"/>
  <c r="F903" i="3"/>
  <c r="G882" i="3"/>
  <c r="G890" i="3"/>
  <c r="G889" i="3"/>
  <c r="F889" i="3"/>
  <c r="G898" i="3"/>
  <c r="G897" i="3"/>
  <c r="G857" i="3"/>
  <c r="F857" i="3"/>
  <c r="G851" i="3"/>
  <c r="F851" i="3"/>
  <c r="G853" i="3"/>
  <c r="F853" i="3"/>
  <c r="G849" i="3"/>
  <c r="F849" i="3"/>
  <c r="G848" i="3"/>
  <c r="F848" i="3"/>
  <c r="G859" i="3"/>
  <c r="F859" i="3"/>
  <c r="G850" i="3"/>
  <c r="F850" i="3"/>
  <c r="G858" i="3"/>
  <c r="F858" i="3"/>
  <c r="G843" i="3"/>
  <c r="G847" i="3"/>
  <c r="G855" i="3"/>
  <c r="G854" i="3"/>
  <c r="G880" i="3"/>
  <c r="F880" i="3"/>
  <c r="G870" i="3"/>
  <c r="F870" i="3"/>
  <c r="G872" i="3"/>
  <c r="F872" i="3"/>
  <c r="G873" i="3"/>
  <c r="F873" i="3"/>
  <c r="G868" i="3"/>
  <c r="F868" i="3"/>
  <c r="G867" i="3"/>
  <c r="F867" i="3"/>
  <c r="G871" i="3"/>
  <c r="F871" i="3"/>
  <c r="G866" i="3"/>
  <c r="F866" i="3"/>
  <c r="G1123" i="3"/>
  <c r="F1123" i="3"/>
  <c r="G1016" i="3"/>
  <c r="F1016" i="3"/>
  <c r="G869" i="3"/>
  <c r="F869" i="3"/>
  <c r="G881" i="3"/>
  <c r="F881" i="3"/>
  <c r="G860" i="3"/>
  <c r="G865" i="3"/>
  <c r="G876" i="3"/>
  <c r="G875" i="3"/>
  <c r="G811" i="3"/>
  <c r="F811" i="3"/>
  <c r="G805" i="3"/>
  <c r="F805" i="3"/>
  <c r="G804" i="3"/>
  <c r="F804" i="3"/>
  <c r="G798" i="3"/>
  <c r="F798" i="3"/>
  <c r="G797" i="3"/>
  <c r="G803" i="3"/>
  <c r="G809" i="3"/>
  <c r="G808" i="3"/>
  <c r="G779" i="3"/>
  <c r="F779" i="3"/>
  <c r="G795" i="3"/>
  <c r="F795" i="3"/>
  <c r="G788" i="3"/>
  <c r="F788" i="3"/>
  <c r="G790" i="3"/>
  <c r="F790" i="3"/>
  <c r="G794" i="3"/>
  <c r="F794" i="3"/>
  <c r="G786" i="3"/>
  <c r="F786" i="3"/>
  <c r="G785" i="3"/>
  <c r="F785" i="3"/>
  <c r="G777" i="3"/>
  <c r="F777" i="3"/>
  <c r="G787" i="3"/>
  <c r="F787" i="3"/>
  <c r="G796" i="3"/>
  <c r="F796" i="3"/>
  <c r="G776" i="3"/>
  <c r="G783" i="3"/>
  <c r="G793" i="3"/>
  <c r="G792" i="3"/>
  <c r="G772" i="3"/>
  <c r="F772" i="3"/>
  <c r="G765" i="3"/>
  <c r="F765" i="3"/>
  <c r="G766" i="3"/>
  <c r="F766" i="3"/>
  <c r="G767" i="3"/>
  <c r="F767" i="3"/>
  <c r="G770" i="3"/>
  <c r="F770" i="3"/>
  <c r="G764" i="3"/>
  <c r="F764" i="3"/>
  <c r="G773" i="3"/>
  <c r="F773" i="3"/>
  <c r="G756" i="3"/>
  <c r="G762" i="3"/>
  <c r="G769" i="3"/>
  <c r="G768" i="3"/>
  <c r="G753" i="3"/>
  <c r="F753" i="3"/>
  <c r="G739" i="3"/>
  <c r="F739" i="3"/>
  <c r="G731" i="3"/>
  <c r="F731" i="3"/>
  <c r="G734" i="3"/>
  <c r="F734" i="3"/>
  <c r="G752" i="3"/>
  <c r="F752" i="3"/>
  <c r="G754" i="3"/>
  <c r="F754" i="3"/>
  <c r="G745" i="3"/>
  <c r="F745" i="3"/>
  <c r="G733" i="3"/>
  <c r="F733" i="3"/>
  <c r="G755" i="3"/>
  <c r="F755" i="3"/>
  <c r="G738" i="3"/>
  <c r="F738" i="3"/>
  <c r="G750" i="3"/>
  <c r="F750" i="3"/>
  <c r="G743" i="3"/>
  <c r="F743" i="3"/>
  <c r="F737" i="3"/>
  <c r="F735" i="3"/>
  <c r="F736" i="3"/>
  <c r="G747" i="3"/>
  <c r="F747" i="3"/>
  <c r="G744" i="3"/>
  <c r="F744" i="3"/>
  <c r="G740" i="3"/>
  <c r="F740" i="3"/>
  <c r="G748" i="3"/>
  <c r="F748" i="3"/>
  <c r="G741" i="3"/>
  <c r="F741" i="3"/>
  <c r="G716" i="3"/>
  <c r="F716" i="3"/>
  <c r="G709" i="3"/>
  <c r="F709" i="3"/>
  <c r="G710" i="3"/>
  <c r="F710" i="3"/>
  <c r="G715" i="3"/>
  <c r="F715" i="3"/>
  <c r="G711" i="3"/>
  <c r="F711" i="3"/>
  <c r="G714" i="3"/>
  <c r="F714" i="3"/>
  <c r="G707" i="3"/>
  <c r="F707" i="3"/>
  <c r="G706" i="3"/>
  <c r="F706" i="3"/>
  <c r="G708" i="3"/>
  <c r="F708" i="3"/>
  <c r="G717" i="3"/>
  <c r="F717" i="3"/>
  <c r="G699" i="3"/>
  <c r="G704" i="3"/>
  <c r="G713" i="3"/>
  <c r="G712" i="3"/>
  <c r="G697" i="3"/>
  <c r="F697" i="3"/>
  <c r="G692" i="3"/>
  <c r="F692" i="3"/>
  <c r="G693" i="3"/>
  <c r="F693" i="3"/>
  <c r="G688" i="3"/>
  <c r="F688" i="3"/>
  <c r="G690" i="3"/>
  <c r="F690" i="3"/>
  <c r="G689" i="3"/>
  <c r="F689" i="3"/>
  <c r="G691" i="3"/>
  <c r="F691" i="3"/>
  <c r="G698" i="3"/>
  <c r="F698" i="3"/>
  <c r="G681" i="3"/>
  <c r="G687" i="3"/>
  <c r="G695" i="3"/>
  <c r="G694" i="3"/>
  <c r="G668" i="3"/>
  <c r="F668" i="3"/>
  <c r="G1028" i="3"/>
  <c r="F1028" i="3"/>
  <c r="G901" i="3"/>
  <c r="F901" i="3"/>
  <c r="G669" i="3"/>
  <c r="F669" i="3"/>
  <c r="G791" i="3"/>
  <c r="F791" i="3"/>
  <c r="G878" i="3"/>
  <c r="F878" i="3"/>
  <c r="G879" i="3"/>
  <c r="F879" i="3"/>
  <c r="G1182" i="3"/>
  <c r="F1182" i="3"/>
  <c r="G877" i="3"/>
  <c r="F877" i="3"/>
  <c r="G874" i="3"/>
  <c r="F874" i="3"/>
  <c r="G937" i="3"/>
  <c r="F937" i="3"/>
  <c r="G667" i="3"/>
  <c r="F667" i="3"/>
  <c r="G1186" i="3"/>
  <c r="F1186" i="3"/>
  <c r="G1185" i="3"/>
  <c r="F1185" i="3"/>
  <c r="G981" i="3"/>
  <c r="F981" i="3"/>
  <c r="G975" i="3"/>
  <c r="F975" i="3"/>
  <c r="G977" i="3"/>
  <c r="F977" i="3"/>
  <c r="G971" i="3"/>
  <c r="F971" i="3"/>
  <c r="G973" i="3"/>
  <c r="F973" i="3"/>
  <c r="G972" i="3"/>
  <c r="F972" i="3"/>
  <c r="G974" i="3"/>
  <c r="F974" i="3"/>
  <c r="G982" i="3"/>
  <c r="F982" i="3"/>
  <c r="G964" i="3"/>
  <c r="G970" i="3"/>
  <c r="G979" i="3"/>
  <c r="G978" i="3"/>
  <c r="G1820" i="3"/>
  <c r="F1820" i="3"/>
  <c r="G1747" i="3"/>
  <c r="G1727" i="3"/>
  <c r="F1727" i="3"/>
  <c r="G1697" i="3"/>
  <c r="F1697" i="3"/>
  <c r="G1666" i="3"/>
  <c r="F1666" i="3"/>
  <c r="G1636" i="3"/>
  <c r="F1636" i="3"/>
  <c r="G1623" i="3"/>
  <c r="F1623" i="3"/>
  <c r="G1607" i="3"/>
  <c r="F1607" i="3"/>
  <c r="G1588" i="3"/>
  <c r="F1588" i="3"/>
  <c r="G1564" i="3"/>
  <c r="F1564" i="3"/>
  <c r="G1549" i="3"/>
  <c r="F1549" i="3"/>
  <c r="G1525" i="3"/>
  <c r="F1525" i="3"/>
  <c r="G1510" i="3"/>
  <c r="F1510" i="3"/>
  <c r="G1475" i="3"/>
  <c r="F1475" i="3"/>
  <c r="G1456" i="3"/>
  <c r="F1456" i="3"/>
  <c r="G1385" i="3"/>
  <c r="F1385" i="3"/>
  <c r="G1370" i="3"/>
  <c r="F1370" i="3"/>
  <c r="G1332" i="3"/>
  <c r="F1332" i="3"/>
  <c r="G1297" i="3"/>
  <c r="F1297" i="3"/>
  <c r="G1411" i="3"/>
  <c r="F1411" i="3"/>
  <c r="G1557" i="3"/>
  <c r="F1557" i="3"/>
  <c r="G1447" i="3"/>
  <c r="F1447" i="3"/>
  <c r="G1436" i="3"/>
  <c r="F1436" i="3"/>
  <c r="G1703" i="3"/>
  <c r="F1703" i="3"/>
  <c r="G1395" i="3"/>
  <c r="F1395" i="3"/>
  <c r="G1359" i="3"/>
  <c r="F1359" i="3"/>
  <c r="G1827" i="3"/>
  <c r="F1827" i="3"/>
  <c r="G1531" i="3"/>
  <c r="F1531" i="3"/>
  <c r="G1740" i="3"/>
  <c r="F1740" i="3"/>
  <c r="G1706" i="3"/>
  <c r="F1706" i="3"/>
  <c r="G1692" i="3"/>
  <c r="F1692" i="3"/>
  <c r="G1633" i="3"/>
  <c r="F1633" i="3"/>
  <c r="G1603" i="3"/>
  <c r="F1603" i="3"/>
  <c r="G1574" i="3"/>
  <c r="F1574" i="3"/>
  <c r="G1561" i="3"/>
  <c r="F1561" i="3"/>
  <c r="G1546" i="3"/>
  <c r="F1546" i="3"/>
  <c r="G1534" i="3"/>
  <c r="F1534" i="3"/>
  <c r="G1522" i="3"/>
  <c r="F1522" i="3"/>
  <c r="G1451" i="3"/>
  <c r="F1451" i="3"/>
  <c r="G1439" i="3"/>
  <c r="F1439" i="3"/>
  <c r="G1426" i="3"/>
  <c r="F1426" i="3"/>
  <c r="G1414" i="3"/>
  <c r="F1414" i="3"/>
  <c r="G1379" i="3"/>
  <c r="F1379" i="3"/>
  <c r="G1341" i="3"/>
  <c r="F1341" i="3"/>
  <c r="G1416" i="3"/>
  <c r="G1421" i="3"/>
  <c r="G1331" i="3"/>
  <c r="G1336" i="3"/>
  <c r="G1425" i="3"/>
  <c r="F1425" i="3"/>
  <c r="G1340" i="3"/>
  <c r="F1340" i="3"/>
  <c r="G1422" i="3"/>
  <c r="G1566" i="3"/>
  <c r="F1566" i="3"/>
  <c r="G1809" i="3"/>
  <c r="F1809" i="3"/>
  <c r="F1432" i="3"/>
  <c r="F1430" i="3"/>
  <c r="G1437" i="3"/>
  <c r="F1437" i="3"/>
  <c r="G1440" i="3"/>
  <c r="F1440" i="3"/>
  <c r="G1435" i="3"/>
  <c r="F1435" i="3"/>
  <c r="F1541" i="3"/>
  <c r="F1539" i="3"/>
  <c r="G1545" i="3"/>
  <c r="F1545" i="3"/>
  <c r="G1547" i="3"/>
  <c r="F1547" i="3"/>
  <c r="G1544" i="3"/>
  <c r="F1544" i="3"/>
  <c r="F1581" i="3"/>
  <c r="F1579" i="3"/>
  <c r="G1585" i="3"/>
  <c r="F1585" i="3"/>
  <c r="G1586" i="3"/>
  <c r="F1586" i="3"/>
  <c r="G1584" i="3"/>
  <c r="F1584" i="3"/>
  <c r="F1528" i="3"/>
  <c r="F1526" i="3"/>
  <c r="G1532" i="3"/>
  <c r="F1532" i="3"/>
  <c r="G1535" i="3"/>
  <c r="F1535" i="3"/>
  <c r="G1530" i="3"/>
  <c r="F1530" i="3"/>
  <c r="F1335" i="3"/>
  <c r="F1333" i="3"/>
  <c r="F1334" i="3"/>
  <c r="G1339" i="3"/>
  <c r="F1339" i="3"/>
  <c r="G1342" i="3"/>
  <c r="F1342" i="3"/>
  <c r="G1338" i="3"/>
  <c r="F1338" i="3"/>
  <c r="F1823" i="3"/>
  <c r="F1821" i="3"/>
  <c r="G1828" i="3"/>
  <c r="F1828" i="3"/>
  <c r="G1831" i="3"/>
  <c r="F1831" i="3"/>
  <c r="G1826" i="3"/>
  <c r="F1826" i="3"/>
  <c r="F1627" i="3"/>
  <c r="F1625" i="3"/>
  <c r="G1631" i="3"/>
  <c r="F1631" i="3"/>
  <c r="G1634" i="3"/>
  <c r="F1634" i="3"/>
  <c r="G1630" i="3"/>
  <c r="F1630" i="3"/>
  <c r="F1569" i="3"/>
  <c r="F1567" i="3"/>
  <c r="G1572" i="3"/>
  <c r="F1572" i="3"/>
  <c r="G1575" i="3"/>
  <c r="F1575" i="3"/>
  <c r="G1571" i="3"/>
  <c r="F1571" i="3"/>
  <c r="F1700" i="3"/>
  <c r="F1698" i="3"/>
  <c r="G1704" i="3"/>
  <c r="F1704" i="3"/>
  <c r="G1707" i="3"/>
  <c r="F1707" i="3"/>
  <c r="G1702" i="3"/>
  <c r="F1702" i="3"/>
  <c r="G1533" i="3"/>
  <c r="G1362" i="3"/>
  <c r="G1438" i="3"/>
  <c r="G1434" i="3"/>
  <c r="F1434" i="3"/>
  <c r="G1542" i="3"/>
  <c r="F1542" i="3"/>
  <c r="G1536" i="3"/>
  <c r="F1536" i="3"/>
  <c r="G1543" i="3"/>
  <c r="F1543" i="3"/>
  <c r="G1582" i="3"/>
  <c r="F1582" i="3"/>
  <c r="G1576" i="3"/>
  <c r="F1576" i="3"/>
  <c r="G1583" i="3"/>
  <c r="F1583" i="3"/>
  <c r="G1529" i="3"/>
  <c r="F1529" i="3"/>
  <c r="G1337" i="3"/>
  <c r="F1337" i="3"/>
  <c r="G1830" i="3"/>
  <c r="F1830" i="3"/>
  <c r="G1829" i="3"/>
  <c r="G1825" i="3"/>
  <c r="F1825" i="3"/>
  <c r="G1624" i="3"/>
  <c r="F1624" i="3"/>
  <c r="G1632" i="3"/>
  <c r="G1629" i="3"/>
  <c r="F1629" i="3"/>
  <c r="G1565" i="3"/>
  <c r="F1565" i="3"/>
  <c r="G1573" i="3"/>
  <c r="G1570" i="3"/>
  <c r="F1570" i="3"/>
  <c r="G1705" i="3"/>
  <c r="G1701" i="3"/>
  <c r="F1701" i="3"/>
  <c r="G1797" i="3"/>
  <c r="F1797" i="3"/>
  <c r="G1285" i="3"/>
  <c r="F1285" i="3"/>
  <c r="G1364" i="3"/>
  <c r="F1364" i="3"/>
  <c r="G1782" i="3"/>
  <c r="F1782" i="3"/>
  <c r="G1645" i="3"/>
  <c r="F1645" i="3"/>
  <c r="G1311" i="3"/>
  <c r="F1311" i="3"/>
  <c r="G1813" i="3"/>
  <c r="F1813" i="3"/>
  <c r="G1775" i="3"/>
  <c r="F1775" i="3"/>
  <c r="G1345" i="3"/>
  <c r="F1345" i="3"/>
  <c r="G1804" i="3"/>
  <c r="F1804" i="3"/>
  <c r="G1772" i="3"/>
  <c r="F1772" i="3"/>
  <c r="G1817" i="3"/>
  <c r="G1808" i="3"/>
  <c r="G1810" i="3"/>
  <c r="F1810" i="3"/>
  <c r="G1807" i="3"/>
  <c r="G1818" i="3"/>
  <c r="F1818" i="3"/>
  <c r="G1803" i="3"/>
  <c r="G1806" i="3"/>
  <c r="G1812" i="3"/>
  <c r="G1811" i="3"/>
  <c r="G1786" i="3"/>
  <c r="F1786" i="3"/>
  <c r="G1777" i="3"/>
  <c r="F1777" i="3"/>
  <c r="G1778" i="3"/>
  <c r="F1778" i="3"/>
  <c r="G1785" i="3"/>
  <c r="F1785" i="3"/>
  <c r="G1779" i="3"/>
  <c r="F1779" i="3"/>
  <c r="G1776" i="3"/>
  <c r="F1776" i="3"/>
  <c r="G1787" i="3"/>
  <c r="F1787" i="3"/>
  <c r="G1771" i="3"/>
  <c r="G1774" i="3"/>
  <c r="G1781" i="3"/>
  <c r="G1780" i="3"/>
  <c r="G1801" i="3"/>
  <c r="F1801" i="3"/>
  <c r="G1792" i="3"/>
  <c r="F1792" i="3"/>
  <c r="G1793" i="3"/>
  <c r="F1793" i="3"/>
  <c r="G1800" i="3"/>
  <c r="F1800" i="3"/>
  <c r="G1794" i="3"/>
  <c r="F1794" i="3"/>
  <c r="G1791" i="3"/>
  <c r="F1791" i="3"/>
  <c r="G1802" i="3"/>
  <c r="F1802" i="3"/>
  <c r="G1788" i="3"/>
  <c r="G1790" i="3"/>
  <c r="G1796" i="3"/>
  <c r="G1795" i="3"/>
  <c r="G1762" i="3"/>
  <c r="F1762" i="3"/>
  <c r="G1755" i="3"/>
  <c r="F1755" i="3"/>
  <c r="G1756" i="3"/>
  <c r="F1756" i="3"/>
  <c r="G1748" i="3"/>
  <c r="G1757" i="3"/>
  <c r="F1757" i="3"/>
  <c r="G1760" i="3"/>
  <c r="F1760" i="3"/>
  <c r="G1761" i="3"/>
  <c r="F1761" i="3"/>
  <c r="G1753" i="3"/>
  <c r="F1753" i="3"/>
  <c r="G1752" i="3"/>
  <c r="F1752" i="3"/>
  <c r="G1751" i="3"/>
  <c r="G1750" i="3"/>
  <c r="F1750" i="3"/>
  <c r="G1754" i="3"/>
  <c r="F1754" i="3"/>
  <c r="G1763" i="3"/>
  <c r="F1763" i="3"/>
  <c r="G1749" i="3"/>
  <c r="G1759" i="3"/>
  <c r="G1758" i="3"/>
  <c r="G1723" i="3"/>
  <c r="F1723" i="3"/>
  <c r="G1714" i="3"/>
  <c r="F1714" i="3"/>
  <c r="G1715" i="3"/>
  <c r="F1715" i="3"/>
  <c r="G1722" i="3"/>
  <c r="F1722" i="3"/>
  <c r="G1716" i="3"/>
  <c r="F1716" i="3"/>
  <c r="G1719" i="3"/>
  <c r="F1719" i="3"/>
  <c r="G1712" i="3"/>
  <c r="F1712" i="3"/>
  <c r="G1711" i="3"/>
  <c r="F1711" i="3"/>
  <c r="G1713" i="3"/>
  <c r="F1713" i="3"/>
  <c r="G1724" i="3"/>
  <c r="F1724" i="3"/>
  <c r="G1708" i="3"/>
  <c r="G1710" i="3"/>
  <c r="G1718" i="3"/>
  <c r="G1717" i="3"/>
  <c r="G1743" i="3"/>
  <c r="F1743" i="3"/>
  <c r="G1732" i="3"/>
  <c r="F1732" i="3"/>
  <c r="G1733" i="3"/>
  <c r="F1733" i="3"/>
  <c r="G1734" i="3"/>
  <c r="F1734" i="3"/>
  <c r="G1737" i="3"/>
  <c r="F1737" i="3"/>
  <c r="G1725" i="3"/>
  <c r="F1725" i="3"/>
  <c r="G1739" i="3"/>
  <c r="F1739" i="3"/>
  <c r="G1745" i="3"/>
  <c r="F1745" i="3"/>
  <c r="G1730" i="3"/>
  <c r="F1730" i="3"/>
  <c r="G1729" i="3"/>
  <c r="F1729" i="3"/>
  <c r="G1731" i="3"/>
  <c r="F1731" i="3"/>
  <c r="G1744" i="3"/>
  <c r="F1744" i="3"/>
  <c r="G1726" i="3"/>
  <c r="G1728" i="3"/>
  <c r="G1736" i="3"/>
  <c r="G1735" i="3"/>
  <c r="G1694" i="3"/>
  <c r="F1694" i="3"/>
  <c r="G1687" i="3"/>
  <c r="F1687" i="3"/>
  <c r="G1691" i="3"/>
  <c r="F1691" i="3"/>
  <c r="G1688" i="3"/>
  <c r="F1688" i="3"/>
  <c r="G1683" i="3"/>
  <c r="F1683" i="3"/>
  <c r="G1686" i="3"/>
  <c r="F1686" i="3"/>
  <c r="G1695" i="3"/>
  <c r="F1695" i="3"/>
  <c r="G1685" i="3"/>
  <c r="G1693" i="3"/>
  <c r="F1693" i="3"/>
  <c r="G1690" i="3"/>
  <c r="G1689" i="3"/>
  <c r="G1680" i="3"/>
  <c r="F1680" i="3"/>
  <c r="G1674" i="3"/>
  <c r="F1674" i="3"/>
  <c r="G1667" i="3"/>
  <c r="F1667" i="3"/>
  <c r="G1676" i="3"/>
  <c r="F1676" i="3"/>
  <c r="G1679" i="3"/>
  <c r="F1679" i="3"/>
  <c r="G1672" i="3"/>
  <c r="F1672" i="3"/>
  <c r="G1675" i="3"/>
  <c r="F1675" i="3"/>
  <c r="G1673" i="3"/>
  <c r="F1673" i="3"/>
  <c r="G1681" i="3"/>
  <c r="F1681" i="3"/>
  <c r="G1678" i="3"/>
  <c r="G1677" i="3"/>
  <c r="G1664" i="3"/>
  <c r="F1664" i="3"/>
  <c r="G1654" i="3"/>
  <c r="F1654" i="3"/>
  <c r="G1655" i="3"/>
  <c r="F1655" i="3"/>
  <c r="G1663" i="3"/>
  <c r="F1663" i="3"/>
  <c r="G1656" i="3"/>
  <c r="F1656" i="3"/>
  <c r="G1660" i="3"/>
  <c r="F1660" i="3"/>
  <c r="G1652" i="3"/>
  <c r="F1652" i="3"/>
  <c r="G1651" i="3"/>
  <c r="F1651" i="3"/>
  <c r="G1657" i="3"/>
  <c r="F1657" i="3"/>
  <c r="G1653" i="3"/>
  <c r="F1653" i="3"/>
  <c r="G1665" i="3"/>
  <c r="F1665" i="3"/>
  <c r="G1648" i="3"/>
  <c r="G1650" i="3"/>
  <c r="G1659" i="3"/>
  <c r="G1658" i="3"/>
  <c r="G1646" i="3"/>
  <c r="F1646" i="3"/>
  <c r="G1640" i="3"/>
  <c r="F1640" i="3"/>
  <c r="G1637" i="3"/>
  <c r="F1637" i="3"/>
  <c r="G1641" i="3"/>
  <c r="F1641" i="3"/>
  <c r="G1639" i="3"/>
  <c r="F1639" i="3"/>
  <c r="G1647" i="3"/>
  <c r="F1647" i="3"/>
  <c r="G1635" i="3"/>
  <c r="G1638" i="3"/>
  <c r="G1644" i="3"/>
  <c r="G1643" i="3"/>
  <c r="G1620" i="3"/>
  <c r="F1620" i="3"/>
  <c r="G1615" i="3"/>
  <c r="F1615" i="3"/>
  <c r="G1608" i="3"/>
  <c r="F1608" i="3"/>
  <c r="G1617" i="3"/>
  <c r="F1617" i="3"/>
  <c r="G1613" i="3"/>
  <c r="F1613" i="3"/>
  <c r="G1616" i="3"/>
  <c r="F1616" i="3"/>
  <c r="G1614" i="3"/>
  <c r="F1614" i="3"/>
  <c r="G1621" i="3"/>
  <c r="F1621" i="3"/>
  <c r="G1619" i="3"/>
  <c r="G1618" i="3"/>
  <c r="G1605" i="3"/>
  <c r="G1596" i="3"/>
  <c r="G1597" i="3"/>
  <c r="F1597" i="3"/>
  <c r="G1598" i="3"/>
  <c r="F1598" i="3"/>
  <c r="G1602" i="3"/>
  <c r="G1592" i="3"/>
  <c r="F1592" i="3"/>
  <c r="G1594" i="3"/>
  <c r="F1594" i="3"/>
  <c r="G1593" i="3"/>
  <c r="F1593" i="3"/>
  <c r="G1599" i="3"/>
  <c r="F1599" i="3"/>
  <c r="G1589" i="3"/>
  <c r="F1589" i="3"/>
  <c r="G1595" i="3"/>
  <c r="G1606" i="3"/>
  <c r="F1606" i="3"/>
  <c r="G1591" i="3"/>
  <c r="G1601" i="3"/>
  <c r="G1600" i="3"/>
  <c r="G1523" i="3"/>
  <c r="F1523" i="3"/>
  <c r="G1515" i="3"/>
  <c r="F1515" i="3"/>
  <c r="G1516" i="3"/>
  <c r="F1516" i="3"/>
  <c r="G1517" i="3"/>
  <c r="F1517" i="3"/>
  <c r="G1513" i="3"/>
  <c r="F1513" i="3"/>
  <c r="G1512" i="3"/>
  <c r="F1512" i="3"/>
  <c r="G1518" i="3"/>
  <c r="F1518" i="3"/>
  <c r="G1514" i="3"/>
  <c r="F1514" i="3"/>
  <c r="G1524" i="3"/>
  <c r="F1524" i="3"/>
  <c r="G1509" i="3"/>
  <c r="G1511" i="3"/>
  <c r="G1520" i="3"/>
  <c r="G1519" i="3"/>
  <c r="G1746" i="3"/>
  <c r="G1507" i="3"/>
  <c r="F1507" i="3"/>
  <c r="G1499" i="3"/>
  <c r="F1499" i="3"/>
  <c r="G1500" i="3"/>
  <c r="F1500" i="3"/>
  <c r="G1502" i="3"/>
  <c r="F1502" i="3"/>
  <c r="G1495" i="3"/>
  <c r="F1495" i="3"/>
  <c r="G1506" i="3"/>
  <c r="F1506" i="3"/>
  <c r="G1505" i="3"/>
  <c r="F1505" i="3"/>
  <c r="G1497" i="3"/>
  <c r="F1497" i="3"/>
  <c r="G1496" i="3"/>
  <c r="F1496" i="3"/>
  <c r="G1501" i="3"/>
  <c r="F1501" i="3"/>
  <c r="G1498" i="3"/>
  <c r="F1498" i="3"/>
  <c r="G1508" i="3"/>
  <c r="F1508" i="3"/>
  <c r="G1682" i="3"/>
  <c r="G1494" i="3"/>
  <c r="G1504" i="3"/>
  <c r="G1503" i="3"/>
  <c r="G1587" i="3"/>
  <c r="G1491" i="3"/>
  <c r="F1491" i="3"/>
  <c r="G1483" i="3"/>
  <c r="F1483" i="3"/>
  <c r="G1484" i="3"/>
  <c r="F1484" i="3"/>
  <c r="G1476" i="3"/>
  <c r="F1476" i="3"/>
  <c r="G1485" i="3"/>
  <c r="F1485" i="3"/>
  <c r="G1490" i="3"/>
  <c r="F1490" i="3"/>
  <c r="G1489" i="3"/>
  <c r="F1489" i="3"/>
  <c r="G1481" i="3"/>
  <c r="F1481" i="3"/>
  <c r="G1480" i="3"/>
  <c r="F1480" i="3"/>
  <c r="G1482" i="3"/>
  <c r="F1482" i="3"/>
  <c r="G1492" i="3"/>
  <c r="F1492" i="3"/>
  <c r="G1493" i="3"/>
  <c r="G1479" i="3"/>
  <c r="G1478" i="3"/>
  <c r="F1478" i="3"/>
  <c r="G1488" i="3"/>
  <c r="G1487" i="3"/>
  <c r="G1452" i="3"/>
  <c r="F1452" i="3"/>
  <c r="G1446" i="3"/>
  <c r="F1446" i="3"/>
  <c r="G1448" i="3"/>
  <c r="F1448" i="3"/>
  <c r="G1444" i="3"/>
  <c r="F1444" i="3"/>
  <c r="G1443" i="3"/>
  <c r="F1443" i="3"/>
  <c r="G1454" i="3"/>
  <c r="F1454" i="3"/>
  <c r="G1445" i="3"/>
  <c r="F1445" i="3"/>
  <c r="G1453" i="3"/>
  <c r="F1453" i="3"/>
  <c r="G1441" i="3"/>
  <c r="G1442" i="3"/>
  <c r="G1450" i="3"/>
  <c r="G1449" i="3"/>
  <c r="G1472" i="3"/>
  <c r="F1472" i="3"/>
  <c r="G1462" i="3"/>
  <c r="F1462" i="3"/>
  <c r="G1464" i="3"/>
  <c r="F1464" i="3"/>
  <c r="G1465" i="3"/>
  <c r="F1465" i="3"/>
  <c r="G1460" i="3"/>
  <c r="F1460" i="3"/>
  <c r="G1459" i="3"/>
  <c r="F1459" i="3"/>
  <c r="G1463" i="3"/>
  <c r="F1463" i="3"/>
  <c r="G1458" i="3"/>
  <c r="F1458" i="3"/>
  <c r="G1461" i="3"/>
  <c r="F1461" i="3"/>
  <c r="G1473" i="3"/>
  <c r="F1473" i="3"/>
  <c r="G1455" i="3"/>
  <c r="G1457" i="3"/>
  <c r="G1468" i="3"/>
  <c r="G1467" i="3"/>
  <c r="G1415" i="3"/>
  <c r="F1415" i="3"/>
  <c r="G1410" i="3"/>
  <c r="F1410" i="3"/>
  <c r="G1409" i="3"/>
  <c r="F1409" i="3"/>
  <c r="G1404" i="3"/>
  <c r="F1404" i="3"/>
  <c r="G1403" i="3"/>
  <c r="G1408" i="3"/>
  <c r="G1413" i="3"/>
  <c r="G1412" i="3"/>
  <c r="G1386" i="3"/>
  <c r="F1386" i="3"/>
  <c r="G1402" i="3"/>
  <c r="F1402" i="3"/>
  <c r="G1394" i="3"/>
  <c r="F1394" i="3"/>
  <c r="G1396" i="3"/>
  <c r="F1396" i="3"/>
  <c r="G1400" i="3"/>
  <c r="F1400" i="3"/>
  <c r="G1392" i="3"/>
  <c r="F1392" i="3"/>
  <c r="G1391" i="3"/>
  <c r="F1391" i="3"/>
  <c r="G1384" i="3"/>
  <c r="F1384" i="3"/>
  <c r="G1393" i="3"/>
  <c r="F1393" i="3"/>
  <c r="G1383" i="3"/>
  <c r="G1390" i="3"/>
  <c r="G1399" i="3"/>
  <c r="G1398" i="3"/>
  <c r="G1474" i="3"/>
  <c r="G1380" i="3"/>
  <c r="F1380" i="3"/>
  <c r="G1373" i="3"/>
  <c r="F1373" i="3"/>
  <c r="G1374" i="3"/>
  <c r="F1374" i="3"/>
  <c r="G1375" i="3"/>
  <c r="F1375" i="3"/>
  <c r="G1378" i="3"/>
  <c r="F1378" i="3"/>
  <c r="G1372" i="3"/>
  <c r="F1372" i="3"/>
  <c r="G1381" i="3"/>
  <c r="F1381" i="3"/>
  <c r="G1369" i="3"/>
  <c r="G1371" i="3"/>
  <c r="G1377" i="3"/>
  <c r="G1376" i="3"/>
  <c r="G1366" i="3"/>
  <c r="F1366" i="3"/>
  <c r="G1353" i="3"/>
  <c r="F1353" i="3"/>
  <c r="G1343" i="3"/>
  <c r="F1343" i="3"/>
  <c r="G1347" i="3"/>
  <c r="F1347" i="3"/>
  <c r="G1365" i="3"/>
  <c r="F1365" i="3"/>
  <c r="G1367" i="3"/>
  <c r="F1367" i="3"/>
  <c r="G1358" i="3"/>
  <c r="F1358" i="3"/>
  <c r="G1346" i="3"/>
  <c r="F1346" i="3"/>
  <c r="G1368" i="3"/>
  <c r="F1368" i="3"/>
  <c r="G1352" i="3"/>
  <c r="F1352" i="3"/>
  <c r="G1363" i="3"/>
  <c r="F1363" i="3"/>
  <c r="F1350" i="3"/>
  <c r="F1348" i="3"/>
  <c r="F1349" i="3"/>
  <c r="G1360" i="3"/>
  <c r="F1360" i="3"/>
  <c r="G1357" i="3"/>
  <c r="F1357" i="3"/>
  <c r="G1354" i="3"/>
  <c r="F1354" i="3"/>
  <c r="G1361" i="3"/>
  <c r="F1361" i="3"/>
  <c r="G1355" i="3"/>
  <c r="F1355" i="3"/>
  <c r="G1329" i="3"/>
  <c r="F1329" i="3"/>
  <c r="G1320" i="3"/>
  <c r="F1320" i="3"/>
  <c r="G1321" i="3"/>
  <c r="F1321" i="3"/>
  <c r="G1328" i="3"/>
  <c r="F1328" i="3"/>
  <c r="G1322" i="3"/>
  <c r="F1322" i="3"/>
  <c r="G1325" i="3"/>
  <c r="F1325" i="3"/>
  <c r="G1318" i="3"/>
  <c r="F1318" i="3"/>
  <c r="G1317" i="3"/>
  <c r="F1317" i="3"/>
  <c r="G1319" i="3"/>
  <c r="F1319" i="3"/>
  <c r="G1330" i="3"/>
  <c r="F1330" i="3"/>
  <c r="G1314" i="3"/>
  <c r="G1316" i="3"/>
  <c r="G1324" i="3"/>
  <c r="G1323" i="3"/>
  <c r="G1312" i="3"/>
  <c r="F1312" i="3"/>
  <c r="G1307" i="3"/>
  <c r="G1308" i="3"/>
  <c r="F1308" i="3"/>
  <c r="G1303" i="3"/>
  <c r="F1303" i="3"/>
  <c r="G1305" i="3"/>
  <c r="F1305" i="3"/>
  <c r="G1304" i="3"/>
  <c r="F1304" i="3"/>
  <c r="G1306" i="3"/>
  <c r="F1306" i="3"/>
  <c r="G1313" i="3"/>
  <c r="F1313" i="3"/>
  <c r="G1296" i="3"/>
  <c r="G1302" i="3"/>
  <c r="G1310" i="3"/>
  <c r="G1309" i="3"/>
  <c r="G1604" i="3"/>
  <c r="F1604" i="3"/>
  <c r="G1486" i="3"/>
  <c r="F1486" i="3"/>
  <c r="G1401" i="3"/>
  <c r="F1401" i="3"/>
  <c r="G1397" i="3"/>
  <c r="F1397" i="3"/>
  <c r="F1470" i="3"/>
  <c r="F1471" i="3"/>
  <c r="F1469" i="3"/>
  <c r="F1466" i="3"/>
  <c r="G1521" i="3"/>
  <c r="F1521" i="3"/>
  <c r="G1286" i="3"/>
  <c r="F1286" i="3"/>
  <c r="G1642" i="3"/>
  <c r="F1642" i="3"/>
  <c r="G1562" i="3"/>
  <c r="F1562" i="3"/>
  <c r="G1556" i="3"/>
  <c r="F1556" i="3"/>
  <c r="G1558" i="3"/>
  <c r="F1558" i="3"/>
  <c r="G1552" i="3"/>
  <c r="F1552" i="3"/>
  <c r="G1554" i="3"/>
  <c r="F1554" i="3"/>
  <c r="G1553" i="3"/>
  <c r="F1553" i="3"/>
  <c r="G1555" i="3"/>
  <c r="F1555" i="3"/>
  <c r="G1563" i="3"/>
  <c r="F1563" i="3"/>
  <c r="G1548" i="3"/>
  <c r="G1551" i="3"/>
  <c r="G1560" i="3"/>
  <c r="G1559" i="3"/>
  <c r="G2435" i="3"/>
  <c r="F2435" i="3"/>
  <c r="G2339" i="3"/>
  <c r="G2316" i="3"/>
  <c r="F2316" i="3"/>
  <c r="G2277" i="3"/>
  <c r="F2277" i="3"/>
  <c r="G2243" i="3"/>
  <c r="F2243" i="3"/>
  <c r="G2203" i="3"/>
  <c r="F2203" i="3"/>
  <c r="G2191" i="3"/>
  <c r="F2191" i="3"/>
  <c r="G2175" i="3"/>
  <c r="F2175" i="3"/>
  <c r="G2153" i="3"/>
  <c r="F2153" i="3"/>
  <c r="G2130" i="3"/>
  <c r="F2130" i="3"/>
  <c r="G2112" i="3"/>
  <c r="F2112" i="3"/>
  <c r="G2089" i="3"/>
  <c r="F2089" i="3"/>
  <c r="G2072" i="3"/>
  <c r="F2072" i="3"/>
  <c r="G2033" i="3"/>
  <c r="F2033" i="3"/>
  <c r="G2012" i="3"/>
  <c r="F2012" i="3"/>
  <c r="G1940" i="3"/>
  <c r="F1940" i="3"/>
  <c r="G1922" i="3"/>
  <c r="F1922" i="3"/>
  <c r="G1887" i="3"/>
  <c r="F1887" i="3"/>
  <c r="G1846" i="3"/>
  <c r="F1846" i="3"/>
  <c r="G1966" i="3"/>
  <c r="F1966" i="3"/>
  <c r="G2123" i="3"/>
  <c r="F2123" i="3"/>
  <c r="G2003" i="3"/>
  <c r="F2003" i="3"/>
  <c r="G1990" i="3"/>
  <c r="F1990" i="3"/>
  <c r="G2325" i="3"/>
  <c r="F2325" i="3"/>
  <c r="G2283" i="3"/>
  <c r="F2283" i="3"/>
  <c r="G1950" i="3"/>
  <c r="F1950" i="3"/>
  <c r="G1913" i="3"/>
  <c r="F1913" i="3"/>
  <c r="G2442" i="3"/>
  <c r="F2442" i="3"/>
  <c r="G2095" i="3"/>
  <c r="F2095" i="3"/>
  <c r="G2332" i="3"/>
  <c r="F2332" i="3"/>
  <c r="G2286" i="3"/>
  <c r="F2286" i="3"/>
  <c r="G2272" i="3"/>
  <c r="F2272" i="3"/>
  <c r="G2200" i="3"/>
  <c r="F2200" i="3"/>
  <c r="G2170" i="3"/>
  <c r="F2170" i="3"/>
  <c r="G2138" i="3"/>
  <c r="F2138" i="3"/>
  <c r="G2127" i="3"/>
  <c r="F2127" i="3"/>
  <c r="G2109" i="3"/>
  <c r="F2109" i="3"/>
  <c r="G2097" i="3"/>
  <c r="F2097" i="3"/>
  <c r="G2086" i="3"/>
  <c r="F2086" i="3"/>
  <c r="G2007" i="3"/>
  <c r="F2007" i="3"/>
  <c r="G1992" i="3"/>
  <c r="F1992" i="3"/>
  <c r="G1981" i="3"/>
  <c r="F1981" i="3"/>
  <c r="G1969" i="3"/>
  <c r="F1969" i="3"/>
  <c r="G1934" i="3"/>
  <c r="F1934" i="3"/>
  <c r="G1896" i="3"/>
  <c r="F1896" i="3"/>
  <c r="G1971" i="3"/>
  <c r="G1976" i="3"/>
  <c r="G1886" i="3"/>
  <c r="G1891" i="3"/>
  <c r="G1980" i="3"/>
  <c r="F1980" i="3"/>
  <c r="G1895" i="3"/>
  <c r="F1895" i="3"/>
  <c r="G1977" i="3"/>
  <c r="G2131" i="3"/>
  <c r="F2131" i="3"/>
  <c r="F1986" i="3"/>
  <c r="F1984" i="3"/>
  <c r="F1985" i="3"/>
  <c r="G1991" i="3"/>
  <c r="F1991" i="3"/>
  <c r="G1993" i="3"/>
  <c r="F1993" i="3"/>
  <c r="G1989" i="3"/>
  <c r="F1989" i="3"/>
  <c r="F2104" i="3"/>
  <c r="F2102" i="3"/>
  <c r="F2103" i="3"/>
  <c r="G2108" i="3"/>
  <c r="F2108" i="3"/>
  <c r="G2110" i="3"/>
  <c r="F2110" i="3"/>
  <c r="G2107" i="3"/>
  <c r="F2107" i="3"/>
  <c r="F2145" i="3"/>
  <c r="F2143" i="3"/>
  <c r="F2144" i="3"/>
  <c r="G2149" i="3"/>
  <c r="F2149" i="3"/>
  <c r="G2151" i="3"/>
  <c r="F2151" i="3"/>
  <c r="G2148" i="3"/>
  <c r="F2148" i="3"/>
  <c r="F2092" i="3"/>
  <c r="F2090" i="3"/>
  <c r="F2091" i="3"/>
  <c r="G2096" i="3"/>
  <c r="F2096" i="3"/>
  <c r="G2098" i="3"/>
  <c r="F2098" i="3"/>
  <c r="G2094" i="3"/>
  <c r="F2094" i="3"/>
  <c r="F1890" i="3"/>
  <c r="F1888" i="3"/>
  <c r="F1889" i="3"/>
  <c r="G1894" i="3"/>
  <c r="F1894" i="3"/>
  <c r="G1897" i="3"/>
  <c r="F1897" i="3"/>
  <c r="G1893" i="3"/>
  <c r="F1893" i="3"/>
  <c r="F2438" i="3"/>
  <c r="F2436" i="3"/>
  <c r="F2437" i="3"/>
  <c r="G2443" i="3"/>
  <c r="F2443" i="3"/>
  <c r="G2444" i="3"/>
  <c r="F2444" i="3"/>
  <c r="G2441" i="3"/>
  <c r="F2441" i="3"/>
  <c r="F2195" i="3"/>
  <c r="F2193" i="3"/>
  <c r="F2194" i="3"/>
  <c r="G2199" i="3"/>
  <c r="F2199" i="3"/>
  <c r="G2201" i="3"/>
  <c r="F2201" i="3"/>
  <c r="G2198" i="3"/>
  <c r="F2198" i="3"/>
  <c r="F2134" i="3"/>
  <c r="F2132" i="3"/>
  <c r="F2133" i="3"/>
  <c r="G2137" i="3"/>
  <c r="F2137" i="3"/>
  <c r="G2139" i="3"/>
  <c r="F2139" i="3"/>
  <c r="G2136" i="3"/>
  <c r="F2136" i="3"/>
  <c r="F2280" i="3"/>
  <c r="F2278" i="3"/>
  <c r="F2279" i="3"/>
  <c r="G2284" i="3"/>
  <c r="F2284" i="3"/>
  <c r="G2287" i="3"/>
  <c r="F2287" i="3"/>
  <c r="G2282" i="3"/>
  <c r="F2282" i="3"/>
  <c r="G1988" i="3"/>
  <c r="F1988" i="3"/>
  <c r="G2105" i="3"/>
  <c r="F2105" i="3"/>
  <c r="G2099" i="3"/>
  <c r="F2099" i="3"/>
  <c r="G2106" i="3"/>
  <c r="F2106" i="3"/>
  <c r="G2150" i="3"/>
  <c r="F2150" i="3"/>
  <c r="G2146" i="3"/>
  <c r="F2146" i="3"/>
  <c r="G2140" i="3"/>
  <c r="F2140" i="3"/>
  <c r="G2147" i="3"/>
  <c r="F2147" i="3"/>
  <c r="G2093" i="3"/>
  <c r="F2093" i="3"/>
  <c r="G1892" i="3"/>
  <c r="F1892" i="3"/>
  <c r="G2440" i="3"/>
  <c r="F2440" i="3"/>
  <c r="G2192" i="3"/>
  <c r="F2192" i="3"/>
  <c r="G2197" i="3"/>
  <c r="F2197" i="3"/>
  <c r="G2135" i="3"/>
  <c r="F2135" i="3"/>
  <c r="G2285" i="3"/>
  <c r="G2281" i="3"/>
  <c r="F2281" i="3"/>
  <c r="G1832" i="3"/>
  <c r="F1832" i="3"/>
  <c r="G2425" i="3"/>
  <c r="F2425" i="3"/>
  <c r="G2380" i="3"/>
  <c r="F2380" i="3"/>
  <c r="G2374" i="3"/>
  <c r="F2374" i="3"/>
  <c r="G1899" i="3"/>
  <c r="F1899" i="3"/>
  <c r="G2412" i="3"/>
  <c r="F2412" i="3"/>
  <c r="G2366" i="3"/>
  <c r="F2366" i="3"/>
  <c r="G2430" i="3"/>
  <c r="G2421" i="3"/>
  <c r="G2418" i="3"/>
  <c r="F2418" i="3"/>
  <c r="G2434" i="3"/>
  <c r="F2434" i="3"/>
  <c r="G2417" i="3"/>
  <c r="F2417" i="3"/>
  <c r="G2428" i="3"/>
  <c r="F2428" i="3"/>
  <c r="G2427" i="3"/>
  <c r="F2427" i="3"/>
  <c r="G2426" i="3"/>
  <c r="F2426" i="3"/>
  <c r="G2431" i="3"/>
  <c r="F2431" i="3"/>
  <c r="G2429" i="3"/>
  <c r="F2429" i="3"/>
  <c r="G2433" i="3"/>
  <c r="F2433" i="3"/>
  <c r="G2422" i="3"/>
  <c r="F2422" i="3"/>
  <c r="G2420" i="3"/>
  <c r="G2432" i="3"/>
  <c r="F2432" i="3"/>
  <c r="G2411" i="3"/>
  <c r="G2419" i="3"/>
  <c r="G2424" i="3"/>
  <c r="G2423" i="3"/>
  <c r="F2368" i="3"/>
  <c r="F2369" i="3"/>
  <c r="F2370" i="3"/>
  <c r="G2385" i="3"/>
  <c r="F2385" i="3"/>
  <c r="G2376" i="3"/>
  <c r="F2376" i="3"/>
  <c r="G2372" i="3"/>
  <c r="F2372" i="3"/>
  <c r="G2388" i="3"/>
  <c r="F2388" i="3"/>
  <c r="G2371" i="3"/>
  <c r="F2371" i="3"/>
  <c r="G2383" i="3"/>
  <c r="F2383" i="3"/>
  <c r="G2382" i="3"/>
  <c r="F2382" i="3"/>
  <c r="G2381" i="3"/>
  <c r="F2381" i="3"/>
  <c r="G2386" i="3"/>
  <c r="F2386" i="3"/>
  <c r="G2384" i="3"/>
  <c r="F2384" i="3"/>
  <c r="G2377" i="3"/>
  <c r="F2377" i="3"/>
  <c r="G2375" i="3"/>
  <c r="F2375" i="3"/>
  <c r="G2387" i="3"/>
  <c r="F2387" i="3"/>
  <c r="G2365" i="3"/>
  <c r="G2373" i="3"/>
  <c r="G2379" i="3"/>
  <c r="G2378" i="3"/>
  <c r="F2391" i="3"/>
  <c r="F2392" i="3"/>
  <c r="F2393" i="3"/>
  <c r="G2406" i="3"/>
  <c r="F2406" i="3"/>
  <c r="G2398" i="3"/>
  <c r="F2398" i="3"/>
  <c r="G2395" i="3"/>
  <c r="F2395" i="3"/>
  <c r="G2410" i="3"/>
  <c r="F2410" i="3"/>
  <c r="G2394" i="3"/>
  <c r="F2394" i="3"/>
  <c r="G2404" i="3"/>
  <c r="F2404" i="3"/>
  <c r="G2403" i="3"/>
  <c r="F2403" i="3"/>
  <c r="G2402" i="3"/>
  <c r="F2402" i="3"/>
  <c r="G2408" i="3"/>
  <c r="F2408" i="3"/>
  <c r="G2405" i="3"/>
  <c r="F2405" i="3"/>
  <c r="G2407" i="3"/>
  <c r="F2407" i="3"/>
  <c r="G2399" i="3"/>
  <c r="F2399" i="3"/>
  <c r="G2397" i="3"/>
  <c r="F2397" i="3"/>
  <c r="G2409" i="3"/>
  <c r="F2409" i="3"/>
  <c r="G2389" i="3"/>
  <c r="G2396" i="3"/>
  <c r="G2401" i="3"/>
  <c r="G2400" i="3"/>
  <c r="F2341" i="3"/>
  <c r="F2342" i="3"/>
  <c r="F2343" i="3"/>
  <c r="G2356" i="3"/>
  <c r="F2356" i="3"/>
  <c r="G2350" i="3"/>
  <c r="F2350" i="3"/>
  <c r="G2340" i="3"/>
  <c r="G2351" i="3"/>
  <c r="F2351" i="3"/>
  <c r="G2354" i="3"/>
  <c r="F2354" i="3"/>
  <c r="G2355" i="3"/>
  <c r="F2355" i="3"/>
  <c r="G2348" i="3"/>
  <c r="F2348" i="3"/>
  <c r="G2347" i="3"/>
  <c r="F2347" i="3"/>
  <c r="G2346" i="3"/>
  <c r="F2346" i="3"/>
  <c r="G2345" i="3"/>
  <c r="F2345" i="3"/>
  <c r="G2349" i="3"/>
  <c r="F2349" i="3"/>
  <c r="G2357" i="3"/>
  <c r="F2357" i="3"/>
  <c r="G2338" i="3"/>
  <c r="G2344" i="3"/>
  <c r="G2353" i="3"/>
  <c r="G2352" i="3"/>
  <c r="G2258" i="3"/>
  <c r="F2290" i="3"/>
  <c r="F2291" i="3"/>
  <c r="F2292" i="3"/>
  <c r="G2310" i="3"/>
  <c r="F2310" i="3"/>
  <c r="G2300" i="3"/>
  <c r="F2300" i="3"/>
  <c r="G2294" i="3"/>
  <c r="F2294" i="3"/>
  <c r="G2313" i="3"/>
  <c r="F2313" i="3"/>
  <c r="G2293" i="3"/>
  <c r="F2293" i="3"/>
  <c r="G2308" i="3"/>
  <c r="F2308" i="3"/>
  <c r="G2307" i="3"/>
  <c r="F2307" i="3"/>
  <c r="G2306" i="3"/>
  <c r="F2306" i="3"/>
  <c r="G2311" i="3"/>
  <c r="F2311" i="3"/>
  <c r="G2309" i="3"/>
  <c r="F2309" i="3"/>
  <c r="G2301" i="3"/>
  <c r="F2301" i="3"/>
  <c r="G2296" i="3"/>
  <c r="F2296" i="3"/>
  <c r="G2298" i="3"/>
  <c r="F2298" i="3"/>
  <c r="G2297" i="3"/>
  <c r="F2297" i="3"/>
  <c r="G2305" i="3"/>
  <c r="F2305" i="3"/>
  <c r="G2302" i="3"/>
  <c r="F2302" i="3"/>
  <c r="G2299" i="3"/>
  <c r="F2299" i="3"/>
  <c r="G2312" i="3"/>
  <c r="F2312" i="3"/>
  <c r="G2288" i="3"/>
  <c r="G2295" i="3"/>
  <c r="G2304" i="3"/>
  <c r="G2303" i="3"/>
  <c r="F2317" i="3"/>
  <c r="F2318" i="3"/>
  <c r="D2319" i="3"/>
  <c r="F2319" i="3" s="1"/>
  <c r="G2335" i="3"/>
  <c r="F2335" i="3"/>
  <c r="G2324" i="3"/>
  <c r="F2324" i="3"/>
  <c r="G2326" i="3"/>
  <c r="F2326" i="3"/>
  <c r="G2329" i="3"/>
  <c r="F2329" i="3"/>
  <c r="G2314" i="3"/>
  <c r="F2314" i="3"/>
  <c r="G2331" i="3"/>
  <c r="F2331" i="3"/>
  <c r="G2337" i="3"/>
  <c r="F2337" i="3"/>
  <c r="G2322" i="3"/>
  <c r="F2322" i="3"/>
  <c r="G2321" i="3"/>
  <c r="F2321" i="3"/>
  <c r="G2323" i="3"/>
  <c r="F2323" i="3"/>
  <c r="G2336" i="3"/>
  <c r="F2336" i="3"/>
  <c r="G2315" i="3"/>
  <c r="G2320" i="3"/>
  <c r="G2328" i="3"/>
  <c r="G2327" i="3"/>
  <c r="F2261" i="3"/>
  <c r="F2262" i="3"/>
  <c r="F2263" i="3"/>
  <c r="G2274" i="3"/>
  <c r="F2274" i="3"/>
  <c r="G2267" i="3"/>
  <c r="F2267" i="3"/>
  <c r="G2265" i="3"/>
  <c r="F2265" i="3"/>
  <c r="G2271" i="3"/>
  <c r="F2271" i="3"/>
  <c r="G2268" i="3"/>
  <c r="F2268" i="3"/>
  <c r="G2259" i="3"/>
  <c r="F2259" i="3"/>
  <c r="G2273" i="3"/>
  <c r="F2273" i="3"/>
  <c r="G2266" i="3"/>
  <c r="F2266" i="3"/>
  <c r="G2275" i="3"/>
  <c r="F2275" i="3"/>
  <c r="G2152" i="3"/>
  <c r="G2264" i="3"/>
  <c r="G2270" i="3"/>
  <c r="G2269" i="3"/>
  <c r="G2054" i="3"/>
  <c r="F2246" i="3"/>
  <c r="F2247" i="3"/>
  <c r="F2248" i="3"/>
  <c r="G2256" i="3"/>
  <c r="F2256" i="3"/>
  <c r="G2251" i="3"/>
  <c r="F2251" i="3"/>
  <c r="G2244" i="3"/>
  <c r="F2244" i="3"/>
  <c r="G2253" i="3"/>
  <c r="F2253" i="3"/>
  <c r="G2249" i="3"/>
  <c r="F2249" i="3"/>
  <c r="G2252" i="3"/>
  <c r="F2252" i="3"/>
  <c r="G2250" i="3"/>
  <c r="F2250" i="3"/>
  <c r="G2257" i="3"/>
  <c r="F2257" i="3"/>
  <c r="G2242" i="3"/>
  <c r="F2242" i="3"/>
  <c r="G2255" i="3"/>
  <c r="G2254" i="3"/>
  <c r="F2219" i="3"/>
  <c r="F2220" i="3"/>
  <c r="F2221" i="3"/>
  <c r="G2238" i="3"/>
  <c r="F2238" i="3"/>
  <c r="G2229" i="3"/>
  <c r="F2229" i="3"/>
  <c r="G2223" i="3"/>
  <c r="F2223" i="3"/>
  <c r="G2241" i="3"/>
  <c r="F2241" i="3"/>
  <c r="G2222" i="3"/>
  <c r="F2222" i="3"/>
  <c r="G2236" i="3"/>
  <c r="F2236" i="3"/>
  <c r="G2235" i="3"/>
  <c r="F2235" i="3"/>
  <c r="G2234" i="3"/>
  <c r="F2234" i="3"/>
  <c r="G2239" i="3"/>
  <c r="F2239" i="3"/>
  <c r="G2237" i="3"/>
  <c r="F2237" i="3"/>
  <c r="G2230" i="3"/>
  <c r="F2230" i="3"/>
  <c r="G2225" i="3"/>
  <c r="F2225" i="3"/>
  <c r="G2227" i="3"/>
  <c r="F2227" i="3"/>
  <c r="G2226" i="3"/>
  <c r="F2226" i="3"/>
  <c r="G2231" i="3"/>
  <c r="F2231" i="3"/>
  <c r="G2228" i="3"/>
  <c r="F2228" i="3"/>
  <c r="G2240" i="3"/>
  <c r="F2240" i="3"/>
  <c r="G2217" i="3"/>
  <c r="G2224" i="3"/>
  <c r="G2233" i="3"/>
  <c r="G2232" i="3"/>
  <c r="F2205" i="3"/>
  <c r="F2206" i="3"/>
  <c r="F2207" i="3"/>
  <c r="G2215" i="3"/>
  <c r="F2215" i="3"/>
  <c r="G2210" i="3"/>
  <c r="F2210" i="3"/>
  <c r="G2204" i="3"/>
  <c r="F2204" i="3"/>
  <c r="G2211" i="3"/>
  <c r="F2211" i="3"/>
  <c r="G2209" i="3"/>
  <c r="F2209" i="3"/>
  <c r="G2216" i="3"/>
  <c r="F2216" i="3"/>
  <c r="G2202" i="3"/>
  <c r="G2208" i="3"/>
  <c r="G2214" i="3"/>
  <c r="G2213" i="3"/>
  <c r="F2178" i="3"/>
  <c r="F2179" i="3"/>
  <c r="F2180" i="3"/>
  <c r="G2189" i="3"/>
  <c r="F2189" i="3"/>
  <c r="G2183" i="3"/>
  <c r="F2183" i="3"/>
  <c r="G2176" i="3"/>
  <c r="F2176" i="3"/>
  <c r="G2185" i="3"/>
  <c r="F2185" i="3"/>
  <c r="G2188" i="3"/>
  <c r="F2188" i="3"/>
  <c r="G2181" i="3"/>
  <c r="F2181" i="3"/>
  <c r="G2184" i="3"/>
  <c r="F2184" i="3"/>
  <c r="G2182" i="3"/>
  <c r="F2182" i="3"/>
  <c r="G2190" i="3"/>
  <c r="F2190" i="3"/>
  <c r="G2174" i="3"/>
  <c r="F2174" i="3"/>
  <c r="G2187" i="3"/>
  <c r="G2186" i="3"/>
  <c r="G2172" i="3"/>
  <c r="G2164" i="3"/>
  <c r="G2165" i="3"/>
  <c r="F2165" i="3"/>
  <c r="G2169" i="3"/>
  <c r="G2160" i="3"/>
  <c r="F2160" i="3"/>
  <c r="G2162" i="3"/>
  <c r="F2162" i="3"/>
  <c r="G2161" i="3"/>
  <c r="F2161" i="3"/>
  <c r="G2166" i="3"/>
  <c r="F2166" i="3"/>
  <c r="G2154" i="3"/>
  <c r="F2154" i="3"/>
  <c r="G2163" i="3"/>
  <c r="G2173" i="3"/>
  <c r="F2173" i="3"/>
  <c r="G2032" i="3"/>
  <c r="G2159" i="3"/>
  <c r="G2168" i="3"/>
  <c r="G2167" i="3"/>
  <c r="G1921" i="3"/>
  <c r="F2073" i="3"/>
  <c r="F2074" i="3"/>
  <c r="F2075" i="3"/>
  <c r="G2087" i="3"/>
  <c r="F2087" i="3"/>
  <c r="G2080" i="3"/>
  <c r="F2080" i="3"/>
  <c r="G2081" i="3"/>
  <c r="F2081" i="3"/>
  <c r="G2078" i="3"/>
  <c r="F2078" i="3"/>
  <c r="G2077" i="3"/>
  <c r="F2077" i="3"/>
  <c r="G2082" i="3"/>
  <c r="F2082" i="3"/>
  <c r="G2079" i="3"/>
  <c r="F2079" i="3"/>
  <c r="G2088" i="3"/>
  <c r="F2088" i="3"/>
  <c r="G2071" i="3"/>
  <c r="G2076" i="3"/>
  <c r="G2084" i="3"/>
  <c r="G2083" i="3"/>
  <c r="F2055" i="3"/>
  <c r="F2056" i="3"/>
  <c r="F2057" i="3"/>
  <c r="G2069" i="3"/>
  <c r="G2063" i="3"/>
  <c r="G2065" i="3"/>
  <c r="G2059" i="3"/>
  <c r="G2068" i="3"/>
  <c r="G2061" i="3"/>
  <c r="G2060" i="3"/>
  <c r="G2064" i="3"/>
  <c r="G2062" i="3"/>
  <c r="G2070" i="3"/>
  <c r="G2058" i="3"/>
  <c r="G2067" i="3"/>
  <c r="G2066" i="3"/>
  <c r="F2037" i="3"/>
  <c r="F2038" i="3"/>
  <c r="F2039" i="3"/>
  <c r="G2051" i="3"/>
  <c r="F2051" i="3"/>
  <c r="G2044" i="3"/>
  <c r="F2044" i="3"/>
  <c r="G2034" i="3"/>
  <c r="F2034" i="3"/>
  <c r="G2045" i="3"/>
  <c r="F2045" i="3"/>
  <c r="G2049" i="3"/>
  <c r="F2049" i="3"/>
  <c r="G2042" i="3"/>
  <c r="F2042" i="3"/>
  <c r="G2041" i="3"/>
  <c r="F2041" i="3"/>
  <c r="G2035" i="3"/>
  <c r="F2035" i="3"/>
  <c r="G2043" i="3"/>
  <c r="F2043" i="3"/>
  <c r="G2052" i="3"/>
  <c r="F2052" i="3"/>
  <c r="G2040" i="3"/>
  <c r="G2053" i="3"/>
  <c r="F2053" i="3"/>
  <c r="G2048" i="3"/>
  <c r="G2047" i="3"/>
  <c r="F1995" i="3"/>
  <c r="F1996" i="3"/>
  <c r="F1997" i="3"/>
  <c r="G2008" i="3"/>
  <c r="F2008" i="3"/>
  <c r="G2002" i="3"/>
  <c r="F2002" i="3"/>
  <c r="G2004" i="3"/>
  <c r="F2004" i="3"/>
  <c r="G2000" i="3"/>
  <c r="F2000" i="3"/>
  <c r="G1999" i="3"/>
  <c r="F1999" i="3"/>
  <c r="G2010" i="3"/>
  <c r="F2010" i="3"/>
  <c r="G2001" i="3"/>
  <c r="F2001" i="3"/>
  <c r="G2009" i="3"/>
  <c r="F2009" i="3"/>
  <c r="G1994" i="3"/>
  <c r="G1998" i="3"/>
  <c r="G2006" i="3"/>
  <c r="G2005" i="3"/>
  <c r="F2013" i="3"/>
  <c r="F2014" i="3"/>
  <c r="F2015" i="3"/>
  <c r="G2030" i="3"/>
  <c r="F2030" i="3"/>
  <c r="G2021" i="3"/>
  <c r="F2021" i="3"/>
  <c r="G2023" i="3"/>
  <c r="F2023" i="3"/>
  <c r="G2019" i="3"/>
  <c r="F2019" i="3"/>
  <c r="G2018" i="3"/>
  <c r="F2018" i="3"/>
  <c r="G2022" i="3"/>
  <c r="F2022" i="3"/>
  <c r="G2017" i="3"/>
  <c r="F2017" i="3"/>
  <c r="G2020" i="3"/>
  <c r="F2020" i="3"/>
  <c r="G2031" i="3"/>
  <c r="F2031" i="3"/>
  <c r="G2011" i="3"/>
  <c r="G2016" i="3"/>
  <c r="G2026" i="3"/>
  <c r="G2025" i="3"/>
  <c r="F1960" i="3"/>
  <c r="F1961" i="3"/>
  <c r="F1962" i="3"/>
  <c r="G1970" i="3"/>
  <c r="D1970" i="3"/>
  <c r="F1970" i="3" s="1"/>
  <c r="G1965" i="3"/>
  <c r="D1965" i="3"/>
  <c r="F1965" i="3" s="1"/>
  <c r="G1964" i="3"/>
  <c r="F1964" i="3"/>
  <c r="G1959" i="3"/>
  <c r="F1959" i="3"/>
  <c r="G1958" i="3"/>
  <c r="G1963" i="3"/>
  <c r="G1968" i="3"/>
  <c r="G1967" i="3"/>
  <c r="G1941" i="3"/>
  <c r="F1941" i="3"/>
  <c r="F1942" i="3"/>
  <c r="F1943" i="3"/>
  <c r="F1944" i="3"/>
  <c r="G1956" i="3"/>
  <c r="F1956" i="3"/>
  <c r="G1949" i="3"/>
  <c r="F1949" i="3"/>
  <c r="G1951" i="3"/>
  <c r="F1951" i="3"/>
  <c r="G1947" i="3"/>
  <c r="F1947" i="3"/>
  <c r="G1946" i="3"/>
  <c r="F1946" i="3"/>
  <c r="G1939" i="3"/>
  <c r="F1939" i="3"/>
  <c r="G1948" i="3"/>
  <c r="F1948" i="3"/>
  <c r="G1957" i="3"/>
  <c r="F1957" i="3"/>
  <c r="G1938" i="3"/>
  <c r="G1945" i="3"/>
  <c r="G1954" i="3"/>
  <c r="G1953" i="3"/>
  <c r="F1923" i="3"/>
  <c r="F1924" i="3"/>
  <c r="F1925" i="3"/>
  <c r="G1935" i="3"/>
  <c r="F1935" i="3"/>
  <c r="G1929" i="3"/>
  <c r="F1929" i="3"/>
  <c r="G1930" i="3"/>
  <c r="F1930" i="3"/>
  <c r="G1927" i="3"/>
  <c r="F1927" i="3"/>
  <c r="G1933" i="3"/>
  <c r="F1933" i="3"/>
  <c r="G1928" i="3"/>
  <c r="F1928" i="3"/>
  <c r="G1936" i="3"/>
  <c r="F1936" i="3"/>
  <c r="G1926" i="3"/>
  <c r="G1932" i="3"/>
  <c r="G1931" i="3"/>
  <c r="G1918" i="3"/>
  <c r="F1918" i="3"/>
  <c r="G1907" i="3"/>
  <c r="F1907" i="3"/>
  <c r="G1898" i="3"/>
  <c r="F1898" i="3"/>
  <c r="G1901" i="3"/>
  <c r="F1901" i="3"/>
  <c r="G1917" i="3"/>
  <c r="F1917" i="3"/>
  <c r="G1919" i="3"/>
  <c r="F1919" i="3"/>
  <c r="G1912" i="3"/>
  <c r="F1912" i="3"/>
  <c r="G1900" i="3"/>
  <c r="F1900" i="3"/>
  <c r="G1920" i="3"/>
  <c r="F1920" i="3"/>
  <c r="G1906" i="3"/>
  <c r="F1906" i="3"/>
  <c r="G1916" i="3"/>
  <c r="F1916" i="3"/>
  <c r="F1905" i="3"/>
  <c r="F1904" i="3"/>
  <c r="F1902" i="3"/>
  <c r="F1903" i="3"/>
  <c r="G1914" i="3"/>
  <c r="F1914" i="3"/>
  <c r="G1911" i="3"/>
  <c r="F1911" i="3"/>
  <c r="G1908" i="3"/>
  <c r="F1908" i="3"/>
  <c r="G1915" i="3"/>
  <c r="F1915" i="3"/>
  <c r="G1909" i="3"/>
  <c r="F1909" i="3"/>
  <c r="F1864" i="3"/>
  <c r="F1865" i="3"/>
  <c r="F1866" i="3"/>
  <c r="G1882" i="3"/>
  <c r="F1882" i="3"/>
  <c r="G1874" i="3"/>
  <c r="F1874" i="3"/>
  <c r="G1868" i="3"/>
  <c r="F1868" i="3"/>
  <c r="G1885" i="3"/>
  <c r="F1885" i="3"/>
  <c r="G1867" i="3"/>
  <c r="F1867" i="3"/>
  <c r="G1880" i="3"/>
  <c r="F1880" i="3"/>
  <c r="G1879" i="3"/>
  <c r="F1879" i="3"/>
  <c r="G1878" i="3"/>
  <c r="F1878" i="3"/>
  <c r="G1883" i="3"/>
  <c r="F1883" i="3"/>
  <c r="G1881" i="3"/>
  <c r="F1881" i="3"/>
  <c r="G1875" i="3"/>
  <c r="F1875" i="3"/>
  <c r="G1870" i="3"/>
  <c r="F1870" i="3"/>
  <c r="G1872" i="3"/>
  <c r="F1872" i="3"/>
  <c r="G1871" i="3"/>
  <c r="F1871" i="3"/>
  <c r="G1873" i="3"/>
  <c r="F1873" i="3"/>
  <c r="G1884" i="3"/>
  <c r="F1884" i="3"/>
  <c r="G1862" i="3"/>
  <c r="G1869" i="3"/>
  <c r="G1877" i="3"/>
  <c r="G1876" i="3"/>
  <c r="F1848" i="3"/>
  <c r="F1849" i="3"/>
  <c r="F1850" i="3"/>
  <c r="G1860" i="3"/>
  <c r="F1860" i="3"/>
  <c r="G1856" i="3"/>
  <c r="F1856" i="3"/>
  <c r="G1857" i="3"/>
  <c r="F1857" i="3"/>
  <c r="G1852" i="3"/>
  <c r="F1852" i="3"/>
  <c r="G1854" i="3"/>
  <c r="F1854" i="3"/>
  <c r="G1853" i="3"/>
  <c r="F1853" i="3"/>
  <c r="G1855" i="3"/>
  <c r="F1855" i="3"/>
  <c r="G1861" i="3"/>
  <c r="F1861" i="3"/>
  <c r="G1845" i="3"/>
  <c r="G1851" i="3"/>
  <c r="G1859" i="3"/>
  <c r="G1858" i="3"/>
  <c r="G2171" i="3"/>
  <c r="F2171" i="3"/>
  <c r="G1833" i="3"/>
  <c r="F1833" i="3"/>
  <c r="G2050" i="3"/>
  <c r="F2050" i="3"/>
  <c r="G2046" i="3"/>
  <c r="F2046" i="3"/>
  <c r="G1955" i="3"/>
  <c r="F1955" i="3"/>
  <c r="G1952" i="3"/>
  <c r="F1952" i="3"/>
  <c r="F2028" i="3"/>
  <c r="F2029" i="3"/>
  <c r="F2027" i="3"/>
  <c r="F2024" i="3"/>
  <c r="F2334" i="3"/>
  <c r="F2333" i="3"/>
  <c r="F2330" i="3"/>
  <c r="G2085" i="3"/>
  <c r="F2085" i="3"/>
  <c r="G2212" i="3"/>
  <c r="F2212" i="3"/>
  <c r="F2114" i="3"/>
  <c r="F2115" i="3"/>
  <c r="F2116" i="3"/>
  <c r="G2128" i="3"/>
  <c r="F2128" i="3"/>
  <c r="G2122" i="3"/>
  <c r="F2122" i="3"/>
  <c r="G2124" i="3"/>
  <c r="F2124" i="3"/>
  <c r="G2118" i="3"/>
  <c r="F2118" i="3"/>
  <c r="G2120" i="3"/>
  <c r="F2120" i="3"/>
  <c r="G2119" i="3"/>
  <c r="F2119" i="3"/>
  <c r="G2121" i="3"/>
  <c r="F2121" i="3"/>
  <c r="G2129" i="3"/>
  <c r="F2129" i="3"/>
  <c r="G2111" i="3"/>
  <c r="G2117" i="3"/>
  <c r="G2126" i="3"/>
  <c r="G2125" i="3"/>
  <c r="D135" i="2" l="1"/>
  <c r="E986" i="1" s="1"/>
  <c r="D125" i="2"/>
  <c r="E125" i="2" s="1"/>
  <c r="D152" i="2"/>
  <c r="E1151" i="1" s="1"/>
  <c r="D106" i="2"/>
  <c r="E894" i="1" s="1"/>
  <c r="E30" i="1"/>
  <c r="D547" i="1" s="1"/>
  <c r="D26" i="1"/>
  <c r="D868" i="1" s="1"/>
  <c r="D18" i="1"/>
  <c r="D280" i="1" s="1"/>
  <c r="E166" i="2"/>
  <c r="D22" i="1"/>
  <c r="D881" i="1" s="1"/>
  <c r="E33" i="1"/>
  <c r="D454" i="1" s="1"/>
  <c r="D10" i="1"/>
  <c r="D153" i="1" s="1"/>
  <c r="D21" i="2"/>
  <c r="E363" i="1" s="1"/>
  <c r="E26" i="1"/>
  <c r="D455" i="1" s="1"/>
  <c r="D49" i="2"/>
  <c r="E49" i="2" s="1"/>
  <c r="D61" i="2"/>
  <c r="E191" i="1" s="1"/>
  <c r="D58" i="2"/>
  <c r="E168" i="1" s="1"/>
  <c r="D84" i="2"/>
  <c r="E492" i="1" s="1"/>
  <c r="D99" i="2"/>
  <c r="E609" i="1" s="1"/>
  <c r="D14" i="1"/>
  <c r="D93" i="1" s="1"/>
  <c r="D11" i="2"/>
  <c r="E283" i="1" s="1"/>
  <c r="D17" i="2"/>
  <c r="E327" i="1" s="1"/>
  <c r="D47" i="2"/>
  <c r="E86" i="1" s="1"/>
  <c r="D102" i="2"/>
  <c r="E637" i="1" s="1"/>
  <c r="E10" i="1"/>
  <c r="D233" i="1" s="1"/>
  <c r="E14" i="1"/>
  <c r="D698" i="1" s="1"/>
  <c r="E18" i="1"/>
  <c r="D432" i="1" s="1"/>
  <c r="E22" i="1"/>
  <c r="D260" i="1" s="1"/>
  <c r="E28" i="1"/>
  <c r="D449" i="1" s="1"/>
  <c r="D9" i="2"/>
  <c r="E266" i="1" s="1"/>
  <c r="D8" i="2"/>
  <c r="E261" i="1" s="1"/>
  <c r="E167" i="2"/>
  <c r="D15" i="1"/>
  <c r="D230" i="1" s="1"/>
  <c r="D29" i="1"/>
  <c r="D727" i="1" s="1"/>
  <c r="G112" i="2"/>
  <c r="D30" i="2"/>
  <c r="E30" i="2" s="1"/>
  <c r="D56" i="2"/>
  <c r="E151" i="1" s="1"/>
  <c r="D11" i="1"/>
  <c r="D202" i="1" s="1"/>
  <c r="D19" i="1"/>
  <c r="D361" i="1" s="1"/>
  <c r="E23" i="1"/>
  <c r="D253" i="1" s="1"/>
  <c r="D7" i="2"/>
  <c r="E247" i="1" s="1"/>
  <c r="D23" i="2"/>
  <c r="E381" i="1" s="1"/>
  <c r="D13" i="2"/>
  <c r="E302" i="1" s="1"/>
  <c r="E120" i="2"/>
  <c r="E11" i="1"/>
  <c r="D695" i="1" s="1"/>
  <c r="E15" i="1"/>
  <c r="D150" i="1" s="1"/>
  <c r="E19" i="1"/>
  <c r="D249" i="1" s="1"/>
  <c r="D24" i="1"/>
  <c r="D246" i="1" s="1"/>
  <c r="E29" i="1"/>
  <c r="D703" i="1" s="1"/>
  <c r="E168" i="2"/>
  <c r="D8" i="1"/>
  <c r="D39" i="1" s="1"/>
  <c r="D12" i="1"/>
  <c r="D107" i="1" s="1"/>
  <c r="D20" i="1"/>
  <c r="D298" i="1" s="1"/>
  <c r="E24" i="1"/>
  <c r="D262" i="1" s="1"/>
  <c r="D28" i="1"/>
  <c r="D726" i="1" s="1"/>
  <c r="E121" i="2"/>
  <c r="D24" i="2"/>
  <c r="E388" i="1" s="1"/>
  <c r="D37" i="2"/>
  <c r="E805" i="1" s="1"/>
  <c r="D38" i="2"/>
  <c r="E761" i="1" s="1"/>
  <c r="D51" i="2"/>
  <c r="E115" i="1" s="1"/>
  <c r="D54" i="2"/>
  <c r="E54" i="2" s="1"/>
  <c r="D60" i="2"/>
  <c r="E189" i="1" s="1"/>
  <c r="D55" i="2"/>
  <c r="E143" i="1" s="1"/>
  <c r="D62" i="2"/>
  <c r="E199" i="1" s="1"/>
  <c r="D68" i="2"/>
  <c r="E793" i="1" s="1"/>
  <c r="D81" i="2"/>
  <c r="E470" i="1" s="1"/>
  <c r="D79" i="2"/>
  <c r="E454" i="1" s="1"/>
  <c r="F454" i="1" s="1"/>
  <c r="D80" i="2"/>
  <c r="E80" i="2" s="1"/>
  <c r="D95" i="2"/>
  <c r="E578" i="1" s="1"/>
  <c r="D82" i="2"/>
  <c r="E477" i="1" s="1"/>
  <c r="D101" i="2"/>
  <c r="E625" i="1" s="1"/>
  <c r="D96" i="2"/>
  <c r="E96" i="2" s="1"/>
  <c r="D78" i="2"/>
  <c r="E441" i="1" s="1"/>
  <c r="D108" i="2"/>
  <c r="E753" i="1" s="1"/>
  <c r="D110" i="2"/>
  <c r="E776" i="1" s="1"/>
  <c r="E122" i="2"/>
  <c r="E8" i="1"/>
  <c r="D55" i="1" s="1"/>
  <c r="E12" i="1"/>
  <c r="D59" i="1" s="1"/>
  <c r="E20" i="1"/>
  <c r="D687" i="1" s="1"/>
  <c r="E32" i="1"/>
  <c r="D461" i="1" s="1"/>
  <c r="D18" i="2"/>
  <c r="E337" i="1" s="1"/>
  <c r="D12" i="2"/>
  <c r="E290" i="1" s="1"/>
  <c r="D50" i="2"/>
  <c r="E108" i="1" s="1"/>
  <c r="E123" i="2"/>
  <c r="D127" i="2"/>
  <c r="E127" i="2" s="1"/>
  <c r="D143" i="2"/>
  <c r="E1049" i="1" s="1"/>
  <c r="D138" i="2"/>
  <c r="E1008" i="1" s="1"/>
  <c r="D141" i="2"/>
  <c r="E1031" i="1" s="1"/>
  <c r="D148" i="2"/>
  <c r="E1092" i="1" s="1"/>
  <c r="D153" i="2"/>
  <c r="E1169" i="1" s="1"/>
  <c r="D157" i="2"/>
  <c r="E1163" i="1" s="1"/>
  <c r="E169" i="2"/>
  <c r="D13" i="1"/>
  <c r="D817" i="1" s="1"/>
  <c r="D21" i="1"/>
  <c r="D419" i="1" s="1"/>
  <c r="D40" i="2"/>
  <c r="E688" i="1" s="1"/>
  <c r="D129" i="2"/>
  <c r="E940" i="1" s="1"/>
  <c r="D128" i="2"/>
  <c r="E128" i="2" s="1"/>
  <c r="D149" i="2"/>
  <c r="E1095" i="1" s="1"/>
  <c r="D144" i="2"/>
  <c r="E1060" i="1" s="1"/>
  <c r="D147" i="2"/>
  <c r="E1083" i="1" s="1"/>
  <c r="D154" i="2"/>
  <c r="E154" i="2" s="1"/>
  <c r="D162" i="2"/>
  <c r="E162" i="2" s="1"/>
  <c r="D164" i="2"/>
  <c r="E164" i="2" s="1"/>
  <c r="D9" i="1"/>
  <c r="D64" i="1" s="1"/>
  <c r="D17" i="1"/>
  <c r="D828" i="1" s="1"/>
  <c r="D6" i="2"/>
  <c r="E239" i="1" s="1"/>
  <c r="E124" i="2"/>
  <c r="E9" i="1"/>
  <c r="D48" i="1" s="1"/>
  <c r="E13" i="1"/>
  <c r="D52" i="1" s="1"/>
  <c r="E17" i="1"/>
  <c r="D684" i="1" s="1"/>
  <c r="E21" i="1"/>
  <c r="D688" i="1" s="1"/>
  <c r="D72" i="2"/>
  <c r="D74" i="2"/>
  <c r="D33" i="1"/>
  <c r="D566" i="1" s="1"/>
  <c r="G167" i="2"/>
  <c r="G153" i="2"/>
  <c r="G164" i="2"/>
  <c r="G158" i="2"/>
  <c r="G150" i="2"/>
  <c r="G147" i="2"/>
  <c r="G139" i="2"/>
  <c r="G131" i="2"/>
  <c r="G123" i="2"/>
  <c r="G115" i="2"/>
  <c r="G109" i="2"/>
  <c r="G98" i="2"/>
  <c r="G90" i="2"/>
  <c r="G82" i="2"/>
  <c r="G76" i="2"/>
  <c r="G68" i="2"/>
  <c r="G57" i="2"/>
  <c r="G49" i="2"/>
  <c r="G35" i="2"/>
  <c r="G27" i="2"/>
  <c r="G19" i="2"/>
  <c r="G11" i="2"/>
  <c r="G169" i="2"/>
  <c r="G155" i="2"/>
  <c r="G144" i="2"/>
  <c r="G136" i="2"/>
  <c r="G128" i="2"/>
  <c r="G120" i="2"/>
  <c r="G106" i="2"/>
  <c r="G95" i="2"/>
  <c r="G87" i="2"/>
  <c r="G79" i="2"/>
  <c r="G73" i="2"/>
  <c r="G62" i="2"/>
  <c r="G54" i="2"/>
  <c r="G46" i="2"/>
  <c r="G40" i="2"/>
  <c r="G32" i="2"/>
  <c r="G24" i="2"/>
  <c r="G16" i="2"/>
  <c r="G8" i="2"/>
  <c r="G166" i="2"/>
  <c r="G160" i="2"/>
  <c r="G152" i="2"/>
  <c r="G141" i="2"/>
  <c r="G133" i="2"/>
  <c r="G125" i="2"/>
  <c r="G117" i="2"/>
  <c r="G111" i="2"/>
  <c r="G103" i="2"/>
  <c r="G100" i="2"/>
  <c r="G92" i="2"/>
  <c r="G84" i="2"/>
  <c r="G70" i="2"/>
  <c r="G59" i="2"/>
  <c r="G51" i="2"/>
  <c r="G43" i="2"/>
  <c r="G37" i="2"/>
  <c r="G29" i="2"/>
  <c r="G21" i="2"/>
  <c r="G13" i="2"/>
  <c r="G5" i="2"/>
  <c r="G163" i="2"/>
  <c r="G157" i="2"/>
  <c r="G146" i="2"/>
  <c r="G138" i="2"/>
  <c r="G130" i="2"/>
  <c r="G122" i="2"/>
  <c r="G114" i="2"/>
  <c r="G108" i="2"/>
  <c r="G97" i="2"/>
  <c r="G89" i="2"/>
  <c r="G81" i="2"/>
  <c r="G75" i="2"/>
  <c r="G67" i="2"/>
  <c r="G64" i="2"/>
  <c r="G56" i="2"/>
  <c r="G48" i="2"/>
  <c r="G34" i="2"/>
  <c r="G26" i="2"/>
  <c r="G18" i="2"/>
  <c r="G10" i="2"/>
  <c r="G168" i="2"/>
  <c r="G154" i="2"/>
  <c r="G143" i="2"/>
  <c r="G135" i="2"/>
  <c r="G127" i="2"/>
  <c r="G119" i="2"/>
  <c r="G105" i="2"/>
  <c r="G94" i="2"/>
  <c r="G86" i="2"/>
  <c r="G78" i="2"/>
  <c r="G72" i="2"/>
  <c r="G61" i="2"/>
  <c r="G53" i="2"/>
  <c r="G45" i="2"/>
  <c r="G39" i="2"/>
  <c r="G31" i="2"/>
  <c r="G23" i="2"/>
  <c r="G15" i="2"/>
  <c r="G7" i="2"/>
  <c r="G162" i="2"/>
  <c r="G156" i="2"/>
  <c r="G145" i="2"/>
  <c r="G137" i="2"/>
  <c r="G129" i="2"/>
  <c r="G148" i="2"/>
  <c r="G126" i="2"/>
  <c r="G110" i="2"/>
  <c r="G104" i="2"/>
  <c r="G96" i="2"/>
  <c r="G74" i="2"/>
  <c r="G60" i="2"/>
  <c r="G38" i="2"/>
  <c r="G9" i="2"/>
  <c r="G124" i="2"/>
  <c r="G118" i="2"/>
  <c r="G102" i="2"/>
  <c r="G88" i="2"/>
  <c r="G66" i="2"/>
  <c r="G58" i="2"/>
  <c r="G52" i="2"/>
  <c r="G36" i="2"/>
  <c r="G30" i="2"/>
  <c r="G165" i="2"/>
  <c r="G134" i="2"/>
  <c r="G116" i="2"/>
  <c r="G80" i="2"/>
  <c r="G50" i="2"/>
  <c r="G44" i="2"/>
  <c r="G28" i="2"/>
  <c r="G22" i="2"/>
  <c r="G132" i="2"/>
  <c r="G42" i="2"/>
  <c r="G20" i="2"/>
  <c r="G14" i="2"/>
  <c r="G159" i="2"/>
  <c r="G142" i="2"/>
  <c r="G107" i="2"/>
  <c r="G99" i="2"/>
  <c r="G93" i="2"/>
  <c r="G71" i="2"/>
  <c r="G63" i="2"/>
  <c r="G12" i="2"/>
  <c r="G6" i="2"/>
  <c r="G140" i="2"/>
  <c r="G121" i="2"/>
  <c r="G91" i="2"/>
  <c r="G85" i="2"/>
  <c r="G69" i="2"/>
  <c r="G55" i="2"/>
  <c r="G33" i="2"/>
  <c r="G83" i="2"/>
  <c r="G25" i="2"/>
  <c r="G151" i="2"/>
  <c r="G47" i="2"/>
  <c r="G17" i="2"/>
  <c r="E907" i="1"/>
  <c r="D932" i="1" s="1"/>
  <c r="E904" i="1"/>
  <c r="D1121" i="1" s="1"/>
  <c r="E900" i="1"/>
  <c r="D1117" i="1" s="1"/>
  <c r="D904" i="1"/>
  <c r="D945" i="1" s="1"/>
  <c r="D900" i="1"/>
  <c r="D1021" i="1" s="1"/>
  <c r="E903" i="1"/>
  <c r="D1016" i="1" s="1"/>
  <c r="D907" i="1"/>
  <c r="D988" i="1" s="1"/>
  <c r="D903" i="1"/>
  <c r="D1048" i="1" s="1"/>
  <c r="E906" i="1"/>
  <c r="D1107" i="1" s="1"/>
  <c r="E902" i="1"/>
  <c r="D927" i="1" s="1"/>
  <c r="D906" i="1"/>
  <c r="D971" i="1" s="1"/>
  <c r="D902" i="1"/>
  <c r="D935" i="1" s="1"/>
  <c r="E905" i="1"/>
  <c r="D1018" i="1" s="1"/>
  <c r="E901" i="1"/>
  <c r="D918" i="1" s="1"/>
  <c r="D905" i="1"/>
  <c r="D1186" i="1" s="1"/>
  <c r="D901" i="1"/>
  <c r="D1150" i="1" s="1"/>
  <c r="D31" i="2"/>
  <c r="D20" i="2"/>
  <c r="D34" i="2"/>
  <c r="D66" i="2"/>
  <c r="D70" i="2"/>
  <c r="D87" i="2"/>
  <c r="D103" i="2"/>
  <c r="D109" i="2"/>
  <c r="D25" i="2"/>
  <c r="D28" i="2"/>
  <c r="D52" i="2"/>
  <c r="D73" i="2"/>
  <c r="D117" i="2"/>
  <c r="E117" i="2" s="1"/>
  <c r="D136" i="2"/>
  <c r="D137" i="2"/>
  <c r="D145" i="2"/>
  <c r="D142" i="2"/>
  <c r="D132" i="2"/>
  <c r="D134" i="2"/>
  <c r="D160" i="2"/>
  <c r="D163" i="2"/>
  <c r="E163" i="2" s="1"/>
  <c r="D30" i="1"/>
  <c r="D680" i="1" s="1"/>
  <c r="D19" i="2"/>
  <c r="D35" i="2"/>
  <c r="D42" i="2"/>
  <c r="D65" i="2"/>
  <c r="D48" i="2"/>
  <c r="D57" i="2"/>
  <c r="D63" i="2"/>
  <c r="D85" i="2"/>
  <c r="D90" i="2"/>
  <c r="D94" i="2"/>
  <c r="D86" i="2"/>
  <c r="D91" i="2"/>
  <c r="D98" i="2"/>
  <c r="D105" i="2"/>
  <c r="D114" i="2"/>
  <c r="D119" i="2"/>
  <c r="E119" i="2" s="1"/>
  <c r="D32" i="2"/>
  <c r="D45" i="2"/>
  <c r="D46" i="2"/>
  <c r="D16" i="2"/>
  <c r="D22" i="2"/>
  <c r="D14" i="2"/>
  <c r="D27" i="2"/>
  <c r="D67" i="2"/>
  <c r="D69" i="2"/>
  <c r="D112" i="2"/>
  <c r="D116" i="2"/>
  <c r="D150" i="2"/>
  <c r="D130" i="2"/>
  <c r="D133" i="2"/>
  <c r="D146" i="2"/>
  <c r="D151" i="2"/>
  <c r="D155" i="2"/>
  <c r="D159" i="2"/>
  <c r="D23" i="1"/>
  <c r="D738" i="1" s="1"/>
  <c r="D27" i="1"/>
  <c r="D504" i="1" s="1"/>
  <c r="D31" i="1"/>
  <c r="D484" i="1" s="1"/>
  <c r="D272" i="1"/>
  <c r="D15" i="2"/>
  <c r="D10" i="2"/>
  <c r="D36" i="2"/>
  <c r="D39" i="2"/>
  <c r="D43" i="2"/>
  <c r="D44" i="2"/>
  <c r="D59" i="2"/>
  <c r="D64" i="2"/>
  <c r="D83" i="2"/>
  <c r="D92" i="2"/>
  <c r="D88" i="2"/>
  <c r="D89" i="2"/>
  <c r="D97" i="2"/>
  <c r="D93" i="2"/>
  <c r="D100" i="2"/>
  <c r="D107" i="2"/>
  <c r="D111" i="2"/>
  <c r="D118" i="2"/>
  <c r="E118" i="2" s="1"/>
  <c r="E27" i="1"/>
  <c r="D701" i="1" s="1"/>
  <c r="E31" i="1"/>
  <c r="D636" i="1" s="1"/>
  <c r="D240" i="1"/>
  <c r="D29" i="2"/>
  <c r="D33" i="2"/>
  <c r="D26" i="2"/>
  <c r="D53" i="2"/>
  <c r="D71" i="2"/>
  <c r="D75" i="2"/>
  <c r="D76" i="2"/>
  <c r="D104" i="2"/>
  <c r="D115" i="2"/>
  <c r="D131" i="2"/>
  <c r="D140" i="2"/>
  <c r="D126" i="2"/>
  <c r="D139" i="2"/>
  <c r="D156" i="2"/>
  <c r="D158" i="2"/>
  <c r="D165" i="2"/>
  <c r="E165" i="2" s="1"/>
  <c r="D32" i="1"/>
  <c r="D850" i="1" s="1"/>
  <c r="D312" i="1"/>
  <c r="D408" i="1"/>
  <c r="D416" i="1"/>
  <c r="D368" i="1"/>
  <c r="D384" i="1"/>
  <c r="D360" i="1"/>
  <c r="D661" i="1"/>
  <c r="D32" i="4"/>
  <c r="E5" i="2"/>
  <c r="D805" i="1" l="1"/>
  <c r="D336" i="1"/>
  <c r="D392" i="1"/>
  <c r="D853" i="1"/>
  <c r="D320" i="1"/>
  <c r="D376" i="1"/>
  <c r="D877" i="1"/>
  <c r="D304" i="1"/>
  <c r="D328" i="1"/>
  <c r="D781" i="1"/>
  <c r="D733" i="1"/>
  <c r="D288" i="1"/>
  <c r="D400" i="1"/>
  <c r="D709" i="1"/>
  <c r="D264" i="1"/>
  <c r="D194" i="1"/>
  <c r="D459" i="1"/>
  <c r="D451" i="1"/>
  <c r="D667" i="1"/>
  <c r="D453" i="1"/>
  <c r="E203" i="1"/>
  <c r="D447" i="1"/>
  <c r="D147" i="1"/>
  <c r="D543" i="1"/>
  <c r="D635" i="1"/>
  <c r="D114" i="1"/>
  <c r="D631" i="1"/>
  <c r="E475" i="1"/>
  <c r="D218" i="1"/>
  <c r="D700" i="1"/>
  <c r="D704" i="1"/>
  <c r="D820" i="1"/>
  <c r="D352" i="1"/>
  <c r="D424" i="1"/>
  <c r="D296" i="1"/>
  <c r="D859" i="1"/>
  <c r="D757" i="1"/>
  <c r="D829" i="1"/>
  <c r="D422" i="1"/>
  <c r="D374" i="1"/>
  <c r="E589" i="1"/>
  <c r="D406" i="1"/>
  <c r="E333" i="1"/>
  <c r="E331" i="1"/>
  <c r="D170" i="1"/>
  <c r="E17" i="2"/>
  <c r="D719" i="1"/>
  <c r="E330" i="1"/>
  <c r="E269" i="1"/>
  <c r="E332" i="1"/>
  <c r="D210" i="1"/>
  <c r="D671" i="1"/>
  <c r="E329" i="1"/>
  <c r="E328" i="1"/>
  <c r="E334" i="1"/>
  <c r="D463" i="1"/>
  <c r="D591" i="1"/>
  <c r="D846" i="1"/>
  <c r="D772" i="1"/>
  <c r="D326" i="1"/>
  <c r="D366" i="1"/>
  <c r="D715" i="1"/>
  <c r="D318" i="1"/>
  <c r="D690" i="1"/>
  <c r="D763" i="1"/>
  <c r="E586" i="1"/>
  <c r="D787" i="1"/>
  <c r="D835" i="1"/>
  <c r="E206" i="1"/>
  <c r="D235" i="1"/>
  <c r="D74" i="1"/>
  <c r="D880" i="1"/>
  <c r="D350" i="1"/>
  <c r="E476" i="1"/>
  <c r="E472" i="1"/>
  <c r="E474" i="1"/>
  <c r="E82" i="2"/>
  <c r="D887" i="1"/>
  <c r="D186" i="1"/>
  <c r="D699" i="1"/>
  <c r="E478" i="1"/>
  <c r="D98" i="1"/>
  <c r="D162" i="1"/>
  <c r="D839" i="1"/>
  <c r="D791" i="1"/>
  <c r="D767" i="1"/>
  <c r="E471" i="1"/>
  <c r="D106" i="1"/>
  <c r="D130" i="1"/>
  <c r="D815" i="1"/>
  <c r="D122" i="1"/>
  <c r="D438" i="1"/>
  <c r="D696" i="1"/>
  <c r="E473" i="1"/>
  <c r="D138" i="1"/>
  <c r="D154" i="1"/>
  <c r="D691" i="1"/>
  <c r="D82" i="1"/>
  <c r="D863" i="1"/>
  <c r="E583" i="1"/>
  <c r="E62" i="2"/>
  <c r="D261" i="1"/>
  <c r="D637" i="1"/>
  <c r="F637" i="1" s="1"/>
  <c r="H637" i="1" s="1"/>
  <c r="I637" i="1" s="1"/>
  <c r="D549" i="1"/>
  <c r="E588" i="1"/>
  <c r="E192" i="1"/>
  <c r="D390" i="1"/>
  <c r="D706" i="1"/>
  <c r="E198" i="1"/>
  <c r="D813" i="1"/>
  <c r="D334" i="1"/>
  <c r="F334" i="1" s="1"/>
  <c r="H334" i="1" s="1"/>
  <c r="I334" i="1" s="1"/>
  <c r="D398" i="1"/>
  <c r="D342" i="1"/>
  <c r="E200" i="1"/>
  <c r="E196" i="1"/>
  <c r="D270" i="1"/>
  <c r="E195" i="1"/>
  <c r="E193" i="1"/>
  <c r="D430" i="1"/>
  <c r="D302" i="1"/>
  <c r="F302" i="1" s="1"/>
  <c r="H302" i="1" s="1"/>
  <c r="I302" i="1" s="1"/>
  <c r="D294" i="1"/>
  <c r="E204" i="1"/>
  <c r="E61" i="2"/>
  <c r="D811" i="1"/>
  <c r="D437" i="1"/>
  <c r="D830" i="1"/>
  <c r="D178" i="1"/>
  <c r="E636" i="1"/>
  <c r="F636" i="1" s="1"/>
  <c r="H636" i="1" s="1"/>
  <c r="I636" i="1" s="1"/>
  <c r="E584" i="1"/>
  <c r="E102" i="2"/>
  <c r="E585" i="1"/>
  <c r="E201" i="1"/>
  <c r="D286" i="1"/>
  <c r="D739" i="1"/>
  <c r="E638" i="1"/>
  <c r="D519" i="1"/>
  <c r="D885" i="1"/>
  <c r="D676" i="1"/>
  <c r="D414" i="1"/>
  <c r="D382" i="1"/>
  <c r="D310" i="1"/>
  <c r="E590" i="1"/>
  <c r="E205" i="1"/>
  <c r="E197" i="1"/>
  <c r="D883" i="1"/>
  <c r="D349" i="1"/>
  <c r="E632" i="1"/>
  <c r="D609" i="1"/>
  <c r="F609" i="1" s="1"/>
  <c r="H609" i="1" s="1"/>
  <c r="I609" i="1" s="1"/>
  <c r="E587" i="1"/>
  <c r="E202" i="1"/>
  <c r="E194" i="1"/>
  <c r="D278" i="1"/>
  <c r="E47" i="2"/>
  <c r="E631" i="1"/>
  <c r="D471" i="1"/>
  <c r="E633" i="1"/>
  <c r="D601" i="1"/>
  <c r="E256" i="1"/>
  <c r="D145" i="1"/>
  <c r="D689" i="1"/>
  <c r="D1001" i="1"/>
  <c r="D951" i="1"/>
  <c r="E183" i="1"/>
  <c r="E188" i="1"/>
  <c r="D189" i="1"/>
  <c r="F189" i="1" s="1"/>
  <c r="H189" i="1" s="1"/>
  <c r="I189" i="1" s="1"/>
  <c r="D886" i="1"/>
  <c r="D1047" i="1"/>
  <c r="E635" i="1"/>
  <c r="E634" i="1"/>
  <c r="D969" i="1"/>
  <c r="D503" i="1"/>
  <c r="D844" i="1"/>
  <c r="D864" i="1"/>
  <c r="D894" i="1"/>
  <c r="F894" i="1" s="1"/>
  <c r="H894" i="1" s="1"/>
  <c r="I894" i="1" s="1"/>
  <c r="D559" i="1"/>
  <c r="D575" i="1"/>
  <c r="E82" i="1"/>
  <c r="D337" i="1"/>
  <c r="F337" i="1" s="1"/>
  <c r="H337" i="1" s="1"/>
  <c r="I337" i="1" s="1"/>
  <c r="D748" i="1"/>
  <c r="D750" i="1"/>
  <c r="D625" i="1"/>
  <c r="F625" i="1" s="1"/>
  <c r="H625" i="1" s="1"/>
  <c r="I625" i="1" s="1"/>
  <c r="D585" i="1"/>
  <c r="D487" i="1"/>
  <c r="D535" i="1"/>
  <c r="D607" i="1"/>
  <c r="D892" i="1"/>
  <c r="D495" i="1"/>
  <c r="D551" i="1"/>
  <c r="D615" i="1"/>
  <c r="D822" i="1"/>
  <c r="D553" i="1"/>
  <c r="D321" i="1"/>
  <c r="D439" i="1"/>
  <c r="D567" i="1"/>
  <c r="D724" i="1"/>
  <c r="D989" i="1"/>
  <c r="D662" i="1"/>
  <c r="D623" i="1"/>
  <c r="D473" i="1"/>
  <c r="E79" i="1"/>
  <c r="D401" i="1"/>
  <c r="D511" i="1"/>
  <c r="D583" i="1"/>
  <c r="D796" i="1"/>
  <c r="E257" i="1"/>
  <c r="D479" i="1"/>
  <c r="D527" i="1"/>
  <c r="D599" i="1"/>
  <c r="D973" i="1"/>
  <c r="D965" i="1"/>
  <c r="D981" i="1"/>
  <c r="D957" i="1"/>
  <c r="D305" i="1"/>
  <c r="D250" i="1"/>
  <c r="D417" i="1"/>
  <c r="E80" i="1"/>
  <c r="D686" i="1"/>
  <c r="E260" i="1"/>
  <c r="F260" i="1" s="1"/>
  <c r="D734" i="1"/>
  <c r="E85" i="1"/>
  <c r="D854" i="1"/>
  <c r="E629" i="1"/>
  <c r="D289" i="1"/>
  <c r="D385" i="1"/>
  <c r="D577" i="1"/>
  <c r="E627" i="1"/>
  <c r="D377" i="1"/>
  <c r="E624" i="1"/>
  <c r="D434" i="1"/>
  <c r="E630" i="1"/>
  <c r="D345" i="1"/>
  <c r="D313" i="1"/>
  <c r="D505" i="1"/>
  <c r="D259" i="1"/>
  <c r="E258" i="1"/>
  <c r="D433" i="1"/>
  <c r="D409" i="1"/>
  <c r="E149" i="1"/>
  <c r="D497" i="1"/>
  <c r="E81" i="1"/>
  <c r="E58" i="2"/>
  <c r="D292" i="1"/>
  <c r="D190" i="1"/>
  <c r="D1072" i="1"/>
  <c r="D953" i="1"/>
  <c r="D1023" i="1"/>
  <c r="D1111" i="1"/>
  <c r="D913" i="1"/>
  <c r="D164" i="1"/>
  <c r="D993" i="1"/>
  <c r="D1089" i="1"/>
  <c r="D753" i="1"/>
  <c r="F753" i="1" s="1"/>
  <c r="H753" i="1" s="1"/>
  <c r="I753" i="1" s="1"/>
  <c r="D1135" i="1"/>
  <c r="D1007" i="1"/>
  <c r="D1079" i="1"/>
  <c r="D1095" i="1"/>
  <c r="F1095" i="1" s="1"/>
  <c r="H1095" i="1" s="1"/>
  <c r="I1095" i="1" s="1"/>
  <c r="D959" i="1"/>
  <c r="D665" i="1"/>
  <c r="D1055" i="1"/>
  <c r="D1151" i="1"/>
  <c r="F1151" i="1" s="1"/>
  <c r="H1151" i="1" s="1"/>
  <c r="I1151" i="1" s="1"/>
  <c r="D999" i="1"/>
  <c r="D1009" i="1"/>
  <c r="D977" i="1"/>
  <c r="E752" i="1"/>
  <c r="D172" i="1"/>
  <c r="D340" i="1"/>
  <c r="E613" i="1"/>
  <c r="D1167" i="1"/>
  <c r="D1071" i="1"/>
  <c r="D975" i="1"/>
  <c r="D616" i="1"/>
  <c r="D149" i="1"/>
  <c r="D1156" i="1"/>
  <c r="E489" i="1"/>
  <c r="D809" i="1"/>
  <c r="E443" i="1"/>
  <c r="E452" i="1"/>
  <c r="D1010" i="1"/>
  <c r="D922" i="1"/>
  <c r="E440" i="1"/>
  <c r="E795" i="1"/>
  <c r="D694" i="1"/>
  <c r="D134" i="1"/>
  <c r="D78" i="1"/>
  <c r="D1036" i="1"/>
  <c r="D795" i="1"/>
  <c r="D1122" i="1"/>
  <c r="E792" i="1"/>
  <c r="D142" i="1"/>
  <c r="D538" i="1"/>
  <c r="D1085" i="1"/>
  <c r="E252" i="1"/>
  <c r="D554" i="1"/>
  <c r="D380" i="1"/>
  <c r="D1005" i="1"/>
  <c r="D785" i="1"/>
  <c r="D462" i="1"/>
  <c r="D685" i="1"/>
  <c r="D1109" i="1"/>
  <c r="D1093" i="1"/>
  <c r="D985" i="1"/>
  <c r="D1031" i="1"/>
  <c r="D546" i="1"/>
  <c r="D120" i="1"/>
  <c r="D358" i="1"/>
  <c r="E1030" i="1"/>
  <c r="D841" i="1"/>
  <c r="D793" i="1"/>
  <c r="F793" i="1" s="1"/>
  <c r="H793" i="1" s="1"/>
  <c r="I793" i="1" s="1"/>
  <c r="D116" i="1"/>
  <c r="D1188" i="1"/>
  <c r="D745" i="1"/>
  <c r="D624" i="1"/>
  <c r="D108" i="1"/>
  <c r="F108" i="1" s="1"/>
  <c r="H108" i="1" s="1"/>
  <c r="I108" i="1" s="1"/>
  <c r="D1118" i="1"/>
  <c r="D1127" i="1"/>
  <c r="D1159" i="1"/>
  <c r="D991" i="1"/>
  <c r="D937" i="1"/>
  <c r="D721" i="1"/>
  <c r="D100" i="1"/>
  <c r="E103" i="1"/>
  <c r="D232" i="1"/>
  <c r="D889" i="1"/>
  <c r="D1034" i="1"/>
  <c r="D1113" i="1"/>
  <c r="D1132" i="1"/>
  <c r="D967" i="1"/>
  <c r="D961" i="1"/>
  <c r="D943" i="1"/>
  <c r="D769" i="1"/>
  <c r="D725" i="1"/>
  <c r="D362" i="1"/>
  <c r="D84" i="1"/>
  <c r="E110" i="2"/>
  <c r="D188" i="1"/>
  <c r="E923" i="1"/>
  <c r="D1060" i="1"/>
  <c r="F1060" i="1" s="1"/>
  <c r="H1060" i="1" s="1"/>
  <c r="I1060" i="1" s="1"/>
  <c r="D1063" i="1"/>
  <c r="D1081" i="1"/>
  <c r="D1076" i="1"/>
  <c r="D983" i="1"/>
  <c r="D845" i="1"/>
  <c r="D1097" i="1"/>
  <c r="D1039" i="1"/>
  <c r="D1175" i="1"/>
  <c r="D865" i="1"/>
  <c r="D697" i="1"/>
  <c r="D228" i="1"/>
  <c r="D76" i="1"/>
  <c r="E174" i="1"/>
  <c r="D158" i="1"/>
  <c r="D204" i="1"/>
  <c r="D140" i="1"/>
  <c r="D1044" i="1"/>
  <c r="D68" i="1"/>
  <c r="D1015" i="1"/>
  <c r="D893" i="1"/>
  <c r="D788" i="1"/>
  <c r="D522" i="1"/>
  <c r="E751" i="1"/>
  <c r="E451" i="1"/>
  <c r="F451" i="1" s="1"/>
  <c r="D87" i="1"/>
  <c r="E241" i="1"/>
  <c r="E809" i="1"/>
  <c r="D618" i="1"/>
  <c r="D53" i="1"/>
  <c r="D761" i="1"/>
  <c r="F761" i="1" s="1"/>
  <c r="H761" i="1" s="1"/>
  <c r="I761" i="1" s="1"/>
  <c r="D498" i="1"/>
  <c r="D428" i="1"/>
  <c r="D388" i="1"/>
  <c r="F388" i="1" s="1"/>
  <c r="H388" i="1" s="1"/>
  <c r="I388" i="1" s="1"/>
  <c r="E754" i="1"/>
  <c r="E467" i="1"/>
  <c r="D860" i="1"/>
  <c r="D765" i="1"/>
  <c r="D1017" i="1"/>
  <c r="D592" i="1"/>
  <c r="D466" i="1"/>
  <c r="E607" i="1"/>
  <c r="E464" i="1"/>
  <c r="D111" i="1"/>
  <c r="D921" i="1"/>
  <c r="D248" i="1"/>
  <c r="D324" i="1"/>
  <c r="E494" i="1"/>
  <c r="D244" i="1"/>
  <c r="E924" i="1"/>
  <c r="D1119" i="1"/>
  <c r="E466" i="1"/>
  <c r="D713" i="1"/>
  <c r="D552" i="1"/>
  <c r="D308" i="1"/>
  <c r="D404" i="1"/>
  <c r="E775" i="1"/>
  <c r="E491" i="1"/>
  <c r="D550" i="1"/>
  <c r="D344" i="1"/>
  <c r="E99" i="2"/>
  <c r="E79" i="2"/>
  <c r="E300" i="1"/>
  <c r="E298" i="1"/>
  <c r="F298" i="1" s="1"/>
  <c r="D1008" i="1"/>
  <c r="F1008" i="1" s="1"/>
  <c r="H1008" i="1" s="1"/>
  <c r="I1008" i="1" s="1"/>
  <c r="D1134" i="1"/>
  <c r="D638" i="1"/>
  <c r="D256" i="1"/>
  <c r="D227" i="1"/>
  <c r="E295" i="1"/>
  <c r="E38" i="2"/>
  <c r="E141" i="2"/>
  <c r="E453" i="1"/>
  <c r="F453" i="1" s="1"/>
  <c r="H453" i="1" s="1"/>
  <c r="I453" i="1" s="1"/>
  <c r="E777" i="1"/>
  <c r="E611" i="1"/>
  <c r="D668" i="1"/>
  <c r="E296" i="1"/>
  <c r="D79" i="1"/>
  <c r="E301" i="1"/>
  <c r="E1057" i="1"/>
  <c r="E107" i="1"/>
  <c r="F107" i="1" s="1"/>
  <c r="H107" i="1" s="1"/>
  <c r="I107" i="1" s="1"/>
  <c r="D1032" i="1"/>
  <c r="D1086" i="1"/>
  <c r="D740" i="1"/>
  <c r="D707" i="1"/>
  <c r="E773" i="1"/>
  <c r="E610" i="1"/>
  <c r="D716" i="1"/>
  <c r="E807" i="1"/>
  <c r="E612" i="1"/>
  <c r="D1158" i="1"/>
  <c r="E778" i="1"/>
  <c r="E608" i="1"/>
  <c r="E447" i="1"/>
  <c r="F447" i="1" s="1"/>
  <c r="D812" i="1"/>
  <c r="D117" i="1"/>
  <c r="D257" i="1"/>
  <c r="E144" i="1"/>
  <c r="E97" i="1"/>
  <c r="D481" i="1"/>
  <c r="D774" i="1"/>
  <c r="D870" i="1"/>
  <c r="D861" i="1"/>
  <c r="D837" i="1"/>
  <c r="D826" i="1"/>
  <c r="D717" i="1"/>
  <c r="D548" i="1"/>
  <c r="D192" i="1"/>
  <c r="E442" i="1"/>
  <c r="E623" i="1"/>
  <c r="D128" i="1"/>
  <c r="E259" i="1"/>
  <c r="D176" i="1"/>
  <c r="D132" i="1"/>
  <c r="D297" i="1"/>
  <c r="D425" i="1"/>
  <c r="D743" i="1"/>
  <c r="E83" i="1"/>
  <c r="D254" i="1"/>
  <c r="D124" i="1"/>
  <c r="E169" i="1"/>
  <c r="E95" i="1"/>
  <c r="E150" i="1"/>
  <c r="F150" i="1" s="1"/>
  <c r="H150" i="1" s="1"/>
  <c r="I150" i="1" s="1"/>
  <c r="D307" i="1"/>
  <c r="E1056" i="1"/>
  <c r="E96" i="1"/>
  <c r="D441" i="1"/>
  <c r="F441" i="1" s="1"/>
  <c r="E102" i="1"/>
  <c r="D878" i="1"/>
  <c r="E8" i="2"/>
  <c r="E148" i="1"/>
  <c r="E157" i="2"/>
  <c r="E101" i="1"/>
  <c r="D513" i="1"/>
  <c r="D682" i="1"/>
  <c r="D678" i="1"/>
  <c r="D569" i="1"/>
  <c r="E628" i="1"/>
  <c r="E262" i="1"/>
  <c r="F262" i="1" s="1"/>
  <c r="H262" i="1" s="1"/>
  <c r="I262" i="1" s="1"/>
  <c r="D273" i="1"/>
  <c r="D329" i="1"/>
  <c r="F329" i="1" s="1"/>
  <c r="D710" i="1"/>
  <c r="D806" i="1"/>
  <c r="D798" i="1"/>
  <c r="D561" i="1"/>
  <c r="D470" i="1"/>
  <c r="F470" i="1" s="1"/>
  <c r="H470" i="1" s="1"/>
  <c r="I470" i="1" s="1"/>
  <c r="D529" i="1"/>
  <c r="E626" i="1"/>
  <c r="E101" i="2"/>
  <c r="E98" i="1"/>
  <c r="E255" i="1"/>
  <c r="D212" i="1"/>
  <c r="D105" i="1"/>
  <c r="D281" i="1"/>
  <c r="D393" i="1"/>
  <c r="D758" i="1"/>
  <c r="E253" i="1"/>
  <c r="F253" i="1" s="1"/>
  <c r="H253" i="1" s="1"/>
  <c r="I253" i="1" s="1"/>
  <c r="D184" i="1"/>
  <c r="D66" i="1"/>
  <c r="D674" i="1"/>
  <c r="D51" i="1"/>
  <c r="E109" i="1"/>
  <c r="E147" i="1"/>
  <c r="D136" i="1"/>
  <c r="E1167" i="1"/>
  <c r="E933" i="1"/>
  <c r="E99" i="1"/>
  <c r="D537" i="1"/>
  <c r="D782" i="1"/>
  <c r="D353" i="1"/>
  <c r="E55" i="2"/>
  <c r="E100" i="1"/>
  <c r="D521" i="1"/>
  <c r="D762" i="1"/>
  <c r="D241" i="1"/>
  <c r="D1020" i="1"/>
  <c r="D500" i="1"/>
  <c r="D593" i="1"/>
  <c r="D489" i="1"/>
  <c r="E789" i="1"/>
  <c r="D258" i="1"/>
  <c r="D265" i="1"/>
  <c r="D369" i="1"/>
  <c r="D843" i="1"/>
  <c r="D80" i="1"/>
  <c r="E250" i="1"/>
  <c r="D220" i="1"/>
  <c r="D86" i="1"/>
  <c r="F86" i="1" s="1"/>
  <c r="H86" i="1" s="1"/>
  <c r="I86" i="1" s="1"/>
  <c r="E1032" i="1"/>
  <c r="E265" i="1"/>
  <c r="D617" i="1"/>
  <c r="E146" i="1"/>
  <c r="E145" i="1"/>
  <c r="D346" i="1"/>
  <c r="E84" i="1"/>
  <c r="D465" i="1"/>
  <c r="D1130" i="1"/>
  <c r="D1068" i="1"/>
  <c r="E581" i="1"/>
  <c r="D1148" i="1"/>
  <c r="D1146" i="1"/>
  <c r="D1066" i="1"/>
  <c r="D948" i="1"/>
  <c r="D996" i="1"/>
  <c r="D956" i="1"/>
  <c r="D693" i="1"/>
  <c r="E461" i="1"/>
  <c r="F461" i="1" s="1"/>
  <c r="H461" i="1" s="1"/>
  <c r="I461" i="1" s="1"/>
  <c r="E282" i="1"/>
  <c r="E158" i="1"/>
  <c r="E893" i="1"/>
  <c r="E382" i="1"/>
  <c r="F382" i="1" s="1"/>
  <c r="H382" i="1" s="1"/>
  <c r="I382" i="1" s="1"/>
  <c r="E1159" i="1"/>
  <c r="E1077" i="1"/>
  <c r="D50" i="1"/>
  <c r="D940" i="1"/>
  <c r="F940" i="1" s="1"/>
  <c r="H940" i="1" s="1"/>
  <c r="I940" i="1" s="1"/>
  <c r="D143" i="1"/>
  <c r="F143" i="1" s="1"/>
  <c r="H143" i="1" s="1"/>
  <c r="I143" i="1" s="1"/>
  <c r="E436" i="1"/>
  <c r="E281" i="1"/>
  <c r="F281" i="1" s="1"/>
  <c r="E899" i="1"/>
  <c r="E106" i="2"/>
  <c r="E105" i="1"/>
  <c r="E380" i="1"/>
  <c r="E1158" i="1"/>
  <c r="E1082" i="1"/>
  <c r="E897" i="1"/>
  <c r="D1164" i="1"/>
  <c r="D1154" i="1"/>
  <c r="D1042" i="1"/>
  <c r="D807" i="1"/>
  <c r="D144" i="1"/>
  <c r="E892" i="1"/>
  <c r="E104" i="1"/>
  <c r="E1157" i="1"/>
  <c r="E1081" i="1"/>
  <c r="E1059" i="1"/>
  <c r="E1079" i="1"/>
  <c r="D1082" i="1"/>
  <c r="D1180" i="1"/>
  <c r="D972" i="1"/>
  <c r="D759" i="1"/>
  <c r="D1138" i="1"/>
  <c r="D1058" i="1"/>
  <c r="D1114" i="1"/>
  <c r="D1050" i="1"/>
  <c r="D964" i="1"/>
  <c r="D1172" i="1"/>
  <c r="D1026" i="1"/>
  <c r="D980" i="1"/>
  <c r="D1140" i="1"/>
  <c r="D1074" i="1"/>
  <c r="D663" i="1"/>
  <c r="D621" i="1"/>
  <c r="D418" i="1"/>
  <c r="D457" i="1"/>
  <c r="D386" i="1"/>
  <c r="E106" i="1"/>
  <c r="D155" i="1"/>
  <c r="E898" i="1"/>
  <c r="E110" i="1"/>
  <c r="E1164" i="1"/>
  <c r="E1080" i="1"/>
  <c r="E1058" i="1"/>
  <c r="E937" i="1"/>
  <c r="D1052" i="1"/>
  <c r="E1084" i="1"/>
  <c r="D231" i="1"/>
  <c r="E896" i="1"/>
  <c r="E361" i="1"/>
  <c r="F361" i="1" s="1"/>
  <c r="H361" i="1" s="1"/>
  <c r="I361" i="1" s="1"/>
  <c r="D1116" i="1"/>
  <c r="D1028" i="1"/>
  <c r="D1004" i="1"/>
  <c r="D338" i="1"/>
  <c r="E577" i="1"/>
  <c r="D85" i="1"/>
  <c r="E895" i="1"/>
  <c r="E50" i="2"/>
  <c r="E1161" i="1"/>
  <c r="E1078" i="1"/>
  <c r="E147" i="2"/>
  <c r="E1055" i="1"/>
  <c r="E1160" i="1"/>
  <c r="E144" i="2"/>
  <c r="D619" i="1"/>
  <c r="D718" i="1"/>
  <c r="D840" i="1"/>
  <c r="D179" i="1"/>
  <c r="D185" i="1"/>
  <c r="E1149" i="1"/>
  <c r="F688" i="1"/>
  <c r="H688" i="1" s="1"/>
  <c r="I688" i="1" s="1"/>
  <c r="D814" i="1"/>
  <c r="E791" i="1"/>
  <c r="D187" i="1"/>
  <c r="D173" i="1"/>
  <c r="D675" i="1"/>
  <c r="E244" i="1"/>
  <c r="D57" i="1"/>
  <c r="E7" i="2"/>
  <c r="D166" i="1"/>
  <c r="D109" i="1"/>
  <c r="D193" i="1"/>
  <c r="E1156" i="1"/>
  <c r="E173" i="1"/>
  <c r="E293" i="1"/>
  <c r="E383" i="1"/>
  <c r="D510" i="1"/>
  <c r="D744" i="1"/>
  <c r="D73" i="1"/>
  <c r="D133" i="1"/>
  <c r="D768" i="1"/>
  <c r="D1174" i="1"/>
  <c r="D929" i="1"/>
  <c r="D1126" i="1"/>
  <c r="D1142" i="1"/>
  <c r="D1166" i="1"/>
  <c r="D1064" i="1"/>
  <c r="D1024" i="1"/>
  <c r="D1056" i="1"/>
  <c r="D848" i="1"/>
  <c r="D614" i="1"/>
  <c r="D110" i="1"/>
  <c r="E772" i="1"/>
  <c r="E614" i="1"/>
  <c r="E446" i="1"/>
  <c r="E458" i="1"/>
  <c r="E450" i="1"/>
  <c r="E794" i="1"/>
  <c r="E68" i="2"/>
  <c r="D207" i="1"/>
  <c r="D118" i="1"/>
  <c r="D195" i="1"/>
  <c r="D215" i="1"/>
  <c r="D884" i="1"/>
  <c r="D65" i="1"/>
  <c r="D206" i="1"/>
  <c r="D71" i="1"/>
  <c r="D771" i="1"/>
  <c r="E243" i="1"/>
  <c r="E299" i="1"/>
  <c r="D159" i="1"/>
  <c r="D49" i="1"/>
  <c r="E249" i="1"/>
  <c r="F249" i="1" s="1"/>
  <c r="H249" i="1" s="1"/>
  <c r="I249" i="1" s="1"/>
  <c r="D97" i="1"/>
  <c r="D742" i="1"/>
  <c r="E172" i="1"/>
  <c r="F172" i="1" s="1"/>
  <c r="H172" i="1" s="1"/>
  <c r="I172" i="1" s="1"/>
  <c r="D214" i="1"/>
  <c r="D247" i="1"/>
  <c r="F247" i="1" s="1"/>
  <c r="H247" i="1" s="1"/>
  <c r="I247" i="1" s="1"/>
  <c r="D126" i="1"/>
  <c r="D363" i="1"/>
  <c r="F363" i="1" s="1"/>
  <c r="E387" i="1"/>
  <c r="D862" i="1"/>
  <c r="D163" i="1"/>
  <c r="D838" i="1"/>
  <c r="E459" i="1"/>
  <c r="D213" i="1"/>
  <c r="E432" i="1"/>
  <c r="F432" i="1" s="1"/>
  <c r="H432" i="1" s="1"/>
  <c r="I432" i="1" s="1"/>
  <c r="E245" i="1"/>
  <c r="D824" i="1"/>
  <c r="D450" i="1"/>
  <c r="E116" i="1"/>
  <c r="D792" i="1"/>
  <c r="D1105" i="1"/>
  <c r="D1094" i="1"/>
  <c r="D910" i="1"/>
  <c r="D896" i="1"/>
  <c r="D723" i="1"/>
  <c r="D819" i="1"/>
  <c r="D198" i="1"/>
  <c r="E779" i="1"/>
  <c r="E445" i="1"/>
  <c r="E457" i="1"/>
  <c r="E449" i="1"/>
  <c r="F449" i="1" s="1"/>
  <c r="H449" i="1" s="1"/>
  <c r="I449" i="1" s="1"/>
  <c r="E788" i="1"/>
  <c r="E167" i="1"/>
  <c r="D123" i="1"/>
  <c r="D211" i="1"/>
  <c r="D223" i="1"/>
  <c r="E438" i="1"/>
  <c r="D167" i="1"/>
  <c r="D125" i="1"/>
  <c r="D867" i="1"/>
  <c r="E242" i="1"/>
  <c r="E297" i="1"/>
  <c r="D127" i="1"/>
  <c r="D41" i="1"/>
  <c r="E248" i="1"/>
  <c r="D75" i="1"/>
  <c r="D766" i="1"/>
  <c r="E171" i="1"/>
  <c r="D102" i="1"/>
  <c r="D427" i="1"/>
  <c r="E1162" i="1"/>
  <c r="E1054" i="1"/>
  <c r="D91" i="1"/>
  <c r="D890" i="1"/>
  <c r="D348" i="1"/>
  <c r="E691" i="1"/>
  <c r="D1112" i="1"/>
  <c r="D672" i="1"/>
  <c r="E439" i="1"/>
  <c r="E78" i="2"/>
  <c r="E456" i="1"/>
  <c r="D1179" i="1"/>
  <c r="D1075" i="1"/>
  <c r="D1040" i="1"/>
  <c r="D872" i="1"/>
  <c r="D888" i="1"/>
  <c r="E774" i="1"/>
  <c r="E444" i="1"/>
  <c r="E455" i="1"/>
  <c r="F455" i="1" s="1"/>
  <c r="E448" i="1"/>
  <c r="E790" i="1"/>
  <c r="D165" i="1"/>
  <c r="E114" i="1"/>
  <c r="D139" i="1"/>
  <c r="D219" i="1"/>
  <c r="D764" i="1"/>
  <c r="E437" i="1"/>
  <c r="D252" i="1"/>
  <c r="D135" i="1"/>
  <c r="D191" i="1"/>
  <c r="F191" i="1" s="1"/>
  <c r="H191" i="1" s="1"/>
  <c r="I191" i="1" s="1"/>
  <c r="D747" i="1"/>
  <c r="E6" i="2"/>
  <c r="E13" i="2"/>
  <c r="D103" i="1"/>
  <c r="F103" i="1" s="1"/>
  <c r="E254" i="1"/>
  <c r="D794" i="1"/>
  <c r="D790" i="1"/>
  <c r="F790" i="1" s="1"/>
  <c r="E170" i="1"/>
  <c r="D119" i="1"/>
  <c r="D436" i="1"/>
  <c r="E435" i="1"/>
  <c r="E240" i="1"/>
  <c r="F240" i="1" s="1"/>
  <c r="H240" i="1" s="1"/>
  <c r="D83" i="1"/>
  <c r="D722" i="1"/>
  <c r="E51" i="2"/>
  <c r="D627" i="1"/>
  <c r="D183" i="1"/>
  <c r="E462" i="1"/>
  <c r="D222" i="1"/>
  <c r="D89" i="1"/>
  <c r="D171" i="1"/>
  <c r="D720" i="1"/>
  <c r="D836" i="1"/>
  <c r="E434" i="1"/>
  <c r="D182" i="1"/>
  <c r="D157" i="1"/>
  <c r="D94" i="1"/>
  <c r="D891" i="1"/>
  <c r="E246" i="1"/>
  <c r="F246" i="1" s="1"/>
  <c r="H246" i="1" s="1"/>
  <c r="I246" i="1" s="1"/>
  <c r="D221" i="1"/>
  <c r="E251" i="1"/>
  <c r="D177" i="1"/>
  <c r="E1150" i="1"/>
  <c r="F1150" i="1" s="1"/>
  <c r="H1150" i="1" s="1"/>
  <c r="I1150" i="1" s="1"/>
  <c r="D174" i="1"/>
  <c r="D70" i="1"/>
  <c r="E1085" i="1"/>
  <c r="D46" i="1"/>
  <c r="D101" i="1"/>
  <c r="D556" i="1"/>
  <c r="E1048" i="1"/>
  <c r="F1048" i="1" s="1"/>
  <c r="H1048" i="1" s="1"/>
  <c r="I1048" i="1" s="1"/>
  <c r="D874" i="1"/>
  <c r="D679" i="1"/>
  <c r="D612" i="1"/>
  <c r="D276" i="1"/>
  <c r="D420" i="1"/>
  <c r="E749" i="1"/>
  <c r="E108" i="2"/>
  <c r="E487" i="1"/>
  <c r="E465" i="1"/>
  <c r="D160" i="1"/>
  <c r="D61" i="1"/>
  <c r="D152" i="1"/>
  <c r="D275" i="1"/>
  <c r="D77" i="1"/>
  <c r="E806" i="1"/>
  <c r="D181" i="1"/>
  <c r="D129" i="1"/>
  <c r="D69" i="1"/>
  <c r="D833" i="1"/>
  <c r="D746" i="1"/>
  <c r="D201" i="1"/>
  <c r="E1155" i="1"/>
  <c r="E984" i="1"/>
  <c r="E113" i="1"/>
  <c r="D343" i="1"/>
  <c r="E379" i="1"/>
  <c r="D562" i="1"/>
  <c r="D594" i="1"/>
  <c r="D799" i="1"/>
  <c r="D323" i="1"/>
  <c r="D371" i="1"/>
  <c r="D664" i="1"/>
  <c r="D741" i="1"/>
  <c r="E1034" i="1"/>
  <c r="E1009" i="1"/>
  <c r="E1047" i="1"/>
  <c r="E934" i="1"/>
  <c r="D45" i="1"/>
  <c r="D580" i="1"/>
  <c r="D572" i="1"/>
  <c r="E985" i="1"/>
  <c r="D1124" i="1"/>
  <c r="F805" i="1"/>
  <c r="H805" i="1" s="1"/>
  <c r="I805" i="1" s="1"/>
  <c r="D856" i="1"/>
  <c r="D737" i="1"/>
  <c r="D666" i="1"/>
  <c r="D777" i="1"/>
  <c r="D488" i="1"/>
  <c r="D558" i="1"/>
  <c r="D526" i="1"/>
  <c r="D532" i="1"/>
  <c r="D442" i="1"/>
  <c r="D372" i="1"/>
  <c r="D396" i="1"/>
  <c r="D332" i="1"/>
  <c r="D284" i="1"/>
  <c r="D104" i="1"/>
  <c r="E750" i="1"/>
  <c r="E493" i="1"/>
  <c r="E460" i="1"/>
  <c r="E463" i="1"/>
  <c r="D112" i="1"/>
  <c r="D131" i="1"/>
  <c r="D203" i="1"/>
  <c r="F203" i="1" s="1"/>
  <c r="D816" i="1"/>
  <c r="E433" i="1"/>
  <c r="D237" i="1"/>
  <c r="D200" i="1"/>
  <c r="D268" i="1"/>
  <c r="D113" i="1"/>
  <c r="E808" i="1"/>
  <c r="E37" i="2"/>
  <c r="D857" i="1"/>
  <c r="D818" i="1"/>
  <c r="D209" i="1"/>
  <c r="E1154" i="1"/>
  <c r="E983" i="1"/>
  <c r="E135" i="2"/>
  <c r="E112" i="1"/>
  <c r="D88" i="1"/>
  <c r="D255" i="1"/>
  <c r="E758" i="1"/>
  <c r="E377" i="1"/>
  <c r="D229" i="1"/>
  <c r="D121" i="1"/>
  <c r="D490" i="1"/>
  <c r="D570" i="1"/>
  <c r="D823" i="1"/>
  <c r="D339" i="1"/>
  <c r="D379" i="1"/>
  <c r="D712" i="1"/>
  <c r="D789" i="1"/>
  <c r="E1029" i="1"/>
  <c r="E1053" i="1"/>
  <c r="E1046" i="1"/>
  <c r="E143" i="2"/>
  <c r="E938" i="1"/>
  <c r="D849" i="1"/>
  <c r="D797" i="1"/>
  <c r="D931" i="1"/>
  <c r="D778" i="1"/>
  <c r="D729" i="1"/>
  <c r="D629" i="1"/>
  <c r="D604" i="1"/>
  <c r="D508" i="1"/>
  <c r="D524" i="1"/>
  <c r="D512" i="1"/>
  <c r="D540" i="1"/>
  <c r="D444" i="1"/>
  <c r="D412" i="1"/>
  <c r="D316" i="1"/>
  <c r="E755" i="1"/>
  <c r="E488" i="1"/>
  <c r="E84" i="2"/>
  <c r="E469" i="1"/>
  <c r="D216" i="1"/>
  <c r="D197" i="1"/>
  <c r="D137" i="1"/>
  <c r="E111" i="1"/>
  <c r="E804" i="1"/>
  <c r="D842" i="1"/>
  <c r="D217" i="1"/>
  <c r="E1153" i="1"/>
  <c r="E152" i="2"/>
  <c r="E982" i="1"/>
  <c r="E118" i="1"/>
  <c r="D431" i="1"/>
  <c r="E376" i="1"/>
  <c r="F376" i="1" s="1"/>
  <c r="H376" i="1" s="1"/>
  <c r="I376" i="1" s="1"/>
  <c r="D514" i="1"/>
  <c r="D610" i="1"/>
  <c r="D847" i="1"/>
  <c r="D243" i="1"/>
  <c r="D387" i="1"/>
  <c r="D760" i="1"/>
  <c r="E1036" i="1"/>
  <c r="E1050" i="1"/>
  <c r="E936" i="1"/>
  <c r="D564" i="1"/>
  <c r="D832" i="1"/>
  <c r="D1115" i="1"/>
  <c r="D963" i="1"/>
  <c r="D821" i="1"/>
  <c r="D897" i="1"/>
  <c r="D869" i="1"/>
  <c r="D825" i="1"/>
  <c r="D751" i="1"/>
  <c r="D775" i="1"/>
  <c r="D588" i="1"/>
  <c r="F588" i="1" s="1"/>
  <c r="H588" i="1" s="1"/>
  <c r="I588" i="1" s="1"/>
  <c r="D518" i="1"/>
  <c r="D516" i="1"/>
  <c r="D476" i="1"/>
  <c r="D468" i="1"/>
  <c r="D356" i="1"/>
  <c r="D440" i="1"/>
  <c r="D300" i="1"/>
  <c r="E748" i="1"/>
  <c r="E490" i="1"/>
  <c r="E468" i="1"/>
  <c r="E81" i="2"/>
  <c r="E431" i="1"/>
  <c r="D96" i="1"/>
  <c r="D224" i="1"/>
  <c r="E811" i="1"/>
  <c r="F811" i="1" s="1"/>
  <c r="H811" i="1" s="1"/>
  <c r="I811" i="1" s="1"/>
  <c r="D161" i="1"/>
  <c r="D115" i="1"/>
  <c r="F115" i="1" s="1"/>
  <c r="H115" i="1" s="1"/>
  <c r="I115" i="1" s="1"/>
  <c r="D866" i="1"/>
  <c r="D225" i="1"/>
  <c r="E1152" i="1"/>
  <c r="E981" i="1"/>
  <c r="E117" i="1"/>
  <c r="D208" i="1"/>
  <c r="E378" i="1"/>
  <c r="E23" i="2"/>
  <c r="D530" i="1"/>
  <c r="D474" i="1"/>
  <c r="F474" i="1" s="1"/>
  <c r="D871" i="1"/>
  <c r="D299" i="1"/>
  <c r="D395" i="1"/>
  <c r="D736" i="1"/>
  <c r="E1035" i="1"/>
  <c r="E1045" i="1"/>
  <c r="E129" i="2"/>
  <c r="D596" i="1"/>
  <c r="D492" i="1"/>
  <c r="F492" i="1" s="1"/>
  <c r="H492" i="1" s="1"/>
  <c r="I492" i="1" s="1"/>
  <c r="D99" i="1"/>
  <c r="E810" i="1"/>
  <c r="D770" i="1"/>
  <c r="D169" i="1"/>
  <c r="F169" i="1" s="1"/>
  <c r="H169" i="1" s="1"/>
  <c r="I169" i="1" s="1"/>
  <c r="D670" i="1"/>
  <c r="E988" i="1"/>
  <c r="F988" i="1" s="1"/>
  <c r="H988" i="1" s="1"/>
  <c r="I988" i="1" s="1"/>
  <c r="D205" i="1"/>
  <c r="D67" i="1"/>
  <c r="E375" i="1"/>
  <c r="D364" i="1"/>
  <c r="D168" i="1"/>
  <c r="F168" i="1" s="1"/>
  <c r="D602" i="1"/>
  <c r="D586" i="1"/>
  <c r="D895" i="1"/>
  <c r="D315" i="1"/>
  <c r="D403" i="1"/>
  <c r="D784" i="1"/>
  <c r="E1033" i="1"/>
  <c r="E1052" i="1"/>
  <c r="E939" i="1"/>
  <c r="E987" i="1"/>
  <c r="D578" i="1"/>
  <c r="F578" i="1" s="1"/>
  <c r="D626" i="1"/>
  <c r="D283" i="1"/>
  <c r="F283" i="1" s="1"/>
  <c r="D331" i="1"/>
  <c r="F331" i="1" s="1"/>
  <c r="D411" i="1"/>
  <c r="D808" i="1"/>
  <c r="E1051" i="1"/>
  <c r="D43" i="1"/>
  <c r="D267" i="1"/>
  <c r="D141" i="1"/>
  <c r="D81" i="1"/>
  <c r="D482" i="1"/>
  <c r="D506" i="1"/>
  <c r="D291" i="1"/>
  <c r="D355" i="1"/>
  <c r="D669" i="1"/>
  <c r="E935" i="1"/>
  <c r="F935" i="1" s="1"/>
  <c r="H935" i="1" s="1"/>
  <c r="I935" i="1" s="1"/>
  <c r="D251" i="1"/>
  <c r="E757" i="1"/>
  <c r="D95" i="1"/>
  <c r="E1007" i="1"/>
  <c r="F1007" i="1" s="1"/>
  <c r="H1007" i="1" s="1"/>
  <c r="I1007" i="1" s="1"/>
  <c r="E138" i="2"/>
  <c r="E685" i="1"/>
  <c r="D347" i="1"/>
  <c r="E756" i="1"/>
  <c r="E1184" i="1"/>
  <c r="E1012" i="1"/>
  <c r="E1097" i="1"/>
  <c r="E687" i="1"/>
  <c r="F687" i="1" s="1"/>
  <c r="H687" i="1" s="1"/>
  <c r="I687" i="1" s="1"/>
  <c r="D435" i="1"/>
  <c r="E759" i="1"/>
  <c r="E1188" i="1"/>
  <c r="E1006" i="1"/>
  <c r="E690" i="1"/>
  <c r="D199" i="1"/>
  <c r="F199" i="1" s="1"/>
  <c r="H199" i="1" s="1"/>
  <c r="I199" i="1" s="1"/>
  <c r="E763" i="1"/>
  <c r="E1011" i="1"/>
  <c r="E689" i="1"/>
  <c r="D460" i="1"/>
  <c r="D151" i="1"/>
  <c r="F151" i="1" s="1"/>
  <c r="H151" i="1" s="1"/>
  <c r="I151" i="1" s="1"/>
  <c r="E762" i="1"/>
  <c r="E1005" i="1"/>
  <c r="E686" i="1"/>
  <c r="D452" i="1"/>
  <c r="D63" i="1"/>
  <c r="E760" i="1"/>
  <c r="E40" i="2"/>
  <c r="E1010" i="1"/>
  <c r="E684" i="1"/>
  <c r="F684" i="1" s="1"/>
  <c r="H684" i="1" s="1"/>
  <c r="I684" i="1" s="1"/>
  <c r="D705" i="1"/>
  <c r="D175" i="1"/>
  <c r="D1099" i="1"/>
  <c r="D1101" i="1"/>
  <c r="D1059" i="1"/>
  <c r="D979" i="1"/>
  <c r="D987" i="1"/>
  <c r="F1031" i="1"/>
  <c r="H1031" i="1" s="1"/>
  <c r="I1031" i="1" s="1"/>
  <c r="D731" i="1"/>
  <c r="D633" i="1"/>
  <c r="D598" i="1"/>
  <c r="D702" i="1"/>
  <c r="D590" i="1"/>
  <c r="F590" i="1" s="1"/>
  <c r="H590" i="1" s="1"/>
  <c r="I590" i="1" s="1"/>
  <c r="D370" i="1"/>
  <c r="E138" i="1"/>
  <c r="E576" i="1"/>
  <c r="D831" i="1"/>
  <c r="E284" i="1"/>
  <c r="E11" i="2"/>
  <c r="D236" i="1"/>
  <c r="E157" i="1"/>
  <c r="E360" i="1"/>
  <c r="F360" i="1" s="1"/>
  <c r="H360" i="1" s="1"/>
  <c r="I360" i="1" s="1"/>
  <c r="D180" i="1"/>
  <c r="D303" i="1"/>
  <c r="E1186" i="1"/>
  <c r="F1186" i="1" s="1"/>
  <c r="H1186" i="1" s="1"/>
  <c r="I1186" i="1" s="1"/>
  <c r="E918" i="1"/>
  <c r="F918" i="1" s="1"/>
  <c r="H918" i="1" s="1"/>
  <c r="I918" i="1" s="1"/>
  <c r="E385" i="1"/>
  <c r="D1067" i="1"/>
  <c r="D915" i="1"/>
  <c r="D925" i="1"/>
  <c r="D494" i="1"/>
  <c r="D478" i="1"/>
  <c r="D534" i="1"/>
  <c r="D426" i="1"/>
  <c r="D448" i="1"/>
  <c r="E575" i="1"/>
  <c r="D855" i="1"/>
  <c r="E286" i="1"/>
  <c r="E156" i="1"/>
  <c r="E362" i="1"/>
  <c r="E21" i="2"/>
  <c r="D44" i="1"/>
  <c r="D279" i="1"/>
  <c r="E1182" i="1"/>
  <c r="E917" i="1"/>
  <c r="E384" i="1"/>
  <c r="F384" i="1" s="1"/>
  <c r="H384" i="1" s="1"/>
  <c r="I384" i="1" s="1"/>
  <c r="D1091" i="1"/>
  <c r="D1051" i="1"/>
  <c r="D955" i="1"/>
  <c r="D947" i="1"/>
  <c r="D574" i="1"/>
  <c r="D502" i="1"/>
  <c r="D378" i="1"/>
  <c r="D282" i="1"/>
  <c r="E582" i="1"/>
  <c r="D314" i="1"/>
  <c r="E135" i="1"/>
  <c r="D879" i="1"/>
  <c r="E280" i="1"/>
  <c r="F280" i="1" s="1"/>
  <c r="H280" i="1" s="1"/>
  <c r="I280" i="1" s="1"/>
  <c r="E155" i="1"/>
  <c r="E359" i="1"/>
  <c r="D399" i="1"/>
  <c r="E1181" i="1"/>
  <c r="E921" i="1"/>
  <c r="E386" i="1"/>
  <c r="E24" i="2"/>
  <c r="D544" i="1"/>
  <c r="E56" i="2"/>
  <c r="E366" i="1"/>
  <c r="D804" i="1"/>
  <c r="D1163" i="1"/>
  <c r="F1163" i="1" s="1"/>
  <c r="H1163" i="1" s="1"/>
  <c r="I1163" i="1" s="1"/>
  <c r="D939" i="1"/>
  <c r="D995" i="1"/>
  <c r="D735" i="1"/>
  <c r="D755" i="1"/>
  <c r="D582" i="1"/>
  <c r="D606" i="1"/>
  <c r="D660" i="1"/>
  <c r="D542" i="1"/>
  <c r="D446" i="1"/>
  <c r="D322" i="1"/>
  <c r="D402" i="1"/>
  <c r="D266" i="1"/>
  <c r="F266" i="1" s="1"/>
  <c r="H266" i="1" s="1"/>
  <c r="I266" i="1" s="1"/>
  <c r="D692" i="1"/>
  <c r="E580" i="1"/>
  <c r="E279" i="1"/>
  <c r="D330" i="1"/>
  <c r="D92" i="1"/>
  <c r="D242" i="1"/>
  <c r="E365" i="1"/>
  <c r="D458" i="1"/>
  <c r="D148" i="1"/>
  <c r="D673" i="1"/>
  <c r="E1183" i="1"/>
  <c r="E1187" i="1"/>
  <c r="E922" i="1"/>
  <c r="E390" i="1"/>
  <c r="D1171" i="1"/>
  <c r="D1035" i="1"/>
  <c r="D1043" i="1"/>
  <c r="D1003" i="1"/>
  <c r="D1013" i="1"/>
  <c r="D783" i="1"/>
  <c r="D780" i="1"/>
  <c r="D683" i="1"/>
  <c r="D410" i="1"/>
  <c r="D306" i="1"/>
  <c r="D354" i="1"/>
  <c r="E579" i="1"/>
  <c r="E95" i="2"/>
  <c r="D234" i="1"/>
  <c r="D47" i="1"/>
  <c r="E285" i="1"/>
  <c r="E153" i="1"/>
  <c r="F153" i="1" s="1"/>
  <c r="H153" i="1" s="1"/>
  <c r="I153" i="1" s="1"/>
  <c r="D196" i="1"/>
  <c r="D156" i="1"/>
  <c r="E364" i="1"/>
  <c r="D634" i="1"/>
  <c r="D146" i="1"/>
  <c r="E1185" i="1"/>
  <c r="E927" i="1"/>
  <c r="F927" i="1" s="1"/>
  <c r="H927" i="1" s="1"/>
  <c r="I927" i="1" s="1"/>
  <c r="E920" i="1"/>
  <c r="E389" i="1"/>
  <c r="D917" i="1"/>
  <c r="D1187" i="1"/>
  <c r="D1027" i="1"/>
  <c r="D1011" i="1"/>
  <c r="D486" i="1"/>
  <c r="D545" i="1"/>
  <c r="D290" i="1"/>
  <c r="F290" i="1" s="1"/>
  <c r="H290" i="1" s="1"/>
  <c r="I290" i="1" s="1"/>
  <c r="D274" i="1"/>
  <c r="D394" i="1"/>
  <c r="D711" i="1"/>
  <c r="E154" i="1"/>
  <c r="E152" i="1"/>
  <c r="E338" i="1"/>
  <c r="E141" i="1"/>
  <c r="E919" i="1"/>
  <c r="D58" i="1"/>
  <c r="F328" i="1"/>
  <c r="H328" i="1" s="1"/>
  <c r="I328" i="1" s="1"/>
  <c r="E340" i="1"/>
  <c r="E18" i="2"/>
  <c r="E137" i="1"/>
  <c r="D226" i="1"/>
  <c r="D295" i="1"/>
  <c r="D375" i="1"/>
  <c r="D708" i="1"/>
  <c r="E1090" i="1"/>
  <c r="E929" i="1"/>
  <c r="E264" i="1"/>
  <c r="F264" i="1" s="1"/>
  <c r="H264" i="1" s="1"/>
  <c r="I264" i="1" s="1"/>
  <c r="E342" i="1"/>
  <c r="E136" i="1"/>
  <c r="D311" i="1"/>
  <c r="D383" i="1"/>
  <c r="D732" i="1"/>
  <c r="E1087" i="1"/>
  <c r="E148" i="2"/>
  <c r="E925" i="1"/>
  <c r="E268" i="1"/>
  <c r="D54" i="1"/>
  <c r="E336" i="1"/>
  <c r="F336" i="1" s="1"/>
  <c r="H336" i="1" s="1"/>
  <c r="I336" i="1" s="1"/>
  <c r="E142" i="1"/>
  <c r="D239" i="1"/>
  <c r="F239" i="1" s="1"/>
  <c r="H239" i="1" s="1"/>
  <c r="I239" i="1" s="1"/>
  <c r="D327" i="1"/>
  <c r="F327" i="1" s="1"/>
  <c r="D391" i="1"/>
  <c r="D756" i="1"/>
  <c r="E1089" i="1"/>
  <c r="E932" i="1"/>
  <c r="F932" i="1" s="1"/>
  <c r="H932" i="1" s="1"/>
  <c r="I932" i="1" s="1"/>
  <c r="E267" i="1"/>
  <c r="E335" i="1"/>
  <c r="E140" i="1"/>
  <c r="D319" i="1"/>
  <c r="D263" i="1"/>
  <c r="D407" i="1"/>
  <c r="D852" i="1"/>
  <c r="E1088" i="1"/>
  <c r="E931" i="1"/>
  <c r="E9" i="2"/>
  <c r="D42" i="1"/>
  <c r="E341" i="1"/>
  <c r="E139" i="1"/>
  <c r="D238" i="1"/>
  <c r="D335" i="1"/>
  <c r="D287" i="1"/>
  <c r="D415" i="1"/>
  <c r="D876" i="1"/>
  <c r="E1091" i="1"/>
  <c r="E930" i="1"/>
  <c r="E263" i="1"/>
  <c r="D90" i="1"/>
  <c r="E339" i="1"/>
  <c r="D351" i="1"/>
  <c r="D359" i="1"/>
  <c r="D423" i="1"/>
  <c r="E1086" i="1"/>
  <c r="E928" i="1"/>
  <c r="E270" i="1"/>
  <c r="F270" i="1" s="1"/>
  <c r="H270" i="1" s="1"/>
  <c r="I270" i="1" s="1"/>
  <c r="D271" i="1"/>
  <c r="D367" i="1"/>
  <c r="E926" i="1"/>
  <c r="D62" i="1"/>
  <c r="D56" i="1"/>
  <c r="D480" i="1"/>
  <c r="D560" i="1"/>
  <c r="E1166" i="1"/>
  <c r="E1094" i="1"/>
  <c r="E291" i="1"/>
  <c r="E187" i="1"/>
  <c r="D472" i="1"/>
  <c r="D464" i="1"/>
  <c r="D584" i="1"/>
  <c r="D536" i="1"/>
  <c r="D496" i="1"/>
  <c r="E1165" i="1"/>
  <c r="E1100" i="1"/>
  <c r="E289" i="1"/>
  <c r="E186" i="1"/>
  <c r="D40" i="1"/>
  <c r="D677" i="1"/>
  <c r="D568" i="1"/>
  <c r="E1172" i="1"/>
  <c r="E1098" i="1"/>
  <c r="E287" i="1"/>
  <c r="E12" i="2"/>
  <c r="E60" i="2"/>
  <c r="D576" i="1"/>
  <c r="D600" i="1"/>
  <c r="D520" i="1"/>
  <c r="E1171" i="1"/>
  <c r="E1096" i="1"/>
  <c r="E149" i="2"/>
  <c r="E292" i="1"/>
  <c r="E185" i="1"/>
  <c r="E1170" i="1"/>
  <c r="E1099" i="1"/>
  <c r="E294" i="1"/>
  <c r="E184" i="1"/>
  <c r="D72" i="1"/>
  <c r="D528" i="1"/>
  <c r="D608" i="1"/>
  <c r="E1168" i="1"/>
  <c r="E153" i="2"/>
  <c r="E1093" i="1"/>
  <c r="E288" i="1"/>
  <c r="F288" i="1" s="1"/>
  <c r="H288" i="1" s="1"/>
  <c r="I288" i="1" s="1"/>
  <c r="E190" i="1"/>
  <c r="D60" i="1"/>
  <c r="H454" i="1"/>
  <c r="I454" i="1" s="1"/>
  <c r="E126" i="2"/>
  <c r="E914" i="1"/>
  <c r="E915" i="1"/>
  <c r="E910" i="1"/>
  <c r="E916" i="1"/>
  <c r="E911" i="1"/>
  <c r="E912" i="1"/>
  <c r="E913" i="1"/>
  <c r="E909" i="1"/>
  <c r="E53" i="2"/>
  <c r="E131" i="1"/>
  <c r="E132" i="1"/>
  <c r="E133" i="1"/>
  <c r="E134" i="1"/>
  <c r="E128" i="1"/>
  <c r="E129" i="1"/>
  <c r="E130" i="1"/>
  <c r="E127" i="1"/>
  <c r="E100" i="2"/>
  <c r="E620" i="1"/>
  <c r="E618" i="1"/>
  <c r="E619" i="1"/>
  <c r="E615" i="1"/>
  <c r="E621" i="1"/>
  <c r="E616" i="1"/>
  <c r="E622" i="1"/>
  <c r="E617" i="1"/>
  <c r="E59" i="2"/>
  <c r="E178" i="1"/>
  <c r="E179" i="1"/>
  <c r="F179" i="1" s="1"/>
  <c r="E180" i="1"/>
  <c r="E181" i="1"/>
  <c r="E182" i="1"/>
  <c r="E176" i="1"/>
  <c r="E177" i="1"/>
  <c r="E175" i="1"/>
  <c r="D801" i="1"/>
  <c r="D873" i="1"/>
  <c r="D681" i="1"/>
  <c r="D628" i="1"/>
  <c r="D620" i="1"/>
  <c r="E133" i="2"/>
  <c r="E968" i="1"/>
  <c r="E969" i="1"/>
  <c r="E970" i="1"/>
  <c r="E971" i="1"/>
  <c r="F971" i="1" s="1"/>
  <c r="E972" i="1"/>
  <c r="E965" i="1"/>
  <c r="E966" i="1"/>
  <c r="E967" i="1"/>
  <c r="E14" i="2"/>
  <c r="E305" i="1"/>
  <c r="E307" i="1"/>
  <c r="E309" i="1"/>
  <c r="E303" i="1"/>
  <c r="E306" i="1"/>
  <c r="E304" i="1"/>
  <c r="E310" i="1"/>
  <c r="E308" i="1"/>
  <c r="E45" i="2"/>
  <c r="E67" i="1"/>
  <c r="E69" i="1"/>
  <c r="E68" i="1"/>
  <c r="E65" i="1"/>
  <c r="E66" i="1"/>
  <c r="E63" i="1"/>
  <c r="E70" i="1"/>
  <c r="E64" i="1"/>
  <c r="F64" i="1" s="1"/>
  <c r="E85" i="2"/>
  <c r="E501" i="1"/>
  <c r="E495" i="1"/>
  <c r="E497" i="1"/>
  <c r="E502" i="1"/>
  <c r="E500" i="1"/>
  <c r="E498" i="1"/>
  <c r="E496" i="1"/>
  <c r="E499" i="1"/>
  <c r="E132" i="2"/>
  <c r="E960" i="1"/>
  <c r="E961" i="1"/>
  <c r="E962" i="1"/>
  <c r="E964" i="1"/>
  <c r="E957" i="1"/>
  <c r="E958" i="1"/>
  <c r="E959" i="1"/>
  <c r="E963" i="1"/>
  <c r="E73" i="2"/>
  <c r="E814" i="1"/>
  <c r="E815" i="1"/>
  <c r="E817" i="1"/>
  <c r="F817" i="1" s="1"/>
  <c r="E812" i="1"/>
  <c r="E816" i="1"/>
  <c r="E819" i="1"/>
  <c r="E813" i="1"/>
  <c r="F813" i="1" s="1"/>
  <c r="E818" i="1"/>
  <c r="E87" i="2"/>
  <c r="E517" i="1"/>
  <c r="E518" i="1"/>
  <c r="E511" i="1"/>
  <c r="E512" i="1"/>
  <c r="E513" i="1"/>
  <c r="E515" i="1"/>
  <c r="E516" i="1"/>
  <c r="E514" i="1"/>
  <c r="D1123" i="1"/>
  <c r="D923" i="1"/>
  <c r="D1019" i="1"/>
  <c r="D1108" i="1"/>
  <c r="D924" i="1"/>
  <c r="E74" i="2"/>
  <c r="E768" i="1"/>
  <c r="E770" i="1"/>
  <c r="E765" i="1"/>
  <c r="E766" i="1"/>
  <c r="E769" i="1"/>
  <c r="E764" i="1"/>
  <c r="E771" i="1"/>
  <c r="E767" i="1"/>
  <c r="F767" i="1" s="1"/>
  <c r="E140" i="2"/>
  <c r="E1024" i="1"/>
  <c r="E1025" i="1"/>
  <c r="E1027" i="1"/>
  <c r="E1028" i="1"/>
  <c r="E1023" i="1"/>
  <c r="F1023" i="1" s="1"/>
  <c r="E1026" i="1"/>
  <c r="E1021" i="1"/>
  <c r="F1021" i="1" s="1"/>
  <c r="E1022" i="1"/>
  <c r="E26" i="2"/>
  <c r="E400" i="1"/>
  <c r="F400" i="1" s="1"/>
  <c r="E401" i="1"/>
  <c r="E403" i="1"/>
  <c r="E404" i="1"/>
  <c r="E405" i="1"/>
  <c r="E406" i="1"/>
  <c r="E399" i="1"/>
  <c r="E402" i="1"/>
  <c r="E93" i="2"/>
  <c r="E564" i="1"/>
  <c r="E565" i="1"/>
  <c r="E566" i="1"/>
  <c r="F566" i="1" s="1"/>
  <c r="E559" i="1"/>
  <c r="E560" i="1"/>
  <c r="E561" i="1"/>
  <c r="E562" i="1"/>
  <c r="E563" i="1"/>
  <c r="E44" i="2"/>
  <c r="E59" i="1"/>
  <c r="F59" i="1" s="1"/>
  <c r="E61" i="1"/>
  <c r="E55" i="1"/>
  <c r="F55" i="1" s="1"/>
  <c r="E62" i="1"/>
  <c r="E56" i="1"/>
  <c r="E57" i="1"/>
  <c r="E58" i="1"/>
  <c r="E60" i="1"/>
  <c r="D749" i="1"/>
  <c r="D773" i="1"/>
  <c r="E130" i="2"/>
  <c r="E944" i="1"/>
  <c r="E946" i="1"/>
  <c r="E948" i="1"/>
  <c r="E941" i="1"/>
  <c r="E942" i="1"/>
  <c r="E947" i="1"/>
  <c r="E945" i="1"/>
  <c r="F945" i="1" s="1"/>
  <c r="E943" i="1"/>
  <c r="E22" i="2"/>
  <c r="E368" i="1"/>
  <c r="F368" i="1" s="1"/>
  <c r="E369" i="1"/>
  <c r="E371" i="1"/>
  <c r="E372" i="1"/>
  <c r="E373" i="1"/>
  <c r="E374" i="1"/>
  <c r="E367" i="1"/>
  <c r="E370" i="1"/>
  <c r="E32" i="2"/>
  <c r="E783" i="1"/>
  <c r="E784" i="1"/>
  <c r="E785" i="1"/>
  <c r="E786" i="1"/>
  <c r="E781" i="1"/>
  <c r="F781" i="1" s="1"/>
  <c r="E782" i="1"/>
  <c r="E780" i="1"/>
  <c r="E787" i="1"/>
  <c r="D41" i="2"/>
  <c r="E114" i="2"/>
  <c r="E142" i="2"/>
  <c r="E1039" i="1"/>
  <c r="E1040" i="1"/>
  <c r="E1041" i="1"/>
  <c r="E1043" i="1"/>
  <c r="E1044" i="1"/>
  <c r="E1037" i="1"/>
  <c r="E1042" i="1"/>
  <c r="E1038" i="1"/>
  <c r="E52" i="2"/>
  <c r="E123" i="1"/>
  <c r="E124" i="1"/>
  <c r="E125" i="1"/>
  <c r="E126" i="1"/>
  <c r="E120" i="1"/>
  <c r="E121" i="1"/>
  <c r="E122" i="1"/>
  <c r="E119" i="1"/>
  <c r="E70" i="2"/>
  <c r="E885" i="1"/>
  <c r="E886" i="1"/>
  <c r="F886" i="1" s="1"/>
  <c r="E887" i="1"/>
  <c r="F887" i="1" s="1"/>
  <c r="E888" i="1"/>
  <c r="E889" i="1"/>
  <c r="E884" i="1"/>
  <c r="E890" i="1"/>
  <c r="E891" i="1"/>
  <c r="D1182" i="1"/>
  <c r="D1078" i="1"/>
  <c r="F1078" i="1" s="1"/>
  <c r="D1070" i="1"/>
  <c r="D1062" i="1"/>
  <c r="D1054" i="1"/>
  <c r="D1046" i="1"/>
  <c r="D1038" i="1"/>
  <c r="D1022" i="1"/>
  <c r="D998" i="1"/>
  <c r="D1110" i="1"/>
  <c r="D1030" i="1"/>
  <c r="D1006" i="1"/>
  <c r="D982" i="1"/>
  <c r="D934" i="1"/>
  <c r="D990" i="1"/>
  <c r="D942" i="1"/>
  <c r="D966" i="1"/>
  <c r="D974" i="1"/>
  <c r="D958" i="1"/>
  <c r="D950" i="1"/>
  <c r="D1184" i="1"/>
  <c r="D1128" i="1"/>
  <c r="D1160" i="1"/>
  <c r="D1088" i="1"/>
  <c r="D1152" i="1"/>
  <c r="D1080" i="1"/>
  <c r="D1176" i="1"/>
  <c r="D1144" i="1"/>
  <c r="D1136" i="1"/>
  <c r="D992" i="1"/>
  <c r="D984" i="1"/>
  <c r="D976" i="1"/>
  <c r="D968" i="1"/>
  <c r="D960" i="1"/>
  <c r="D1096" i="1"/>
  <c r="D1000" i="1"/>
  <c r="D944" i="1"/>
  <c r="D1168" i="1"/>
  <c r="D912" i="1"/>
  <c r="D952" i="1"/>
  <c r="D936" i="1"/>
  <c r="D161" i="2"/>
  <c r="E72" i="2"/>
  <c r="E746" i="1"/>
  <c r="E747" i="1"/>
  <c r="E742" i="1"/>
  <c r="E743" i="1"/>
  <c r="E745" i="1"/>
  <c r="E740" i="1"/>
  <c r="E741" i="1"/>
  <c r="E744" i="1"/>
  <c r="E131" i="2"/>
  <c r="E952" i="1"/>
  <c r="E954" i="1"/>
  <c r="E956" i="1"/>
  <c r="E949" i="1"/>
  <c r="E953" i="1"/>
  <c r="E951" i="1"/>
  <c r="E950" i="1"/>
  <c r="E955" i="1"/>
  <c r="E33" i="2"/>
  <c r="E830" i="1"/>
  <c r="F830" i="1" s="1"/>
  <c r="E831" i="1"/>
  <c r="E833" i="1"/>
  <c r="E835" i="1"/>
  <c r="F835" i="1" s="1"/>
  <c r="E828" i="1"/>
  <c r="F828" i="1" s="1"/>
  <c r="E829" i="1"/>
  <c r="F829" i="1" s="1"/>
  <c r="E832" i="1"/>
  <c r="E834" i="1"/>
  <c r="E97" i="2"/>
  <c r="E596" i="1"/>
  <c r="E597" i="1"/>
  <c r="E598" i="1"/>
  <c r="E591" i="1"/>
  <c r="F591" i="1" s="1"/>
  <c r="E592" i="1"/>
  <c r="E593" i="1"/>
  <c r="E594" i="1"/>
  <c r="E595" i="1"/>
  <c r="E43" i="2"/>
  <c r="E54" i="1"/>
  <c r="E47" i="1"/>
  <c r="E48" i="1"/>
  <c r="F48" i="1" s="1"/>
  <c r="E49" i="1"/>
  <c r="E50" i="1"/>
  <c r="E51" i="1"/>
  <c r="E52" i="1"/>
  <c r="F52" i="1" s="1"/>
  <c r="E53" i="1"/>
  <c r="D882" i="1"/>
  <c r="D858" i="1"/>
  <c r="D786" i="1"/>
  <c r="D714" i="1"/>
  <c r="D834" i="1"/>
  <c r="D810" i="1"/>
  <c r="D429" i="1"/>
  <c r="D421" i="1"/>
  <c r="D413" i="1"/>
  <c r="D405" i="1"/>
  <c r="D397" i="1"/>
  <c r="D389" i="1"/>
  <c r="D381" i="1"/>
  <c r="F381" i="1" s="1"/>
  <c r="D373" i="1"/>
  <c r="D365" i="1"/>
  <c r="D357" i="1"/>
  <c r="D341" i="1"/>
  <c r="D325" i="1"/>
  <c r="D309" i="1"/>
  <c r="D293" i="1"/>
  <c r="D269" i="1"/>
  <c r="D333" i="1"/>
  <c r="D317" i="1"/>
  <c r="D301" i="1"/>
  <c r="E150" i="2"/>
  <c r="E1106" i="1"/>
  <c r="E1108" i="1"/>
  <c r="E1102" i="1"/>
  <c r="E1105" i="1"/>
  <c r="E1103" i="1"/>
  <c r="E1101" i="1"/>
  <c r="E1104" i="1"/>
  <c r="E1107" i="1"/>
  <c r="F1107" i="1" s="1"/>
  <c r="E16" i="2"/>
  <c r="E321" i="1"/>
  <c r="E323" i="1"/>
  <c r="E325" i="1"/>
  <c r="E319" i="1"/>
  <c r="E322" i="1"/>
  <c r="E320" i="1"/>
  <c r="F320" i="1" s="1"/>
  <c r="E326" i="1"/>
  <c r="F326" i="1" s="1"/>
  <c r="E324" i="1"/>
  <c r="E105" i="2"/>
  <c r="E845" i="1"/>
  <c r="E846" i="1"/>
  <c r="E847" i="1"/>
  <c r="E848" i="1"/>
  <c r="E849" i="1"/>
  <c r="E851" i="1"/>
  <c r="E844" i="1"/>
  <c r="E850" i="1"/>
  <c r="F850" i="1" s="1"/>
  <c r="E63" i="2"/>
  <c r="E210" i="1"/>
  <c r="E211" i="1"/>
  <c r="E212" i="1"/>
  <c r="E213" i="1"/>
  <c r="E214" i="1"/>
  <c r="E208" i="1"/>
  <c r="E209" i="1"/>
  <c r="E207" i="1"/>
  <c r="E145" i="2"/>
  <c r="E1063" i="1"/>
  <c r="E1064" i="1"/>
  <c r="E1065" i="1"/>
  <c r="E1066" i="1"/>
  <c r="E1067" i="1"/>
  <c r="E1068" i="1"/>
  <c r="E1062" i="1"/>
  <c r="E1061" i="1"/>
  <c r="E28" i="2"/>
  <c r="E416" i="1"/>
  <c r="F416" i="1" s="1"/>
  <c r="E417" i="1"/>
  <c r="E418" i="1"/>
  <c r="E419" i="1"/>
  <c r="F419" i="1" s="1"/>
  <c r="E420" i="1"/>
  <c r="E421" i="1"/>
  <c r="E422" i="1"/>
  <c r="E415" i="1"/>
  <c r="E25" i="2"/>
  <c r="E392" i="1"/>
  <c r="F392" i="1" s="1"/>
  <c r="E393" i="1"/>
  <c r="E395" i="1"/>
  <c r="E396" i="1"/>
  <c r="E397" i="1"/>
  <c r="E398" i="1"/>
  <c r="E391" i="1"/>
  <c r="E394" i="1"/>
  <c r="F202" i="1"/>
  <c r="E66" i="2"/>
  <c r="E234" i="1"/>
  <c r="E235" i="1"/>
  <c r="F235" i="1" s="1"/>
  <c r="E236" i="1"/>
  <c r="E237" i="1"/>
  <c r="E238" i="1"/>
  <c r="E232" i="1"/>
  <c r="E233" i="1"/>
  <c r="F233" i="1" s="1"/>
  <c r="E231" i="1"/>
  <c r="D1178" i="1"/>
  <c r="D1170" i="1"/>
  <c r="D1162" i="1"/>
  <c r="D1098" i="1"/>
  <c r="D1090" i="1"/>
  <c r="D994" i="1"/>
  <c r="D986" i="1"/>
  <c r="F986" i="1" s="1"/>
  <c r="D978" i="1"/>
  <c r="D970" i="1"/>
  <c r="D962" i="1"/>
  <c r="D946" i="1"/>
  <c r="D1002" i="1"/>
  <c r="D954" i="1"/>
  <c r="D938" i="1"/>
  <c r="D914" i="1"/>
  <c r="D1084" i="1"/>
  <c r="D1100" i="1"/>
  <c r="D1092" i="1"/>
  <c r="F1092" i="1" s="1"/>
  <c r="D1012" i="1"/>
  <c r="D916" i="1"/>
  <c r="E115" i="2"/>
  <c r="D77" i="2"/>
  <c r="E29" i="2"/>
  <c r="E424" i="1"/>
  <c r="E425" i="1"/>
  <c r="E426" i="1"/>
  <c r="E427" i="1"/>
  <c r="E428" i="1"/>
  <c r="E429" i="1"/>
  <c r="E430" i="1"/>
  <c r="E423" i="1"/>
  <c r="E89" i="2"/>
  <c r="E533" i="1"/>
  <c r="E534" i="1"/>
  <c r="E527" i="1"/>
  <c r="E528" i="1"/>
  <c r="E529" i="1"/>
  <c r="E531" i="1"/>
  <c r="E532" i="1"/>
  <c r="E530" i="1"/>
  <c r="E39" i="2"/>
  <c r="E715" i="1"/>
  <c r="F715" i="1" s="1"/>
  <c r="E708" i="1"/>
  <c r="E709" i="1"/>
  <c r="F709" i="1" s="1"/>
  <c r="E710" i="1"/>
  <c r="E713" i="1"/>
  <c r="E714" i="1"/>
  <c r="E711" i="1"/>
  <c r="E712" i="1"/>
  <c r="E116" i="2"/>
  <c r="D113" i="2"/>
  <c r="E46" i="2"/>
  <c r="E75" i="1"/>
  <c r="E77" i="1"/>
  <c r="E72" i="1"/>
  <c r="E76" i="1"/>
  <c r="E71" i="1"/>
  <c r="E74" i="1"/>
  <c r="E78" i="1"/>
  <c r="E73" i="1"/>
  <c r="E98" i="2"/>
  <c r="E604" i="1"/>
  <c r="E605" i="1"/>
  <c r="E606" i="1"/>
  <c r="E599" i="1"/>
  <c r="E600" i="1"/>
  <c r="E601" i="1"/>
  <c r="E602" i="1"/>
  <c r="E603" i="1"/>
  <c r="E57" i="2"/>
  <c r="E163" i="1"/>
  <c r="E164" i="1"/>
  <c r="E165" i="1"/>
  <c r="E166" i="1"/>
  <c r="E160" i="1"/>
  <c r="E161" i="1"/>
  <c r="E162" i="1"/>
  <c r="E159" i="1"/>
  <c r="E137" i="2"/>
  <c r="E1000" i="1"/>
  <c r="E1004" i="1"/>
  <c r="E999" i="1"/>
  <c r="E1001" i="1"/>
  <c r="E1002" i="1"/>
  <c r="E997" i="1"/>
  <c r="E1003" i="1"/>
  <c r="E998" i="1"/>
  <c r="E34" i="2"/>
  <c r="E877" i="1"/>
  <c r="F877" i="1" s="1"/>
  <c r="E878" i="1"/>
  <c r="E879" i="1"/>
  <c r="E880" i="1"/>
  <c r="E881" i="1"/>
  <c r="F881" i="1" s="1"/>
  <c r="E876" i="1"/>
  <c r="E882" i="1"/>
  <c r="E883" i="1"/>
  <c r="E853" i="1"/>
  <c r="F853" i="1" s="1"/>
  <c r="E854" i="1"/>
  <c r="E855" i="1"/>
  <c r="E856" i="1"/>
  <c r="E857" i="1"/>
  <c r="E859" i="1"/>
  <c r="F859" i="1" s="1"/>
  <c r="E31" i="2"/>
  <c r="E858" i="1"/>
  <c r="E852" i="1"/>
  <c r="D1102" i="1"/>
  <c r="D1014" i="1"/>
  <c r="D926" i="1"/>
  <c r="D1120" i="1"/>
  <c r="D1104" i="1"/>
  <c r="D920" i="1"/>
  <c r="D928" i="1"/>
  <c r="D802" i="1"/>
  <c r="D898" i="1"/>
  <c r="D730" i="1"/>
  <c r="D754" i="1"/>
  <c r="D613" i="1"/>
  <c r="D605" i="1"/>
  <c r="D597" i="1"/>
  <c r="D589" i="1"/>
  <c r="D581" i="1"/>
  <c r="D573" i="1"/>
  <c r="D565" i="1"/>
  <c r="D557" i="1"/>
  <c r="D541" i="1"/>
  <c r="D533" i="1"/>
  <c r="D525" i="1"/>
  <c r="D517" i="1"/>
  <c r="D477" i="1"/>
  <c r="F477" i="1" s="1"/>
  <c r="D469" i="1"/>
  <c r="D509" i="1"/>
  <c r="D501" i="1"/>
  <c r="D493" i="1"/>
  <c r="D445" i="1"/>
  <c r="D485" i="1"/>
  <c r="E104" i="2"/>
  <c r="E798" i="1"/>
  <c r="E802" i="1"/>
  <c r="E797" i="1"/>
  <c r="E800" i="1"/>
  <c r="E801" i="1"/>
  <c r="E796" i="1"/>
  <c r="E803" i="1"/>
  <c r="E799" i="1"/>
  <c r="E88" i="2"/>
  <c r="E525" i="1"/>
  <c r="E526" i="1"/>
  <c r="E519" i="1"/>
  <c r="E520" i="1"/>
  <c r="E521" i="1"/>
  <c r="E523" i="1"/>
  <c r="E524" i="1"/>
  <c r="E522" i="1"/>
  <c r="E36" i="2"/>
  <c r="E738" i="1"/>
  <c r="F738" i="1" s="1"/>
  <c r="E737" i="1"/>
  <c r="E732" i="1"/>
  <c r="E733" i="1"/>
  <c r="F733" i="1" s="1"/>
  <c r="E735" i="1"/>
  <c r="F735" i="1" s="1"/>
  <c r="E736" i="1"/>
  <c r="E734" i="1"/>
  <c r="E739" i="1"/>
  <c r="F739" i="1" s="1"/>
  <c r="E159" i="2"/>
  <c r="E1131" i="1"/>
  <c r="E1132" i="1"/>
  <c r="E1125" i="1"/>
  <c r="E1127" i="1"/>
  <c r="E1126" i="1"/>
  <c r="E1129" i="1"/>
  <c r="E1130" i="1"/>
  <c r="E1128" i="1"/>
  <c r="E112" i="2"/>
  <c r="E707" i="1"/>
  <c r="E700" i="1"/>
  <c r="F700" i="1" s="1"/>
  <c r="E701" i="1"/>
  <c r="F701" i="1" s="1"/>
  <c r="E702" i="1"/>
  <c r="E705" i="1"/>
  <c r="E706" i="1"/>
  <c r="F706" i="1" s="1"/>
  <c r="E703" i="1"/>
  <c r="F703" i="1" s="1"/>
  <c r="E704" i="1"/>
  <c r="D285" i="1"/>
  <c r="E91" i="2"/>
  <c r="E548" i="1"/>
  <c r="E549" i="1"/>
  <c r="E550" i="1"/>
  <c r="E543" i="1"/>
  <c r="E544" i="1"/>
  <c r="E545" i="1"/>
  <c r="E546" i="1"/>
  <c r="E547" i="1"/>
  <c r="F547" i="1" s="1"/>
  <c r="E48" i="2"/>
  <c r="E91" i="1"/>
  <c r="E93" i="1"/>
  <c r="F93" i="1" s="1"/>
  <c r="E88" i="1"/>
  <c r="E89" i="1"/>
  <c r="E94" i="1"/>
  <c r="E87" i="1"/>
  <c r="E92" i="1"/>
  <c r="E90" i="1"/>
  <c r="E136" i="2"/>
  <c r="E992" i="1"/>
  <c r="E993" i="1"/>
  <c r="E994" i="1"/>
  <c r="E995" i="1"/>
  <c r="E996" i="1"/>
  <c r="E989" i="1"/>
  <c r="E990" i="1"/>
  <c r="E991" i="1"/>
  <c r="E20" i="2"/>
  <c r="E353" i="1"/>
  <c r="E355" i="1"/>
  <c r="E356" i="1"/>
  <c r="E357" i="1"/>
  <c r="E358" i="1"/>
  <c r="E351" i="1"/>
  <c r="E354" i="1"/>
  <c r="E352" i="1"/>
  <c r="F352" i="1" s="1"/>
  <c r="D1106" i="1"/>
  <c r="D930" i="1"/>
  <c r="D1181" i="1"/>
  <c r="D1173" i="1"/>
  <c r="D1165" i="1"/>
  <c r="D1157" i="1"/>
  <c r="D1149" i="1"/>
  <c r="D1141" i="1"/>
  <c r="D1133" i="1"/>
  <c r="D1037" i="1"/>
  <c r="D1029" i="1"/>
  <c r="D1045" i="1"/>
  <c r="D1077" i="1"/>
  <c r="D1053" i="1"/>
  <c r="D1125" i="1"/>
  <c r="D1069" i="1"/>
  <c r="D997" i="1"/>
  <c r="D1061" i="1"/>
  <c r="D949" i="1"/>
  <c r="D941" i="1"/>
  <c r="D933" i="1"/>
  <c r="D909" i="1"/>
  <c r="E158" i="2"/>
  <c r="E1146" i="1"/>
  <c r="E1147" i="1"/>
  <c r="E1148" i="1"/>
  <c r="E1141" i="1"/>
  <c r="E1142" i="1"/>
  <c r="E1143" i="1"/>
  <c r="E1145" i="1"/>
  <c r="E1144" i="1"/>
  <c r="E76" i="2"/>
  <c r="E699" i="1"/>
  <c r="E692" i="1"/>
  <c r="E693" i="1"/>
  <c r="E694" i="1"/>
  <c r="E697" i="1"/>
  <c r="E698" i="1"/>
  <c r="F698" i="1" s="1"/>
  <c r="E696" i="1"/>
  <c r="E695" i="1"/>
  <c r="F695" i="1" s="1"/>
  <c r="D632" i="1"/>
  <c r="D456" i="1"/>
  <c r="E92" i="2"/>
  <c r="E556" i="1"/>
  <c r="E557" i="1"/>
  <c r="E558" i="1"/>
  <c r="E551" i="1"/>
  <c r="E552" i="1"/>
  <c r="E553" i="1"/>
  <c r="E554" i="1"/>
  <c r="E555" i="1"/>
  <c r="E10" i="2"/>
  <c r="E273" i="1"/>
  <c r="E275" i="1"/>
  <c r="E277" i="1"/>
  <c r="E271" i="1"/>
  <c r="E274" i="1"/>
  <c r="E272" i="1"/>
  <c r="F272" i="1" s="1"/>
  <c r="E276" i="1"/>
  <c r="E278" i="1"/>
  <c r="E155" i="2"/>
  <c r="E1115" i="1"/>
  <c r="E1113" i="1"/>
  <c r="E1111" i="1"/>
  <c r="E1109" i="1"/>
  <c r="E1116" i="1"/>
  <c r="E1114" i="1"/>
  <c r="E1110" i="1"/>
  <c r="E1112" i="1"/>
  <c r="E69" i="2"/>
  <c r="E837" i="1"/>
  <c r="E838" i="1"/>
  <c r="E839" i="1"/>
  <c r="F839" i="1" s="1"/>
  <c r="E841" i="1"/>
  <c r="E840" i="1"/>
  <c r="E836" i="1"/>
  <c r="E843" i="1"/>
  <c r="E842" i="1"/>
  <c r="E86" i="2"/>
  <c r="E509" i="1"/>
  <c r="E503" i="1"/>
  <c r="E505" i="1"/>
  <c r="E508" i="1"/>
  <c r="E506" i="1"/>
  <c r="E504" i="1"/>
  <c r="F504" i="1" s="1"/>
  <c r="E507" i="1"/>
  <c r="E510" i="1"/>
  <c r="E65" i="2"/>
  <c r="E226" i="1"/>
  <c r="E227" i="1"/>
  <c r="E228" i="1"/>
  <c r="E229" i="1"/>
  <c r="E230" i="1"/>
  <c r="F230" i="1" s="1"/>
  <c r="E224" i="1"/>
  <c r="E225" i="1"/>
  <c r="E223" i="1"/>
  <c r="E42" i="2"/>
  <c r="E46" i="1"/>
  <c r="E39" i="1"/>
  <c r="F39" i="1" s="1"/>
  <c r="E40" i="1"/>
  <c r="E41" i="1"/>
  <c r="E42" i="1"/>
  <c r="E43" i="1"/>
  <c r="E44" i="1"/>
  <c r="E45" i="1"/>
  <c r="D245" i="1"/>
  <c r="E160" i="2"/>
  <c r="E1123" i="1"/>
  <c r="E1117" i="1"/>
  <c r="F1117" i="1" s="1"/>
  <c r="E1119" i="1"/>
  <c r="E1118" i="1"/>
  <c r="E1121" i="1"/>
  <c r="F1121" i="1" s="1"/>
  <c r="E1124" i="1"/>
  <c r="F1124" i="1" s="1"/>
  <c r="E1122" i="1"/>
  <c r="E1120" i="1"/>
  <c r="D1183" i="1"/>
  <c r="D1143" i="1"/>
  <c r="D1087" i="1"/>
  <c r="D911" i="1"/>
  <c r="D1177" i="1"/>
  <c r="D1169" i="1"/>
  <c r="F1169" i="1" s="1"/>
  <c r="D1161" i="1"/>
  <c r="D1153" i="1"/>
  <c r="D1145" i="1"/>
  <c r="D1137" i="1"/>
  <c r="D1185" i="1"/>
  <c r="D1073" i="1"/>
  <c r="D1065" i="1"/>
  <c r="D1057" i="1"/>
  <c r="D1129" i="1"/>
  <c r="D1033" i="1"/>
  <c r="D1041" i="1"/>
  <c r="D1049" i="1"/>
  <c r="F1049" i="1" s="1"/>
  <c r="D1025" i="1"/>
  <c r="E156" i="2"/>
  <c r="E1138" i="1"/>
  <c r="E1139" i="1"/>
  <c r="E1140" i="1"/>
  <c r="E1133" i="1"/>
  <c r="E1134" i="1"/>
  <c r="E1135" i="1"/>
  <c r="E1137" i="1"/>
  <c r="E1136" i="1"/>
  <c r="E75" i="2"/>
  <c r="E723" i="1"/>
  <c r="E716" i="1"/>
  <c r="E717" i="1"/>
  <c r="E718" i="1"/>
  <c r="E721" i="1"/>
  <c r="E722" i="1"/>
  <c r="E720" i="1"/>
  <c r="E719" i="1"/>
  <c r="E111" i="2"/>
  <c r="E731" i="1"/>
  <c r="E724" i="1"/>
  <c r="E725" i="1"/>
  <c r="E726" i="1"/>
  <c r="F726" i="1" s="1"/>
  <c r="E729" i="1"/>
  <c r="E730" i="1"/>
  <c r="E728" i="1"/>
  <c r="E727" i="1"/>
  <c r="F727" i="1" s="1"/>
  <c r="E83" i="2"/>
  <c r="E485" i="1"/>
  <c r="E479" i="1"/>
  <c r="F479" i="1" s="1"/>
  <c r="E481" i="1"/>
  <c r="E480" i="1"/>
  <c r="E483" i="1"/>
  <c r="E486" i="1"/>
  <c r="E484" i="1"/>
  <c r="F484" i="1" s="1"/>
  <c r="E482" i="1"/>
  <c r="E15" i="2"/>
  <c r="E313" i="1"/>
  <c r="E315" i="1"/>
  <c r="E317" i="1"/>
  <c r="E311" i="1"/>
  <c r="E318" i="1"/>
  <c r="E316" i="1"/>
  <c r="E314" i="1"/>
  <c r="E312" i="1"/>
  <c r="F312" i="1" s="1"/>
  <c r="E1179" i="1"/>
  <c r="E1180" i="1"/>
  <c r="E151" i="2"/>
  <c r="E1178" i="1"/>
  <c r="E1173" i="1"/>
  <c r="E1174" i="1"/>
  <c r="F1174" i="1" s="1"/>
  <c r="E1175" i="1"/>
  <c r="E1177" i="1"/>
  <c r="E1176" i="1"/>
  <c r="E67" i="2"/>
  <c r="E861" i="1"/>
  <c r="E862" i="1"/>
  <c r="E863" i="1"/>
  <c r="E864" i="1"/>
  <c r="E865" i="1"/>
  <c r="E867" i="1"/>
  <c r="E860" i="1"/>
  <c r="E866" i="1"/>
  <c r="E94" i="2"/>
  <c r="E572" i="1"/>
  <c r="E573" i="1"/>
  <c r="E574" i="1"/>
  <c r="E567" i="1"/>
  <c r="E568" i="1"/>
  <c r="E569" i="1"/>
  <c r="E570" i="1"/>
  <c r="E571" i="1"/>
  <c r="E35" i="2"/>
  <c r="E666" i="1"/>
  <c r="E664" i="1"/>
  <c r="E662" i="1"/>
  <c r="E660" i="1"/>
  <c r="E667" i="1"/>
  <c r="F667" i="1" s="1"/>
  <c r="E665" i="1"/>
  <c r="E663" i="1"/>
  <c r="E661" i="1"/>
  <c r="D800" i="1"/>
  <c r="D752" i="1"/>
  <c r="D728" i="1"/>
  <c r="D776" i="1"/>
  <c r="F776" i="1" s="1"/>
  <c r="D611" i="1"/>
  <c r="D603" i="1"/>
  <c r="D595" i="1"/>
  <c r="D587" i="1"/>
  <c r="D579" i="1"/>
  <c r="D571" i="1"/>
  <c r="D563" i="1"/>
  <c r="D555" i="1"/>
  <c r="D499" i="1"/>
  <c r="D523" i="1"/>
  <c r="D515" i="1"/>
  <c r="D491" i="1"/>
  <c r="D531" i="1"/>
  <c r="D483" i="1"/>
  <c r="D539" i="1"/>
  <c r="D475" i="1"/>
  <c r="F475" i="1" s="1"/>
  <c r="D467" i="1"/>
  <c r="D443" i="1"/>
  <c r="D507" i="1"/>
  <c r="E109" i="2"/>
  <c r="E822" i="1"/>
  <c r="F822" i="1" s="1"/>
  <c r="E823" i="1"/>
  <c r="E825" i="1"/>
  <c r="E824" i="1"/>
  <c r="F824" i="1" s="1"/>
  <c r="E827" i="1"/>
  <c r="E821" i="1"/>
  <c r="E826" i="1"/>
  <c r="E820" i="1"/>
  <c r="D1155" i="1"/>
  <c r="D1147" i="1"/>
  <c r="D1139" i="1"/>
  <c r="D1131" i="1"/>
  <c r="D1083" i="1"/>
  <c r="F1083" i="1" s="1"/>
  <c r="D851" i="1"/>
  <c r="D827" i="1"/>
  <c r="D899" i="1"/>
  <c r="D779" i="1"/>
  <c r="D875" i="1"/>
  <c r="D803" i="1"/>
  <c r="D622" i="1"/>
  <c r="D630" i="1"/>
  <c r="F630" i="1" s="1"/>
  <c r="E139" i="2"/>
  <c r="E1016" i="1"/>
  <c r="F1016" i="1" s="1"/>
  <c r="E1017" i="1"/>
  <c r="E1019" i="1"/>
  <c r="E1020" i="1"/>
  <c r="E1013" i="1"/>
  <c r="E1014" i="1"/>
  <c r="E1018" i="1"/>
  <c r="F1018" i="1" s="1"/>
  <c r="E1015" i="1"/>
  <c r="E71" i="2"/>
  <c r="E675" i="1"/>
  <c r="F675" i="1" s="1"/>
  <c r="E671" i="1"/>
  <c r="E672" i="1"/>
  <c r="E668" i="1"/>
  <c r="E674" i="1"/>
  <c r="E670" i="1"/>
  <c r="E673" i="1"/>
  <c r="E669" i="1"/>
  <c r="E107" i="2"/>
  <c r="E683" i="1"/>
  <c r="E679" i="1"/>
  <c r="E682" i="1"/>
  <c r="E678" i="1"/>
  <c r="E681" i="1"/>
  <c r="E677" i="1"/>
  <c r="E680" i="1"/>
  <c r="E676" i="1"/>
  <c r="E64" i="2"/>
  <c r="E218" i="1"/>
  <c r="E219" i="1"/>
  <c r="E220" i="1"/>
  <c r="E221" i="1"/>
  <c r="E222" i="1"/>
  <c r="E216" i="1"/>
  <c r="E217" i="1"/>
  <c r="E215" i="1"/>
  <c r="E146" i="2"/>
  <c r="E1071" i="1"/>
  <c r="E1072" i="1"/>
  <c r="E1073" i="1"/>
  <c r="E1074" i="1"/>
  <c r="E1075" i="1"/>
  <c r="E1076" i="1"/>
  <c r="E1070" i="1"/>
  <c r="E1069" i="1"/>
  <c r="E27" i="2"/>
  <c r="E408" i="1"/>
  <c r="F408" i="1" s="1"/>
  <c r="E409" i="1"/>
  <c r="E410" i="1"/>
  <c r="E411" i="1"/>
  <c r="F411" i="1" s="1"/>
  <c r="E412" i="1"/>
  <c r="E413" i="1"/>
  <c r="E414" i="1"/>
  <c r="E407" i="1"/>
  <c r="F261" i="1"/>
  <c r="E90" i="2"/>
  <c r="E541" i="1"/>
  <c r="E542" i="1"/>
  <c r="E535" i="1"/>
  <c r="E536" i="1"/>
  <c r="E537" i="1"/>
  <c r="E539" i="1"/>
  <c r="E540" i="1"/>
  <c r="E538" i="1"/>
  <c r="E19" i="2"/>
  <c r="E345" i="1"/>
  <c r="E347" i="1"/>
  <c r="E349" i="1"/>
  <c r="E343" i="1"/>
  <c r="E350" i="1"/>
  <c r="E348" i="1"/>
  <c r="E346" i="1"/>
  <c r="E344" i="1"/>
  <c r="E134" i="2"/>
  <c r="E976" i="1"/>
  <c r="E977" i="1"/>
  <c r="E978" i="1"/>
  <c r="E979" i="1"/>
  <c r="E980" i="1"/>
  <c r="E973" i="1"/>
  <c r="E974" i="1"/>
  <c r="E975" i="1"/>
  <c r="F975" i="1" s="1"/>
  <c r="E103" i="2"/>
  <c r="E869" i="1"/>
  <c r="E870" i="1"/>
  <c r="E871" i="1"/>
  <c r="E872" i="1"/>
  <c r="E873" i="1"/>
  <c r="E874" i="1"/>
  <c r="E868" i="1"/>
  <c r="F868" i="1" s="1"/>
  <c r="E875" i="1"/>
  <c r="D277" i="1"/>
  <c r="D1103" i="1"/>
  <c r="D919" i="1"/>
  <c r="F193" i="1" l="1"/>
  <c r="F1080" i="1"/>
  <c r="H1080" i="1" s="1"/>
  <c r="I1080" i="1" s="1"/>
  <c r="F194" i="1"/>
  <c r="F304" i="1"/>
  <c r="F719" i="1"/>
  <c r="H719" i="1" s="1"/>
  <c r="I719" i="1" s="1"/>
  <c r="F147" i="1"/>
  <c r="H147" i="1" s="1"/>
  <c r="I147" i="1" s="1"/>
  <c r="F704" i="1"/>
  <c r="F422" i="1"/>
  <c r="H422" i="1" s="1"/>
  <c r="I422" i="1" s="1"/>
  <c r="F589" i="1"/>
  <c r="H589" i="1" s="1"/>
  <c r="I589" i="1" s="1"/>
  <c r="F885" i="1"/>
  <c r="H885" i="1" s="1"/>
  <c r="I885" i="1" s="1"/>
  <c r="F943" i="1"/>
  <c r="H943" i="1" s="1"/>
  <c r="I943" i="1" s="1"/>
  <c r="F959" i="1"/>
  <c r="H959" i="1" s="1"/>
  <c r="I959" i="1" s="1"/>
  <c r="F294" i="1"/>
  <c r="H294" i="1" s="1"/>
  <c r="I294" i="1" s="1"/>
  <c r="F439" i="1"/>
  <c r="H439" i="1" s="1"/>
  <c r="I439" i="1" s="1"/>
  <c r="F635" i="1"/>
  <c r="H635" i="1" s="1"/>
  <c r="I635" i="1" s="1"/>
  <c r="F883" i="1"/>
  <c r="H883" i="1" s="1"/>
  <c r="I883" i="1" s="1"/>
  <c r="F164" i="1"/>
  <c r="H164" i="1" s="1"/>
  <c r="I164" i="1" s="1"/>
  <c r="F584" i="1"/>
  <c r="H584" i="1" s="1"/>
  <c r="I584" i="1" s="1"/>
  <c r="F140" i="1"/>
  <c r="H140" i="1" s="1"/>
  <c r="I140" i="1" s="1"/>
  <c r="F763" i="1"/>
  <c r="H763" i="1" s="1"/>
  <c r="I763" i="1" s="1"/>
  <c r="F462" i="1"/>
  <c r="H462" i="1" s="1"/>
  <c r="I462" i="1" s="1"/>
  <c r="F973" i="1"/>
  <c r="H973" i="1" s="1"/>
  <c r="I973" i="1" s="1"/>
  <c r="F41" i="1"/>
  <c r="F843" i="1"/>
  <c r="H843" i="1" s="1"/>
  <c r="I843" i="1" s="1"/>
  <c r="F358" i="1"/>
  <c r="H358" i="1" s="1"/>
  <c r="I358" i="1" s="1"/>
  <c r="F142" i="1"/>
  <c r="H142" i="1" s="1"/>
  <c r="I142" i="1" s="1"/>
  <c r="F686" i="1"/>
  <c r="H686" i="1" s="1"/>
  <c r="I686" i="1" s="1"/>
  <c r="F1156" i="1"/>
  <c r="H1156" i="1" s="1"/>
  <c r="I1156" i="1" s="1"/>
  <c r="F401" i="1"/>
  <c r="F691" i="1"/>
  <c r="H691" i="1" s="1"/>
  <c r="I691" i="1" s="1"/>
  <c r="F350" i="1"/>
  <c r="F130" i="1"/>
  <c r="H130" i="1" s="1"/>
  <c r="I130" i="1" s="1"/>
  <c r="F478" i="1"/>
  <c r="H478" i="1" s="1"/>
  <c r="I478" i="1" s="1"/>
  <c r="F980" i="1"/>
  <c r="H980" i="1" s="1"/>
  <c r="I980" i="1" s="1"/>
  <c r="F1175" i="1"/>
  <c r="F505" i="1"/>
  <c r="H505" i="1" s="1"/>
  <c r="I505" i="1" s="1"/>
  <c r="F1148" i="1"/>
  <c r="H1148" i="1" s="1"/>
  <c r="I1148" i="1" s="1"/>
  <c r="F428" i="1"/>
  <c r="H428" i="1" s="1"/>
  <c r="I428" i="1" s="1"/>
  <c r="F269" i="1"/>
  <c r="F342" i="1"/>
  <c r="H342" i="1" s="1"/>
  <c r="I342" i="1" s="1"/>
  <c r="F1001" i="1"/>
  <c r="H1001" i="1" s="1"/>
  <c r="I1001" i="1" s="1"/>
  <c r="F634" i="1"/>
  <c r="H634" i="1" s="1"/>
  <c r="I634" i="1" s="1"/>
  <c r="F459" i="1"/>
  <c r="H459" i="1" s="1"/>
  <c r="I459" i="1" s="1"/>
  <c r="F577" i="1"/>
  <c r="H577" i="1" s="1"/>
  <c r="I577" i="1" s="1"/>
  <c r="F607" i="1"/>
  <c r="F425" i="1"/>
  <c r="H425" i="1" s="1"/>
  <c r="I425" i="1" s="1"/>
  <c r="F740" i="1"/>
  <c r="F344" i="1"/>
  <c r="H344" i="1" s="1"/>
  <c r="I344" i="1" s="1"/>
  <c r="F481" i="1"/>
  <c r="H481" i="1" s="1"/>
  <c r="I481" i="1" s="1"/>
  <c r="F273" i="1"/>
  <c r="H273" i="1" s="1"/>
  <c r="I273" i="1" s="1"/>
  <c r="F957" i="1"/>
  <c r="H957" i="1" s="1"/>
  <c r="I957" i="1" s="1"/>
  <c r="F633" i="1"/>
  <c r="H633" i="1" s="1"/>
  <c r="I633" i="1" s="1"/>
  <c r="F220" i="1"/>
  <c r="H220" i="1" s="1"/>
  <c r="I220" i="1" s="1"/>
  <c r="F78" i="1"/>
  <c r="H78" i="1" s="1"/>
  <c r="I78" i="1" s="1"/>
  <c r="F1076" i="1"/>
  <c r="H1076" i="1" s="1"/>
  <c r="I1076" i="1" s="1"/>
  <c r="F899" i="1"/>
  <c r="H899" i="1" s="1"/>
  <c r="I899" i="1" s="1"/>
  <c r="F1039" i="1"/>
  <c r="H1039" i="1" s="1"/>
  <c r="I1039" i="1" s="1"/>
  <c r="F278" i="1"/>
  <c r="H278" i="1" s="1"/>
  <c r="I278" i="1" s="1"/>
  <c r="F1179" i="1"/>
  <c r="H1179" i="1" s="1"/>
  <c r="I1179" i="1" s="1"/>
  <c r="F146" i="1"/>
  <c r="H146" i="1" s="1"/>
  <c r="I146" i="1" s="1"/>
  <c r="F117" i="1"/>
  <c r="H117" i="1" s="1"/>
  <c r="I117" i="1" s="1"/>
  <c r="F106" i="1"/>
  <c r="H106" i="1" s="1"/>
  <c r="I106" i="1" s="1"/>
  <c r="F549" i="1"/>
  <c r="H549" i="1" s="1"/>
  <c r="I549" i="1" s="1"/>
  <c r="F124" i="1"/>
  <c r="H124" i="1" s="1"/>
  <c r="I124" i="1" s="1"/>
  <c r="F689" i="1"/>
  <c r="H689" i="1" s="1"/>
  <c r="I689" i="1" s="1"/>
  <c r="F197" i="1"/>
  <c r="H197" i="1" s="1"/>
  <c r="I197" i="1" s="1"/>
  <c r="F463" i="1"/>
  <c r="H463" i="1" s="1"/>
  <c r="I463" i="1" s="1"/>
  <c r="F374" i="1"/>
  <c r="H374" i="1" s="1"/>
  <c r="I374" i="1" s="1"/>
  <c r="F404" i="1"/>
  <c r="H404" i="1" s="1"/>
  <c r="I404" i="1" s="1"/>
  <c r="F923" i="1"/>
  <c r="H923" i="1" s="1"/>
  <c r="I923" i="1" s="1"/>
  <c r="F716" i="1"/>
  <c r="H716" i="1" s="1"/>
  <c r="I716" i="1" s="1"/>
  <c r="F519" i="1"/>
  <c r="H519" i="1" s="1"/>
  <c r="I519" i="1" s="1"/>
  <c r="F66" i="1"/>
  <c r="H66" i="1" s="1"/>
  <c r="I66" i="1" s="1"/>
  <c r="F690" i="1"/>
  <c r="H690" i="1" s="1"/>
  <c r="I690" i="1" s="1"/>
  <c r="F535" i="1"/>
  <c r="H535" i="1" s="1"/>
  <c r="I535" i="1" s="1"/>
  <c r="F1057" i="1"/>
  <c r="H1057" i="1" s="1"/>
  <c r="I1057" i="1" s="1"/>
  <c r="F699" i="1"/>
  <c r="H699" i="1" s="1"/>
  <c r="I699" i="1" s="1"/>
  <c r="F880" i="1"/>
  <c r="H880" i="1" s="1"/>
  <c r="I880" i="1" s="1"/>
  <c r="F398" i="1"/>
  <c r="H398" i="1" s="1"/>
  <c r="I398" i="1" s="1"/>
  <c r="F81" i="1"/>
  <c r="H81" i="1" s="1"/>
  <c r="I81" i="1" s="1"/>
  <c r="F820" i="1"/>
  <c r="H820" i="1" s="1"/>
  <c r="I820" i="1" s="1"/>
  <c r="F543" i="1"/>
  <c r="H543" i="1" s="1"/>
  <c r="I543" i="1" s="1"/>
  <c r="F154" i="1"/>
  <c r="H154" i="1" s="1"/>
  <c r="I154" i="1" s="1"/>
  <c r="F330" i="1"/>
  <c r="H330" i="1" s="1"/>
  <c r="I330" i="1" s="1"/>
  <c r="F494" i="1"/>
  <c r="H494" i="1" s="1"/>
  <c r="I494" i="1" s="1"/>
  <c r="F837" i="1"/>
  <c r="H837" i="1" s="1"/>
  <c r="I837" i="1" s="1"/>
  <c r="F798" i="1"/>
  <c r="H798" i="1" s="1"/>
  <c r="I798" i="1" s="1"/>
  <c r="F424" i="1"/>
  <c r="H424" i="1" s="1"/>
  <c r="I424" i="1" s="1"/>
  <c r="F1142" i="1"/>
  <c r="H1142" i="1" s="1"/>
  <c r="I1142" i="1" s="1"/>
  <c r="F815" i="1"/>
  <c r="H815" i="1" s="1"/>
  <c r="I815" i="1" s="1"/>
  <c r="F114" i="1"/>
  <c r="H114" i="1" s="1"/>
  <c r="I114" i="1" s="1"/>
  <c r="F406" i="1"/>
  <c r="H406" i="1" s="1"/>
  <c r="I406" i="1" s="1"/>
  <c r="F580" i="1"/>
  <c r="H580" i="1" s="1"/>
  <c r="I580" i="1" s="1"/>
  <c r="F80" i="1"/>
  <c r="H80" i="1" s="1"/>
  <c r="I80" i="1" s="1"/>
  <c r="F386" i="1"/>
  <c r="H386" i="1" s="1"/>
  <c r="I386" i="1" s="1"/>
  <c r="F972" i="1"/>
  <c r="H972" i="1" s="1"/>
  <c r="I972" i="1" s="1"/>
  <c r="F99" i="1"/>
  <c r="H99" i="1" s="1"/>
  <c r="I99" i="1" s="1"/>
  <c r="F255" i="1"/>
  <c r="H255" i="1" s="1"/>
  <c r="I255" i="1" s="1"/>
  <c r="F79" i="1"/>
  <c r="H79" i="1" s="1"/>
  <c r="I79" i="1" s="1"/>
  <c r="F1004" i="1"/>
  <c r="H1004" i="1" s="1"/>
  <c r="I1004" i="1" s="1"/>
  <c r="F1026" i="1"/>
  <c r="H1026" i="1" s="1"/>
  <c r="I1026" i="1" s="1"/>
  <c r="F702" i="1"/>
  <c r="H702" i="1" s="1"/>
  <c r="I702" i="1" s="1"/>
  <c r="F1101" i="1"/>
  <c r="H1101" i="1" s="1"/>
  <c r="I1101" i="1" s="1"/>
  <c r="F63" i="1"/>
  <c r="H63" i="1" s="1"/>
  <c r="I63" i="1" s="1"/>
  <c r="F243" i="1"/>
  <c r="H243" i="1" s="1"/>
  <c r="I243" i="1" s="1"/>
  <c r="F51" i="1"/>
  <c r="H51" i="1" s="1"/>
  <c r="I51" i="1" s="1"/>
  <c r="F1067" i="1"/>
  <c r="H1067" i="1" s="1"/>
  <c r="I1067" i="1" s="1"/>
  <c r="F333" i="1"/>
  <c r="H333" i="1" s="1"/>
  <c r="I333" i="1" s="1"/>
  <c r="F210" i="1"/>
  <c r="H210" i="1" s="1"/>
  <c r="I210" i="1" s="1"/>
  <c r="F772" i="1"/>
  <c r="H772" i="1" s="1"/>
  <c r="I772" i="1" s="1"/>
  <c r="F296" i="1"/>
  <c r="H296" i="1" s="1"/>
  <c r="I296" i="1" s="1"/>
  <c r="F631" i="1"/>
  <c r="H631" i="1" s="1"/>
  <c r="I631" i="1" s="1"/>
  <c r="F482" i="1"/>
  <c r="H482" i="1" s="1"/>
  <c r="I482" i="1" s="1"/>
  <c r="F938" i="1"/>
  <c r="H938" i="1" s="1"/>
  <c r="I938" i="1" s="1"/>
  <c r="F784" i="1"/>
  <c r="H784" i="1" s="1"/>
  <c r="I784" i="1" s="1"/>
  <c r="F514" i="1"/>
  <c r="H514" i="1" s="1"/>
  <c r="I514" i="1" s="1"/>
  <c r="F1071" i="1"/>
  <c r="H1071" i="1" s="1"/>
  <c r="I1071" i="1" s="1"/>
  <c r="F1135" i="1"/>
  <c r="H1135" i="1" s="1"/>
  <c r="I1135" i="1" s="1"/>
  <c r="F991" i="1"/>
  <c r="H991" i="1" s="1"/>
  <c r="I991" i="1" s="1"/>
  <c r="F953" i="1"/>
  <c r="H953" i="1" s="1"/>
  <c r="I953" i="1" s="1"/>
  <c r="F473" i="1"/>
  <c r="H473" i="1" s="1"/>
  <c r="I473" i="1" s="1"/>
  <c r="F201" i="1"/>
  <c r="H201" i="1" s="1"/>
  <c r="I201" i="1" s="1"/>
  <c r="F438" i="1"/>
  <c r="H438" i="1" s="1"/>
  <c r="I438" i="1" s="1"/>
  <c r="F583" i="1"/>
  <c r="H583" i="1" s="1"/>
  <c r="I583" i="1" s="1"/>
  <c r="F218" i="1"/>
  <c r="H218" i="1" s="1"/>
  <c r="I218" i="1" s="1"/>
  <c r="F864" i="1"/>
  <c r="H864" i="1" s="1"/>
  <c r="I864" i="1" s="1"/>
  <c r="F45" i="1"/>
  <c r="H45" i="1" s="1"/>
  <c r="F75" i="1"/>
  <c r="H75" i="1" s="1"/>
  <c r="I75" i="1" s="1"/>
  <c r="F587" i="1"/>
  <c r="H587" i="1" s="1"/>
  <c r="I587" i="1" s="1"/>
  <c r="F409" i="1"/>
  <c r="H409" i="1" s="1"/>
  <c r="I409" i="1" s="1"/>
  <c r="F696" i="1"/>
  <c r="H696" i="1" s="1"/>
  <c r="I696" i="1" s="1"/>
  <c r="F166" i="1"/>
  <c r="H166" i="1" s="1"/>
  <c r="I166" i="1" s="1"/>
  <c r="F870" i="1"/>
  <c r="H870" i="1" s="1"/>
  <c r="I870" i="1" s="1"/>
  <c r="F521" i="1"/>
  <c r="H521" i="1" s="1"/>
  <c r="I521" i="1" s="1"/>
  <c r="F710" i="1"/>
  <c r="H710" i="1" s="1"/>
  <c r="I710" i="1" s="1"/>
  <c r="F860" i="1"/>
  <c r="H860" i="1" s="1"/>
  <c r="I860" i="1" s="1"/>
  <c r="F76" i="1"/>
  <c r="H76" i="1" s="1"/>
  <c r="I76" i="1" s="1"/>
  <c r="F305" i="1"/>
  <c r="H305" i="1" s="1"/>
  <c r="I305" i="1" s="1"/>
  <c r="F366" i="1"/>
  <c r="H366" i="1" s="1"/>
  <c r="I366" i="1" s="1"/>
  <c r="F554" i="1"/>
  <c r="H554" i="1" s="1"/>
  <c r="I554" i="1" s="1"/>
  <c r="F601" i="1"/>
  <c r="H601" i="1" s="1"/>
  <c r="I601" i="1" s="1"/>
  <c r="F615" i="1"/>
  <c r="H615" i="1" s="1"/>
  <c r="I615" i="1" s="1"/>
  <c r="F854" i="1"/>
  <c r="H854" i="1" s="1"/>
  <c r="I854" i="1" s="1"/>
  <c r="F999" i="1"/>
  <c r="H999" i="1" s="1"/>
  <c r="I999" i="1" s="1"/>
  <c r="F757" i="1"/>
  <c r="H757" i="1" s="1"/>
  <c r="I757" i="1" s="1"/>
  <c r="F170" i="1"/>
  <c r="H170" i="1" s="1"/>
  <c r="I170" i="1" s="1"/>
  <c r="F73" i="1"/>
  <c r="H73" i="1" s="1"/>
  <c r="I73" i="1" s="1"/>
  <c r="F910" i="1"/>
  <c r="H910" i="1" s="1"/>
  <c r="I910" i="1" s="1"/>
  <c r="F984" i="1"/>
  <c r="H984" i="1" s="1"/>
  <c r="I984" i="1" s="1"/>
  <c r="F996" i="1"/>
  <c r="H996" i="1" s="1"/>
  <c r="I996" i="1" s="1"/>
  <c r="F82" i="1"/>
  <c r="H82" i="1" s="1"/>
  <c r="I82" i="1" s="1"/>
  <c r="F926" i="1"/>
  <c r="H926" i="1" s="1"/>
  <c r="I926" i="1" s="1"/>
  <c r="F846" i="1"/>
  <c r="H846" i="1" s="1"/>
  <c r="I846" i="1" s="1"/>
  <c r="F204" i="1"/>
  <c r="H204" i="1" s="1"/>
  <c r="I204" i="1" s="1"/>
  <c r="F951" i="1"/>
  <c r="H951" i="1" s="1"/>
  <c r="I951" i="1" s="1"/>
  <c r="F98" i="1"/>
  <c r="H98" i="1" s="1"/>
  <c r="I98" i="1" s="1"/>
  <c r="F351" i="1"/>
  <c r="H351" i="1" s="1"/>
  <c r="I351" i="1" s="1"/>
  <c r="F476" i="1"/>
  <c r="H476" i="1" s="1"/>
  <c r="I476" i="1" s="1"/>
  <c r="F332" i="1"/>
  <c r="H332" i="1" s="1"/>
  <c r="I332" i="1" s="1"/>
  <c r="F349" i="1"/>
  <c r="H349" i="1" s="1"/>
  <c r="I349" i="1" s="1"/>
  <c r="F54" i="1"/>
  <c r="H54" i="1" s="1"/>
  <c r="I54" i="1" s="1"/>
  <c r="F132" i="1"/>
  <c r="H132" i="1" s="1"/>
  <c r="I132" i="1" s="1"/>
  <c r="F717" i="1"/>
  <c r="H717" i="1" s="1"/>
  <c r="I717" i="1" s="1"/>
  <c r="F586" i="1"/>
  <c r="H586" i="1" s="1"/>
  <c r="I586" i="1" s="1"/>
  <c r="F192" i="1"/>
  <c r="H192" i="1" s="1"/>
  <c r="I192" i="1" s="1"/>
  <c r="F200" i="1"/>
  <c r="H200" i="1" s="1"/>
  <c r="I200" i="1" s="1"/>
  <c r="F245" i="1"/>
  <c r="H245" i="1" s="1"/>
  <c r="I245" i="1" s="1"/>
  <c r="F840" i="1"/>
  <c r="H840" i="1" s="1"/>
  <c r="I840" i="1" s="1"/>
  <c r="F83" i="1"/>
  <c r="H83" i="1" s="1"/>
  <c r="I83" i="1" s="1"/>
  <c r="F248" i="1"/>
  <c r="H248" i="1" s="1"/>
  <c r="I248" i="1" s="1"/>
  <c r="F256" i="1"/>
  <c r="H256" i="1" s="1"/>
  <c r="I256" i="1" s="1"/>
  <c r="F371" i="1"/>
  <c r="H371" i="1" s="1"/>
  <c r="I371" i="1" s="1"/>
  <c r="F250" i="1"/>
  <c r="H250" i="1" s="1"/>
  <c r="I250" i="1" s="1"/>
  <c r="F1006" i="1"/>
  <c r="H1006" i="1" s="1"/>
  <c r="I1006" i="1" s="1"/>
  <c r="F430" i="1"/>
  <c r="H430" i="1" s="1"/>
  <c r="I430" i="1" s="1"/>
  <c r="F884" i="1"/>
  <c r="H884" i="1" s="1"/>
  <c r="I884" i="1" s="1"/>
  <c r="F177" i="1"/>
  <c r="H177" i="1" s="1"/>
  <c r="I177" i="1" s="1"/>
  <c r="F318" i="1"/>
  <c r="H318" i="1" s="1"/>
  <c r="I318" i="1" s="1"/>
  <c r="F186" i="1"/>
  <c r="H186" i="1" s="1"/>
  <c r="I186" i="1" s="1"/>
  <c r="F458" i="1"/>
  <c r="H458" i="1" s="1"/>
  <c r="F49" i="1"/>
  <c r="H49" i="1" s="1"/>
  <c r="I49" i="1" s="1"/>
  <c r="F471" i="1"/>
  <c r="H471" i="1" s="1"/>
  <c r="I471" i="1" s="1"/>
  <c r="F74" i="1"/>
  <c r="H74" i="1" s="1"/>
  <c r="I74" i="1" s="1"/>
  <c r="F867" i="1"/>
  <c r="H867" i="1" s="1"/>
  <c r="I867" i="1" s="1"/>
  <c r="F165" i="1"/>
  <c r="H165" i="1" s="1"/>
  <c r="I165" i="1" s="1"/>
  <c r="F711" i="1"/>
  <c r="H711" i="1" s="1"/>
  <c r="I711" i="1" s="1"/>
  <c r="F178" i="1"/>
  <c r="H178" i="1" s="1"/>
  <c r="I178" i="1" s="1"/>
  <c r="F138" i="1"/>
  <c r="H138" i="1" s="1"/>
  <c r="I138" i="1" s="1"/>
  <c r="F585" i="1"/>
  <c r="H585" i="1" s="1"/>
  <c r="I585" i="1" s="1"/>
  <c r="F377" i="1"/>
  <c r="H377" i="1" s="1"/>
  <c r="I377" i="1" s="1"/>
  <c r="F134" i="1"/>
  <c r="H134" i="1" s="1"/>
  <c r="I134" i="1" s="1"/>
  <c r="F190" i="1"/>
  <c r="H190" i="1" s="1"/>
  <c r="I190" i="1" s="1"/>
  <c r="F779" i="1"/>
  <c r="H779" i="1" s="1"/>
  <c r="I779" i="1" s="1"/>
  <c r="F223" i="1"/>
  <c r="H223" i="1" s="1"/>
  <c r="I223" i="1" s="1"/>
  <c r="F863" i="1"/>
  <c r="H863" i="1" s="1"/>
  <c r="I863" i="1" s="1"/>
  <c r="F503" i="1"/>
  <c r="H503" i="1" s="1"/>
  <c r="I503" i="1" s="1"/>
  <c r="F841" i="1"/>
  <c r="H841" i="1" s="1"/>
  <c r="I841" i="1" s="1"/>
  <c r="F297" i="1"/>
  <c r="H297" i="1" s="1"/>
  <c r="I297" i="1" s="1"/>
  <c r="F632" i="1"/>
  <c r="H632" i="1" s="1"/>
  <c r="I632" i="1" s="1"/>
  <c r="F613" i="1"/>
  <c r="H613" i="1" s="1"/>
  <c r="I613" i="1" s="1"/>
  <c r="F1086" i="1"/>
  <c r="H1086" i="1" s="1"/>
  <c r="I1086" i="1" s="1"/>
  <c r="F981" i="1"/>
  <c r="H981" i="1" s="1"/>
  <c r="I981" i="1" s="1"/>
  <c r="F183" i="1"/>
  <c r="H183" i="1" s="1"/>
  <c r="I183" i="1" s="1"/>
  <c r="F414" i="1"/>
  <c r="H414" i="1" s="1"/>
  <c r="I414" i="1" s="1"/>
  <c r="F219" i="1"/>
  <c r="H219" i="1" s="1"/>
  <c r="I219" i="1" s="1"/>
  <c r="F838" i="1"/>
  <c r="H838" i="1" s="1"/>
  <c r="I838" i="1" s="1"/>
  <c r="F754" i="1"/>
  <c r="H754" i="1" s="1"/>
  <c r="I754" i="1" s="1"/>
  <c r="F122" i="1"/>
  <c r="H122" i="1" s="1"/>
  <c r="I122" i="1" s="1"/>
  <c r="F1149" i="1"/>
  <c r="H1149" i="1" s="1"/>
  <c r="I1149" i="1" s="1"/>
  <c r="F162" i="1"/>
  <c r="H162" i="1" s="1"/>
  <c r="I162" i="1" s="1"/>
  <c r="F889" i="1"/>
  <c r="H889" i="1" s="1"/>
  <c r="I889" i="1" s="1"/>
  <c r="F472" i="1"/>
  <c r="H472" i="1" s="1"/>
  <c r="I472" i="1" s="1"/>
  <c r="F734" i="1"/>
  <c r="H734" i="1" s="1"/>
  <c r="I734" i="1" s="1"/>
  <c r="F237" i="1"/>
  <c r="H237" i="1" s="1"/>
  <c r="I237" i="1" s="1"/>
  <c r="F832" i="1"/>
  <c r="H832" i="1" s="1"/>
  <c r="I832" i="1" s="1"/>
  <c r="F196" i="1"/>
  <c r="H196" i="1" s="1"/>
  <c r="I196" i="1" s="1"/>
  <c r="F725" i="1"/>
  <c r="H725" i="1" s="1"/>
  <c r="I725" i="1" s="1"/>
  <c r="F697" i="1"/>
  <c r="H697" i="1" s="1"/>
  <c r="I697" i="1" s="1"/>
  <c r="F787" i="1"/>
  <c r="H787" i="1" s="1"/>
  <c r="I787" i="1" s="1"/>
  <c r="F1089" i="1"/>
  <c r="H1089" i="1" s="1"/>
  <c r="I1089" i="1" s="1"/>
  <c r="F222" i="1"/>
  <c r="H222" i="1" s="1"/>
  <c r="I222" i="1" s="1"/>
  <c r="F724" i="1"/>
  <c r="H724" i="1" s="1"/>
  <c r="I724" i="1" s="1"/>
  <c r="F1127" i="1"/>
  <c r="H1127" i="1" s="1"/>
  <c r="I1127" i="1" s="1"/>
  <c r="F495" i="1"/>
  <c r="H495" i="1" s="1"/>
  <c r="I495" i="1" s="1"/>
  <c r="F68" i="1"/>
  <c r="H68" i="1" s="1"/>
  <c r="I68" i="1" s="1"/>
  <c r="F390" i="1"/>
  <c r="H390" i="1" s="1"/>
  <c r="I390" i="1" s="1"/>
  <c r="F748" i="1"/>
  <c r="H748" i="1" s="1"/>
  <c r="I748" i="1" s="1"/>
  <c r="F1085" i="1"/>
  <c r="H1085" i="1" s="1"/>
  <c r="I1085" i="1" s="1"/>
  <c r="F619" i="1"/>
  <c r="H619" i="1" s="1"/>
  <c r="I619" i="1" s="1"/>
  <c r="F110" i="1"/>
  <c r="H110" i="1" s="1"/>
  <c r="I110" i="1" s="1"/>
  <c r="F920" i="1"/>
  <c r="H920" i="1" s="1"/>
  <c r="I920" i="1" s="1"/>
  <c r="F213" i="1"/>
  <c r="H213" i="1" s="1"/>
  <c r="I213" i="1" s="1"/>
  <c r="F206" i="1"/>
  <c r="H206" i="1" s="1"/>
  <c r="I206" i="1" s="1"/>
  <c r="F982" i="1"/>
  <c r="H982" i="1" s="1"/>
  <c r="I982" i="1" s="1"/>
  <c r="F121" i="1"/>
  <c r="H121" i="1" s="1"/>
  <c r="I121" i="1" s="1"/>
  <c r="F310" i="1"/>
  <c r="H310" i="1" s="1"/>
  <c r="I310" i="1" s="1"/>
  <c r="F731" i="1"/>
  <c r="H731" i="1" s="1"/>
  <c r="I731" i="1" s="1"/>
  <c r="F92" i="1"/>
  <c r="H92" i="1" s="1"/>
  <c r="I92" i="1" s="1"/>
  <c r="F208" i="1"/>
  <c r="H208" i="1" s="1"/>
  <c r="I208" i="1" s="1"/>
  <c r="F831" i="1"/>
  <c r="H831" i="1" s="1"/>
  <c r="I831" i="1" s="1"/>
  <c r="F391" i="1"/>
  <c r="H391" i="1" s="1"/>
  <c r="I391" i="1" s="1"/>
  <c r="F214" i="1"/>
  <c r="H214" i="1" s="1"/>
  <c r="I214" i="1" s="1"/>
  <c r="F618" i="1"/>
  <c r="H618" i="1" s="1"/>
  <c r="I618" i="1" s="1"/>
  <c r="F198" i="1"/>
  <c r="H198" i="1" s="1"/>
  <c r="I198" i="1" s="1"/>
  <c r="F116" i="1"/>
  <c r="H116" i="1" s="1"/>
  <c r="I116" i="1" s="1"/>
  <c r="F84" i="1"/>
  <c r="H84" i="1" s="1"/>
  <c r="I84" i="1" s="1"/>
  <c r="F758" i="1"/>
  <c r="H758" i="1" s="1"/>
  <c r="I758" i="1" s="1"/>
  <c r="F893" i="1"/>
  <c r="H893" i="1" s="1"/>
  <c r="I893" i="1" s="1"/>
  <c r="F985" i="1"/>
  <c r="H985" i="1" s="1"/>
  <c r="I985" i="1" s="1"/>
  <c r="F465" i="1"/>
  <c r="H465" i="1" s="1"/>
  <c r="I465" i="1" s="1"/>
  <c r="F1054" i="1"/>
  <c r="H1054" i="1" s="1"/>
  <c r="I1054" i="1" s="1"/>
  <c r="F286" i="1"/>
  <c r="H286" i="1" s="1"/>
  <c r="I286" i="1" s="1"/>
  <c r="F434" i="1"/>
  <c r="H434" i="1" s="1"/>
  <c r="I434" i="1" s="1"/>
  <c r="F257" i="1"/>
  <c r="H257" i="1" s="1"/>
  <c r="F602" i="1"/>
  <c r="H602" i="1" s="1"/>
  <c r="I602" i="1" s="1"/>
  <c r="F1036" i="1"/>
  <c r="H1036" i="1" s="1"/>
  <c r="I1036" i="1" s="1"/>
  <c r="F744" i="1"/>
  <c r="H744" i="1" s="1"/>
  <c r="I744" i="1" s="1"/>
  <c r="F895" i="1"/>
  <c r="H895" i="1" s="1"/>
  <c r="I895" i="1" s="1"/>
  <c r="F452" i="1"/>
  <c r="H452" i="1" s="1"/>
  <c r="I452" i="1" s="1"/>
  <c r="F983" i="1"/>
  <c r="H983" i="1" s="1"/>
  <c r="I983" i="1" s="1"/>
  <c r="F437" i="1"/>
  <c r="H437" i="1" s="1"/>
  <c r="I437" i="1" s="1"/>
  <c r="F195" i="1"/>
  <c r="H195" i="1" s="1"/>
  <c r="I195" i="1" s="1"/>
  <c r="F791" i="1"/>
  <c r="H791" i="1" s="1"/>
  <c r="I791" i="1" s="1"/>
  <c r="F156" i="1"/>
  <c r="H156" i="1" s="1"/>
  <c r="I156" i="1" s="1"/>
  <c r="F708" i="1"/>
  <c r="H708" i="1" s="1"/>
  <c r="I708" i="1" s="1"/>
  <c r="F1162" i="1"/>
  <c r="H1162" i="1" s="1"/>
  <c r="I1162" i="1" s="1"/>
  <c r="F1181" i="1"/>
  <c r="H1181" i="1" s="1"/>
  <c r="I1181" i="1" s="1"/>
  <c r="F962" i="1"/>
  <c r="H962" i="1" s="1"/>
  <c r="I962" i="1" s="1"/>
  <c r="F1059" i="1"/>
  <c r="H1059" i="1" s="1"/>
  <c r="I1059" i="1" s="1"/>
  <c r="F395" i="1"/>
  <c r="H395" i="1" s="1"/>
  <c r="I395" i="1" s="1"/>
  <c r="F966" i="1"/>
  <c r="H966" i="1" s="1"/>
  <c r="I966" i="1" s="1"/>
  <c r="F771" i="1"/>
  <c r="H771" i="1" s="1"/>
  <c r="I771" i="1" s="1"/>
  <c r="F435" i="1"/>
  <c r="H435" i="1" s="1"/>
  <c r="I435" i="1" s="1"/>
  <c r="F94" i="1"/>
  <c r="H94" i="1" s="1"/>
  <c r="I94" i="1" s="1"/>
  <c r="F393" i="1"/>
  <c r="H393" i="1" s="1"/>
  <c r="I393" i="1" s="1"/>
  <c r="F526" i="1"/>
  <c r="H526" i="1" s="1"/>
  <c r="I526" i="1" s="1"/>
  <c r="F224" i="1"/>
  <c r="H224" i="1" s="1"/>
  <c r="I224" i="1" s="1"/>
  <c r="F70" i="1"/>
  <c r="H70" i="1" s="1"/>
  <c r="I70" i="1" s="1"/>
  <c r="F1154" i="1"/>
  <c r="H1154" i="1" s="1"/>
  <c r="I1154" i="1" s="1"/>
  <c r="F909" i="1"/>
  <c r="H909" i="1" s="1"/>
  <c r="I909" i="1" s="1"/>
  <c r="F211" i="1"/>
  <c r="H211" i="1" s="1"/>
  <c r="I211" i="1" s="1"/>
  <c r="F127" i="1"/>
  <c r="H127" i="1" s="1"/>
  <c r="I127" i="1" s="1"/>
  <c r="F1055" i="1"/>
  <c r="H1055" i="1" s="1"/>
  <c r="I1055" i="1" s="1"/>
  <c r="F258" i="1"/>
  <c r="H258" i="1" s="1"/>
  <c r="I258" i="1" s="1"/>
  <c r="F528" i="1"/>
  <c r="H528" i="1" s="1"/>
  <c r="I528" i="1" s="1"/>
  <c r="F809" i="1"/>
  <c r="H809" i="1" s="1"/>
  <c r="I809" i="1" s="1"/>
  <c r="F300" i="1"/>
  <c r="H300" i="1" s="1"/>
  <c r="I300" i="1" s="1"/>
  <c r="F221" i="1"/>
  <c r="H221" i="1" s="1"/>
  <c r="I221" i="1" s="1"/>
  <c r="F1045" i="1"/>
  <c r="H1045" i="1" s="1"/>
  <c r="I1045" i="1" s="1"/>
  <c r="F1047" i="1"/>
  <c r="H1047" i="1" s="1"/>
  <c r="I1047" i="1" s="1"/>
  <c r="F1029" i="1"/>
  <c r="H1029" i="1" s="1"/>
  <c r="I1029" i="1" s="1"/>
  <c r="F762" i="1"/>
  <c r="H762" i="1" s="1"/>
  <c r="I762" i="1" s="1"/>
  <c r="F553" i="1"/>
  <c r="H553" i="1" s="1"/>
  <c r="I553" i="1" s="1"/>
  <c r="F285" i="1"/>
  <c r="H285" i="1" s="1"/>
  <c r="I285" i="1" s="1"/>
  <c r="F187" i="1"/>
  <c r="H187" i="1" s="1"/>
  <c r="I187" i="1" s="1"/>
  <c r="F545" i="1"/>
  <c r="H545" i="1" s="1"/>
  <c r="I545" i="1" s="1"/>
  <c r="F324" i="1"/>
  <c r="H324" i="1" s="1"/>
  <c r="I324" i="1" s="1"/>
  <c r="F345" i="1"/>
  <c r="H345" i="1" s="1"/>
  <c r="I345" i="1" s="1"/>
  <c r="F1172" i="1"/>
  <c r="H1172" i="1" s="1"/>
  <c r="I1172" i="1" s="1"/>
  <c r="F1094" i="1"/>
  <c r="H1094" i="1" s="1"/>
  <c r="I1094" i="1" s="1"/>
  <c r="F268" i="1"/>
  <c r="H268" i="1" s="1"/>
  <c r="I268" i="1" s="1"/>
  <c r="F720" i="1"/>
  <c r="H720" i="1" s="1"/>
  <c r="I720" i="1" s="1"/>
  <c r="F40" i="1"/>
  <c r="H40" i="1" s="1"/>
  <c r="I40" i="1" s="1"/>
  <c r="F417" i="1"/>
  <c r="H417" i="1" s="1"/>
  <c r="I417" i="1" s="1"/>
  <c r="F890" i="1"/>
  <c r="H890" i="1" s="1"/>
  <c r="I890" i="1" s="1"/>
  <c r="F175" i="1"/>
  <c r="H175" i="1" s="1"/>
  <c r="I175" i="1" s="1"/>
  <c r="F722" i="1"/>
  <c r="H722" i="1" s="1"/>
  <c r="I722" i="1" s="1"/>
  <c r="F448" i="1"/>
  <c r="H448" i="1" s="1"/>
  <c r="I448" i="1" s="1"/>
  <c r="F338" i="1"/>
  <c r="H338" i="1" s="1"/>
  <c r="I338" i="1" s="1"/>
  <c r="F284" i="1"/>
  <c r="H284" i="1" s="1"/>
  <c r="I284" i="1" s="1"/>
  <c r="F685" i="1"/>
  <c r="H685" i="1" s="1"/>
  <c r="I685" i="1" s="1"/>
  <c r="F794" i="1"/>
  <c r="H794" i="1" s="1"/>
  <c r="I794" i="1" s="1"/>
  <c r="F862" i="1"/>
  <c r="H862" i="1" s="1"/>
  <c r="I862" i="1" s="1"/>
  <c r="F803" i="1"/>
  <c r="H803" i="1" s="1"/>
  <c r="I803" i="1" s="1"/>
  <c r="F88" i="1"/>
  <c r="H88" i="1" s="1"/>
  <c r="I88" i="1" s="1"/>
  <c r="F628" i="1"/>
  <c r="H628" i="1" s="1"/>
  <c r="I628" i="1" s="1"/>
  <c r="F105" i="1"/>
  <c r="H105" i="1" s="1"/>
  <c r="I105" i="1" s="1"/>
  <c r="F604" i="1"/>
  <c r="H604" i="1" s="1"/>
  <c r="I604" i="1" s="1"/>
  <c r="F823" i="1"/>
  <c r="H823" i="1" s="1"/>
  <c r="I823" i="1" s="1"/>
  <c r="F568" i="1"/>
  <c r="H568" i="1" s="1"/>
  <c r="I568" i="1" s="1"/>
  <c r="F782" i="1"/>
  <c r="H782" i="1" s="1"/>
  <c r="I782" i="1" s="1"/>
  <c r="F367" i="1"/>
  <c r="H367" i="1" s="1"/>
  <c r="I367" i="1" s="1"/>
  <c r="F95" i="1"/>
  <c r="H95" i="1" s="1"/>
  <c r="I95" i="1" s="1"/>
  <c r="F872" i="1"/>
  <c r="H872" i="1" s="1"/>
  <c r="I872" i="1" s="1"/>
  <c r="F1134" i="1"/>
  <c r="H1134" i="1" s="1"/>
  <c r="I1134" i="1" s="1"/>
  <c r="F924" i="1"/>
  <c r="H924" i="1" s="1"/>
  <c r="I924" i="1" s="1"/>
  <c r="F1140" i="1"/>
  <c r="H1140" i="1" s="1"/>
  <c r="I1140" i="1" s="1"/>
  <c r="F897" i="1"/>
  <c r="H897" i="1" s="1"/>
  <c r="I897" i="1" s="1"/>
  <c r="F777" i="1"/>
  <c r="H777" i="1" s="1"/>
  <c r="I777" i="1" s="1"/>
  <c r="F869" i="1"/>
  <c r="H869" i="1" s="1"/>
  <c r="I869" i="1" s="1"/>
  <c r="F538" i="1"/>
  <c r="H538" i="1" s="1"/>
  <c r="I538" i="1" s="1"/>
  <c r="F491" i="1"/>
  <c r="H491" i="1" s="1"/>
  <c r="I491" i="1" s="1"/>
  <c r="F723" i="1"/>
  <c r="H723" i="1" s="1"/>
  <c r="I723" i="1" s="1"/>
  <c r="F1146" i="1"/>
  <c r="H1146" i="1" s="1"/>
  <c r="I1146" i="1" s="1"/>
  <c r="F500" i="1"/>
  <c r="H500" i="1" s="1"/>
  <c r="I500" i="1" s="1"/>
  <c r="F616" i="1"/>
  <c r="H616" i="1" s="1"/>
  <c r="I616" i="1" s="1"/>
  <c r="F497" i="1"/>
  <c r="H497" i="1" s="1"/>
  <c r="I497" i="1" s="1"/>
  <c r="F295" i="1"/>
  <c r="H295" i="1" s="1"/>
  <c r="I295" i="1" s="1"/>
  <c r="F552" i="1"/>
  <c r="H552" i="1" s="1"/>
  <c r="I552" i="1" s="1"/>
  <c r="F783" i="1"/>
  <c r="H783" i="1" s="1"/>
  <c r="I783" i="1" s="1"/>
  <c r="F964" i="1"/>
  <c r="H964" i="1" s="1"/>
  <c r="I964" i="1" s="1"/>
  <c r="F1079" i="1"/>
  <c r="H1079" i="1" s="1"/>
  <c r="I1079" i="1" s="1"/>
  <c r="F527" i="1"/>
  <c r="H527" i="1" s="1"/>
  <c r="I527" i="1" s="1"/>
  <c r="F299" i="1"/>
  <c r="H299" i="1" s="1"/>
  <c r="I299" i="1" s="1"/>
  <c r="F96" i="1"/>
  <c r="H96" i="1" s="1"/>
  <c r="I96" i="1" s="1"/>
  <c r="F638" i="1"/>
  <c r="H638" i="1" s="1"/>
  <c r="I638" i="1" s="1"/>
  <c r="F977" i="1"/>
  <c r="H977" i="1" s="1"/>
  <c r="I977" i="1" s="1"/>
  <c r="F1017" i="1"/>
  <c r="H1017" i="1" s="1"/>
  <c r="I1017" i="1" s="1"/>
  <c r="F1105" i="1"/>
  <c r="H1105" i="1" s="1"/>
  <c r="I1105" i="1" s="1"/>
  <c r="F559" i="1"/>
  <c r="H559" i="1" s="1"/>
  <c r="I559" i="1" s="1"/>
  <c r="F576" i="1"/>
  <c r="H576" i="1" s="1"/>
  <c r="I576" i="1" s="1"/>
  <c r="F487" i="1"/>
  <c r="H487" i="1" s="1"/>
  <c r="I487" i="1" s="1"/>
  <c r="F145" i="1"/>
  <c r="H145" i="1" s="1"/>
  <c r="I145" i="1" s="1"/>
  <c r="F540" i="1"/>
  <c r="H540" i="1" s="1"/>
  <c r="I540" i="1" s="1"/>
  <c r="F216" i="1"/>
  <c r="H216" i="1" s="1"/>
  <c r="I216" i="1" s="1"/>
  <c r="F46" i="1"/>
  <c r="H46" i="1" s="1"/>
  <c r="I46" i="1" s="1"/>
  <c r="F1077" i="1"/>
  <c r="H1077" i="1" s="1"/>
  <c r="I1077" i="1" s="1"/>
  <c r="F420" i="1"/>
  <c r="H420" i="1" s="1"/>
  <c r="I420" i="1" s="1"/>
  <c r="F773" i="1"/>
  <c r="H773" i="1" s="1"/>
  <c r="I773" i="1" s="1"/>
  <c r="F205" i="1"/>
  <c r="H205" i="1" s="1"/>
  <c r="I205" i="1" s="1"/>
  <c r="F1116" i="1"/>
  <c r="H1116" i="1" s="1"/>
  <c r="I1116" i="1" s="1"/>
  <c r="F513" i="1"/>
  <c r="H513" i="1" s="1"/>
  <c r="I513" i="1" s="1"/>
  <c r="F542" i="1"/>
  <c r="H542" i="1" s="1"/>
  <c r="I542" i="1" s="1"/>
  <c r="F314" i="1"/>
  <c r="H314" i="1" s="1"/>
  <c r="I314" i="1" s="1"/>
  <c r="F418" i="1"/>
  <c r="H418" i="1" s="1"/>
  <c r="I418" i="1" s="1"/>
  <c r="F289" i="1"/>
  <c r="H289" i="1" s="1"/>
  <c r="I289" i="1" s="1"/>
  <c r="F939" i="1"/>
  <c r="H939" i="1" s="1"/>
  <c r="I939" i="1" s="1"/>
  <c r="F741" i="1"/>
  <c r="H741" i="1" s="1"/>
  <c r="I741" i="1" s="1"/>
  <c r="F85" i="1"/>
  <c r="H85" i="1" s="1"/>
  <c r="I85" i="1" s="1"/>
  <c r="F427" i="1"/>
  <c r="H427" i="1" s="1"/>
  <c r="I427" i="1" s="1"/>
  <c r="F57" i="1"/>
  <c r="H57" i="1" s="1"/>
  <c r="I57" i="1" s="1"/>
  <c r="F383" i="1"/>
  <c r="H383" i="1" s="1"/>
  <c r="I383" i="1" s="1"/>
  <c r="F1119" i="1"/>
  <c r="H1119" i="1" s="1"/>
  <c r="I1119" i="1" s="1"/>
  <c r="F44" i="1"/>
  <c r="H44" i="1" s="1"/>
  <c r="I44" i="1" s="1"/>
  <c r="F550" i="1"/>
  <c r="H550" i="1" s="1"/>
  <c r="I550" i="1" s="1"/>
  <c r="F426" i="1"/>
  <c r="H426" i="1" s="1"/>
  <c r="I426" i="1" s="1"/>
  <c r="F362" i="1"/>
  <c r="H362" i="1" s="1"/>
  <c r="I362" i="1" s="1"/>
  <c r="F683" i="1"/>
  <c r="H683" i="1" s="1"/>
  <c r="I683" i="1" s="1"/>
  <c r="F346" i="1"/>
  <c r="H346" i="1" s="1"/>
  <c r="I346" i="1" s="1"/>
  <c r="F611" i="1"/>
  <c r="H611" i="1" s="1"/>
  <c r="I611" i="1" s="1"/>
  <c r="F593" i="1"/>
  <c r="H593" i="1" s="1"/>
  <c r="I593" i="1" s="1"/>
  <c r="F1160" i="1"/>
  <c r="H1160" i="1" s="1"/>
  <c r="I1160" i="1" s="1"/>
  <c r="F123" i="1"/>
  <c r="H123" i="1" s="1"/>
  <c r="I123" i="1" s="1"/>
  <c r="F129" i="1"/>
  <c r="H129" i="1" s="1"/>
  <c r="I129" i="1" s="1"/>
  <c r="F1093" i="1"/>
  <c r="H1093" i="1" s="1"/>
  <c r="I1093" i="1" s="1"/>
  <c r="F467" i="1"/>
  <c r="H467" i="1" s="1"/>
  <c r="I467" i="1" s="1"/>
  <c r="F1072" i="1"/>
  <c r="H1072" i="1" s="1"/>
  <c r="I1072" i="1" s="1"/>
  <c r="F548" i="1"/>
  <c r="H548" i="1" s="1"/>
  <c r="I548" i="1" s="1"/>
  <c r="F72" i="1"/>
  <c r="H72" i="1" s="1"/>
  <c r="I72" i="1" s="1"/>
  <c r="F624" i="1"/>
  <c r="H624" i="1" s="1"/>
  <c r="I624" i="1" s="1"/>
  <c r="F443" i="1"/>
  <c r="H443" i="1" s="1"/>
  <c r="I443" i="1" s="1"/>
  <c r="F989" i="1"/>
  <c r="H989" i="1" s="1"/>
  <c r="I989" i="1" s="1"/>
  <c r="F343" i="1"/>
  <c r="H343" i="1" s="1"/>
  <c r="I343" i="1" s="1"/>
  <c r="F844" i="1"/>
  <c r="H844" i="1" s="1"/>
  <c r="I844" i="1" s="1"/>
  <c r="F148" i="1"/>
  <c r="H148" i="1" s="1"/>
  <c r="I148" i="1" s="1"/>
  <c r="F188" i="1"/>
  <c r="H188" i="1" s="1"/>
  <c r="I188" i="1" s="1"/>
  <c r="F842" i="1"/>
  <c r="H842" i="1" s="1"/>
  <c r="I842" i="1" s="1"/>
  <c r="F551" i="1"/>
  <c r="H551" i="1" s="1"/>
  <c r="I551" i="1" s="1"/>
  <c r="F796" i="1"/>
  <c r="H796" i="1" s="1"/>
  <c r="I796" i="1" s="1"/>
  <c r="F1066" i="1"/>
  <c r="H1066" i="1" s="1"/>
  <c r="I1066" i="1" s="1"/>
  <c r="F598" i="1"/>
  <c r="H598" i="1" s="1"/>
  <c r="I598" i="1" s="1"/>
  <c r="F888" i="1"/>
  <c r="H888" i="1" s="1"/>
  <c r="I888" i="1" s="1"/>
  <c r="F403" i="1"/>
  <c r="H403" i="1" s="1"/>
  <c r="I403" i="1" s="1"/>
  <c r="F67" i="1"/>
  <c r="H67" i="1" s="1"/>
  <c r="I67" i="1" s="1"/>
  <c r="F139" i="1"/>
  <c r="H139" i="1" s="1"/>
  <c r="I139" i="1" s="1"/>
  <c r="F157" i="1"/>
  <c r="H157" i="1" s="1"/>
  <c r="I157" i="1" s="1"/>
  <c r="F1015" i="1"/>
  <c r="H1015" i="1" s="1"/>
  <c r="I1015" i="1" s="1"/>
  <c r="F228" i="1"/>
  <c r="H228" i="1" s="1"/>
  <c r="I228" i="1" s="1"/>
  <c r="F508" i="1"/>
  <c r="H508" i="1" s="1"/>
  <c r="I508" i="1" s="1"/>
  <c r="F558" i="1"/>
  <c r="H558" i="1" s="1"/>
  <c r="I558" i="1" s="1"/>
  <c r="F353" i="1"/>
  <c r="H353" i="1" s="1"/>
  <c r="I353" i="1" s="1"/>
  <c r="F529" i="1"/>
  <c r="H529" i="1" s="1"/>
  <c r="I529" i="1" s="1"/>
  <c r="F1096" i="1"/>
  <c r="H1096" i="1" s="1"/>
  <c r="I1096" i="1" s="1"/>
  <c r="F464" i="1"/>
  <c r="H464" i="1" s="1"/>
  <c r="I464" i="1" s="1"/>
  <c r="F433" i="1"/>
  <c r="H433" i="1" s="1"/>
  <c r="I433" i="1" s="1"/>
  <c r="F750" i="1"/>
  <c r="H750" i="1" s="1"/>
  <c r="I750" i="1" s="1"/>
  <c r="F265" i="1"/>
  <c r="H265" i="1" s="1"/>
  <c r="I265" i="1" s="1"/>
  <c r="F623" i="1"/>
  <c r="H623" i="1" s="1"/>
  <c r="I623" i="1" s="1"/>
  <c r="F534" i="1"/>
  <c r="H534" i="1" s="1"/>
  <c r="I534" i="1" s="1"/>
  <c r="F629" i="1"/>
  <c r="H629" i="1" s="1"/>
  <c r="I629" i="1" s="1"/>
  <c r="F756" i="1"/>
  <c r="H756" i="1" s="1"/>
  <c r="I756" i="1" s="1"/>
  <c r="F1009" i="1"/>
  <c r="H1009" i="1" s="1"/>
  <c r="I1009" i="1" s="1"/>
  <c r="F804" i="1"/>
  <c r="H804" i="1" s="1"/>
  <c r="I804" i="1" s="1"/>
  <c r="F506" i="1"/>
  <c r="H506" i="1" s="1"/>
  <c r="I506" i="1" s="1"/>
  <c r="F755" i="1"/>
  <c r="H755" i="1" s="1"/>
  <c r="I755" i="1" s="1"/>
  <c r="F149" i="1"/>
  <c r="H149" i="1" s="1"/>
  <c r="I149" i="1" s="1"/>
  <c r="F407" i="1"/>
  <c r="H407" i="1" s="1"/>
  <c r="I407" i="1" s="1"/>
  <c r="F1012" i="1"/>
  <c r="H1012" i="1" s="1"/>
  <c r="I1012" i="1" s="1"/>
  <c r="F536" i="1"/>
  <c r="H536" i="1" s="1"/>
  <c r="I536" i="1" s="1"/>
  <c r="F979" i="1"/>
  <c r="H979" i="1" s="1"/>
  <c r="I979" i="1" s="1"/>
  <c r="F911" i="1"/>
  <c r="H911" i="1" s="1"/>
  <c r="F501" i="1"/>
  <c r="H501" i="1" s="1"/>
  <c r="I501" i="1" s="1"/>
  <c r="F1035" i="1"/>
  <c r="H1035" i="1" s="1"/>
  <c r="I1035" i="1" s="1"/>
  <c r="F1171" i="1"/>
  <c r="H1171" i="1" s="1"/>
  <c r="I1171" i="1" s="1"/>
  <c r="F760" i="1"/>
  <c r="H760" i="1" s="1"/>
  <c r="I760" i="1" s="1"/>
  <c r="F254" i="1"/>
  <c r="H254" i="1" s="1"/>
  <c r="I254" i="1" s="1"/>
  <c r="F751" i="1"/>
  <c r="H751" i="1" s="1"/>
  <c r="I751" i="1" s="1"/>
  <c r="F961" i="1"/>
  <c r="H961" i="1" s="1"/>
  <c r="I961" i="1" s="1"/>
  <c r="F792" i="1"/>
  <c r="H792" i="1" s="1"/>
  <c r="I792" i="1" s="1"/>
  <c r="F412" i="1"/>
  <c r="H412" i="1" s="1"/>
  <c r="I412" i="1" s="1"/>
  <c r="F861" i="1"/>
  <c r="H861" i="1" s="1"/>
  <c r="I861" i="1" s="1"/>
  <c r="F556" i="1"/>
  <c r="H556" i="1" s="1"/>
  <c r="I556" i="1" s="1"/>
  <c r="F1106" i="1"/>
  <c r="H1106" i="1" s="1"/>
  <c r="I1106" i="1" s="1"/>
  <c r="F355" i="1"/>
  <c r="H355" i="1" s="1"/>
  <c r="I355" i="1" s="1"/>
  <c r="F137" i="1"/>
  <c r="H137" i="1" s="1"/>
  <c r="I137" i="1" s="1"/>
  <c r="F490" i="1"/>
  <c r="H490" i="1" s="1"/>
  <c r="I490" i="1" s="1"/>
  <c r="F387" i="1"/>
  <c r="H387" i="1" s="1"/>
  <c r="I387" i="1" s="1"/>
  <c r="F848" i="1"/>
  <c r="H848" i="1" s="1"/>
  <c r="I848" i="1" s="1"/>
  <c r="F301" i="1"/>
  <c r="H301" i="1" s="1"/>
  <c r="I301" i="1" s="1"/>
  <c r="F749" i="1"/>
  <c r="H749" i="1" s="1"/>
  <c r="I749" i="1" s="1"/>
  <c r="F65" i="1"/>
  <c r="H65" i="1" s="1"/>
  <c r="I65" i="1" s="1"/>
  <c r="F621" i="1"/>
  <c r="H621" i="1" s="1"/>
  <c r="I621" i="1" s="1"/>
  <c r="F913" i="1"/>
  <c r="H913" i="1" s="1"/>
  <c r="F184" i="1"/>
  <c r="H184" i="1" s="1"/>
  <c r="I184" i="1" s="1"/>
  <c r="F575" i="1"/>
  <c r="H575" i="1" s="1"/>
  <c r="I575" i="1" s="1"/>
  <c r="F100" i="1"/>
  <c r="H100" i="1" s="1"/>
  <c r="I100" i="1" s="1"/>
  <c r="F348" i="1"/>
  <c r="H348" i="1" s="1"/>
  <c r="I348" i="1" s="1"/>
  <c r="F956" i="1"/>
  <c r="H956" i="1" s="1"/>
  <c r="I956" i="1" s="1"/>
  <c r="F120" i="1"/>
  <c r="H120" i="1" s="1"/>
  <c r="I120" i="1" s="1"/>
  <c r="F785" i="1"/>
  <c r="H785" i="1" s="1"/>
  <c r="I785" i="1" s="1"/>
  <c r="F128" i="1"/>
  <c r="H128" i="1" s="1"/>
  <c r="I128" i="1" s="1"/>
  <c r="F929" i="1"/>
  <c r="H929" i="1" s="1"/>
  <c r="I929" i="1" s="1"/>
  <c r="F1075" i="1"/>
  <c r="H1075" i="1" s="1"/>
  <c r="I1075" i="1" s="1"/>
  <c r="F752" i="1"/>
  <c r="H752" i="1" s="1"/>
  <c r="I752" i="1" s="1"/>
  <c r="F729" i="1"/>
  <c r="H729" i="1" s="1"/>
  <c r="I729" i="1" s="1"/>
  <c r="F1053" i="1"/>
  <c r="H1053" i="1" s="1"/>
  <c r="I1053" i="1" s="1"/>
  <c r="F1130" i="1"/>
  <c r="H1130" i="1" s="1"/>
  <c r="I1130" i="1" s="1"/>
  <c r="F599" i="1"/>
  <c r="H599" i="1" s="1"/>
  <c r="I599" i="1" s="1"/>
  <c r="F385" i="1"/>
  <c r="H385" i="1" s="1"/>
  <c r="I385" i="1" s="1"/>
  <c r="F440" i="1"/>
  <c r="H440" i="1" s="1"/>
  <c r="I440" i="1" s="1"/>
  <c r="F610" i="1"/>
  <c r="H610" i="1" s="1"/>
  <c r="I610" i="1" s="1"/>
  <c r="F1155" i="1"/>
  <c r="H1155" i="1" s="1"/>
  <c r="I1155" i="1" s="1"/>
  <c r="F933" i="1"/>
  <c r="H933" i="1" s="1"/>
  <c r="I933" i="1" s="1"/>
  <c r="F125" i="1"/>
  <c r="H125" i="1" s="1"/>
  <c r="I125" i="1" s="1"/>
  <c r="F821" i="1"/>
  <c r="H821" i="1" s="1"/>
  <c r="I821" i="1" s="1"/>
  <c r="F313" i="1"/>
  <c r="H313" i="1" s="1"/>
  <c r="I313" i="1" s="1"/>
  <c r="F396" i="1"/>
  <c r="H396" i="1" s="1"/>
  <c r="I396" i="1" s="1"/>
  <c r="F323" i="1"/>
  <c r="H323" i="1" s="1"/>
  <c r="I323" i="1" s="1"/>
  <c r="F293" i="1"/>
  <c r="H293" i="1" s="1"/>
  <c r="I293" i="1" s="1"/>
  <c r="F389" i="1"/>
  <c r="H389" i="1" s="1"/>
  <c r="I389" i="1" s="1"/>
  <c r="F185" i="1"/>
  <c r="H185" i="1" s="1"/>
  <c r="I185" i="1" s="1"/>
  <c r="F182" i="1"/>
  <c r="H182" i="1" s="1"/>
  <c r="I182" i="1" s="1"/>
  <c r="F119" i="1"/>
  <c r="H119" i="1" s="1"/>
  <c r="I119" i="1" s="1"/>
  <c r="F457" i="1"/>
  <c r="H457" i="1" s="1"/>
  <c r="I457" i="1" s="1"/>
  <c r="F769" i="1"/>
  <c r="H769" i="1" s="1"/>
  <c r="I769" i="1" s="1"/>
  <c r="F694" i="1"/>
  <c r="H694" i="1" s="1"/>
  <c r="I694" i="1" s="1"/>
  <c r="F489" i="1"/>
  <c r="H489" i="1" s="1"/>
  <c r="I489" i="1" s="1"/>
  <c r="F259" i="1"/>
  <c r="H259" i="1" s="1"/>
  <c r="I259" i="1" s="1"/>
  <c r="F965" i="1"/>
  <c r="H965" i="1" s="1"/>
  <c r="I965" i="1" s="1"/>
  <c r="F77" i="1"/>
  <c r="H77" i="1" s="1"/>
  <c r="I77" i="1" s="1"/>
  <c r="F321" i="1"/>
  <c r="H321" i="1" s="1"/>
  <c r="I321" i="1" s="1"/>
  <c r="F592" i="1"/>
  <c r="H592" i="1" s="1"/>
  <c r="F766" i="1"/>
  <c r="H766" i="1" s="1"/>
  <c r="I766" i="1" s="1"/>
  <c r="F812" i="1"/>
  <c r="H812" i="1" s="1"/>
  <c r="I812" i="1" s="1"/>
  <c r="F498" i="1"/>
  <c r="H498" i="1" s="1"/>
  <c r="I498" i="1" s="1"/>
  <c r="F308" i="1"/>
  <c r="H308" i="1" s="1"/>
  <c r="I308" i="1" s="1"/>
  <c r="F806" i="1"/>
  <c r="H806" i="1" s="1"/>
  <c r="I806" i="1" s="1"/>
  <c r="F1020" i="1"/>
  <c r="H1020" i="1" s="1"/>
  <c r="I1020" i="1" s="1"/>
  <c r="F993" i="1"/>
  <c r="H993" i="1" s="1"/>
  <c r="I993" i="1" s="1"/>
  <c r="F50" i="1"/>
  <c r="H50" i="1" s="1"/>
  <c r="I50" i="1" s="1"/>
  <c r="F359" i="1"/>
  <c r="H359" i="1" s="1"/>
  <c r="I359" i="1" s="1"/>
  <c r="F340" i="1"/>
  <c r="H340" i="1" s="1"/>
  <c r="I340" i="1" s="1"/>
  <c r="F627" i="1"/>
  <c r="H627" i="1" s="1"/>
  <c r="I627" i="1" s="1"/>
  <c r="F450" i="1"/>
  <c r="H450" i="1" s="1"/>
  <c r="I450" i="1" s="1"/>
  <c r="F1180" i="1"/>
  <c r="H1180" i="1" s="1"/>
  <c r="I1180" i="1" s="1"/>
  <c r="F1025" i="1"/>
  <c r="H1025" i="1" s="1"/>
  <c r="I1025" i="1" s="1"/>
  <c r="F1118" i="1"/>
  <c r="H1118" i="1" s="1"/>
  <c r="I1118" i="1" s="1"/>
  <c r="F561" i="1"/>
  <c r="H561" i="1" s="1"/>
  <c r="I561" i="1" s="1"/>
  <c r="F826" i="1"/>
  <c r="H826" i="1" s="1"/>
  <c r="I826" i="1" s="1"/>
  <c r="F567" i="1"/>
  <c r="H567" i="1" s="1"/>
  <c r="I567" i="1" s="1"/>
  <c r="F232" i="1"/>
  <c r="H232" i="1" s="1"/>
  <c r="I232" i="1" s="1"/>
  <c r="F747" i="1"/>
  <c r="H747" i="1" s="1"/>
  <c r="I747" i="1" s="1"/>
  <c r="F511" i="1"/>
  <c r="H511" i="1" s="1"/>
  <c r="I511" i="1" s="1"/>
  <c r="F969" i="1"/>
  <c r="H969" i="1" s="1"/>
  <c r="I969" i="1" s="1"/>
  <c r="F43" i="1"/>
  <c r="H43" i="1" s="1"/>
  <c r="I43" i="1" s="1"/>
  <c r="F225" i="1"/>
  <c r="H225" i="1" s="1"/>
  <c r="I225" i="1" s="1"/>
  <c r="F510" i="1"/>
  <c r="H510" i="1" s="1"/>
  <c r="I510" i="1" s="1"/>
  <c r="F941" i="1"/>
  <c r="H941" i="1" s="1"/>
  <c r="I941" i="1" s="1"/>
  <c r="F1126" i="1"/>
  <c r="H1126" i="1" s="1"/>
  <c r="I1126" i="1" s="1"/>
  <c r="F292" i="1"/>
  <c r="H292" i="1" s="1"/>
  <c r="I292" i="1" s="1"/>
  <c r="F1131" i="1"/>
  <c r="H1131" i="1" s="1"/>
  <c r="I1131" i="1" s="1"/>
  <c r="F865" i="1"/>
  <c r="H865" i="1" s="1"/>
  <c r="I865" i="1" s="1"/>
  <c r="F42" i="1"/>
  <c r="H42" i="1" s="1"/>
  <c r="F693" i="1"/>
  <c r="H693" i="1" s="1"/>
  <c r="I693" i="1" s="1"/>
  <c r="F581" i="1"/>
  <c r="H581" i="1" s="1"/>
  <c r="I581" i="1" s="1"/>
  <c r="F1063" i="1"/>
  <c r="H1063" i="1" s="1"/>
  <c r="I1063" i="1" s="1"/>
  <c r="F1030" i="1"/>
  <c r="H1030" i="1" s="1"/>
  <c r="I1030" i="1" s="1"/>
  <c r="F692" i="1"/>
  <c r="H692" i="1" s="1"/>
  <c r="I692" i="1" s="1"/>
  <c r="F596" i="1"/>
  <c r="H596" i="1" s="1"/>
  <c r="I596" i="1" s="1"/>
  <c r="F1028" i="1"/>
  <c r="H1028" i="1" s="1"/>
  <c r="I1028" i="1" s="1"/>
  <c r="F874" i="1"/>
  <c r="H874" i="1" s="1"/>
  <c r="I874" i="1" s="1"/>
  <c r="F572" i="1"/>
  <c r="H572" i="1" s="1"/>
  <c r="I572" i="1" s="1"/>
  <c r="F87" i="1"/>
  <c r="H87" i="1" s="1"/>
  <c r="I87" i="1" s="1"/>
  <c r="F1044" i="1"/>
  <c r="H1044" i="1" s="1"/>
  <c r="I1044" i="1" s="1"/>
  <c r="F892" i="1"/>
  <c r="H892" i="1" s="1"/>
  <c r="I892" i="1" s="1"/>
  <c r="F795" i="1"/>
  <c r="H795" i="1" s="1"/>
  <c r="I795" i="1" s="1"/>
  <c r="F126" i="1"/>
  <c r="H126" i="1" s="1"/>
  <c r="I126" i="1" s="1"/>
  <c r="F174" i="1"/>
  <c r="H174" i="1" s="1"/>
  <c r="I174" i="1" s="1"/>
  <c r="F764" i="1"/>
  <c r="H764" i="1" s="1"/>
  <c r="I764" i="1" s="1"/>
  <c r="F306" i="1"/>
  <c r="H306" i="1" s="1"/>
  <c r="I306" i="1" s="1"/>
  <c r="F1074" i="1"/>
  <c r="H1074" i="1" s="1"/>
  <c r="I1074" i="1" s="1"/>
  <c r="F415" i="1"/>
  <c r="H415" i="1" s="1"/>
  <c r="I415" i="1" s="1"/>
  <c r="F562" i="1"/>
  <c r="H562" i="1" s="1"/>
  <c r="I562" i="1" s="1"/>
  <c r="F1024" i="1"/>
  <c r="H1024" i="1" s="1"/>
  <c r="I1024" i="1" s="1"/>
  <c r="F937" i="1"/>
  <c r="H937" i="1" s="1"/>
  <c r="I937" i="1" s="1"/>
  <c r="F315" i="1"/>
  <c r="H315" i="1" s="1"/>
  <c r="I315" i="1" s="1"/>
  <c r="F276" i="1"/>
  <c r="H276" i="1" s="1"/>
  <c r="I276" i="1" s="1"/>
  <c r="F1132" i="1"/>
  <c r="H1132" i="1" s="1"/>
  <c r="I1132" i="1" s="1"/>
  <c r="F833" i="1"/>
  <c r="H833" i="1" s="1"/>
  <c r="I833" i="1" s="1"/>
  <c r="F825" i="1"/>
  <c r="H825" i="1" s="1"/>
  <c r="I825" i="1" s="1"/>
  <c r="F456" i="1"/>
  <c r="H456" i="1" s="1"/>
  <c r="I456" i="1" s="1"/>
  <c r="F53" i="1"/>
  <c r="H53" i="1" s="1"/>
  <c r="I53" i="1" s="1"/>
  <c r="F62" i="1"/>
  <c r="H62" i="1" s="1"/>
  <c r="I62" i="1" s="1"/>
  <c r="F446" i="1"/>
  <c r="H446" i="1" s="1"/>
  <c r="F444" i="1"/>
  <c r="H444" i="1" s="1"/>
  <c r="I444" i="1" s="1"/>
  <c r="F445" i="1"/>
  <c r="H445" i="1" s="1"/>
  <c r="F845" i="1"/>
  <c r="H845" i="1" s="1"/>
  <c r="I845" i="1" s="1"/>
  <c r="F101" i="1"/>
  <c r="H101" i="1" s="1"/>
  <c r="I101" i="1" s="1"/>
  <c r="F606" i="1"/>
  <c r="H606" i="1" s="1"/>
  <c r="I606" i="1" s="1"/>
  <c r="F231" i="1"/>
  <c r="H231" i="1" s="1"/>
  <c r="I231" i="1" s="1"/>
  <c r="F61" i="1"/>
  <c r="H61" i="1" s="1"/>
  <c r="I61" i="1" s="1"/>
  <c r="F91" i="1"/>
  <c r="H91" i="1" s="1"/>
  <c r="I91" i="1" s="1"/>
  <c r="F159" i="1"/>
  <c r="H159" i="1" s="1"/>
  <c r="I159" i="1" s="1"/>
  <c r="F564" i="1"/>
  <c r="H564" i="1" s="1"/>
  <c r="I564" i="1" s="1"/>
  <c r="F768" i="1"/>
  <c r="H768" i="1" s="1"/>
  <c r="I768" i="1" s="1"/>
  <c r="F1010" i="1"/>
  <c r="H1010" i="1" s="1"/>
  <c r="I1010" i="1" s="1"/>
  <c r="F215" i="1"/>
  <c r="H215" i="1" s="1"/>
  <c r="I215" i="1" s="1"/>
  <c r="F1087" i="1"/>
  <c r="H1087" i="1" s="1"/>
  <c r="I1087" i="1" s="1"/>
  <c r="F1037" i="1"/>
  <c r="H1037" i="1" s="1"/>
  <c r="I1037" i="1" s="1"/>
  <c r="F356" i="1"/>
  <c r="H356" i="1" s="1"/>
  <c r="I356" i="1" s="1"/>
  <c r="F898" i="1"/>
  <c r="H898" i="1" s="1"/>
  <c r="I898" i="1" s="1"/>
  <c r="F532" i="1"/>
  <c r="H532" i="1" s="1"/>
  <c r="I532" i="1" s="1"/>
  <c r="F743" i="1"/>
  <c r="H743" i="1" s="1"/>
  <c r="I743" i="1" s="1"/>
  <c r="F267" i="1"/>
  <c r="H267" i="1" s="1"/>
  <c r="I267" i="1" s="1"/>
  <c r="F144" i="1"/>
  <c r="H144" i="1" s="1"/>
  <c r="I144" i="1" s="1"/>
  <c r="F523" i="1"/>
  <c r="H523" i="1" s="1"/>
  <c r="I523" i="1" s="1"/>
  <c r="F876" i="1"/>
  <c r="H876" i="1" s="1"/>
  <c r="I876" i="1" s="1"/>
  <c r="F423" i="1"/>
  <c r="H423" i="1" s="1"/>
  <c r="I423" i="1" s="1"/>
  <c r="F241" i="1"/>
  <c r="H241" i="1" s="1"/>
  <c r="I241" i="1" s="1"/>
  <c r="F600" i="1"/>
  <c r="H600" i="1" s="1"/>
  <c r="I600" i="1" s="1"/>
  <c r="F1170" i="1"/>
  <c r="H1170" i="1" s="1"/>
  <c r="I1170" i="1" s="1"/>
  <c r="F1184" i="1"/>
  <c r="H1184" i="1" s="1"/>
  <c r="I1184" i="1" s="1"/>
  <c r="F56" i="1"/>
  <c r="H56" i="1" s="1"/>
  <c r="I56" i="1" s="1"/>
  <c r="F555" i="1"/>
  <c r="H555" i="1" s="1"/>
  <c r="I555" i="1" s="1"/>
  <c r="F1032" i="1"/>
  <c r="H1032" i="1" s="1"/>
  <c r="I1032" i="1" s="1"/>
  <c r="F1081" i="1"/>
  <c r="H1081" i="1" s="1"/>
  <c r="I1081" i="1" s="1"/>
  <c r="F612" i="1"/>
  <c r="H612" i="1" s="1"/>
  <c r="I612" i="1" s="1"/>
  <c r="F770" i="1"/>
  <c r="H770" i="1" s="1"/>
  <c r="I770" i="1" s="1"/>
  <c r="F1099" i="1"/>
  <c r="H1099" i="1" s="1"/>
  <c r="I1099" i="1" s="1"/>
  <c r="F614" i="1"/>
  <c r="H614" i="1" s="1"/>
  <c r="I614" i="1" s="1"/>
  <c r="F209" i="1"/>
  <c r="H209" i="1" s="1"/>
  <c r="I209" i="1" s="1"/>
  <c r="F466" i="1"/>
  <c r="H466" i="1" s="1"/>
  <c r="I466" i="1" s="1"/>
  <c r="F1158" i="1"/>
  <c r="H1158" i="1" s="1"/>
  <c r="I1158" i="1" s="1"/>
  <c r="F1167" i="1"/>
  <c r="H1167" i="1" s="1"/>
  <c r="I1167" i="1" s="1"/>
  <c r="F987" i="1"/>
  <c r="H987" i="1" s="1"/>
  <c r="I987" i="1" s="1"/>
  <c r="F252" i="1"/>
  <c r="H252" i="1" s="1"/>
  <c r="I252" i="1" s="1"/>
  <c r="F97" i="1"/>
  <c r="H97" i="1" s="1"/>
  <c r="I97" i="1" s="1"/>
  <c r="F226" i="1"/>
  <c r="H226" i="1" s="1"/>
  <c r="I226" i="1" s="1"/>
  <c r="F502" i="1"/>
  <c r="H502" i="1" s="1"/>
  <c r="I502" i="1" s="1"/>
  <c r="F622" i="1"/>
  <c r="H622" i="1" s="1"/>
  <c r="I622" i="1" s="1"/>
  <c r="F544" i="1"/>
  <c r="H544" i="1" s="1"/>
  <c r="I544" i="1" s="1"/>
  <c r="F104" i="1"/>
  <c r="H104" i="1" s="1"/>
  <c r="I104" i="1" s="1"/>
  <c r="F1139" i="1"/>
  <c r="H1139" i="1" s="1"/>
  <c r="I1139" i="1" s="1"/>
  <c r="F480" i="1"/>
  <c r="H480" i="1" s="1"/>
  <c r="I480" i="1" s="1"/>
  <c r="F1165" i="1"/>
  <c r="H1165" i="1" s="1"/>
  <c r="I1165" i="1" s="1"/>
  <c r="F493" i="1"/>
  <c r="H493" i="1" s="1"/>
  <c r="I493" i="1" s="1"/>
  <c r="F1100" i="1"/>
  <c r="H1100" i="1" s="1"/>
  <c r="I1100" i="1" s="1"/>
  <c r="F1152" i="1"/>
  <c r="H1152" i="1" s="1"/>
  <c r="I1152" i="1" s="1"/>
  <c r="F1182" i="1"/>
  <c r="H1182" i="1" s="1"/>
  <c r="I1182" i="1" s="1"/>
  <c r="F180" i="1"/>
  <c r="H180" i="1" s="1"/>
  <c r="I180" i="1" s="1"/>
  <c r="F931" i="1"/>
  <c r="H931" i="1" s="1"/>
  <c r="I931" i="1" s="1"/>
  <c r="F1034" i="1"/>
  <c r="H1034" i="1" s="1"/>
  <c r="I1034" i="1" s="1"/>
  <c r="F1159" i="1"/>
  <c r="H1159" i="1" s="1"/>
  <c r="I1159" i="1" s="1"/>
  <c r="F871" i="1"/>
  <c r="H871" i="1" s="1"/>
  <c r="I871" i="1" s="1"/>
  <c r="F856" i="1"/>
  <c r="H856" i="1" s="1"/>
  <c r="I856" i="1" s="1"/>
  <c r="F914" i="1"/>
  <c r="H914" i="1" s="1"/>
  <c r="F319" i="1"/>
  <c r="H319" i="1" s="1"/>
  <c r="I319" i="1" s="1"/>
  <c r="F712" i="1"/>
  <c r="H712" i="1" s="1"/>
  <c r="I712" i="1" s="1"/>
  <c r="F109" i="1"/>
  <c r="H109" i="1" s="1"/>
  <c r="I109" i="1" s="1"/>
  <c r="F335" i="1"/>
  <c r="H335" i="1" s="1"/>
  <c r="I335" i="1" s="1"/>
  <c r="F112" i="1"/>
  <c r="H112" i="1" s="1"/>
  <c r="I112" i="1" s="1"/>
  <c r="F158" i="1"/>
  <c r="H158" i="1" s="1"/>
  <c r="I158" i="1" s="1"/>
  <c r="F136" i="1"/>
  <c r="H136" i="1" s="1"/>
  <c r="I136" i="1" s="1"/>
  <c r="F626" i="1"/>
  <c r="H626" i="1" s="1"/>
  <c r="I626" i="1" s="1"/>
  <c r="F1056" i="1"/>
  <c r="H1056" i="1" s="1"/>
  <c r="I1056" i="1" s="1"/>
  <c r="F442" i="1"/>
  <c r="H442" i="1" s="1"/>
  <c r="I442" i="1" s="1"/>
  <c r="F774" i="1"/>
  <c r="F713" i="1"/>
  <c r="H713" i="1" s="1"/>
  <c r="I713" i="1" s="1"/>
  <c r="F788" i="1"/>
  <c r="H788" i="1" s="1"/>
  <c r="I788" i="1" s="1"/>
  <c r="F1188" i="1"/>
  <c r="H1188" i="1" s="1"/>
  <c r="I1188" i="1" s="1"/>
  <c r="F155" i="1"/>
  <c r="H155" i="1" s="1"/>
  <c r="I155" i="1" s="1"/>
  <c r="F436" i="1"/>
  <c r="H436" i="1" s="1"/>
  <c r="I436" i="1" s="1"/>
  <c r="F251" i="1"/>
  <c r="H251" i="1" s="1"/>
  <c r="I251" i="1" s="1"/>
  <c r="F135" i="1"/>
  <c r="H135" i="1" s="1"/>
  <c r="I135" i="1" s="1"/>
  <c r="F171" i="1"/>
  <c r="H171" i="1" s="1"/>
  <c r="I171" i="1" s="1"/>
  <c r="F816" i="1"/>
  <c r="H816" i="1" s="1"/>
  <c r="I816" i="1" s="1"/>
  <c r="F347" i="1"/>
  <c r="H347" i="1" s="1"/>
  <c r="I347" i="1" s="1"/>
  <c r="F866" i="1"/>
  <c r="H866" i="1" s="1"/>
  <c r="I866" i="1" s="1"/>
  <c r="F1122" i="1"/>
  <c r="H1122" i="1" s="1"/>
  <c r="I1122" i="1" s="1"/>
  <c r="F934" i="1"/>
  <c r="H934" i="1" s="1"/>
  <c r="I934" i="1" s="1"/>
  <c r="F967" i="1"/>
  <c r="H967" i="1" s="1"/>
  <c r="I967" i="1" s="1"/>
  <c r="F1138" i="1"/>
  <c r="H1138" i="1" s="1"/>
  <c r="I1138" i="1" s="1"/>
  <c r="F524" i="1"/>
  <c r="H524" i="1" s="1"/>
  <c r="I524" i="1" s="1"/>
  <c r="F852" i="1"/>
  <c r="H852" i="1" s="1"/>
  <c r="I852" i="1" s="1"/>
  <c r="F1090" i="1"/>
  <c r="H1090" i="1" s="1"/>
  <c r="I1090" i="1" s="1"/>
  <c r="F594" i="1"/>
  <c r="H594" i="1" s="1"/>
  <c r="I594" i="1" s="1"/>
  <c r="F921" i="1"/>
  <c r="H921" i="1" s="1"/>
  <c r="I921" i="1" s="1"/>
  <c r="F522" i="1"/>
  <c r="H522" i="1" s="1"/>
  <c r="I522" i="1" s="1"/>
  <c r="F531" i="1"/>
  <c r="H531" i="1" s="1"/>
  <c r="I531" i="1" s="1"/>
  <c r="F579" i="1"/>
  <c r="H579" i="1" s="1"/>
  <c r="I579" i="1" s="1"/>
  <c r="F311" i="1"/>
  <c r="H311" i="1" s="1"/>
  <c r="I311" i="1" s="1"/>
  <c r="F274" i="1"/>
  <c r="H274" i="1" s="1"/>
  <c r="I274" i="1" s="1"/>
  <c r="F565" i="1"/>
  <c r="H565" i="1" s="1"/>
  <c r="I565" i="1" s="1"/>
  <c r="F916" i="1"/>
  <c r="H916" i="1" s="1"/>
  <c r="F238" i="1"/>
  <c r="H238" i="1" s="1"/>
  <c r="I238" i="1" s="1"/>
  <c r="F394" i="1"/>
  <c r="H394" i="1" s="1"/>
  <c r="I394" i="1" s="1"/>
  <c r="F746" i="1"/>
  <c r="H746" i="1" s="1"/>
  <c r="I746" i="1" s="1"/>
  <c r="F948" i="1"/>
  <c r="H948" i="1" s="1"/>
  <c r="I948" i="1" s="1"/>
  <c r="F58" i="1"/>
  <c r="H58" i="1" s="1"/>
  <c r="I58" i="1" s="1"/>
  <c r="F516" i="1"/>
  <c r="H516" i="1" s="1"/>
  <c r="I516" i="1" s="1"/>
  <c r="F814" i="1"/>
  <c r="H814" i="1" s="1"/>
  <c r="I814" i="1" s="1"/>
  <c r="F375" i="1"/>
  <c r="H375" i="1" s="1"/>
  <c r="I375" i="1" s="1"/>
  <c r="F152" i="1"/>
  <c r="H152" i="1" s="1"/>
  <c r="I152" i="1" s="1"/>
  <c r="F111" i="1"/>
  <c r="H111" i="1" s="1"/>
  <c r="I111" i="1" s="1"/>
  <c r="F1058" i="1"/>
  <c r="H1058" i="1" s="1"/>
  <c r="I1058" i="1" s="1"/>
  <c r="F380" i="1"/>
  <c r="H380" i="1" s="1"/>
  <c r="I380" i="1" s="1"/>
  <c r="F919" i="1"/>
  <c r="H919" i="1" s="1"/>
  <c r="I919" i="1" s="1"/>
  <c r="F271" i="1"/>
  <c r="H271" i="1" s="1"/>
  <c r="I271" i="1" s="1"/>
  <c r="F1157" i="1"/>
  <c r="H1157" i="1" s="1"/>
  <c r="I1157" i="1" s="1"/>
  <c r="F546" i="1"/>
  <c r="H546" i="1" s="1"/>
  <c r="I546" i="1" s="1"/>
  <c r="F707" i="1"/>
  <c r="H707" i="1" s="1"/>
  <c r="I707" i="1" s="1"/>
  <c r="F1104" i="1"/>
  <c r="H1104" i="1" s="1"/>
  <c r="I1104" i="1" s="1"/>
  <c r="F786" i="1"/>
  <c r="H786" i="1" s="1"/>
  <c r="I786" i="1" s="1"/>
  <c r="F955" i="1"/>
  <c r="H955" i="1" s="1"/>
  <c r="I955" i="1" s="1"/>
  <c r="F958" i="1"/>
  <c r="H958" i="1" s="1"/>
  <c r="I958" i="1" s="1"/>
  <c r="F402" i="1"/>
  <c r="H402" i="1" s="1"/>
  <c r="I402" i="1" s="1"/>
  <c r="F818" i="1"/>
  <c r="H818" i="1" s="1"/>
  <c r="I818" i="1" s="1"/>
  <c r="F608" i="1"/>
  <c r="H608" i="1" s="1"/>
  <c r="I608" i="1" s="1"/>
  <c r="F282" i="1"/>
  <c r="H282" i="1" s="1"/>
  <c r="I282" i="1" s="1"/>
  <c r="F1097" i="1"/>
  <c r="H1097" i="1" s="1"/>
  <c r="I1097" i="1" s="1"/>
  <c r="F997" i="1"/>
  <c r="H997" i="1" s="1"/>
  <c r="I997" i="1" s="1"/>
  <c r="F810" i="1"/>
  <c r="H810" i="1" s="1"/>
  <c r="I810" i="1" s="1"/>
  <c r="F1103" i="1"/>
  <c r="H1103" i="1" s="1"/>
  <c r="I1103" i="1" s="1"/>
  <c r="F721" i="1"/>
  <c r="H721" i="1" s="1"/>
  <c r="I721" i="1" s="1"/>
  <c r="F1183" i="1"/>
  <c r="H1183" i="1" s="1"/>
  <c r="I1183" i="1" s="1"/>
  <c r="F227" i="1"/>
  <c r="H227" i="1" s="1"/>
  <c r="I227" i="1" s="1"/>
  <c r="F836" i="1"/>
  <c r="H836" i="1" s="1"/>
  <c r="I836" i="1" s="1"/>
  <c r="F354" i="1"/>
  <c r="H354" i="1" s="1"/>
  <c r="I354" i="1" s="1"/>
  <c r="F799" i="1"/>
  <c r="H799" i="1" s="1"/>
  <c r="I799" i="1" s="1"/>
  <c r="F236" i="1"/>
  <c r="H236" i="1" s="1"/>
  <c r="I236" i="1" s="1"/>
  <c r="F849" i="1"/>
  <c r="H849" i="1" s="1"/>
  <c r="I849" i="1" s="1"/>
  <c r="F370" i="1"/>
  <c r="H370" i="1" s="1"/>
  <c r="I370" i="1" s="1"/>
  <c r="F759" i="1"/>
  <c r="H759" i="1" s="1"/>
  <c r="I759" i="1" s="1"/>
  <c r="F778" i="1"/>
  <c r="H778" i="1" s="1"/>
  <c r="I778" i="1" s="1"/>
  <c r="F217" i="1"/>
  <c r="H217" i="1" s="1"/>
  <c r="I217" i="1" s="1"/>
  <c r="F1013" i="1"/>
  <c r="H1013" i="1" s="1"/>
  <c r="I1013" i="1" s="1"/>
  <c r="F718" i="1"/>
  <c r="H718" i="1" s="1"/>
  <c r="I718" i="1" s="1"/>
  <c r="F1033" i="1"/>
  <c r="H1033" i="1" s="1"/>
  <c r="I1033" i="1" s="1"/>
  <c r="F275" i="1"/>
  <c r="H275" i="1" s="1"/>
  <c r="I275" i="1" s="1"/>
  <c r="F857" i="1"/>
  <c r="H857" i="1" s="1"/>
  <c r="I857" i="1" s="1"/>
  <c r="F936" i="1"/>
  <c r="H936" i="1" s="1"/>
  <c r="I936" i="1" s="1"/>
  <c r="F968" i="1"/>
  <c r="H968" i="1" s="1"/>
  <c r="I968" i="1" s="1"/>
  <c r="F765" i="1"/>
  <c r="H765" i="1" s="1"/>
  <c r="I765" i="1" s="1"/>
  <c r="F307" i="1"/>
  <c r="H307" i="1" s="1"/>
  <c r="I307" i="1" s="1"/>
  <c r="F1166" i="1"/>
  <c r="H1166" i="1" s="1"/>
  <c r="I1166" i="1" s="1"/>
  <c r="F922" i="1"/>
  <c r="H922" i="1" s="1"/>
  <c r="I922" i="1" s="1"/>
  <c r="F789" i="1"/>
  <c r="H789" i="1" s="1"/>
  <c r="I789" i="1" s="1"/>
  <c r="F1161" i="1"/>
  <c r="H1161" i="1" s="1"/>
  <c r="I1161" i="1" s="1"/>
  <c r="F1003" i="1"/>
  <c r="H1003" i="1" s="1"/>
  <c r="I1003" i="1" s="1"/>
  <c r="F530" i="1"/>
  <c r="F1084" i="1"/>
  <c r="H1084" i="1" s="1"/>
  <c r="I1084" i="1" s="1"/>
  <c r="F745" i="1"/>
  <c r="H745" i="1" s="1"/>
  <c r="I745" i="1" s="1"/>
  <c r="F339" i="1"/>
  <c r="H339" i="1" s="1"/>
  <c r="I339" i="1" s="1"/>
  <c r="F1005" i="1"/>
  <c r="F1052" i="1"/>
  <c r="H1052" i="1" s="1"/>
  <c r="I1052" i="1" s="1"/>
  <c r="F617" i="1"/>
  <c r="H617" i="1" s="1"/>
  <c r="I617" i="1" s="1"/>
  <c r="F369" i="1"/>
  <c r="H369" i="1" s="1"/>
  <c r="I369" i="1" s="1"/>
  <c r="F925" i="1"/>
  <c r="H925" i="1" s="1"/>
  <c r="I925" i="1" s="1"/>
  <c r="F1064" i="1"/>
  <c r="H1064" i="1" s="1"/>
  <c r="I1064" i="1" s="1"/>
  <c r="F133" i="1"/>
  <c r="H133" i="1" s="1"/>
  <c r="I133" i="1" s="1"/>
  <c r="F949" i="1"/>
  <c r="H949" i="1" s="1"/>
  <c r="I949" i="1" s="1"/>
  <c r="F102" i="1"/>
  <c r="H102" i="1" s="1"/>
  <c r="I102" i="1" s="1"/>
  <c r="F242" i="1"/>
  <c r="F167" i="1"/>
  <c r="H167" i="1" s="1"/>
  <c r="I167" i="1" s="1"/>
  <c r="F819" i="1"/>
  <c r="H819" i="1" s="1"/>
  <c r="I819" i="1" s="1"/>
  <c r="F163" i="1"/>
  <c r="H163" i="1" s="1"/>
  <c r="I163" i="1" s="1"/>
  <c r="F71" i="1"/>
  <c r="H71" i="1" s="1"/>
  <c r="I71" i="1" s="1"/>
  <c r="F736" i="1"/>
  <c r="H736" i="1" s="1"/>
  <c r="I736" i="1" s="1"/>
  <c r="F431" i="1"/>
  <c r="H431" i="1" s="1"/>
  <c r="I431" i="1" s="1"/>
  <c r="F131" i="1"/>
  <c r="H131" i="1" s="1"/>
  <c r="I131" i="1" s="1"/>
  <c r="F379" i="1"/>
  <c r="H379" i="1" s="1"/>
  <c r="I379" i="1" s="1"/>
  <c r="F69" i="1"/>
  <c r="H69" i="1" s="1"/>
  <c r="I69" i="1" s="1"/>
  <c r="F891" i="1"/>
  <c r="H891" i="1" s="1"/>
  <c r="I891" i="1" s="1"/>
  <c r="F309" i="1"/>
  <c r="H309" i="1" s="1"/>
  <c r="I309" i="1" s="1"/>
  <c r="F118" i="1"/>
  <c r="H118" i="1" s="1"/>
  <c r="F364" i="1"/>
  <c r="H364" i="1" s="1"/>
  <c r="I364" i="1" s="1"/>
  <c r="F141" i="1"/>
  <c r="H141" i="1" s="1"/>
  <c r="I141" i="1" s="1"/>
  <c r="F947" i="1"/>
  <c r="H947" i="1" s="1"/>
  <c r="I947" i="1" s="1"/>
  <c r="F279" i="1"/>
  <c r="H279" i="1" s="1"/>
  <c r="I279" i="1" s="1"/>
  <c r="F915" i="1"/>
  <c r="H915" i="1" s="1"/>
  <c r="I915" i="1" s="1"/>
  <c r="F878" i="1"/>
  <c r="H878" i="1" s="1"/>
  <c r="I878" i="1" s="1"/>
  <c r="F176" i="1"/>
  <c r="H176" i="1" s="1"/>
  <c r="I176" i="1" s="1"/>
  <c r="F807" i="1"/>
  <c r="H807" i="1" s="1"/>
  <c r="I807" i="1" s="1"/>
  <c r="F244" i="1"/>
  <c r="H244" i="1" s="1"/>
  <c r="F499" i="1"/>
  <c r="H499" i="1" s="1"/>
  <c r="I499" i="1" s="1"/>
  <c r="F570" i="1"/>
  <c r="H570" i="1" s="1"/>
  <c r="I570" i="1" s="1"/>
  <c r="F970" i="1"/>
  <c r="H970" i="1" s="1"/>
  <c r="I970" i="1" s="1"/>
  <c r="F1042" i="1"/>
  <c r="H1042" i="1" s="1"/>
  <c r="I1042" i="1" s="1"/>
  <c r="F808" i="1"/>
  <c r="H808" i="1" s="1"/>
  <c r="I808" i="1" s="1"/>
  <c r="F775" i="1"/>
  <c r="H775" i="1" s="1"/>
  <c r="I775" i="1" s="1"/>
  <c r="F569" i="1"/>
  <c r="H569" i="1" s="1"/>
  <c r="I569" i="1" s="1"/>
  <c r="F1185" i="1"/>
  <c r="H1185" i="1" s="1"/>
  <c r="I1185" i="1" s="1"/>
  <c r="F89" i="1"/>
  <c r="H89" i="1" s="1"/>
  <c r="I89" i="1" s="1"/>
  <c r="F1068" i="1"/>
  <c r="H1068" i="1" s="1"/>
  <c r="I1068" i="1" s="1"/>
  <c r="F896" i="1"/>
  <c r="H896" i="1" s="1"/>
  <c r="I896" i="1" s="1"/>
  <c r="F563" i="1"/>
  <c r="H563" i="1" s="1"/>
  <c r="I563" i="1" s="1"/>
  <c r="F732" i="1"/>
  <c r="H732" i="1" s="1"/>
  <c r="I732" i="1" s="1"/>
  <c r="F212" i="1"/>
  <c r="H212" i="1" s="1"/>
  <c r="I212" i="1" s="1"/>
  <c r="F742" i="1"/>
  <c r="H742" i="1" s="1"/>
  <c r="I742" i="1" s="1"/>
  <c r="F1046" i="1"/>
  <c r="H1046" i="1" s="1"/>
  <c r="I1046" i="1" s="1"/>
  <c r="F410" i="1"/>
  <c r="H410" i="1" s="1"/>
  <c r="I410" i="1" s="1"/>
  <c r="F1125" i="1"/>
  <c r="H1125" i="1" s="1"/>
  <c r="I1125" i="1" s="1"/>
  <c r="F705" i="1"/>
  <c r="H705" i="1" s="1"/>
  <c r="I705" i="1" s="1"/>
  <c r="F537" i="1"/>
  <c r="H537" i="1" s="1"/>
  <c r="I537" i="1" s="1"/>
  <c r="F316" i="1"/>
  <c r="H316" i="1" s="1"/>
  <c r="I316" i="1" s="1"/>
  <c r="F486" i="1"/>
  <c r="H486" i="1" s="1"/>
  <c r="I486" i="1" s="1"/>
  <c r="F1098" i="1"/>
  <c r="H1098" i="1" s="1"/>
  <c r="I1098" i="1" s="1"/>
  <c r="F207" i="1"/>
  <c r="H207" i="1" s="1"/>
  <c r="I207" i="1" s="1"/>
  <c r="F1040" i="1"/>
  <c r="H1040" i="1" s="1"/>
  <c r="I1040" i="1" s="1"/>
  <c r="F1102" i="1"/>
  <c r="H1102" i="1" s="1"/>
  <c r="I1102" i="1" s="1"/>
  <c r="F879" i="1"/>
  <c r="H879" i="1" s="1"/>
  <c r="I879" i="1" s="1"/>
  <c r="F160" i="1"/>
  <c r="H160" i="1" s="1"/>
  <c r="I160" i="1" s="1"/>
  <c r="F946" i="1"/>
  <c r="H946" i="1" s="1"/>
  <c r="I946" i="1" s="1"/>
  <c r="F1050" i="1"/>
  <c r="H1050" i="1" s="1"/>
  <c r="I1050" i="1" s="1"/>
  <c r="F605" i="1"/>
  <c r="H605" i="1" s="1"/>
  <c r="I605" i="1" s="1"/>
  <c r="F582" i="1"/>
  <c r="H582" i="1" s="1"/>
  <c r="I582" i="1" s="1"/>
  <c r="F291" i="1"/>
  <c r="H291" i="1" s="1"/>
  <c r="I291" i="1" s="1"/>
  <c r="F1091" i="1"/>
  <c r="H1091" i="1" s="1"/>
  <c r="I1091" i="1" s="1"/>
  <c r="F113" i="1"/>
  <c r="H113" i="1" s="1"/>
  <c r="I113" i="1" s="1"/>
  <c r="F1082" i="1"/>
  <c r="H1082" i="1" s="1"/>
  <c r="I1082" i="1" s="1"/>
  <c r="F517" i="1"/>
  <c r="H517" i="1" s="1"/>
  <c r="I517" i="1" s="1"/>
  <c r="F405" i="1"/>
  <c r="H405" i="1" s="1"/>
  <c r="I405" i="1" s="1"/>
  <c r="F1168" i="1"/>
  <c r="H1168" i="1" s="1"/>
  <c r="I1168" i="1" s="1"/>
  <c r="F780" i="1"/>
  <c r="H780" i="1" s="1"/>
  <c r="I780" i="1" s="1"/>
  <c r="F507" i="1"/>
  <c r="H507" i="1" s="1"/>
  <c r="I507" i="1" s="1"/>
  <c r="F595" i="1"/>
  <c r="H595" i="1" s="1"/>
  <c r="I595" i="1" s="1"/>
  <c r="F954" i="1"/>
  <c r="H954" i="1" s="1"/>
  <c r="I954" i="1" s="1"/>
  <c r="F1011" i="1"/>
  <c r="H1011" i="1" s="1"/>
  <c r="I1011" i="1" s="1"/>
  <c r="F365" i="1"/>
  <c r="H365" i="1" s="1"/>
  <c r="I365" i="1" s="1"/>
  <c r="F1061" i="1"/>
  <c r="H1061" i="1" s="1"/>
  <c r="I1061" i="1" s="1"/>
  <c r="F1164" i="1"/>
  <c r="H1164" i="1" s="1"/>
  <c r="I1164" i="1" s="1"/>
  <c r="F234" i="1"/>
  <c r="H234" i="1" s="1"/>
  <c r="I234" i="1" s="1"/>
  <c r="F181" i="1"/>
  <c r="H181" i="1" s="1"/>
  <c r="I181" i="1" s="1"/>
  <c r="F1187" i="1"/>
  <c r="H1187" i="1" s="1"/>
  <c r="I1187" i="1" s="1"/>
  <c r="F372" i="1"/>
  <c r="F1051" i="1"/>
  <c r="H1051" i="1" s="1"/>
  <c r="I1051" i="1" s="1"/>
  <c r="F173" i="1"/>
  <c r="H173" i="1" s="1"/>
  <c r="I173" i="1" s="1"/>
  <c r="F161" i="1"/>
  <c r="H161" i="1" s="1"/>
  <c r="I161" i="1" s="1"/>
  <c r="F518" i="1"/>
  <c r="H518" i="1" s="1"/>
  <c r="I518" i="1" s="1"/>
  <c r="F855" i="1"/>
  <c r="H855" i="1" s="1"/>
  <c r="I855" i="1" s="1"/>
  <c r="F800" i="1"/>
  <c r="H800" i="1" s="1"/>
  <c r="I800" i="1" s="1"/>
  <c r="F797" i="1"/>
  <c r="H797" i="1" s="1"/>
  <c r="I797" i="1" s="1"/>
  <c r="F942" i="1"/>
  <c r="H942" i="1" s="1"/>
  <c r="I942" i="1" s="1"/>
  <c r="F1022" i="1"/>
  <c r="H1022" i="1" s="1"/>
  <c r="I1022" i="1" s="1"/>
  <c r="F963" i="1"/>
  <c r="H963" i="1" s="1"/>
  <c r="I963" i="1" s="1"/>
  <c r="F512" i="1"/>
  <c r="F917" i="1"/>
  <c r="H917" i="1" s="1"/>
  <c r="I917" i="1" s="1"/>
  <c r="F515" i="1"/>
  <c r="H515" i="1" s="1"/>
  <c r="I515" i="1" s="1"/>
  <c r="F574" i="1"/>
  <c r="H574" i="1" s="1"/>
  <c r="I574" i="1" s="1"/>
  <c r="F469" i="1"/>
  <c r="H469" i="1" s="1"/>
  <c r="I469" i="1" s="1"/>
  <c r="F460" i="1"/>
  <c r="H460" i="1" s="1"/>
  <c r="I460" i="1" s="1"/>
  <c r="F1153" i="1"/>
  <c r="H1153" i="1" s="1"/>
  <c r="I1153" i="1" s="1"/>
  <c r="F229" i="1"/>
  <c r="H229" i="1" s="1"/>
  <c r="I229" i="1" s="1"/>
  <c r="F737" i="1"/>
  <c r="H737" i="1" s="1"/>
  <c r="I737" i="1" s="1"/>
  <c r="F928" i="1"/>
  <c r="H928" i="1" s="1"/>
  <c r="I928" i="1" s="1"/>
  <c r="F1027" i="1"/>
  <c r="H1027" i="1" s="1"/>
  <c r="I1027" i="1" s="1"/>
  <c r="F468" i="1"/>
  <c r="H468" i="1" s="1"/>
  <c r="I468" i="1" s="1"/>
  <c r="F488" i="1"/>
  <c r="H488" i="1" s="1"/>
  <c r="I488" i="1" s="1"/>
  <c r="F341" i="1"/>
  <c r="H341" i="1" s="1"/>
  <c r="I341" i="1" s="1"/>
  <c r="F560" i="1"/>
  <c r="H560" i="1" s="1"/>
  <c r="I560" i="1" s="1"/>
  <c r="F378" i="1"/>
  <c r="H378" i="1" s="1"/>
  <c r="I378" i="1" s="1"/>
  <c r="F930" i="1"/>
  <c r="H930" i="1" s="1"/>
  <c r="I930" i="1" s="1"/>
  <c r="F597" i="1"/>
  <c r="H597" i="1" s="1"/>
  <c r="I597" i="1" s="1"/>
  <c r="F847" i="1"/>
  <c r="H847" i="1" s="1"/>
  <c r="I847" i="1" s="1"/>
  <c r="F960" i="1"/>
  <c r="H960" i="1" s="1"/>
  <c r="I960" i="1" s="1"/>
  <c r="H1005" i="1"/>
  <c r="I1005" i="1" s="1"/>
  <c r="F603" i="1"/>
  <c r="H603" i="1" s="1"/>
  <c r="I603" i="1" s="1"/>
  <c r="F1129" i="1"/>
  <c r="H1129" i="1" s="1"/>
  <c r="I1129" i="1" s="1"/>
  <c r="F287" i="1"/>
  <c r="H287" i="1" s="1"/>
  <c r="I287" i="1" s="1"/>
  <c r="F303" i="1"/>
  <c r="F851" i="1"/>
  <c r="H851" i="1" s="1"/>
  <c r="I851" i="1" s="1"/>
  <c r="F47" i="1"/>
  <c r="H47" i="1" s="1"/>
  <c r="I47" i="1" s="1"/>
  <c r="F1043" i="1"/>
  <c r="H1043" i="1" s="1"/>
  <c r="I1043" i="1" s="1"/>
  <c r="F1041" i="1"/>
  <c r="H1041" i="1" s="1"/>
  <c r="I1041" i="1" s="1"/>
  <c r="F995" i="1"/>
  <c r="H995" i="1" s="1"/>
  <c r="I995" i="1" s="1"/>
  <c r="F620" i="1"/>
  <c r="H620" i="1" s="1"/>
  <c r="I620" i="1" s="1"/>
  <c r="F322" i="1"/>
  <c r="H322" i="1" s="1"/>
  <c r="I322" i="1" s="1"/>
  <c r="F1088" i="1"/>
  <c r="H1088" i="1" s="1"/>
  <c r="I1088" i="1" s="1"/>
  <c r="F399" i="1"/>
  <c r="H399" i="1" s="1"/>
  <c r="I399" i="1" s="1"/>
  <c r="F912" i="1"/>
  <c r="H912" i="1" s="1"/>
  <c r="I912" i="1" s="1"/>
  <c r="F1038" i="1"/>
  <c r="H1038" i="1" s="1"/>
  <c r="I1038" i="1" s="1"/>
  <c r="F496" i="1"/>
  <c r="H496" i="1" s="1"/>
  <c r="I496" i="1" s="1"/>
  <c r="F1065" i="1"/>
  <c r="H1065" i="1" s="1"/>
  <c r="I1065" i="1" s="1"/>
  <c r="F90" i="1"/>
  <c r="H90" i="1" s="1"/>
  <c r="I90" i="1" s="1"/>
  <c r="F520" i="1"/>
  <c r="H520" i="1" s="1"/>
  <c r="I520" i="1" s="1"/>
  <c r="F277" i="1"/>
  <c r="H277" i="1" s="1"/>
  <c r="I277" i="1" s="1"/>
  <c r="F1147" i="1"/>
  <c r="H1147" i="1" s="1"/>
  <c r="I1147" i="1" s="1"/>
  <c r="F944" i="1"/>
  <c r="H944" i="1" s="1"/>
  <c r="I944" i="1" s="1"/>
  <c r="F60" i="1"/>
  <c r="H60" i="1" s="1"/>
  <c r="I60" i="1" s="1"/>
  <c r="F373" i="1"/>
  <c r="H373" i="1" s="1"/>
  <c r="I373" i="1" s="1"/>
  <c r="F263" i="1"/>
  <c r="F1141" i="1"/>
  <c r="H1141" i="1" s="1"/>
  <c r="I1141" i="1" s="1"/>
  <c r="F1145" i="1"/>
  <c r="F533" i="1"/>
  <c r="H533" i="1" s="1"/>
  <c r="I533" i="1" s="1"/>
  <c r="F421" i="1"/>
  <c r="H421" i="1" s="1"/>
  <c r="I421" i="1" s="1"/>
  <c r="F429" i="1"/>
  <c r="H429" i="1" s="1"/>
  <c r="I429" i="1" s="1"/>
  <c r="F1002" i="1"/>
  <c r="H1002" i="1" s="1"/>
  <c r="I1002" i="1" s="1"/>
  <c r="F1177" i="1"/>
  <c r="H1177" i="1" s="1"/>
  <c r="I1177" i="1" s="1"/>
  <c r="F834" i="1"/>
  <c r="H834" i="1" s="1"/>
  <c r="I834" i="1" s="1"/>
  <c r="H703" i="1"/>
  <c r="I703" i="1" s="1"/>
  <c r="H1018" i="1"/>
  <c r="I1018" i="1" s="1"/>
  <c r="H350" i="1"/>
  <c r="I350" i="1" s="1"/>
  <c r="H272" i="1"/>
  <c r="I272" i="1" s="1"/>
  <c r="H975" i="1"/>
  <c r="I975" i="1" s="1"/>
  <c r="H479" i="1"/>
  <c r="I479" i="1" s="1"/>
  <c r="H41" i="1"/>
  <c r="I41" i="1" s="1"/>
  <c r="H839" i="1"/>
  <c r="I839" i="1" s="1"/>
  <c r="H706" i="1"/>
  <c r="I706" i="1" s="1"/>
  <c r="H735" i="1"/>
  <c r="I735" i="1" s="1"/>
  <c r="H1023" i="1"/>
  <c r="I1023" i="1" s="1"/>
  <c r="H733" i="1"/>
  <c r="I733" i="1" s="1"/>
  <c r="H859" i="1"/>
  <c r="I859" i="1" s="1"/>
  <c r="H352" i="1"/>
  <c r="I352" i="1" s="1"/>
  <c r="H408" i="1"/>
  <c r="I408" i="1" s="1"/>
  <c r="H675" i="1"/>
  <c r="I675" i="1" s="1"/>
  <c r="H1016" i="1"/>
  <c r="I1016" i="1" s="1"/>
  <c r="H1175" i="1"/>
  <c r="I1175" i="1" s="1"/>
  <c r="H484" i="1"/>
  <c r="I484" i="1" s="1"/>
  <c r="H701" i="1"/>
  <c r="I701" i="1" s="1"/>
  <c r="H709" i="1"/>
  <c r="I709" i="1" s="1"/>
  <c r="H392" i="1"/>
  <c r="I392" i="1" s="1"/>
  <c r="H850" i="1"/>
  <c r="I850" i="1" s="1"/>
  <c r="H824" i="1"/>
  <c r="I824" i="1" s="1"/>
  <c r="H312" i="1"/>
  <c r="I312" i="1" s="1"/>
  <c r="H868" i="1"/>
  <c r="I868" i="1" s="1"/>
  <c r="H822" i="1"/>
  <c r="I822" i="1" s="1"/>
  <c r="H667" i="1"/>
  <c r="I667" i="1" s="1"/>
  <c r="H1174" i="1"/>
  <c r="I1174" i="1" s="1"/>
  <c r="H1124" i="1"/>
  <c r="I1124" i="1" s="1"/>
  <c r="H740" i="1"/>
  <c r="I740" i="1" s="1"/>
  <c r="H715" i="1"/>
  <c r="I715" i="1" s="1"/>
  <c r="H704" i="1"/>
  <c r="I704" i="1" s="1"/>
  <c r="H853" i="1"/>
  <c r="I853" i="1" s="1"/>
  <c r="H835" i="1"/>
  <c r="I835" i="1" s="1"/>
  <c r="H331" i="1"/>
  <c r="I331" i="1" s="1"/>
  <c r="H767" i="1"/>
  <c r="I767" i="1" s="1"/>
  <c r="H419" i="1"/>
  <c r="I419" i="1" s="1"/>
  <c r="F827" i="1"/>
  <c r="H828" i="1"/>
  <c r="I828" i="1" s="1"/>
  <c r="F557" i="1"/>
  <c r="F1178" i="1"/>
  <c r="H269" i="1"/>
  <c r="I269" i="1" s="1"/>
  <c r="H381" i="1"/>
  <c r="I381" i="1" s="1"/>
  <c r="F1000" i="1"/>
  <c r="F1144" i="1"/>
  <c r="F950" i="1"/>
  <c r="F1062" i="1"/>
  <c r="H455" i="1"/>
  <c r="I455" i="1" s="1"/>
  <c r="F873" i="1"/>
  <c r="H283" i="1"/>
  <c r="I283" i="1" s="1"/>
  <c r="H547" i="1"/>
  <c r="I547" i="1" s="1"/>
  <c r="H401" i="1"/>
  <c r="I401" i="1" s="1"/>
  <c r="H179" i="1"/>
  <c r="I179" i="1" s="1"/>
  <c r="H578" i="1"/>
  <c r="I578" i="1" s="1"/>
  <c r="H194" i="1"/>
  <c r="I194" i="1" s="1"/>
  <c r="H1049" i="1"/>
  <c r="I1049" i="1" s="1"/>
  <c r="F1137" i="1"/>
  <c r="F1143" i="1"/>
  <c r="H945" i="1"/>
  <c r="I945" i="1" s="1"/>
  <c r="H298" i="1"/>
  <c r="I298" i="1" s="1"/>
  <c r="F509" i="1"/>
  <c r="F730" i="1"/>
  <c r="H790" i="1"/>
  <c r="I790" i="1" s="1"/>
  <c r="F978" i="1"/>
  <c r="F714" i="1"/>
  <c r="F1176" i="1"/>
  <c r="F1070" i="1"/>
  <c r="F801" i="1"/>
  <c r="H630" i="1"/>
  <c r="I630" i="1" s="1"/>
  <c r="H1117" i="1"/>
  <c r="I1117" i="1" s="1"/>
  <c r="H475" i="1"/>
  <c r="I475" i="1" s="1"/>
  <c r="H776" i="1"/>
  <c r="I776" i="1" s="1"/>
  <c r="F573" i="1"/>
  <c r="F1120" i="1"/>
  <c r="H193" i="1"/>
  <c r="I193" i="1" s="1"/>
  <c r="H329" i="1"/>
  <c r="I329" i="1" s="1"/>
  <c r="H971" i="1"/>
  <c r="I971" i="1" s="1"/>
  <c r="H986" i="1"/>
  <c r="I986" i="1" s="1"/>
  <c r="H447" i="1"/>
  <c r="I447" i="1" s="1"/>
  <c r="F397" i="1"/>
  <c r="F974" i="1"/>
  <c r="H1078" i="1"/>
  <c r="I1078" i="1" s="1"/>
  <c r="H591" i="1"/>
  <c r="I591" i="1" s="1"/>
  <c r="H327" i="1"/>
  <c r="I327" i="1" s="1"/>
  <c r="H727" i="1"/>
  <c r="I727" i="1" s="1"/>
  <c r="H739" i="1"/>
  <c r="I739" i="1" s="1"/>
  <c r="H813" i="1"/>
  <c r="I813" i="1" s="1"/>
  <c r="H1083" i="1"/>
  <c r="I1083" i="1" s="1"/>
  <c r="F539" i="1"/>
  <c r="F728" i="1"/>
  <c r="H233" i="1"/>
  <c r="I233" i="1" s="1"/>
  <c r="H304" i="1"/>
  <c r="I304" i="1" s="1"/>
  <c r="H695" i="1"/>
  <c r="I695" i="1" s="1"/>
  <c r="H320" i="1"/>
  <c r="I320" i="1" s="1"/>
  <c r="F1173" i="1"/>
  <c r="H93" i="1"/>
  <c r="I93" i="1" s="1"/>
  <c r="H281" i="1"/>
  <c r="I281" i="1" s="1"/>
  <c r="H477" i="1"/>
  <c r="I477" i="1" s="1"/>
  <c r="F802" i="1"/>
  <c r="F994" i="1"/>
  <c r="F325" i="1"/>
  <c r="F858" i="1"/>
  <c r="H52" i="1"/>
  <c r="I52" i="1" s="1"/>
  <c r="F998" i="1"/>
  <c r="H261" i="1"/>
  <c r="I261" i="1" s="1"/>
  <c r="H886" i="1"/>
  <c r="I886" i="1" s="1"/>
  <c r="F483" i="1"/>
  <c r="F571" i="1"/>
  <c r="H451" i="1"/>
  <c r="I451" i="1" s="1"/>
  <c r="H260" i="1"/>
  <c r="I260" i="1" s="1"/>
  <c r="H230" i="1"/>
  <c r="I230" i="1" s="1"/>
  <c r="H326" i="1"/>
  <c r="I326" i="1" s="1"/>
  <c r="F1014" i="1"/>
  <c r="H830" i="1"/>
  <c r="I830" i="1" s="1"/>
  <c r="H103" i="1"/>
  <c r="I103" i="1" s="1"/>
  <c r="F413" i="1"/>
  <c r="F882" i="1"/>
  <c r="F952" i="1"/>
  <c r="F976" i="1"/>
  <c r="H607" i="1"/>
  <c r="I607" i="1" s="1"/>
  <c r="F1108" i="1"/>
  <c r="H781" i="1"/>
  <c r="I781" i="1" s="1"/>
  <c r="H726" i="1"/>
  <c r="I726" i="1" s="1"/>
  <c r="H411" i="1"/>
  <c r="I411" i="1" s="1"/>
  <c r="F875" i="1"/>
  <c r="H504" i="1"/>
  <c r="I504" i="1" s="1"/>
  <c r="H1169" i="1"/>
  <c r="I1169" i="1" s="1"/>
  <c r="H698" i="1"/>
  <c r="I698" i="1" s="1"/>
  <c r="H738" i="1"/>
  <c r="I738" i="1" s="1"/>
  <c r="F485" i="1"/>
  <c r="F525" i="1"/>
  <c r="F357" i="1"/>
  <c r="H203" i="1"/>
  <c r="I203" i="1" s="1"/>
  <c r="F990" i="1"/>
  <c r="H55" i="1"/>
  <c r="I55" i="1" s="1"/>
  <c r="F1019" i="1"/>
  <c r="H64" i="1"/>
  <c r="I64" i="1" s="1"/>
  <c r="H39" i="1"/>
  <c r="I39" i="1" s="1"/>
  <c r="F1133" i="1"/>
  <c r="H829" i="1"/>
  <c r="I829" i="1" s="1"/>
  <c r="H1107" i="1"/>
  <c r="I1107" i="1" s="1"/>
  <c r="H881" i="1"/>
  <c r="I881" i="1" s="1"/>
  <c r="F317" i="1"/>
  <c r="F992" i="1"/>
  <c r="F1128" i="1"/>
  <c r="H168" i="1"/>
  <c r="I168" i="1" s="1"/>
  <c r="I240" i="1"/>
  <c r="H441" i="1"/>
  <c r="H363" i="1"/>
  <c r="I363" i="1" s="1"/>
  <c r="H1121" i="1"/>
  <c r="I1121" i="1" s="1"/>
  <c r="H235" i="1"/>
  <c r="I235" i="1" s="1"/>
  <c r="H416" i="1"/>
  <c r="I416" i="1" s="1"/>
  <c r="F1073" i="1"/>
  <c r="H566" i="1"/>
  <c r="I566" i="1" s="1"/>
  <c r="H877" i="1"/>
  <c r="I877" i="1" s="1"/>
  <c r="H817" i="1"/>
  <c r="I817" i="1" s="1"/>
  <c r="H474" i="1"/>
  <c r="I474" i="1" s="1"/>
  <c r="F1069" i="1"/>
  <c r="H700" i="1"/>
  <c r="I700" i="1" s="1"/>
  <c r="F541" i="1"/>
  <c r="H887" i="1"/>
  <c r="I887" i="1" s="1"/>
  <c r="H368" i="1"/>
  <c r="I368" i="1" s="1"/>
  <c r="H1092" i="1"/>
  <c r="I1092" i="1" s="1"/>
  <c r="H202" i="1"/>
  <c r="I202" i="1" s="1"/>
  <c r="H48" i="1"/>
  <c r="I48" i="1" s="1"/>
  <c r="H400" i="1"/>
  <c r="I400" i="1" s="1"/>
  <c r="H1021" i="1"/>
  <c r="I1021" i="1" s="1"/>
  <c r="F1136" i="1"/>
  <c r="H59" i="1"/>
  <c r="I59" i="1" s="1"/>
  <c r="F1123" i="1"/>
  <c r="B24" i="4" l="1"/>
  <c r="B15" i="4"/>
  <c r="B21" i="4"/>
  <c r="B26" i="4"/>
  <c r="I446" i="1"/>
  <c r="B11" i="4"/>
  <c r="I118" i="1"/>
  <c r="H774" i="1"/>
  <c r="I774" i="1" s="1"/>
  <c r="B4" i="4"/>
  <c r="B27" i="4"/>
  <c r="B16" i="4"/>
  <c r="H530" i="1"/>
  <c r="I530" i="1" s="1"/>
  <c r="B5" i="4"/>
  <c r="B40" i="4"/>
  <c r="B35" i="4"/>
  <c r="B8" i="4"/>
  <c r="B10" i="4"/>
  <c r="B19" i="4"/>
  <c r="B17" i="4"/>
  <c r="B6" i="4"/>
  <c r="H372" i="1"/>
  <c r="I372" i="1" s="1"/>
  <c r="B18" i="4"/>
  <c r="H242" i="1"/>
  <c r="I242" i="1" s="1"/>
  <c r="B14" i="4"/>
  <c r="B25" i="4"/>
  <c r="B9" i="4"/>
  <c r="H303" i="1"/>
  <c r="I303" i="1" s="1"/>
  <c r="B20" i="4"/>
  <c r="H512" i="1"/>
  <c r="I512" i="1" s="1"/>
  <c r="B7" i="4"/>
  <c r="B37" i="4"/>
  <c r="B29" i="4"/>
  <c r="B39" i="4"/>
  <c r="B30" i="4"/>
  <c r="I458" i="1"/>
  <c r="C21" i="4"/>
  <c r="E21" i="4" s="1"/>
  <c r="H263" i="1"/>
  <c r="I263" i="1" s="1"/>
  <c r="C15" i="4"/>
  <c r="H1145" i="1"/>
  <c r="I1145" i="1" s="1"/>
  <c r="C26" i="4"/>
  <c r="C16" i="4"/>
  <c r="B38" i="4"/>
  <c r="H1069" i="1"/>
  <c r="I1069" i="1" s="1"/>
  <c r="I592" i="1"/>
  <c r="H485" i="1"/>
  <c r="I485" i="1" s="1"/>
  <c r="H882" i="1"/>
  <c r="I882" i="1" s="1"/>
  <c r="H1070" i="1"/>
  <c r="I1070" i="1" s="1"/>
  <c r="H714" i="1"/>
  <c r="I714" i="1" s="1"/>
  <c r="H730" i="1"/>
  <c r="I730" i="1" s="1"/>
  <c r="H1144" i="1"/>
  <c r="I1144" i="1" s="1"/>
  <c r="C8" i="4"/>
  <c r="I257" i="1"/>
  <c r="I911" i="1"/>
  <c r="H317" i="1"/>
  <c r="I317" i="1" s="1"/>
  <c r="H413" i="1"/>
  <c r="I413" i="1" s="1"/>
  <c r="H571" i="1"/>
  <c r="I571" i="1" s="1"/>
  <c r="H728" i="1"/>
  <c r="I728" i="1" s="1"/>
  <c r="H978" i="1"/>
  <c r="I978" i="1" s="1"/>
  <c r="H1000" i="1"/>
  <c r="I1000" i="1" s="1"/>
  <c r="H557" i="1"/>
  <c r="I557" i="1" s="1"/>
  <c r="H1073" i="1"/>
  <c r="I1073" i="1" s="1"/>
  <c r="C4" i="4"/>
  <c r="H1019" i="1"/>
  <c r="I1019" i="1" s="1"/>
  <c r="H990" i="1"/>
  <c r="I990" i="1" s="1"/>
  <c r="H976" i="1"/>
  <c r="I976" i="1" s="1"/>
  <c r="H483" i="1"/>
  <c r="I483" i="1" s="1"/>
  <c r="H325" i="1"/>
  <c r="I325" i="1" s="1"/>
  <c r="H1173" i="1"/>
  <c r="I1173" i="1" s="1"/>
  <c r="H573" i="1"/>
  <c r="I573" i="1" s="1"/>
  <c r="H827" i="1"/>
  <c r="I827" i="1" s="1"/>
  <c r="H541" i="1"/>
  <c r="I541" i="1" s="1"/>
  <c r="I445" i="1"/>
  <c r="H1133" i="1"/>
  <c r="H357" i="1"/>
  <c r="I357" i="1" s="1"/>
  <c r="H952" i="1"/>
  <c r="I952" i="1" s="1"/>
  <c r="C18" i="4"/>
  <c r="H1120" i="1"/>
  <c r="I1120" i="1" s="1"/>
  <c r="H509" i="1"/>
  <c r="I509" i="1" s="1"/>
  <c r="I913" i="1"/>
  <c r="C9" i="4"/>
  <c r="H998" i="1"/>
  <c r="I998" i="1" s="1"/>
  <c r="H539" i="1"/>
  <c r="I539" i="1" s="1"/>
  <c r="H1062" i="1"/>
  <c r="I1062" i="1" s="1"/>
  <c r="C24" i="4"/>
  <c r="H1136" i="1"/>
  <c r="I1136" i="1" s="1"/>
  <c r="H1108" i="1"/>
  <c r="I1108" i="1" s="1"/>
  <c r="H802" i="1"/>
  <c r="I802" i="1" s="1"/>
  <c r="H397" i="1"/>
  <c r="I397" i="1" s="1"/>
  <c r="H801" i="1"/>
  <c r="I801" i="1" s="1"/>
  <c r="H1176" i="1"/>
  <c r="I1176" i="1" s="1"/>
  <c r="H1143" i="1"/>
  <c r="I1143" i="1" s="1"/>
  <c r="C10" i="4"/>
  <c r="B31" i="4"/>
  <c r="C6" i="4"/>
  <c r="H1123" i="1"/>
  <c r="I244" i="1"/>
  <c r="I441" i="1"/>
  <c r="H992" i="1"/>
  <c r="I992" i="1" s="1"/>
  <c r="I916" i="1"/>
  <c r="H875" i="1"/>
  <c r="I875" i="1" s="1"/>
  <c r="H1014" i="1"/>
  <c r="I1014" i="1" s="1"/>
  <c r="C7" i="4"/>
  <c r="H974" i="1"/>
  <c r="I974" i="1" s="1"/>
  <c r="I914" i="1"/>
  <c r="B33" i="4"/>
  <c r="H1137" i="1"/>
  <c r="H1178" i="1"/>
  <c r="I1178" i="1" s="1"/>
  <c r="I45" i="1"/>
  <c r="H1128" i="1"/>
  <c r="I1128" i="1" s="1"/>
  <c r="C11" i="4"/>
  <c r="B36" i="4"/>
  <c r="H525" i="1"/>
  <c r="C5" i="4"/>
  <c r="H858" i="1"/>
  <c r="I858" i="1" s="1"/>
  <c r="H994" i="1"/>
  <c r="I994" i="1" s="1"/>
  <c r="I42" i="1"/>
  <c r="H873" i="1"/>
  <c r="I873" i="1" s="1"/>
  <c r="H950" i="1"/>
  <c r="I950" i="1" s="1"/>
  <c r="B28" i="4"/>
  <c r="E7" i="4" l="1"/>
  <c r="E24" i="4"/>
  <c r="E15" i="4"/>
  <c r="E26" i="4"/>
  <c r="E16" i="4"/>
  <c r="C17" i="4"/>
  <c r="E17" i="4" s="1"/>
  <c r="C27" i="4"/>
  <c r="E27" i="4" s="1"/>
  <c r="E11" i="4"/>
  <c r="C19" i="4"/>
  <c r="E19" i="4" s="1"/>
  <c r="E18" i="4"/>
  <c r="E4" i="4"/>
  <c r="C28" i="4"/>
  <c r="E28" i="4" s="1"/>
  <c r="E6" i="4"/>
  <c r="B22" i="4"/>
  <c r="F17" i="4" s="1"/>
  <c r="E5" i="4"/>
  <c r="C25" i="4"/>
  <c r="E25" i="4" s="1"/>
  <c r="E9" i="4"/>
  <c r="E10" i="4"/>
  <c r="E8" i="4"/>
  <c r="B12" i="4"/>
  <c r="F11" i="4" s="1"/>
  <c r="C14" i="4"/>
  <c r="E14" i="4" s="1"/>
  <c r="C33" i="4"/>
  <c r="E33" i="4" s="1"/>
  <c r="C40" i="4"/>
  <c r="E40" i="4" s="1"/>
  <c r="C39" i="4"/>
  <c r="E39" i="4" s="1"/>
  <c r="C30" i="4"/>
  <c r="E30" i="4" s="1"/>
  <c r="C37" i="4"/>
  <c r="E37" i="4" s="1"/>
  <c r="I1133" i="1"/>
  <c r="C29" i="4"/>
  <c r="E29" i="4" s="1"/>
  <c r="C20" i="4"/>
  <c r="E20" i="4" s="1"/>
  <c r="C35" i="4"/>
  <c r="E35" i="4" s="1"/>
  <c r="C38" i="4"/>
  <c r="E38" i="4" s="1"/>
  <c r="C31" i="4"/>
  <c r="E31" i="4" s="1"/>
  <c r="I1137" i="1"/>
  <c r="I1123" i="1"/>
  <c r="C36" i="4"/>
  <c r="E36" i="4" s="1"/>
  <c r="B41" i="4"/>
  <c r="I525" i="1"/>
  <c r="C12" i="4"/>
  <c r="B32" i="4"/>
  <c r="F28" i="4" s="1"/>
  <c r="F6" i="4" l="1"/>
  <c r="F16" i="4"/>
  <c r="F8" i="4"/>
  <c r="F18" i="4"/>
  <c r="F14" i="4"/>
  <c r="F7" i="4"/>
  <c r="F9" i="4"/>
  <c r="F4" i="4"/>
  <c r="F19" i="4"/>
  <c r="F15" i="4"/>
  <c r="F21" i="4"/>
  <c r="F10" i="4"/>
  <c r="F5" i="4"/>
  <c r="F20" i="4"/>
  <c r="E12" i="4"/>
  <c r="E22" i="4"/>
  <c r="F33" i="4"/>
  <c r="F36" i="4"/>
  <c r="F31" i="4"/>
  <c r="E32" i="4"/>
  <c r="C41" i="4"/>
  <c r="E41" i="4"/>
  <c r="C32" i="4"/>
  <c r="F40" i="4"/>
  <c r="F39" i="4"/>
  <c r="F37" i="4"/>
  <c r="F24" i="4"/>
  <c r="F25" i="4"/>
  <c r="F35" i="4"/>
  <c r="F26" i="4"/>
  <c r="F29" i="4"/>
  <c r="F30" i="4"/>
  <c r="F38" i="4"/>
  <c r="F27" i="4"/>
  <c r="C22" i="4"/>
</calcChain>
</file>

<file path=xl/sharedStrings.xml><?xml version="1.0" encoding="utf-8"?>
<sst xmlns="http://schemas.openxmlformats.org/spreadsheetml/2006/main" count="24246" uniqueCount="659">
  <si>
    <t>PARÂMETROS DE RATEIO — EMPRESAS PARCEIRAS/LICENCIADAS</t>
  </si>
  <si>
    <t>Mês de referência:</t>
  </si>
  <si>
    <t>Preencha o Nº de Clientes atendidos e o Nº de Funcionários da Dtel alocados a cada empresa. Estes números definem o % de rateio de cada setor (conforme critério definido na aba SETORES). O % Royalty é opcional — deixe 0% enquanto o rateio for só a custo (ver nota jurídico-fiscal abaixo).</t>
  </si>
  <si>
    <t>Empresa</t>
  </si>
  <si>
    <t>Nº de Clientes Atendidos</t>
  </si>
  <si>
    <t>Nº de Funcionários Dtel Alocados</t>
  </si>
  <si>
    <t>% de Clientes</t>
  </si>
  <si>
    <t>% de Funcionários</t>
  </si>
  <si>
    <t>% Royalty</t>
  </si>
  <si>
    <t>Mês</t>
  </si>
  <si>
    <t>Empresa Licenciada DX2</t>
  </si>
  <si>
    <t>Junho/2026</t>
  </si>
  <si>
    <t>Empresa Licenciada H&amp;A</t>
  </si>
  <si>
    <t>Empresa Licenciada SOLON ARAUJO</t>
  </si>
  <si>
    <t>Empresa Licenciada SOARES E LINS</t>
  </si>
  <si>
    <t>Empresa Licenciada SOARES E SILVA</t>
  </si>
  <si>
    <t>Empresa Licenciada SOUZA E SILVA</t>
  </si>
  <si>
    <t>Empresa Licenciada VOICENET</t>
  </si>
  <si>
    <t>DTEL (uso próprio)</t>
  </si>
  <si>
    <t>TOTAL</t>
  </si>
  <si>
    <t>Maio/2026</t>
  </si>
  <si>
    <t>Julho/2026</t>
  </si>
  <si>
    <t>RATEIO POR EMPRESA</t>
  </si>
  <si>
    <t>Para cada setor, o % aplicado a cada empresa vem de PARÂMETROS: % de Clientes (se critério = Clientes) ou % de Funcionários (se critério = Funcionários). O Valor de Royalty só existe se a empresa tiver % Royalty &gt; 0% em PARÂMETROS (padrão é 0%).</t>
  </si>
  <si>
    <t>Setor</t>
  </si>
  <si>
    <t>Critério</t>
  </si>
  <si>
    <t>% Aplicado</t>
  </si>
  <si>
    <t>Custo Total do Setor</t>
  </si>
  <si>
    <t>Valor de Custo Rateado</t>
  </si>
  <si>
    <t xml:space="preserve">Valor de Royalty </t>
  </si>
  <si>
    <t xml:space="preserve">Valor Total a Cobrar </t>
  </si>
  <si>
    <t>NOC</t>
  </si>
  <si>
    <t>RH</t>
  </si>
  <si>
    <t>DP</t>
  </si>
  <si>
    <t>Gestão de Atendimento</t>
  </si>
  <si>
    <t>CAC</t>
  </si>
  <si>
    <t>Financeiro</t>
  </si>
  <si>
    <t>NRC</t>
  </si>
  <si>
    <t>Cobrança</t>
  </si>
  <si>
    <t>Retenção</t>
  </si>
  <si>
    <t>Contabilidade</t>
  </si>
  <si>
    <t>Controladoria</t>
  </si>
  <si>
    <t>Diretoria Operacional</t>
  </si>
  <si>
    <t>Compras</t>
  </si>
  <si>
    <t>Segurança do Trabalho</t>
  </si>
  <si>
    <t>Engenharia</t>
  </si>
  <si>
    <t>Obras</t>
  </si>
  <si>
    <t>Manutenção Predial</t>
  </si>
  <si>
    <t>Logística</t>
  </si>
  <si>
    <t>Oficina</t>
  </si>
  <si>
    <t>Estoque</t>
  </si>
  <si>
    <t>Televendas</t>
  </si>
  <si>
    <t>Suporte Orbix</t>
  </si>
  <si>
    <t>Suporte da Central</t>
  </si>
  <si>
    <t>Comercial Corporativo</t>
  </si>
  <si>
    <t>Administrativo</t>
  </si>
  <si>
    <t>Legenda de cores:</t>
  </si>
  <si>
    <t>Azul</t>
  </si>
  <si>
    <t>Célula de entrada manual (preencher)</t>
  </si>
  <si>
    <t>Amarelo</t>
  </si>
  <si>
    <t>Linha de exemplo — ajuste os números reais</t>
  </si>
  <si>
    <t>Azul claro (aba SETORES)</t>
  </si>
  <si>
    <t>Setor rateado por % de CLIENTES</t>
  </si>
  <si>
    <t>Verde claro (aba SETORES)</t>
  </si>
  <si>
    <t>Setor rateado por % de FUNCIONÁRIOS</t>
  </si>
  <si>
    <t>Atenção — recomendação jurídico-fiscal:</t>
  </si>
  <si>
    <t>1. Formalize um contrato/convênio de rateio de custos compartilhados com as empresas licenciadas</t>
  </si>
  <si>
    <t xml:space="preserve">   definindo os critérios objetivos de rateio (nº de clientes e nº de funcionários) — exigência para dedutibilidade</t>
  </si>
  <si>
    <t xml:space="preserve">   fiscal (IRPJ/CSLL) e para descaracterizar o reembolso como prestação de serviço com margem.</t>
  </si>
  <si>
    <t>2. O reembolso deve ser feito a custo (sem markup/lucro), proporcional a métricas verificáveis — enquanto o</t>
  </si>
  <si>
    <t xml:space="preserve">   % Royalty (coluna F) estiver em 0%, o cálculo continua sendo puro rateio de custo compartilhado.</t>
  </si>
  <si>
    <t>3. Se um % Royalty for definido (&gt;0%), isso deixa de ser rateio de custo puro e passa a ter natureza de</t>
  </si>
  <si>
    <t xml:space="preserve">   royalty/licenciamento — tratamento fiscal diferente (ex.: incidência de IRRF sobre royalties) e exige um</t>
  </si>
  <si>
    <t xml:space="preserve">   contrato de licenciamento/franquia, não apenas um convênio de rateio. Confirme com a contabilidade/jurídico</t>
  </si>
  <si>
    <t xml:space="preserve">   antes de definir esse percentual.</t>
  </si>
  <si>
    <t>4. Com a Reforma Tributária (LC 214/2025), rateios entre empresas de um mesmo grupo podem passar a sofrer</t>
  </si>
  <si>
    <t xml:space="preserve">   incidência de IBS/CBS mesmo sem margem — vale confirmar o tratamento tributário com a contabilidade/jurídico.</t>
  </si>
  <si>
    <t>RATEIO POR EMPRESA — setores adicionados em 20/08/2026 (mesma fórmula/critério dos demais setores)</t>
  </si>
  <si>
    <t>COE</t>
  </si>
  <si>
    <t>Cozinha</t>
  </si>
  <si>
    <t>Diretoria Adm</t>
  </si>
  <si>
    <t>Fique Móvel</t>
  </si>
  <si>
    <t>Fusão</t>
  </si>
  <si>
    <t>Jurídico</t>
  </si>
  <si>
    <t>Lançamento</t>
  </si>
  <si>
    <t>Marketing</t>
  </si>
  <si>
    <t>Qualidade</t>
  </si>
  <si>
    <t>TIC</t>
  </si>
  <si>
    <t>Agosto/2026</t>
  </si>
  <si>
    <t>SETORES — CRITÉRIO DE RATEIO</t>
  </si>
  <si>
    <t>Critério de Rateio define como o custo do setor será dividido entre as empresas: por % de CLIENTES ou por % de FUNCIONÁRIOS (ver aba PARÂMETROS). Custo Unitário = Custo Total do setor dividido pelo nº total de clientes ou funcionários, conforme o critério. A coluna "Nº de Funcionários/Clientes" mostra esse divisor (a base de rateio) usado para chegar ao Custo Unitário de cada linha.</t>
  </si>
  <si>
    <t>Critério de Rateio</t>
  </si>
  <si>
    <t>Justificativa</t>
  </si>
  <si>
    <t>Custo Total do Mês</t>
  </si>
  <si>
    <t>Custo Unitário</t>
  </si>
  <si>
    <t>Nº de Funcionários/Clientes</t>
  </si>
  <si>
    <t>Clientes</t>
  </si>
  <si>
    <t>Infraestrutura de rede/NOC escala com o nº de clientes ativos</t>
  </si>
  <si>
    <t>Funcionários</t>
  </si>
  <si>
    <t>Recursos Humanos atende diretamente aos colaboradores</t>
  </si>
  <si>
    <t>Departamento Pessoal atende à folha de colaboradores</t>
  </si>
  <si>
    <t>Atendimento administrativo e presencial de loja escala com o volume de clientes atendidos</t>
  </si>
  <si>
    <t>Central de Atendimento ao Cliente atende diretamente a base de clientes de cada empresa</t>
  </si>
  <si>
    <t>Financeiro cuida da gestão financeira e de faturamento da operação</t>
  </si>
  <si>
    <t>Serviço de Atendimento ao Cliente escala com o volume de clientes atendidos</t>
  </si>
  <si>
    <t>Cobrança atua sobre a carteira de clientes inadimplentes de cada empresa</t>
  </si>
  <si>
    <t>Retenção atua sobre a base de clientes de cada empresa para evitar cancelamento</t>
  </si>
  <si>
    <t>Contabilidade realiza a escrituração fiscal e contábil da operação</t>
  </si>
  <si>
    <t>Controladoria acompanha os indicadores financeiros da operação</t>
  </si>
  <si>
    <t>Diretoria Operacional coordena a operação das áreas técnicas e de atendimento</t>
  </si>
  <si>
    <t>Compras administra a aquisição de materiais e serviços para a operação</t>
  </si>
  <si>
    <t>Segurança do Trabalho cuida da saúde e segurança dos colaboradores</t>
  </si>
  <si>
    <t>Engenharia realiza a instalação e manutenção da infraestrutura de rede</t>
  </si>
  <si>
    <t>Obras executa construção e manutenção civil da infraestrutura</t>
  </si>
  <si>
    <t>Manutenção Predial cuida da manutenção das instalações físicas</t>
  </si>
  <si>
    <t>Logística administra o armazenamento e a distribuição de materiais e equipamentos</t>
  </si>
  <si>
    <t>Oficina realiza a manutenção da frota de veículos</t>
  </si>
  <si>
    <t>Estoque controla o armazenamento e a movimentação de materiais</t>
  </si>
  <si>
    <t>Televendas realiza vendas por telefone para novos clientes</t>
  </si>
  <si>
    <t>Suporte Orbix dá suporte técnico à operação Orbix</t>
  </si>
  <si>
    <t>Suporte da Central dá suporte técnico à central de atendimento</t>
  </si>
  <si>
    <t>Comercial Corporativo realiza vendas para clientes corporativos</t>
  </si>
  <si>
    <t>Administrativo reúne os softwares e sistemas corporativos usados pela operação</t>
  </si>
  <si>
    <t>Área de Qualidade garante o padrão de atendimento e dos serviços prestados aos clientes</t>
  </si>
  <si>
    <t>Jurídico atua nas demandas legais e contratuais da operação</t>
  </si>
  <si>
    <t>Marketing atua na captação, retenção e comunicação com a base de clientes</t>
  </si>
  <si>
    <t>TIC dá suporte de infraestrutura de tecnologia à operação voltada aos clientes</t>
  </si>
  <si>
    <t>Centro de Operações Especiais (COE) trata despacho e demandas operacionais ligadas à base de clientes</t>
  </si>
  <si>
    <t>Fique Móvel é equipe de vendas que atua diretamente na captação de clientes</t>
  </si>
  <si>
    <t>Equipe de Lançamento realiza a instalação/lançamento de rede para atender novos clientes</t>
  </si>
  <si>
    <t>Equipe de Fusão realiza fusão/manutenção de fibra óptica para atender a base de clientes</t>
  </si>
  <si>
    <t>Diretoria Administrativa realiza a gestão administrativa executiva da operação</t>
  </si>
  <si>
    <t>Cozinha prepara as refeições dos colaboradores</t>
  </si>
  <si>
    <t>TOTAL GERAL — Maio/2026</t>
  </si>
  <si>
    <t>Vendas</t>
  </si>
  <si>
    <t>TOTAL GERAL — Junho/2026</t>
  </si>
  <si>
    <t>TOTAL GERAL — Julho/2026</t>
  </si>
  <si>
    <t>Backoffice Comercial Varejo</t>
  </si>
  <si>
    <t>Equipe de backoffice do Comercial Varejo dá suporte administrativo às vendas e atende à base de clientes</t>
  </si>
  <si>
    <t>Serviços Gerais</t>
  </si>
  <si>
    <t>Serviços Gerais realiza limpeza e apoio predial para os colaboradores</t>
  </si>
  <si>
    <t>Desenvolvimento</t>
  </si>
  <si>
    <t>Desenvolvimento mantém e evolui os sistemas internos que atendem à operação e aos clientes</t>
  </si>
  <si>
    <t>Configuração</t>
  </si>
  <si>
    <t>Configuração dá suporte técnico de rede (operadores de redes) e escala com o nº de clientes ativos</t>
  </si>
  <si>
    <t>TOTAL GERAL — Agosto/2026</t>
  </si>
  <si>
    <t>Projetista</t>
  </si>
  <si>
    <t>Sub-setor de projetistas, separado da Engenharia (função Projetista na folha trabalhista); cobrado apenas o custo próprio de projetistas</t>
  </si>
  <si>
    <t>CUSTOS MENSAIS — POR SETOR</t>
  </si>
  <si>
    <t>Preencha Quantidade e Valor Unitário (azul) — o Total do Mês é calculado automaticamente (Quantidade × Valor Unitário). Se só existir um valor total (sem quantidade/preço unitário), use Quantidade = 1 e Valor Unitário = o valor total. Linha 5 é um EXEMPLO — substitua pelos valores reais.</t>
  </si>
  <si>
    <t>Categoria</t>
  </si>
  <si>
    <t>Descrição do Custo</t>
  </si>
  <si>
    <t>Quantidade</t>
  </si>
  <si>
    <t>Valor Unitário</t>
  </si>
  <si>
    <t xml:space="preserve">Total do Mês </t>
  </si>
  <si>
    <t>Custo Fixo</t>
  </si>
  <si>
    <t>Material de escritório (suprimentos de informática)</t>
  </si>
  <si>
    <t>Material de uso coletivo (copa/limpeza)</t>
  </si>
  <si>
    <t>Energia elétrica (rateio)</t>
  </si>
  <si>
    <t>Água e esgoto (rateio)</t>
  </si>
  <si>
    <t>Telefonia móvel corporativa</t>
  </si>
  <si>
    <t>Folha de pagamento (salários)</t>
  </si>
  <si>
    <t>Custo Variável</t>
  </si>
  <si>
    <t>Fardamento novo</t>
  </si>
  <si>
    <t>Fardamento substituição</t>
  </si>
  <si>
    <t>Exames médicos</t>
  </si>
  <si>
    <t>Licença de e-mail corporativo</t>
  </si>
  <si>
    <t>Gympass</t>
  </si>
  <si>
    <t>Stargrid</t>
  </si>
  <si>
    <t>Despesas com SST</t>
  </si>
  <si>
    <t>Despesas com RH</t>
  </si>
  <si>
    <t>Despesas com DP</t>
  </si>
  <si>
    <t>Licenças de software/sistemas corporativos (NOC)</t>
  </si>
  <si>
    <t>Plataforma do aplicativo Vexpenses</t>
  </si>
  <si>
    <t>Plataforma de comunicação interna (Useflow) (RH)</t>
  </si>
  <si>
    <t>Software exclusivo fiberschool (RH)</t>
  </si>
  <si>
    <t>Software RH1000 (RH)</t>
  </si>
  <si>
    <t>Licenças de software/sistemas corporativos (DP)</t>
  </si>
  <si>
    <t>Sistema de ponto eletrônico (DP)</t>
  </si>
  <si>
    <t>Software exclusivo B2D (Arquivar) (DP)</t>
  </si>
  <si>
    <t>Software Dominio portal do empregado (DP)</t>
  </si>
  <si>
    <t>Licenças de software/sistemas corporativos (Contabilidade)</t>
  </si>
  <si>
    <t>Sistema de emissão de notas fiscais (Contabilidade)</t>
  </si>
  <si>
    <t>Licenças de software/sistemas corporativos (Engenharia)</t>
  </si>
  <si>
    <t>Software ronda sistema eletrônico (Engenharia)</t>
  </si>
  <si>
    <t>Sistema de assinatura eletronica (autentique) (TIC)</t>
  </si>
  <si>
    <t>Software Full time (Logística)</t>
  </si>
  <si>
    <t>Software MATRIX (rateio equipe Relacionamento)</t>
  </si>
  <si>
    <t>Telefonia de entrada Algar</t>
  </si>
  <si>
    <t>Software Dlocal (trafego pago)</t>
  </si>
  <si>
    <t>Software Google brasil (trafego pago)</t>
  </si>
  <si>
    <t>Software Lorensi marketing (f000987)</t>
  </si>
  <si>
    <t>Disparos feito pela meta</t>
  </si>
  <si>
    <t>Vexpenses</t>
  </si>
  <si>
    <t>Endomarketing</t>
  </si>
  <si>
    <t>Marketing direto</t>
  </si>
  <si>
    <t>E-mail do departamento</t>
  </si>
  <si>
    <t>Folha Trabalhista com impostos do mês</t>
  </si>
  <si>
    <t>Linhas moveis (FIQUE MÓVEL)</t>
  </si>
  <si>
    <t>Despesas SST exames</t>
  </si>
  <si>
    <t>Novo Fardamento</t>
  </si>
  <si>
    <t>Devolução de fardamento</t>
  </si>
  <si>
    <t>Substituição extra de Fardamento</t>
  </si>
  <si>
    <t>Consumo de combustível</t>
  </si>
  <si>
    <t>Rescisões/Despesas Trabalhistas extra folha</t>
  </si>
  <si>
    <t>Datlo</t>
  </si>
  <si>
    <t>Agendor (válido por 3 meses)</t>
  </si>
  <si>
    <t>Dynamics (f001796)</t>
  </si>
  <si>
    <t>Salesforce</t>
  </si>
  <si>
    <t>Rateio de transporte coletivo</t>
  </si>
  <si>
    <t>Auditoria contábil externa</t>
  </si>
  <si>
    <t>Consultoria contábil PJ (Wadson Genuíno)</t>
  </si>
  <si>
    <t>Chip móvel corporativo</t>
  </si>
  <si>
    <t>Exames admissionais/demissionais</t>
  </si>
  <si>
    <t>Homologações e rescisões</t>
  </si>
  <si>
    <t>Viagens e hospedagem corporativas</t>
  </si>
  <si>
    <t>Cursos contratados</t>
  </si>
  <si>
    <t>Combustível de frota</t>
  </si>
  <si>
    <t>Investimento de equipamentos (não patrimoniável)</t>
  </si>
  <si>
    <t>Licenças de software/sistemas corporativos (Financeiro)</t>
  </si>
  <si>
    <t>Manutenção de veículos</t>
  </si>
  <si>
    <t>EPIs - Equipamento de Proteção Individual</t>
  </si>
  <si>
    <t>Rescisões trabalhistas</t>
  </si>
  <si>
    <t>Licenças de software/sistemas corporativos</t>
  </si>
  <si>
    <t>Software da oficina (soutech soluções)</t>
  </si>
  <si>
    <t>Fardamento novo (compra corporativa)</t>
  </si>
  <si>
    <t>Fardamento substituição (compra corporativa)</t>
  </si>
  <si>
    <t>Treinamento e capacitação</t>
  </si>
  <si>
    <t>Recrutamento e seleção</t>
  </si>
  <si>
    <t>Ações de endomarketing</t>
  </si>
  <si>
    <t>Pesquisa de clima organizacional</t>
  </si>
  <si>
    <t>Sistema de CRM de retenção</t>
  </si>
  <si>
    <t>Médico do trabalho</t>
  </si>
  <si>
    <t>Suporte técnico - links dedicados (Orbix - operação interna Dtel)</t>
  </si>
  <si>
    <t>Televendas - comissão/incentivo</t>
  </si>
  <si>
    <t>Software MATRIX (f000892)</t>
  </si>
  <si>
    <t>Licença Google Workspace</t>
  </si>
  <si>
    <t>Consultoria Jurídica</t>
  </si>
  <si>
    <t>Impressora</t>
  </si>
  <si>
    <t>Sistema de ponto eletrônico (KAIROS) (DP)</t>
  </si>
  <si>
    <t>Impressora (rateio equipe Relacionamento)</t>
  </si>
  <si>
    <t>Auditoria contábil externa (fiber finance)</t>
  </si>
  <si>
    <t>Plataforma do aplicativo Vexpenses (financeiro)</t>
  </si>
  <si>
    <t>Software Power BI Dynamics (f001796)</t>
  </si>
  <si>
    <t>Software de geolocalização (Engenharia)</t>
  </si>
  <si>
    <t>Software de sistema eletronico de alarme (administrativo)</t>
  </si>
  <si>
    <t>Plataforma de licitações (pago anual em julho, ref. 12 meses)</t>
  </si>
  <si>
    <t>Combustível de frota (gerador e veículos sem condutor identificado)</t>
  </si>
  <si>
    <t>Custo de gestão administrativa (rateado — Renata Thaysa dos Santos Cunha)</t>
  </si>
  <si>
    <t>Custo de gestão administrativa (rateado — Ayrton da Silva Lima)</t>
  </si>
  <si>
    <t>Custo de gestão administrativa (rateado — Cryslaine Fonseca Rosal)</t>
  </si>
  <si>
    <t>Custo de gestão administrativa (rateado — Josadark José do Nascimento)</t>
  </si>
  <si>
    <t>Alimentação (compras semanais para a cozinha)</t>
  </si>
  <si>
    <t>Material de limpeza (compras mensais para distribuição — Cozinha)</t>
  </si>
  <si>
    <t>Gás de cozinha (compras mensais para a cozinha)</t>
  </si>
  <si>
    <t>Crédito — Refeições pagas pelos colaboradores (valor simbólico, Refeitório)</t>
  </si>
  <si>
    <t>Custo de gestão administrativa (rateado — Demetrius Ribeiro de Aquino)</t>
  </si>
  <si>
    <t>Software de sistema eletronico de alarme</t>
  </si>
  <si>
    <t>Instalações - corredores e alojamentos (rateio)</t>
  </si>
  <si>
    <t>RESUMO — REEMBOLSO POR EMPRESA</t>
  </si>
  <si>
    <t>Total de Custo Rateado (R$)</t>
  </si>
  <si>
    <t>Total de Royalty (R$)</t>
  </si>
  <si>
    <t>Custos Comerciais Diretos (R$)</t>
  </si>
  <si>
    <t>Total Geral a Cobrar (R$)</t>
  </si>
  <si>
    <t>% do Total Geral (custo)</t>
  </si>
  <si>
    <t>Nota: o Total de Custo Rateado deve ser igual ao TOTAL GERAL da aba SETORES. Custos Comerciais Diretos vêm da aba COMERCIAL (custos já atribuídos diretamente a cada empresa, sem % de rateio). O Total de Royalty só existe se algum % Royalty foi definido em PARÂMETROS (padrão é 0%, sem royalty).</t>
  </si>
  <si>
    <t>COMERCIAL VAREJO — CUSTOS DIRETOS POR COORDENADOR/EQUIPE (equipe de vendas externas)</t>
  </si>
  <si>
    <t>Cada equipe é o COORDENADOR/GERENTE da planilha de vendas PAP. Folha Trabalhista e Combustível são valores REAIS, cruzados pelo nome do colaborador (folha: 99 de 120 ativos encontrados; combustível: conforme arquivo de combustível). Vale Transporte, RH, DP, SST, Gympass, Stargrid, Fardamento e Linhas móveis não têm nome de colaborador na fonte — o valor total de cada empresa é RATEADO entre as equipes que têm gente daquela empresa, proporcional ao nº de colaboradores (E-mail do departamento é rateado só entre executivo/supervisor/coordenador/líder, que são quem usa). Rescisões foram excluídas da cobrança (sem fonte confirmada de nome/empresa/mês). Estes valores somados alimentam a coluna 'Custos Comerciais Diretos' do RESUMO REEMBOLSO.</t>
  </si>
  <si>
    <t>COMPOSIÇÃO DAS EQUIPES</t>
  </si>
  <si>
    <t>Coordenador/Equipe</t>
  </si>
  <si>
    <t>Total Ativos</t>
  </si>
  <si>
    <t>Vendedores Fixos (PAP)</t>
  </si>
  <si>
    <t>Executivos</t>
  </si>
  <si>
    <t>Outros cargos</t>
  </si>
  <si>
    <t>ELTHON MENEZES</t>
  </si>
  <si>
    <t>DTEL</t>
  </si>
  <si>
    <t>MOTORISTA: 2, SUPERVISOR: 2</t>
  </si>
  <si>
    <t>GABRIEL LIMA</t>
  </si>
  <si>
    <t>—</t>
  </si>
  <si>
    <t>LUCAS BONIFÁCIO</t>
  </si>
  <si>
    <t>MICHELANGELO</t>
  </si>
  <si>
    <t>MOTORISTA: 1, SUPERVISOR: 1</t>
  </si>
  <si>
    <t>Voicenet</t>
  </si>
  <si>
    <t>TARCIZIO MEIRELES</t>
  </si>
  <si>
    <t>Solon Araújo</t>
  </si>
  <si>
    <t>Souza e Silva</t>
  </si>
  <si>
    <t>TIAGO</t>
  </si>
  <si>
    <t>DX2</t>
  </si>
  <si>
    <t>LÍDER: 1</t>
  </si>
  <si>
    <t>H&amp;A</t>
  </si>
  <si>
    <t>Soares e Silva</t>
  </si>
  <si>
    <t>SUPERVISOR: 1</t>
  </si>
  <si>
    <t>VITOR LINS</t>
  </si>
  <si>
    <t>Soares e Lins</t>
  </si>
  <si>
    <t>CUSTOS DIRETOS — RATEADOS/REAIS POR COORDENADOR/EQUIPE</t>
  </si>
  <si>
    <t>Despesa</t>
  </si>
  <si>
    <t>Valor Unitário (R$)</t>
  </si>
  <si>
    <t>Valor (R$)</t>
  </si>
  <si>
    <t>Origem</t>
  </si>
  <si>
    <t>Pessoal</t>
  </si>
  <si>
    <t>Real (cruzado por nome, 38/42 encontrados) | Ajustado 24/08/2026: subtraído o custo de folha de Pedro Moreira do Amaral (R$ 4741.11), que passou a ter linha própria de van/kombi, para não contar 2x. | Ajustado 24/08/2026: subtraído o custo de folha de Felipe Lopes de Souza (R$ 5374.25), que passou a ter linha própria de van/kombi, para não contar 2x. | Ajustado 24/08/2026: subtraído o custo de folha de Alvaro Henrique de Sousa (R$ 4859.05), que passou a ter linha própria de van/kombi, para não contar 2x.</t>
  </si>
  <si>
    <t>Vale Transporte</t>
  </si>
  <si>
    <t>Estimado (fatia proporcional ao nº de colaboradores da equipe, sem taxa fixa por pessoa), fatia de 39 colaboradores da equipe</t>
  </si>
  <si>
    <t>Real (taxa fixa por colaborador, confirmada em todas as empresas)</t>
  </si>
  <si>
    <t>Benefícios</t>
  </si>
  <si>
    <t>Fardamento</t>
  </si>
  <si>
    <t>Estrutura/Infra</t>
  </si>
  <si>
    <t>Frota/Combustível</t>
  </si>
  <si>
    <t>Real (cruzado por nome, planilha de combustível) | Ajustado 24/08/2026: subtraído o combustível de Pedro Moreira do Amaral (R$ 1887.24), que passou a ter linha própria de van/kombi, para não contar 2x. | Ajustado 24/08/2026: subtraído o combustível de Felipe Lopes de Souza (R$ 3112.86), que passou a ter linha própria de van/kombi, para não contar 2x.</t>
  </si>
  <si>
    <t>Real (cruzado por nome, 3/9 encontrados)</t>
  </si>
  <si>
    <t>Estimado (fatia proporcional ao nº de colaboradores da equipe, sem taxa fixa por pessoa), fatia de 9 colaboradores da equipe</t>
  </si>
  <si>
    <t>Real (cruzado por nome, 7/7 encontrados)</t>
  </si>
  <si>
    <t>Estimado (fatia proporcional ao nº de colaboradores da equipe, sem taxa fixa por pessoa), fatia de 7 colaboradores da equipe</t>
  </si>
  <si>
    <t>Real (cruzado por nome, planilha de combustível)</t>
  </si>
  <si>
    <t>Real (cruzado por nome, 11/11 encontrados) | Ajustado 24/08/2026: subtraído o custo de folha de Clovis Mendes da Silva (R$ 4741.11), que passou a ter linha própria de van/kombi, para não contar 2x.</t>
  </si>
  <si>
    <t>Estimado (fatia proporcional ao nº de colaboradores da equipe, sem taxa fixa por pessoa), fatia de 11 colaboradores da equipe</t>
  </si>
  <si>
    <t>Real (cruzado por nome, planilha de combustível) | Ajustado 24/08/2026: subtraído o combustível de Clovis Mendes da Silva (R$ 3878.58), que passou a ter linha própria de van/kombi, para não contar 2x.</t>
  </si>
  <si>
    <t>Real (cruzado por nome, 1/2 encontrados)</t>
  </si>
  <si>
    <t>Real (cruzado por nome, 18/18 encontrados) | Ajustado 24/08/2026: subtraído o custo de folha de Jose Zenildo da Silva (R$ 5227.07), que passou a ter linha própria de van/kombi, para não contar 2x.</t>
  </si>
  <si>
    <t>Estimado (fatia proporcional ao nº de colaboradores da equipe, sem taxa fixa por pessoa), fatia de 18 colaboradores da equipe</t>
  </si>
  <si>
    <t>Real (cruzado por nome, planilha de combustível) | Ajustado 24/08/2026: subtraído o combustível de Jose Zenildo da Silva (R$ 2688.78), que passou a ter linha própria de van/kombi, para não contar 2x.</t>
  </si>
  <si>
    <t>Real (cruzado por nome, 5/5 encontrados)</t>
  </si>
  <si>
    <t>Estimado (fatia proporcional ao nº de colaboradores da equipe, sem taxa fixa por pessoa), fatia de 5 colaboradores da equipe</t>
  </si>
  <si>
    <t>Real (cruzado por nome, 7/8 encontrados)</t>
  </si>
  <si>
    <t>Estimado (fatia proporcional ao nº de colaboradores da equipe, sem taxa fixa por pessoa), fatia de 8 colaboradores da equipe</t>
  </si>
  <si>
    <t>Real (cruzado por nome, 5/11 encontrados)</t>
  </si>
  <si>
    <t>Real (cruzado por nome, 1/1 encontrados)</t>
  </si>
  <si>
    <t>Real (cruzado por nome, 30/42 encontrados) | Ajustado 24/08/2026: subtraído o custo de folha de Pedro Moreira do Amaral (R$ 3706.20), que passou a ter linha própria de van/kombi, para não contar 2x. | Ajustado 24/08/2026: subtraído o custo de folha de Felipe Lopes de Souza (R$ 4503.24), que passou a ter linha própria de van/kombi, para não contar 2x. | Ajustado 24/08/2026: subtraído o custo de folha de Alvaro Henrique de Sousa (R$ 5488.35), que passou a ter linha própria de van/kombi, para não contar 2x.</t>
  </si>
  <si>
    <t>TI</t>
  </si>
  <si>
    <t>E-mail do departamento (11 emails)</t>
  </si>
  <si>
    <t>Real (taxa fixa de R$50,00 por conta, só executivo/supervisor/coordenador)</t>
  </si>
  <si>
    <t>Real (cruzado por nome, planilha de combustível) | Ajustado 24/08/2026: subtraído o combustível de Pedro Moreira do Amaral (R$ 3423.22), que passou a ter linha própria de van/kombi, para não contar 2x. | Ajustado 24/08/2026: subtraído o combustível de Felipe Lopes de Souza (R$ 4841.72), que passou a ter linha própria de van/kombi, para não contar 2x.</t>
  </si>
  <si>
    <t>Rescisões</t>
  </si>
  <si>
    <t>Real (cruzado por nome, tabela de rescisões — lançado em Maio/2026, mesma defasagem de um mês usada nos outros custos do comercial)</t>
  </si>
  <si>
    <t>Real (cruzado por nome, 7/11 encontrados) | Ajustado 24/08/2026: subtraído o custo de folha de Clovis Mendes da Silva (R$ 3706.20), que passou a ter linha própria de van/kombi, para não contar 2x.</t>
  </si>
  <si>
    <t>Real (cruzado por nome, planilha de combustível) | Ajustado 24/08/2026: subtraído o combustível de Clovis Mendes da Silva (R$ 5768.81), que passou a ter linha própria de van/kombi, para não contar 2x.</t>
  </si>
  <si>
    <t>Devolução fardamento</t>
  </si>
  <si>
    <t>Estimado (fatia proporcional ao nº de colaboradores da equipe, sem taxa fixa por pessoa), fatia de 2 colaboradores da equipe</t>
  </si>
  <si>
    <t>E-mail do departamento (1)</t>
  </si>
  <si>
    <t>Real (cruzado por nome, 18/18 encontrados) | Ajustado 24/08/2026: subtraído o custo de folha de Jose Zenildo da Silva (R$ 3706.20), que passou a ter linha própria de van/kombi, para não contar 2x.</t>
  </si>
  <si>
    <t>Real (cruzado por nome, planilha de combustível) | Ajustado 24/08/2026: subtraído o combustível de Jose Zenildo da Silva (R$ 4519.10), que passou a ter linha própria de van/kombi, para não contar 2x.</t>
  </si>
  <si>
    <t>E-mail do departamento (4 email)</t>
  </si>
  <si>
    <t>Real (cruzado por nome, equipe Elthon Menezes - VENDAS PAP, 50 colaboradores) | Ajustado 24/08/2026: subtraído o custo de folha de Pedro Moreira do Amaral (R$ 4661.82), que passou a ter linha própria de van/kombi, para não contar 2x. | Ajustado 24/08/2026: subtraído o custo de folha de Felipe Lopes de Souza (R$ 4661.82), que passou a ter linha própria de van/kombi, para não contar 2x. | Ajustado 24/08/2026: subtraído o custo de folha de Alvaro Henrique de Sousa (R$ 5436.76), que passou a ter linha própria de van/kombi, para não contar 2x.</t>
  </si>
  <si>
    <t>Estimado (fatia proporcional a folha real do coordenador), fatia de 47 colaboradores da equipe</t>
  </si>
  <si>
    <t>Real (taxa fixa por colaborador, quantidade = equipe real VENDAS PAP)</t>
  </si>
  <si>
    <t>Real (cruzado por nome, planilha de combustível) | Ajustado 24/08/2026: subtraído o combustível de Pedro Moreira do Amaral (R$ 3029.10), que passou a ter linha própria de van/kombi, para não contar 2x. | Ajustado 24/08/2026: subtraído o combustível de Felipe Lopes de Souza (R$ 3304.69), que passou a ter linha própria de van/kombi, para não contar 2x.</t>
  </si>
  <si>
    <t>Real (cruzado por nome, planilha de rescisões, competência 07/2026)</t>
  </si>
  <si>
    <t>Real (cruzado por nome, equipe Gabriel Lima - VENDAS PAP, 5 colaboradores)</t>
  </si>
  <si>
    <t>Estimado (fatia proporcional a folha real do coordenador), fatia de 5 colaboradores da equipe</t>
  </si>
  <si>
    <t>Real (cruzado por nome, equipe Lucas Bonifácio - VENDAS PAP, 6 colaboradores)</t>
  </si>
  <si>
    <t>Estimado (fatia proporcional a folha real do coordenador), fatia de 6 colaboradores da equipe</t>
  </si>
  <si>
    <t>Real (cruzado por nome, equipe Michelangelo - VENDAS PAP, 11 colaboradores) | Ajustado 24/08/2026: subtraído o custo de folha de Clovis Mendes da Silva (R$ 6394.14), que passou a ter linha própria de van/kombi, para não contar 2x.</t>
  </si>
  <si>
    <t>Estimado (fatia proporcional a folha real do coordenador), fatia de 11 colaboradores da equipe</t>
  </si>
  <si>
    <t>Real (cruzado por nome, equipe Tarcizio Meireles - VENDAS PAP, 17 colaboradores) | Ajustado 24/08/2026: subtraído o custo de folha de Jose Zenildo da Silva (R$ 4661.82), que passou a ter linha própria de van/kombi, para não contar 2x.</t>
  </si>
  <si>
    <t>Estimado (fatia proporcional a folha real do coordenador), fatia de 17 colaboradores da equipe</t>
  </si>
  <si>
    <t>Real (cruzado por nome, planilha de combustível) | Ajustado 24/08/2026: subtraído o combustível de Jose Zenildo da Silva (R$ 4067.27), que passou a ter linha própria de van/kombi, para não contar 2x.</t>
  </si>
  <si>
    <t>Real (cruzado por nome, equipe Tiago - VENDAS PAP, 14 colaboradores)</t>
  </si>
  <si>
    <t>Real (100% do total da empresa, único coordenador)</t>
  </si>
  <si>
    <t>Real (cruzado por nome, equipe Michelangelo - VENDAS PAP, 2 colaboradores)</t>
  </si>
  <si>
    <t>Real (cruzado por nome, equipe Tiago - VENDAS PAP, 20 colaboradores)</t>
  </si>
  <si>
    <t>Real (cruzado por nome, equipe Tarcizio Meireles - VENDAS PAP, 5 colaboradores)</t>
  </si>
  <si>
    <t>Motorista da van (Jose Zenildo da Silva) — equipe Gleciane Roberta</t>
  </si>
  <si>
    <t>Real (Custo Total da folha do colaborador, cruzado por nome na Base_Despesa_Trabalhista; retirado do total geral da equipe para não contar 2x)</t>
  </si>
  <si>
    <t>Combustível/manutenção da van (Jose Zenildo da Silva) — equipe Gleciane Roberta</t>
  </si>
  <si>
    <t>Real (cruzado por nome, planilha 'Combustível do rateio'; retirado do total geral da equipe para não contar 2x)</t>
  </si>
  <si>
    <t>Motorista da van (Pedro Moreira do Amaral) — equipe Fernanda Eduarda, parte 1</t>
  </si>
  <si>
    <t>Combustível/manutenção da van (Pedro Moreira do Amaral) — equipe Fernanda Eduarda, parte 1</t>
  </si>
  <si>
    <t>Motorista da van (Felipe Lopes de Souza) — equipe Fernanda Eduarda, parte 2</t>
  </si>
  <si>
    <t>Combustível/manutenção da van (Felipe Lopes de Souza) — equipe Fernanda Eduarda, parte 2</t>
  </si>
  <si>
    <t>Supervisor com kombi própria (Alvaro Henrique de Sousa)</t>
  </si>
  <si>
    <t>Combustível/manutenção da kombi (Alvaro Henrique de Sousa)</t>
  </si>
  <si>
    <t>Real (cruzado por nome, planilha 'Combustível do rateio'; não estava incluído em nenhum lugar antes — adicionado agora)</t>
  </si>
  <si>
    <t>Motorista da van (Clovis Mendes da Silva)</t>
  </si>
  <si>
    <t>Combustível/manutenção da van (Clovis Mendes da Silva)</t>
  </si>
  <si>
    <t>Motorista da van (Jose Matheus Ordonho Silva)</t>
  </si>
  <si>
    <t>Real (Custo Total da folha do colaborador, cruzado por nome na Base_Despesa_Trabalhista; não fazia parte da equipe/roster usada no cálculo original da folha — adicionado agora)</t>
  </si>
  <si>
    <t>Combustível/manutenção da van (Jose Matheus Ordonho Silva)</t>
  </si>
  <si>
    <t>Subtotal — custos por equipe</t>
  </si>
  <si>
    <t>CUSTO, VENDAS E RECEITA — POR EQUIPE E EMPRESA (Vendas/Upgrade/Receita reais cruzados por nome E empresa do vendedor, arquivos de comissão/upgrade por mês; Custo por Venda = Custo Total ÷ (Vendas + Upgrade) da equipe+empresa)</t>
  </si>
  <si>
    <t>Custo Total (R$)</t>
  </si>
  <si>
    <t>Vendas (qtd)</t>
  </si>
  <si>
    <t>Upgrade (qtd)</t>
  </si>
  <si>
    <t>Receita de Vendas (R$)</t>
  </si>
  <si>
    <t>Receita de Upgrade (R$)</t>
  </si>
  <si>
    <t>Receita Total (R$)</t>
  </si>
  <si>
    <t>Custo por Venda (R$)</t>
  </si>
  <si>
    <t>Todas as empresas</t>
  </si>
  <si>
    <t>REEMBOLSO GERAL — CUSTOS POR SETOR E EMPRESA (Base Geral 2026, aba Reembolso Geral)</t>
  </si>
  <si>
    <t>Extraído da Base Geral 2026.xlsx (aba Reembolso Geral). O Setor já vem cruzado com o nome padrão da Plataforma quando havia correspondência clara com um setor existente em CUSTOS MENSAIS (ex.: RH, Marketing, TIC, Segurança do Trabalho). Setores sem correspondente direto (ex.: Administrativo/taxa de administração, Licitação, Frota, Comercial ambíguo entre Corporativo/Varejo) permaneceram com o nome original — não foram forçados a encaixar em nenhum setor existente. Esta aba é só de referência — não altera nenhum valor de CUSTOS MENSAIS.</t>
  </si>
  <si>
    <t>Valor Total</t>
  </si>
  <si>
    <t>Observação (forma de cálculo)</t>
  </si>
  <si>
    <t>ABRIL/2026</t>
  </si>
  <si>
    <t>Adm Atendimento</t>
  </si>
  <si>
    <t>Adm atendimento presencial</t>
  </si>
  <si>
    <t>Cálculo por número de clientes ativos</t>
  </si>
  <si>
    <t>Adm Qualidade</t>
  </si>
  <si>
    <t>Atendimento</t>
  </si>
  <si>
    <t>Material de escritório</t>
  </si>
  <si>
    <t>Capa de carnê</t>
  </si>
  <si>
    <t>Material de uso coletivo</t>
  </si>
  <si>
    <t>Água mineral</t>
  </si>
  <si>
    <t>Porta panfleto</t>
  </si>
  <si>
    <t>Promotor autonomo Erika sonara</t>
  </si>
  <si>
    <t>Comissionamento de vendas realizadas na h&amp;a paga pela Dtel fev.</t>
  </si>
  <si>
    <t>Agua mineral</t>
  </si>
  <si>
    <t>Caixa de resma</t>
  </si>
  <si>
    <t>Panfletos</t>
  </si>
  <si>
    <t>Serviços do C.O.E distribuição de serviços</t>
  </si>
  <si>
    <t>Comercial</t>
  </si>
  <si>
    <t>Consultas e análises de crédito</t>
  </si>
  <si>
    <t>Vendas cadastradas e consultadas pelo argos</t>
  </si>
  <si>
    <t>Despesa do consultor BARTOLOMEU</t>
  </si>
  <si>
    <t>Despesa trabalhista e combustivel do consultor dividido pelo total de vendas</t>
  </si>
  <si>
    <t>Despesa do consultor PAULO MELO</t>
  </si>
  <si>
    <t>Despesa trabalhista e combustível do consultor dividido pelo total de vendas</t>
  </si>
  <si>
    <t>Despesa do consultor PEDRO GREGO</t>
  </si>
  <si>
    <t>Despesa trabalhista e combustível do consultor dividido pelo total de vendas (cliente 12195,12634,12408)</t>
  </si>
  <si>
    <t>Despesa do coordenador TIAGO, pela gestão da equipe</t>
  </si>
  <si>
    <t>Crédito por despesa com combustível e utilização de veÍculo dx2</t>
  </si>
  <si>
    <t>Crédito por participação do coordenador na base h&amp;a e soares e silva</t>
  </si>
  <si>
    <t>Vendas da equipe DX2 porta a porta P/ H&amp;A</t>
  </si>
  <si>
    <t>Vendas instaladas</t>
  </si>
  <si>
    <t>Vendas da equipe Dtel porta a porta</t>
  </si>
  <si>
    <t>Vendas da equipe Dx2 porta a porta p/ Dtel</t>
  </si>
  <si>
    <t>Vendas da equipe H&amp;A porta a porta P/ DX2</t>
  </si>
  <si>
    <t>Vendas da equipe VOICENET porta a porta P/  DX2</t>
  </si>
  <si>
    <t>Comissão de manutenção da Totum</t>
  </si>
  <si>
    <t>Conselho regional de enfermagem de PE</t>
  </si>
  <si>
    <t>71 Batalhão De Infantaria Motorizado</t>
  </si>
  <si>
    <t>Despesa trabalhista e combustível do consultor dividido pelo total de vendas (cliente 29895,29928,29948,29974,29930)</t>
  </si>
  <si>
    <t>Despesa trabalhista e combustível do consultor dividido pelo total de vendas(cliente 30172,29955,30042)</t>
  </si>
  <si>
    <t>Despesa trabalhista e combustível do consultor dividido pelo total de vendas (ciente 29740,30064,30038,30076)</t>
  </si>
  <si>
    <t>Despesa com combustÍvel e utilização de veiculo dx2</t>
  </si>
  <si>
    <t>Despesa trabalhista dividida pela quantidade de vendas</t>
  </si>
  <si>
    <t>Vendas da equipe DX2 para H&amp;A</t>
  </si>
  <si>
    <t>Vendas da equipe H&amp;A P/ VOICENET</t>
  </si>
  <si>
    <t>Vendas da equipe H&amp;A para Dtel</t>
  </si>
  <si>
    <t>Vendas da equipe H&amp;A para Dx2</t>
  </si>
  <si>
    <t>Vendas da equipe H&amp;A para soares e silva</t>
  </si>
  <si>
    <t>Despesa trabalhista e combustível do consultor dividido pelo total de vendas(cliente 7777)</t>
  </si>
  <si>
    <t>Vendas da equipe Soares e lins p/ Dtel</t>
  </si>
  <si>
    <t>Vendas da equipe Soares e lins p/ solon</t>
  </si>
  <si>
    <t>Vendas da equipe voicenet P/ SOARES E LINS</t>
  </si>
  <si>
    <t>Despesa trabalhista e combustÍvel do consultor dividido pelo total de vendas (cliente 11663,11670,11886)</t>
  </si>
  <si>
    <t>Despesa trabalhista e combustÍvel dividida pela quantidade de vendas(cliente 12023,11614)</t>
  </si>
  <si>
    <t>Despesa trabalhista e combustÍvel dividida pela quantidade de vendas (cliente 11395,11810)</t>
  </si>
  <si>
    <t>Despesa com combustÍvel e utilização de veÍculo dx2</t>
  </si>
  <si>
    <t>Despesa trabalhista e pela quantidade de vendas</t>
  </si>
  <si>
    <t>Vendas da equipe Dtel porta a porta p/ Soares e silva</t>
  </si>
  <si>
    <t>Vendas da equipe H&amp;A para Soares e Silva</t>
  </si>
  <si>
    <t>Vendas da equipe Soares e Silva p/ DTEL</t>
  </si>
  <si>
    <t>Vendas da equipe soares e lins porta a porta p/ Soares e silva</t>
  </si>
  <si>
    <t>Despesa trabalhista e combustível do consultor dividido pelo total de vendas (cliente 28304,27900)</t>
  </si>
  <si>
    <t>Despesa trabalhista e combustível dividida pela quantidade de vendas(cliente 28844)</t>
  </si>
  <si>
    <t>Despesa trabalhista e combustível dividida pela quantidade de vendas (cliente 28561,28511,28473,28474)</t>
  </si>
  <si>
    <t>Despesa do coordenador TARCIZIO, pela gestão da equipe</t>
  </si>
  <si>
    <t>Despesa com combustivel e utilização carro dtel</t>
  </si>
  <si>
    <t>Vendas da equipe Litoral p/ Dtel</t>
  </si>
  <si>
    <t>Vendas da equipe Voicenet p/ Solon</t>
  </si>
  <si>
    <t>Vendas da equipe da soares e lins para Solon</t>
  </si>
  <si>
    <t>Despesa trabalhista e combustível do consultor dividido pelo total de vendas (9691,9772,9805)</t>
  </si>
  <si>
    <t>Despesa trabalhista e combustivel dividida pela quantidade de vendas</t>
  </si>
  <si>
    <t>Despesa com combustível e utilização carro dtel</t>
  </si>
  <si>
    <t>Vendas da equipe Souza e silva p/ DTEL</t>
  </si>
  <si>
    <t>Despesa trabalhista e combustivel dividida pela quantidade de vendas (cliente 15595)</t>
  </si>
  <si>
    <t>Despesa trabalhista e combustivel do consultor dividido pelo total de vendas(cliente 15826, 15746)</t>
  </si>
  <si>
    <t>Despesa trabalhista e combustivel dividida pela quantidade de vendas(cliente 15745,15735)</t>
  </si>
  <si>
    <t>Vendas da equipe H&amp;A p/ voice</t>
  </si>
  <si>
    <t>Vendas da equipe Voicenet para Dtel</t>
  </si>
  <si>
    <t>Vendas da equipe da Voicenet para S &amp; L</t>
  </si>
  <si>
    <t>Vendas da equipe voicenet p/ Solon</t>
  </si>
  <si>
    <t>Serviços de configuração e suporte ao Técnico</t>
  </si>
  <si>
    <t>Setor de Desenvolvimento</t>
  </si>
  <si>
    <t>Uso mútuo de Postes</t>
  </si>
  <si>
    <t>Contrato das empresas que está em nome da Dtel</t>
  </si>
  <si>
    <t>Despesas da equipe de Engenharia</t>
  </si>
  <si>
    <t>Combustível, alimentação</t>
  </si>
  <si>
    <t>Serviços realizados pelo estoque</t>
  </si>
  <si>
    <t>Serviços de marcação de equipamentos</t>
  </si>
  <si>
    <t>Horas trabalhas em serviços realizado da oficina Dtel p/ soares e silva</t>
  </si>
  <si>
    <t>Horas trabalhas em serviços realizado da oficina Dtel p/ litoral</t>
  </si>
  <si>
    <t>Frota</t>
  </si>
  <si>
    <t>Abastecimento</t>
  </si>
  <si>
    <t>Abastecimento da van da dx2 com cartao Dtel</t>
  </si>
  <si>
    <t>Locação de veículos</t>
  </si>
  <si>
    <t>Veiculos Dtel emprestado para serviços na DX2 (2 carros)</t>
  </si>
  <si>
    <t>Rastreamento veicular</t>
  </si>
  <si>
    <t>Rastreamento dos veículos</t>
  </si>
  <si>
    <t>Transporte de produtos</t>
  </si>
  <si>
    <t>Transportes entre CD01 e empresas no rateio da rota</t>
  </si>
  <si>
    <t>Troca de Oleo e Filtro</t>
  </si>
  <si>
    <t>Manutenção veicular</t>
  </si>
  <si>
    <t>Abastecimento de 2 veiculos</t>
  </si>
  <si>
    <t>Veiculos Dtel emprestado para serviços 2 carros</t>
  </si>
  <si>
    <t>Manutenção de veiculo</t>
  </si>
  <si>
    <t>Troca de Óleo e Filtro</t>
  </si>
  <si>
    <t>Reboque de carro</t>
  </si>
  <si>
    <t>Abastecimento de veiculos</t>
  </si>
  <si>
    <t>Instalação</t>
  </si>
  <si>
    <t>KM rodado para serviços técnicos DX2 para SOLON</t>
  </si>
  <si>
    <t>Serviços das equipes dx2 p/ solon</t>
  </si>
  <si>
    <t>KM rodado para serviços técnicos Dx2 p/ Soares &amp; silva</t>
  </si>
  <si>
    <t>Serviços das equipes dx2 p/ soares e silva</t>
  </si>
  <si>
    <t>Serviços técnicos da DX2 P/ SOLON</t>
  </si>
  <si>
    <t>Serviços das equipes técnicas Dx2 p/ solon</t>
  </si>
  <si>
    <t>Serviços técnicos da Dx2 p/ Soares &amp; Silva</t>
  </si>
  <si>
    <t>Serviços das equipes técnicas Dx2 p/ soares e silva</t>
  </si>
  <si>
    <t>Serviços técnicos da DX2 P/ H&amp;A</t>
  </si>
  <si>
    <t>Deslocamento de equipes</t>
  </si>
  <si>
    <t>km rodado da equipe DX2 para H&amp;A</t>
  </si>
  <si>
    <t>Serviços das equipes técnicas Dtel</t>
  </si>
  <si>
    <t>KM rodado para serviços técnicos Dtel p/ S&amp;L</t>
  </si>
  <si>
    <t>Deslocamento de equipes dtel</t>
  </si>
  <si>
    <t>KM rodado para serviços técnicos S&amp;L para DTEL</t>
  </si>
  <si>
    <t>Deslocamento de equipes soares e lins</t>
  </si>
  <si>
    <t>KM rodado para serviços técnicos da S&amp;L para DTEL</t>
  </si>
  <si>
    <t>Serviços técnicos da Dtel para S&amp;L</t>
  </si>
  <si>
    <t>Serviços da equipe técnica</t>
  </si>
  <si>
    <t>Serviços técnicos da S&amp;L para DTEL</t>
  </si>
  <si>
    <t>Supervisor JOSUE DE MOURA SILVA JUNIOR</t>
  </si>
  <si>
    <t>Despesa dividida entre s&amp;l e dtel pelo supervisor JOSUE estar assumindo as bases</t>
  </si>
  <si>
    <t>KM rodado para serviços técnicos Dx2 p/ soares e silva</t>
  </si>
  <si>
    <t>Serviços técnicos da Dx2 p/ soares e silva</t>
  </si>
  <si>
    <t>Serviços das equipes técnicas</t>
  </si>
  <si>
    <t>KM rodado para serviços técnicos Souza e Silva p/ Solon</t>
  </si>
  <si>
    <t>Deslocamento de equipes da DTEL</t>
  </si>
  <si>
    <t>KM rodado para serviços técnicos dx2 p/ Solon</t>
  </si>
  <si>
    <t>Serviços técnicos da Dx2 p/ Solon</t>
  </si>
  <si>
    <t>Serviços técnicos da Souza p/ Solon</t>
  </si>
  <si>
    <t>KM rodado para serviços técnicos Souza e silva p/ soares e silva</t>
  </si>
  <si>
    <t>Serviços técnicos da Souza e silva p/ soares e silva</t>
  </si>
  <si>
    <t>Serviços das equipes técnicas da Dtel</t>
  </si>
  <si>
    <t>Gestão Regional MICHELANGELO</t>
  </si>
  <si>
    <t>KM rodado para serviços técnicos Dtel para Voicenet</t>
  </si>
  <si>
    <t>KM rodado para serviços técnicos Voicenet p/ Dtel</t>
  </si>
  <si>
    <t>Serviços técnicos da Dtel para voice net</t>
  </si>
  <si>
    <t>Serviços técnicos da voicenet p/ Dtel</t>
  </si>
  <si>
    <t>Licitação</t>
  </si>
  <si>
    <t>Conselho Regional De Enfermagem De Alagoas</t>
  </si>
  <si>
    <t>Mensalidade recebida pela H&amp;A (parcela abril)</t>
  </si>
  <si>
    <t>Conselho Regional de Enfermagem de Pernambuco - Coren PE</t>
  </si>
  <si>
    <t>Conselho regional de farmacia dos estado de pernambuco</t>
  </si>
  <si>
    <t>Câmara de vereadores-Vitória de Stº Antão</t>
  </si>
  <si>
    <t>Mensalidade recebida pela H&amp;A (parcela maio)</t>
  </si>
  <si>
    <t>FUNDO MUNICIPAL DE ASSISTÊNCIA SOCIAL DE PRIMAVERA</t>
  </si>
  <si>
    <t>Fundo Municipal De Saude De Primavera</t>
  </si>
  <si>
    <t>Municipio De Primavera</t>
  </si>
  <si>
    <t>AGÊNCIA REGULADORA DOS SERVIÇOS PÚBLICOS DO ESTADO DE ALAGOAS - ARSAL</t>
  </si>
  <si>
    <t>Mensalidade recebida pela Dtel (parcela abril)</t>
  </si>
  <si>
    <t>Imposto pago pela h&amp;a sob o recebimento da licitação</t>
  </si>
  <si>
    <t>Conselho regional de farmacia do estado de PE</t>
  </si>
  <si>
    <t>Imposto pago pela h&amp;a, pelo recebimento da licitação</t>
  </si>
  <si>
    <t>Manutenção predial</t>
  </si>
  <si>
    <t>Serviços executados para verificação de tacaimbó, e manut. de alarme e sensor loja pesqueira, despesa com comb. e colab.</t>
  </si>
  <si>
    <t>Despesa com combust. e colaborador para manutenção de ar condicionado do estoque</t>
  </si>
  <si>
    <t>Serviços executados</t>
  </si>
  <si>
    <t>Serviços executados, despesa com combustÍvel e colaborador para reforma pop b, e passagem de tubulação de condensadora</t>
  </si>
  <si>
    <t>Despesa com material, combust, e colaborador para manut. de ar, e manut. de telhado</t>
  </si>
  <si>
    <t>Serviços executados despesas com comb. e colaborador para urgencia na base</t>
  </si>
  <si>
    <t>Vendas do site Mundiale</t>
  </si>
  <si>
    <t>Vendas instaladas do impulsionamento site mundiale (VENDAS MUNDIALE - MAIO 2026.xlsx)</t>
  </si>
  <si>
    <t>Vendas instaladas do impulsionamento site mundiale</t>
  </si>
  <si>
    <t>Fardamentos</t>
  </si>
  <si>
    <t>Solicitações de fardamentos administrativos</t>
  </si>
  <si>
    <t>Treinamentos/integração</t>
  </si>
  <si>
    <t>Despesas com seleção, treinamentos...</t>
  </si>
  <si>
    <t>Despesa com integração/alimentação</t>
  </si>
  <si>
    <t>Despesa de alimentação de colaboradores em integração</t>
  </si>
  <si>
    <t>Relacionamento</t>
  </si>
  <si>
    <t>Relacionamento Dtel</t>
  </si>
  <si>
    <t>Equipamentos de Segurança</t>
  </si>
  <si>
    <t>Devolução de Crédito</t>
  </si>
  <si>
    <t>EPI, EPC, Fardamento</t>
  </si>
  <si>
    <t>Km rodado Segurança e Saúde do Trabalho dtel p/ H&amp;a</t>
  </si>
  <si>
    <t>Deslocamento da equipe para Horas cursos de normas e reciclagem ou visitas</t>
  </si>
  <si>
    <t>Saude e segurança no trabalho</t>
  </si>
  <si>
    <t>Rateio do departamento (despesa por colaborador, mês de jan fev e março)</t>
  </si>
  <si>
    <t>Serviços prestados pela equipe Segurança do trabalho dtel p/ h&amp;a</t>
  </si>
  <si>
    <t>Serviços da equipe para Horas cursos de normas e reciclagem ou visitas</t>
  </si>
  <si>
    <t>Km rodado Segurança e Saúde do Trabalho dtel p/ soares e lins</t>
  </si>
  <si>
    <t>Serviços prestados pela equipe Segurança do trabalho</t>
  </si>
  <si>
    <t>Km rodado Segurança e Saúde do Trabalho soares e silva p/ Dtel</t>
  </si>
  <si>
    <t>Km rodado Segurança e Saúde do Trabalho soares e silva p/ LITORAL</t>
  </si>
  <si>
    <t>Serviços prestados pela equipe Segurança do trabalho soares e silva p/ LITORAL</t>
  </si>
  <si>
    <t>Serviços prestados pela equipe Segurança do trabalho soares e silva p/ dtel</t>
  </si>
  <si>
    <t>Km rodado Segurança e Saúde do Trabalho dtel p/ voice net</t>
  </si>
  <si>
    <t>E-mail Dtel</t>
  </si>
  <si>
    <t>Utilização de email corporativo</t>
  </si>
  <si>
    <t>MAIO/2026</t>
  </si>
  <si>
    <t>Preenchido da planilha de materiais (materiais recebidos em 05-2026.xlsx)</t>
  </si>
  <si>
    <t>Vendas cadastradas e consultadas pelo argos (Consultas e analise de credito - Maio26.xlsx)</t>
  </si>
  <si>
    <t>Serviços executados em projeto neoenergia (800 pontos)</t>
  </si>
  <si>
    <t>Mensalidade recebida pela H&amp;A (parcela junho)</t>
  </si>
  <si>
    <t>Serviços para verificação de tacaimbó, e projeto de expansão de pesqueira</t>
  </si>
  <si>
    <t>Despesa com combust. e colaborador para manutenção de ar condicionado e instalação de led da fachada</t>
  </si>
  <si>
    <t>Serviços executados, despesa com combustÍvel e colaborador inst. dos aramados do pop novo, troca de retificadora</t>
  </si>
  <si>
    <t>Vendas instaladas do impulsionamento site mundiale (VENDAS MUNDIALE - junho26.xlsx)</t>
  </si>
  <si>
    <t>EPI/Equipamentos do mês (CUSTO DE SEGURANÇA - MAIO26.xlsx)</t>
  </si>
  <si>
    <t>JUNHO/2026</t>
  </si>
  <si>
    <t>Preenchido da planilha de materiais (materiais recebidos em 06-2026.xlsx)</t>
  </si>
  <si>
    <t>Vendas cadastradas e consultadas pelo argos (Consultas e analise de credito - junho26.xlsx)</t>
  </si>
  <si>
    <t>Despesa com alimentação da itinerante pap</t>
  </si>
  <si>
    <t>Crédito por despesa com alimentação da equipe Dx2, em inauguração de loja h&amp;a</t>
  </si>
  <si>
    <t>Despesa da van DX2</t>
  </si>
  <si>
    <t>Crédito por despesa com combustivel da van</t>
  </si>
  <si>
    <t>Vendas comercial varejo.xlsx (maio/2026)</t>
  </si>
  <si>
    <t>Despesa com alimentação da equipe Dx2, em inauguração de loja h&amp;a</t>
  </si>
  <si>
    <t>Despesa com combustÍvel e utilização da van dx2</t>
  </si>
  <si>
    <t>Despesa trabalhista e combustÍvel do consultor dividido pelo total de vendas</t>
  </si>
  <si>
    <t>Despesa trabalhista e combustÍvel dividida pela quantidade de vendas</t>
  </si>
  <si>
    <t>Vendas da equipe voicenet porta a porta p/ Soares e silva</t>
  </si>
  <si>
    <t>Despesa trabalhista e combustível dividida pela quantidade de vendas</t>
  </si>
  <si>
    <t>Vendas da equipe da Voicenet para soares e silva</t>
  </si>
  <si>
    <t>Manutenção de veículo</t>
  </si>
  <si>
    <t>Transporte de produtos - Frota.xlsx (referente maio/2026)</t>
  </si>
  <si>
    <t>Transporte de produtos - Frota.xlsx (referente junho/2026)</t>
  </si>
  <si>
    <t>Referente MAIO/2026 - não cobrado em maio</t>
  </si>
  <si>
    <t>KM rodado para serviços técnicos DX2 p/ Soares &amp; silva</t>
  </si>
  <si>
    <t>Serviços técnicos da DX2 p/ Soares &amp; Silva</t>
  </si>
  <si>
    <t>Fundo Municipal de assistencia social de primavera</t>
  </si>
  <si>
    <t>Agência reguladora dos serviços públicos do estado de Alagoas - ARSAL</t>
  </si>
  <si>
    <t>Mensalidade recebida pela Dtel (parcela junho)</t>
  </si>
  <si>
    <t>EPI/Equipamentos do mês (CUSTO DE SEGURANÇA - JUN26.xlsx)</t>
  </si>
  <si>
    <t>EPI/Equipamentos do mês</t>
  </si>
  <si>
    <t>Serviços prestados pela equipe Segurança do trabalho soares e silva p/ litoral</t>
  </si>
  <si>
    <t>JULHO/2026</t>
  </si>
  <si>
    <t>Vendas cadastradas e consultadas pelo argos (Consulta e analise de crédito - Jul26.xlsx)</t>
  </si>
  <si>
    <t>Vendas comercial varejo.xlsx (junho/2026)</t>
  </si>
  <si>
    <t>Vendas da equipe solon p/ Dtel</t>
  </si>
  <si>
    <t>Vendas comercial varejo</t>
  </si>
  <si>
    <t>Transporte de produtos - Frota.xlsx</t>
  </si>
  <si>
    <t>Serviços técnicos da Dtel para voicenet</t>
  </si>
  <si>
    <t>Mensalidade recebida pela H&amp;A (parcela julho)</t>
  </si>
  <si>
    <t>Despesa com combust. e colaborador para verificação obra tacaimbó</t>
  </si>
  <si>
    <t>Despesa com material, combust., e colaborador para finalização pop b maceió</t>
  </si>
  <si>
    <t>Despesa com combust. e colaborador para verificação edf estação madalena</t>
  </si>
  <si>
    <t>Vendas instaladas do impulsionamento site mundiale (VENDAS MUNDIALE jul26.xlsx)</t>
  </si>
  <si>
    <t>EPI/Equipamentos do mês (CUSTO DE SEGURANÇA - JUl26.xlsx)</t>
  </si>
  <si>
    <t>Serviços prestados pela equipe Seg. soares e silva p/ dtel</t>
  </si>
  <si>
    <t>Custo do departamento de RH</t>
  </si>
  <si>
    <t>Cálculo por número de funcionários ativos</t>
  </si>
  <si>
    <t>Custo do departamento de DP</t>
  </si>
  <si>
    <t>SST Administrativo</t>
  </si>
  <si>
    <t>Cálculo por número de funcionários ativos — taxa corrigida em 15/09/2026 (estava desatualizada, de antes da correção do custo de Segurança do Trabalho de Julho; agora bate com a aba SETORES)</t>
  </si>
  <si>
    <t>Setor de TIC</t>
  </si>
  <si>
    <t>Setor de Marketing</t>
  </si>
  <si>
    <t>Custo do departamento Administrativo</t>
  </si>
  <si>
    <t>Cálculo por número de funcionários ativos (sem quantidade exata para H&amp;A)</t>
  </si>
  <si>
    <t>Reembolso por receita recebida</t>
  </si>
  <si>
    <t>Taxa de administração de 6% e 1% de utilização da marca (7% sobre a receita recebida) — fonte: Base Geral 2026.xlsx</t>
  </si>
  <si>
    <t>AGOSTO/2026</t>
  </si>
  <si>
    <t>Mensalidade recebida pela H&amp;A (parcela agosto)</t>
  </si>
  <si>
    <t>Logistica</t>
  </si>
  <si>
    <t>Administração da Engenharia</t>
  </si>
  <si>
    <t>Cálculo por número de clientes ativos (apenas Engenharia — Projetista cobrado em linha própria)</t>
  </si>
  <si>
    <t>Taxa de administração de 6% e 1% de utilização da marca (7% sobre a receita recebida) — valores informados pela Débora (11/09/2026)</t>
  </si>
  <si>
    <t>Cálculo por número de vendas do setor (rateio uniforme por empresa) — critério alterado de Clientes para Vendas a pedido da Débora (11/09/2026)</t>
  </si>
  <si>
    <t>Cálculo: Remuneração Bruta / Custo Total c/ Encargos (folha, equipe Comercial+Vendas Corporativo) arredondado = % de encargos; (Remuneração Bruta - Comissão por Recorrência) x (1+%) / Total de vendas (segmento Empresarial+Operadoras, excluindo ISP) = valor unitário; Quantidade = vendas do setor para cada empresa no mês (LISTAGEM POR CLIENTE) — critério confirmado com a Débora em 16/09/2026 (Qtd deixa de ser uniforme=1 e passa a refletir as vendas reais por empresa).</t>
  </si>
  <si>
    <t>Cálculo por número de funcionários ativos — criado em 15/09/2026 (linha não existia para Maio/Junho; quantidade PARÂMETROS, exceto H&amp;A=37 fixo a pedido da Débora)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</si>
</sst>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#,##0;\(#,##0\);\-"/>
    <numFmt numFmtId="165" formatCode="&quot;R$ &quot;#,##0.00;[Red]&quot;-R$ &quot;#,##0.00"/>
    <numFmt numFmtId="166" formatCode="#,##0.00;\(#,##0.00\);\-"/>
    <numFmt numFmtId="167" formatCode="mmm\-yy"/>
  </numFmts>
  <fonts count="2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name val="Arial"/>
      <charset val="1"/>
    </font>
    <font>
      <sz val="10"/>
      <color rgb="FF0000FF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Calibri"/>
      <charset val="1"/>
    </font>
    <font>
      <b/>
      <sz val="11"/>
      <color rgb="FFC00000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b/>
      <sz val="14"/>
      <color rgb="FFFFFFFF"/>
      <name val="Cambria"/>
      <charset val="1"/>
    </font>
    <font>
      <sz val="11"/>
      <name val="Cambria"/>
      <charset val="1"/>
    </font>
    <font>
      <i/>
      <sz val="9"/>
      <color rgb="FF666666"/>
      <name val="Cambria"/>
      <charset val="1"/>
    </font>
    <font>
      <b/>
      <sz val="12"/>
      <color rgb="FFFFFFFF"/>
      <name val="Cambria"/>
      <charset val="1"/>
    </font>
    <font>
      <b/>
      <sz val="10"/>
      <color rgb="FFFFFFFF"/>
      <name val="Calibri"/>
      <charset val="1"/>
    </font>
    <font>
      <b/>
      <sz val="10"/>
      <name val="Cambria"/>
      <charset val="1"/>
    </font>
    <font>
      <b/>
      <sz val="12"/>
      <name val="Calibri"/>
      <charset val="1"/>
    </font>
    <font>
      <sz val="9"/>
      <name val="Calibri"/>
      <charset val="1"/>
    </font>
    <font>
      <b/>
      <sz val="10"/>
      <name val="Calibri"/>
      <charset val="1"/>
    </font>
    <font>
      <sz val="8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0"/>
      <color rgb="FF0000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03864"/>
        <bgColor rgb="FF1F4E78"/>
      </patternFill>
    </fill>
    <fill>
      <patternFill patternType="solid">
        <fgColor rgb="FF2E75B6"/>
        <bgColor rgb="FF0066CC"/>
      </patternFill>
    </fill>
    <fill>
      <patternFill patternType="solid">
        <fgColor rgb="FFF7FAFC"/>
        <bgColor rgb="FFFFFFFF"/>
      </patternFill>
    </fill>
    <fill>
      <patternFill patternType="solid">
        <fgColor rgb="FFD9D9D9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203864"/>
      </patternFill>
    </fill>
    <fill>
      <patternFill patternType="solid">
        <fgColor rgb="FFF2F2F2"/>
        <bgColor rgb="FFF7FAF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4" fillId="3" borderId="0" xfId="0" applyFont="1" applyFill="1"/>
    <xf numFmtId="0" fontId="6" fillId="4" borderId="1" xfId="0" applyFont="1" applyFill="1" applyBorder="1"/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10" fontId="6" fillId="0" borderId="1" xfId="0" applyNumberFormat="1" applyFont="1" applyBorder="1"/>
    <xf numFmtId="10" fontId="3" fillId="0" borderId="1" xfId="0" applyNumberFormat="1" applyFont="1" applyBorder="1"/>
    <xf numFmtId="0" fontId="6" fillId="0" borderId="1" xfId="0" applyFont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10" fontId="6" fillId="4" borderId="1" xfId="0" applyNumberFormat="1" applyFont="1" applyFill="1" applyBorder="1"/>
    <xf numFmtId="10" fontId="3" fillId="4" borderId="1" xfId="0" applyNumberFormat="1" applyFont="1" applyFill="1" applyBorder="1"/>
    <xf numFmtId="0" fontId="2" fillId="5" borderId="2" xfId="0" applyFont="1" applyFill="1" applyBorder="1"/>
    <xf numFmtId="164" fontId="2" fillId="5" borderId="2" xfId="0" applyNumberFormat="1" applyFont="1" applyFill="1" applyBorder="1"/>
    <xf numFmtId="0" fontId="7" fillId="5" borderId="2" xfId="0" applyFont="1" applyFill="1" applyBorder="1"/>
    <xf numFmtId="0" fontId="6" fillId="6" borderId="1" xfId="0" applyFont="1" applyFill="1" applyBorder="1"/>
    <xf numFmtId="165" fontId="6" fillId="0" borderId="1" xfId="0" applyNumberFormat="1" applyFont="1" applyBorder="1"/>
    <xf numFmtId="165" fontId="6" fillId="4" borderId="1" xfId="0" applyNumberFormat="1" applyFont="1" applyFill="1" applyBorder="1"/>
    <xf numFmtId="0" fontId="6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1" xfId="0" applyFont="1" applyBorder="1"/>
    <xf numFmtId="0" fontId="3" fillId="6" borderId="1" xfId="0" applyFont="1" applyFill="1" applyBorder="1"/>
    <xf numFmtId="0" fontId="4" fillId="0" borderId="1" xfId="0" applyFont="1" applyBorder="1"/>
    <xf numFmtId="166" fontId="6" fillId="0" borderId="1" xfId="0" applyNumberFormat="1" applyFont="1" applyBorder="1"/>
    <xf numFmtId="3" fontId="6" fillId="0" borderId="1" xfId="0" applyNumberFormat="1" applyFont="1" applyBorder="1" applyAlignment="1">
      <alignment horizontal="center" vertical="center"/>
    </xf>
    <xf numFmtId="0" fontId="9" fillId="5" borderId="2" xfId="0" applyFont="1" applyFill="1" applyBorder="1"/>
    <xf numFmtId="0" fontId="10" fillId="5" borderId="2" xfId="0" applyFont="1" applyFill="1" applyBorder="1"/>
    <xf numFmtId="165" fontId="9" fillId="5" borderId="2" xfId="0" applyNumberFormat="1" applyFont="1" applyFill="1" applyBorder="1"/>
    <xf numFmtId="3" fontId="6" fillId="0" borderId="2" xfId="0" applyNumberFormat="1" applyFont="1" applyBorder="1" applyAlignment="1">
      <alignment horizontal="center" vertical="center"/>
    </xf>
    <xf numFmtId="0" fontId="6" fillId="7" borderId="1" xfId="0" applyFont="1" applyFill="1" applyBorder="1"/>
    <xf numFmtId="0" fontId="0" fillId="0" borderId="1" xfId="0" applyBorder="1"/>
    <xf numFmtId="0" fontId="0" fillId="4" borderId="1" xfId="0" applyFill="1" applyBorder="1"/>
    <xf numFmtId="0" fontId="12" fillId="0" borderId="0" xfId="0" applyFont="1"/>
    <xf numFmtId="0" fontId="15" fillId="9" borderId="1" xfId="0" applyFont="1" applyFill="1" applyBorder="1"/>
    <xf numFmtId="0" fontId="12" fillId="0" borderId="1" xfId="0" applyFont="1" applyBorder="1"/>
    <xf numFmtId="165" fontId="12" fillId="0" borderId="1" xfId="0" applyNumberFormat="1" applyFont="1" applyBorder="1"/>
    <xf numFmtId="0" fontId="16" fillId="10" borderId="1" xfId="0" applyFont="1" applyFill="1" applyBorder="1"/>
    <xf numFmtId="0" fontId="0" fillId="0" borderId="3" xfId="0" applyBorder="1"/>
    <xf numFmtId="0" fontId="0" fillId="0" borderId="4" xfId="0" applyBorder="1"/>
    <xf numFmtId="165" fontId="16" fillId="10" borderId="1" xfId="0" applyNumberFormat="1" applyFont="1" applyFill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1" fontId="0" fillId="0" borderId="0" xfId="0" applyNumberFormat="1"/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4" fillId="0" borderId="0" xfId="0" applyFont="1"/>
    <xf numFmtId="0" fontId="8" fillId="0" borderId="0" xfId="0" applyFont="1"/>
    <xf numFmtId="0" fontId="6" fillId="4" borderId="1" xfId="0" applyFont="1" applyFill="1" applyBorder="1"/>
    <xf numFmtId="0" fontId="11" fillId="9" borderId="0" xfId="0" applyFont="1" applyFill="1"/>
    <xf numFmtId="0" fontId="13" fillId="0" borderId="0" xfId="0" applyFont="1" applyAlignment="1">
      <alignment vertical="top" wrapText="1"/>
    </xf>
    <xf numFmtId="0" fontId="14" fillId="3" borderId="0" xfId="0" applyFont="1" applyFill="1"/>
    <xf numFmtId="0" fontId="6" fillId="4" borderId="0" xfId="0" applyFont="1" applyFill="1" applyBorder="1"/>
    <xf numFmtId="0" fontId="6" fillId="7" borderId="0" xfId="0" applyFont="1" applyFill="1" applyBorder="1"/>
    <xf numFmtId="0" fontId="21" fillId="3" borderId="1" xfId="0" applyFont="1" applyFill="1" applyBorder="1" applyAlignment="1">
      <alignment horizontal="center" vertical="center" wrapText="1"/>
    </xf>
    <xf numFmtId="0" fontId="22" fillId="4" borderId="1" xfId="0" applyFont="1" applyFill="1" applyBorder="1"/>
    <xf numFmtId="0" fontId="22" fillId="7" borderId="1" xfId="0" applyFont="1" applyFill="1" applyBorder="1"/>
    <xf numFmtId="0" fontId="22" fillId="7" borderId="0" xfId="0" applyFont="1" applyFill="1" applyBorder="1"/>
    <xf numFmtId="0" fontId="22" fillId="4" borderId="0" xfId="0" applyFont="1" applyFill="1" applyBorder="1"/>
    <xf numFmtId="167" fontId="22" fillId="4" borderId="1" xfId="0" applyNumberFormat="1" applyFont="1" applyFill="1" applyBorder="1"/>
    <xf numFmtId="0" fontId="23" fillId="0" borderId="0" xfId="0" applyFont="1"/>
    <xf numFmtId="0" fontId="23" fillId="0" borderId="1" xfId="0" applyFont="1" applyBorder="1"/>
    <xf numFmtId="0" fontId="22" fillId="8" borderId="1" xfId="0" applyFont="1" applyFill="1" applyBorder="1"/>
    <xf numFmtId="164" fontId="24" fillId="4" borderId="1" xfId="0" applyNumberFormat="1" applyFont="1" applyFill="1" applyBorder="1"/>
    <xf numFmtId="164" fontId="24" fillId="7" borderId="1" xfId="0" applyNumberFormat="1" applyFont="1" applyFill="1" applyBorder="1"/>
    <xf numFmtId="164" fontId="24" fillId="7" borderId="0" xfId="0" applyNumberFormat="1" applyFont="1" applyFill="1" applyBorder="1"/>
    <xf numFmtId="164" fontId="24" fillId="4" borderId="0" xfId="0" applyNumberFormat="1" applyFont="1" applyFill="1" applyBorder="1"/>
    <xf numFmtId="44" fontId="21" fillId="3" borderId="1" xfId="0" applyNumberFormat="1" applyFont="1" applyFill="1" applyBorder="1" applyAlignment="1">
      <alignment horizontal="center" vertical="center" wrapText="1"/>
    </xf>
    <xf numFmtId="44" fontId="24" fillId="4" borderId="1" xfId="0" applyNumberFormat="1" applyFont="1" applyFill="1" applyBorder="1"/>
    <xf numFmtId="44" fontId="24" fillId="7" borderId="1" xfId="0" applyNumberFormat="1" applyFont="1" applyFill="1" applyBorder="1"/>
    <xf numFmtId="44" fontId="24" fillId="7" borderId="0" xfId="0" applyNumberFormat="1" applyFont="1" applyFill="1" applyBorder="1"/>
    <xf numFmtId="44" fontId="24" fillId="4" borderId="0" xfId="0" applyNumberFormat="1" applyFont="1" applyFill="1" applyBorder="1"/>
    <xf numFmtId="44" fontId="23" fillId="0" borderId="0" xfId="0" applyNumberFormat="1" applyFont="1"/>
    <xf numFmtId="44" fontId="23" fillId="0" borderId="1" xfId="0" applyNumberFormat="1" applyFont="1" applyBorder="1"/>
    <xf numFmtId="44" fontId="22" fillId="4" borderId="1" xfId="0" applyNumberFormat="1" applyFont="1" applyFill="1" applyBorder="1"/>
    <xf numFmtId="44" fontId="22" fillId="7" borderId="1" xfId="0" applyNumberFormat="1" applyFont="1" applyFill="1" applyBorder="1"/>
    <xf numFmtId="44" fontId="22" fillId="7" borderId="0" xfId="0" applyNumberFormat="1" applyFont="1" applyFill="1" applyBorder="1"/>
    <xf numFmtId="44" fontId="22" fillId="4" borderId="0" xfId="0" applyNumberFormat="1" applyFont="1" applyFill="1" applyBorder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AF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203864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sMensais" displayName="CustosMensais" ref="A4:H2444" totalsRowShown="0">
  <autoFilter ref="A4:H2444" xr:uid="{00000000-0009-0000-0100-000001000000}">
    <filterColumn colId="2">
      <filters>
        <filter val="Despesas com SST"/>
        <filter val="Despesas SST exames"/>
      </filters>
    </filterColumn>
  </autoFilter>
  <sortState xmlns:xlrd2="http://schemas.microsoft.com/office/spreadsheetml/2017/richdata2" ref="A5:H2444">
    <sortCondition ref="H4:H2444"/>
  </sortState>
  <tableColumns count="8">
    <tableColumn id="1" xr3:uid="{00000000-0010-0000-0000-000001000000}" name="Setor"/>
    <tableColumn id="2" xr3:uid="{00000000-0010-0000-0000-000002000000}" name="Categoria" dataDxfId="5"/>
    <tableColumn id="3" xr3:uid="{00000000-0010-0000-0000-000003000000}" name="Descrição do Custo" dataDxfId="4"/>
    <tableColumn id="4" xr3:uid="{00000000-0010-0000-0000-000004000000}" name="Quantidade" dataDxfId="3"/>
    <tableColumn id="5" xr3:uid="{00000000-0010-0000-0000-000005000000}" name="Valor Unitário" dataDxfId="2"/>
    <tableColumn id="6" xr3:uid="{00000000-0010-0000-0000-000006000000}" name="Total do Mês " dataDxfId="1"/>
    <tableColumn id="7" xr3:uid="{00000000-0010-0000-0000-000007000000}" name="Critério de Rateio" dataDxfId="0"/>
    <tableColumn id="8" xr3:uid="{00000000-0010-0000-0000-000008000000}" name="Mês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188"/>
  <sheetViews>
    <sheetView showGridLines="0" zoomScaleNormal="100" workbookViewId="0">
      <selection activeCell="M546" sqref="M546"/>
    </sheetView>
  </sheetViews>
  <sheetFormatPr defaultColWidth="8.6640625" defaultRowHeight="14.4" x14ac:dyDescent="0.3"/>
  <cols>
    <col min="1" max="1" width="33.88671875" customWidth="1"/>
    <col min="2" max="2" width="20.33203125" customWidth="1"/>
    <col min="3" max="3" width="33.88671875" customWidth="1"/>
    <col min="4" max="4" width="13.109375" customWidth="1"/>
    <col min="5" max="5" width="20.77734375" customWidth="1"/>
    <col min="6" max="6" width="18.5546875" customWidth="1"/>
    <col min="7" max="7" width="10.5546875" customWidth="1"/>
    <col min="8" max="8" width="17.109375" customWidth="1"/>
    <col min="9" max="9" width="16.6640625" customWidth="1"/>
    <col min="10" max="10" width="10.5546875" customWidth="1"/>
  </cols>
  <sheetData>
    <row r="1" spans="1:7" ht="25.5" customHeight="1" x14ac:dyDescent="0.3">
      <c r="A1" s="50" t="s">
        <v>0</v>
      </c>
      <c r="B1" s="50"/>
      <c r="C1" s="50"/>
      <c r="D1" s="50"/>
      <c r="E1" s="50"/>
      <c r="F1" s="50"/>
      <c r="G1" s="50"/>
    </row>
    <row r="3" spans="1:7" ht="15" customHeight="1" x14ac:dyDescent="0.3">
      <c r="A3" s="4" t="s">
        <v>1</v>
      </c>
      <c r="B3" s="5"/>
    </row>
    <row r="5" spans="1:7" ht="15" customHeight="1" x14ac:dyDescent="0.3">
      <c r="A5" s="51" t="s">
        <v>2</v>
      </c>
      <c r="B5" s="51"/>
      <c r="C5" s="51"/>
      <c r="D5" s="51"/>
      <c r="E5" s="51"/>
      <c r="F5" s="51"/>
      <c r="G5" s="51"/>
    </row>
    <row r="7" spans="1:7" ht="27.75" customHeight="1" x14ac:dyDescent="0.3">
      <c r="A7" s="6" t="s">
        <v>3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</row>
    <row r="8" spans="1:7" ht="15" customHeight="1" x14ac:dyDescent="0.3">
      <c r="A8" s="7" t="s">
        <v>10</v>
      </c>
      <c r="B8" s="8">
        <v>6445</v>
      </c>
      <c r="C8" s="8">
        <v>34</v>
      </c>
      <c r="D8" s="9">
        <f t="shared" ref="D8:D15" si="0">IFERROR(B8/SUMIFS($B$8:$B$907,$G$8:$G$907,G8),0)</f>
        <v>3.3077914012820578E-2</v>
      </c>
      <c r="E8" s="9">
        <f t="shared" ref="E8:E15" si="1">IFERROR(C8/SUMIFS($C$8:$C$907,$G$8:$G$907,G8),0)</f>
        <v>3.2411820781696854E-2</v>
      </c>
      <c r="F8" s="10">
        <v>0</v>
      </c>
      <c r="G8" s="11" t="s">
        <v>11</v>
      </c>
    </row>
    <row r="9" spans="1:7" ht="15" customHeight="1" x14ac:dyDescent="0.3">
      <c r="A9" s="12" t="s">
        <v>12</v>
      </c>
      <c r="B9" s="13">
        <v>13418</v>
      </c>
      <c r="C9" s="13">
        <v>32</v>
      </c>
      <c r="D9" s="14">
        <f t="shared" si="0"/>
        <v>6.886570212940675E-2</v>
      </c>
      <c r="E9" s="14">
        <f t="shared" si="1"/>
        <v>3.0505243088655862E-2</v>
      </c>
      <c r="F9" s="15">
        <v>0</v>
      </c>
      <c r="G9" s="2" t="s">
        <v>11</v>
      </c>
    </row>
    <row r="10" spans="1:7" ht="15" customHeight="1" x14ac:dyDescent="0.3">
      <c r="A10" s="7" t="s">
        <v>13</v>
      </c>
      <c r="B10" s="8">
        <v>14441</v>
      </c>
      <c r="C10" s="8">
        <v>42</v>
      </c>
      <c r="D10" s="9">
        <f t="shared" si="0"/>
        <v>7.4116083205452599E-2</v>
      </c>
      <c r="E10" s="9">
        <f t="shared" si="1"/>
        <v>4.0038131553860823E-2</v>
      </c>
      <c r="F10" s="10">
        <v>0</v>
      </c>
      <c r="G10" s="11" t="s">
        <v>11</v>
      </c>
    </row>
    <row r="11" spans="1:7" ht="15" customHeight="1" x14ac:dyDescent="0.3">
      <c r="A11" s="12" t="s">
        <v>14</v>
      </c>
      <c r="B11" s="13">
        <v>3704</v>
      </c>
      <c r="C11" s="13">
        <v>11</v>
      </c>
      <c r="D11" s="14">
        <f t="shared" si="0"/>
        <v>1.9010177424901076E-2</v>
      </c>
      <c r="E11" s="14">
        <f t="shared" si="1"/>
        <v>1.0486177311725452E-2</v>
      </c>
      <c r="F11" s="15">
        <v>0</v>
      </c>
      <c r="G11" s="2" t="s">
        <v>11</v>
      </c>
    </row>
    <row r="12" spans="1:7" ht="15" customHeight="1" x14ac:dyDescent="0.3">
      <c r="A12" s="7" t="s">
        <v>15</v>
      </c>
      <c r="B12" s="8">
        <v>6434</v>
      </c>
      <c r="C12" s="8">
        <v>42</v>
      </c>
      <c r="D12" s="9">
        <f t="shared" si="0"/>
        <v>3.302145830232546E-2</v>
      </c>
      <c r="E12" s="9">
        <f t="shared" si="1"/>
        <v>4.0038131553860823E-2</v>
      </c>
      <c r="F12" s="10">
        <v>0</v>
      </c>
      <c r="G12" s="11" t="s">
        <v>11</v>
      </c>
    </row>
    <row r="13" spans="1:7" ht="15" customHeight="1" x14ac:dyDescent="0.3">
      <c r="A13" s="12" t="s">
        <v>16</v>
      </c>
      <c r="B13" s="13">
        <v>4749</v>
      </c>
      <c r="C13" s="13">
        <v>18</v>
      </c>
      <c r="D13" s="14">
        <f t="shared" si="0"/>
        <v>2.437346992193715E-2</v>
      </c>
      <c r="E13" s="14">
        <f t="shared" si="1"/>
        <v>1.7159199237368923E-2</v>
      </c>
      <c r="F13" s="15">
        <v>0</v>
      </c>
      <c r="G13" s="2" t="s">
        <v>11</v>
      </c>
    </row>
    <row r="14" spans="1:7" ht="15" customHeight="1" x14ac:dyDescent="0.3">
      <c r="A14" s="7" t="s">
        <v>17</v>
      </c>
      <c r="B14" s="8">
        <v>4795</v>
      </c>
      <c r="C14" s="8">
        <v>17</v>
      </c>
      <c r="D14" s="9">
        <f t="shared" si="0"/>
        <v>2.460955743855309E-2</v>
      </c>
      <c r="E14" s="9">
        <f t="shared" si="1"/>
        <v>1.6205910390848427E-2</v>
      </c>
      <c r="F14" s="10">
        <v>0</v>
      </c>
      <c r="G14" s="11" t="s">
        <v>11</v>
      </c>
    </row>
    <row r="15" spans="1:7" ht="15" customHeight="1" x14ac:dyDescent="0.3">
      <c r="A15" s="12" t="s">
        <v>18</v>
      </c>
      <c r="B15" s="13">
        <v>140857</v>
      </c>
      <c r="C15" s="13">
        <v>853</v>
      </c>
      <c r="D15" s="14">
        <f t="shared" si="0"/>
        <v>0.72292563756460326</v>
      </c>
      <c r="E15" s="14">
        <f t="shared" si="1"/>
        <v>0.81315538608198279</v>
      </c>
      <c r="F15" s="15">
        <v>0</v>
      </c>
      <c r="G15" s="2" t="s">
        <v>11</v>
      </c>
    </row>
    <row r="16" spans="1:7" ht="15" customHeight="1" x14ac:dyDescent="0.3">
      <c r="A16" s="16" t="s">
        <v>19</v>
      </c>
      <c r="B16" s="17">
        <f>SUM(B8:B15)</f>
        <v>194843</v>
      </c>
      <c r="C16" s="17">
        <f>SUM(C8:C15)</f>
        <v>1049</v>
      </c>
      <c r="D16" s="18"/>
      <c r="E16" s="18"/>
      <c r="F16" s="18"/>
      <c r="G16" s="18"/>
    </row>
    <row r="17" spans="1:7" ht="14.25" customHeight="1" x14ac:dyDescent="0.3">
      <c r="A17" s="7" t="s">
        <v>10</v>
      </c>
      <c r="B17" s="8">
        <v>6280</v>
      </c>
      <c r="C17" s="8">
        <v>35</v>
      </c>
      <c r="D17" s="9">
        <f t="shared" ref="D17:D24" si="2">IFERROR(B17/SUMIFS($B$8:$B$907,$G$8:$G$907,G17),0)</f>
        <v>3.2823386139959339E-2</v>
      </c>
      <c r="E17" s="9">
        <f t="shared" ref="E17:E24" si="3">IFERROR(C17/SUMIFS($C$8:$C$907,$G$8:$G$907,G17),0)</f>
        <v>3.3238366571699908E-2</v>
      </c>
      <c r="F17" s="10">
        <v>0</v>
      </c>
      <c r="G17" s="11" t="s">
        <v>20</v>
      </c>
    </row>
    <row r="18" spans="1:7" ht="15" customHeight="1" x14ac:dyDescent="0.3">
      <c r="A18" s="12" t="s">
        <v>12</v>
      </c>
      <c r="B18" s="13">
        <v>13402</v>
      </c>
      <c r="C18" s="13">
        <v>35</v>
      </c>
      <c r="D18" s="14">
        <f t="shared" si="2"/>
        <v>7.0047614816518319E-2</v>
      </c>
      <c r="E18" s="14">
        <f t="shared" si="3"/>
        <v>3.3238366571699908E-2</v>
      </c>
      <c r="F18" s="15">
        <v>0</v>
      </c>
      <c r="G18" s="2" t="s">
        <v>20</v>
      </c>
    </row>
    <row r="19" spans="1:7" ht="15" customHeight="1" x14ac:dyDescent="0.3">
      <c r="A19" s="7" t="s">
        <v>13</v>
      </c>
      <c r="B19" s="8">
        <v>14331</v>
      </c>
      <c r="C19" s="8">
        <v>42</v>
      </c>
      <c r="D19" s="9">
        <f t="shared" si="2"/>
        <v>7.4903176237540961E-2</v>
      </c>
      <c r="E19" s="9">
        <f t="shared" si="3"/>
        <v>3.9886039886039885E-2</v>
      </c>
      <c r="F19" s="10">
        <v>0</v>
      </c>
      <c r="G19" s="11" t="s">
        <v>20</v>
      </c>
    </row>
    <row r="20" spans="1:7" ht="15" customHeight="1" x14ac:dyDescent="0.3">
      <c r="A20" s="12" t="s">
        <v>14</v>
      </c>
      <c r="B20" s="13">
        <v>3650</v>
      </c>
      <c r="C20" s="13">
        <v>11</v>
      </c>
      <c r="D20" s="14">
        <f t="shared" si="2"/>
        <v>1.907728653039038E-2</v>
      </c>
      <c r="E20" s="14">
        <f t="shared" si="3"/>
        <v>1.0446343779677113E-2</v>
      </c>
      <c r="F20" s="15">
        <v>0</v>
      </c>
      <c r="G20" s="2" t="s">
        <v>20</v>
      </c>
    </row>
    <row r="21" spans="1:7" ht="15" customHeight="1" x14ac:dyDescent="0.3">
      <c r="A21" s="7" t="s">
        <v>15</v>
      </c>
      <c r="B21" s="8">
        <v>6396</v>
      </c>
      <c r="C21" s="8">
        <v>42</v>
      </c>
      <c r="D21" s="9">
        <f t="shared" si="2"/>
        <v>3.3429677985856672E-2</v>
      </c>
      <c r="E21" s="9">
        <f t="shared" si="3"/>
        <v>3.9886039886039885E-2</v>
      </c>
      <c r="F21" s="10">
        <v>0</v>
      </c>
      <c r="G21" s="11" t="s">
        <v>20</v>
      </c>
    </row>
    <row r="22" spans="1:7" ht="15" customHeight="1" x14ac:dyDescent="0.3">
      <c r="A22" s="12" t="s">
        <v>16</v>
      </c>
      <c r="B22" s="13">
        <v>4730</v>
      </c>
      <c r="C22" s="13">
        <v>18</v>
      </c>
      <c r="D22" s="14">
        <f t="shared" si="2"/>
        <v>2.4722072681848353E-2</v>
      </c>
      <c r="E22" s="14">
        <f t="shared" si="3"/>
        <v>1.7094017094017096E-2</v>
      </c>
      <c r="F22" s="15">
        <v>0</v>
      </c>
      <c r="G22" s="2" t="s">
        <v>20</v>
      </c>
    </row>
    <row r="23" spans="1:7" ht="14.25" customHeight="1" x14ac:dyDescent="0.3">
      <c r="A23" s="7" t="s">
        <v>17</v>
      </c>
      <c r="B23" s="8">
        <v>4782</v>
      </c>
      <c r="C23" s="8">
        <v>20</v>
      </c>
      <c r="D23" s="9">
        <f t="shared" si="2"/>
        <v>2.4993858681733368E-2</v>
      </c>
      <c r="E23" s="9">
        <f t="shared" si="3"/>
        <v>1.8993352326685659E-2</v>
      </c>
      <c r="F23" s="10">
        <v>0</v>
      </c>
      <c r="G23" s="11" t="s">
        <v>20</v>
      </c>
    </row>
    <row r="24" spans="1:7" ht="15" customHeight="1" x14ac:dyDescent="0.3">
      <c r="A24" s="12" t="s">
        <v>18</v>
      </c>
      <c r="B24" s="13">
        <v>137756</v>
      </c>
      <c r="C24" s="13">
        <v>850</v>
      </c>
      <c r="D24" s="14">
        <f t="shared" si="2"/>
        <v>0.72000292692615264</v>
      </c>
      <c r="E24" s="14">
        <f t="shared" si="3"/>
        <v>0.80721747388414056</v>
      </c>
      <c r="F24" s="15">
        <v>0</v>
      </c>
      <c r="G24" s="2" t="s">
        <v>20</v>
      </c>
    </row>
    <row r="25" spans="1:7" ht="15" customHeight="1" x14ac:dyDescent="0.3">
      <c r="A25" s="16" t="s">
        <v>19</v>
      </c>
      <c r="B25" s="17">
        <f>SUM(B17:B24)</f>
        <v>191327</v>
      </c>
      <c r="C25" s="17">
        <f>SUM(C17:C24)</f>
        <v>1053</v>
      </c>
      <c r="D25" s="18"/>
      <c r="E25" s="18"/>
      <c r="F25" s="18"/>
      <c r="G25" s="18"/>
    </row>
    <row r="26" spans="1:7" ht="15" customHeight="1" x14ac:dyDescent="0.3">
      <c r="A26" s="7" t="s">
        <v>10</v>
      </c>
      <c r="B26" s="8">
        <v>6588</v>
      </c>
      <c r="C26" s="8">
        <v>34</v>
      </c>
      <c r="D26" s="9">
        <f t="shared" ref="D26:D33" si="4">IFERROR(B26/SUMIFS($B$8:$B$907,$G$8:$G$907,G26),0)</f>
        <v>3.2696249460273663E-2</v>
      </c>
      <c r="E26" s="9">
        <f t="shared" ref="E26:E33" si="5">IFERROR(C26/SUMIFS($C$8:$C$907,$G$8:$G$907,G26),0)</f>
        <v>3.1192660550458717E-2</v>
      </c>
      <c r="F26" s="10">
        <v>0</v>
      </c>
      <c r="G26" s="11" t="s">
        <v>21</v>
      </c>
    </row>
    <row r="27" spans="1:7" ht="15" customHeight="1" x14ac:dyDescent="0.3">
      <c r="A27" s="12" t="s">
        <v>12</v>
      </c>
      <c r="B27" s="13">
        <v>13530</v>
      </c>
      <c r="C27" s="13">
        <v>0</v>
      </c>
      <c r="D27" s="14">
        <f t="shared" si="4"/>
        <v>6.7149401213950008E-2</v>
      </c>
      <c r="E27" s="14">
        <f t="shared" si="5"/>
        <v>0</v>
      </c>
      <c r="F27" s="15">
        <v>0</v>
      </c>
      <c r="G27" s="2" t="s">
        <v>21</v>
      </c>
    </row>
    <row r="28" spans="1:7" ht="15" customHeight="1" x14ac:dyDescent="0.3">
      <c r="A28" s="7" t="s">
        <v>13</v>
      </c>
      <c r="B28" s="8">
        <v>14689</v>
      </c>
      <c r="C28" s="8">
        <v>47</v>
      </c>
      <c r="D28" s="9">
        <f t="shared" si="4"/>
        <v>7.2901519174553703E-2</v>
      </c>
      <c r="E28" s="9">
        <f t="shared" si="5"/>
        <v>4.3119266055045874E-2</v>
      </c>
      <c r="F28" s="10">
        <v>0</v>
      </c>
      <c r="G28" s="11" t="s">
        <v>21</v>
      </c>
    </row>
    <row r="29" spans="1:7" ht="24.75" customHeight="1" x14ac:dyDescent="0.3">
      <c r="A29" s="12" t="s">
        <v>14</v>
      </c>
      <c r="B29" s="13">
        <v>3765</v>
      </c>
      <c r="C29" s="13">
        <v>11</v>
      </c>
      <c r="D29" s="14">
        <f t="shared" si="4"/>
        <v>1.8685698120511587E-2</v>
      </c>
      <c r="E29" s="14">
        <f t="shared" si="5"/>
        <v>1.0091743119266056E-2</v>
      </c>
      <c r="F29" s="15">
        <v>0</v>
      </c>
      <c r="G29" s="2" t="s">
        <v>21</v>
      </c>
    </row>
    <row r="30" spans="1:7" ht="15" customHeight="1" x14ac:dyDescent="0.3">
      <c r="A30" s="7" t="s">
        <v>15</v>
      </c>
      <c r="B30" s="8">
        <v>6568</v>
      </c>
      <c r="C30" s="8">
        <v>50</v>
      </c>
      <c r="D30" s="9">
        <f t="shared" si="4"/>
        <v>3.2596989443697238E-2</v>
      </c>
      <c r="E30" s="9">
        <f t="shared" si="5"/>
        <v>4.5871559633027525E-2</v>
      </c>
      <c r="F30" s="10">
        <v>0</v>
      </c>
      <c r="G30" s="11" t="s">
        <v>21</v>
      </c>
    </row>
    <row r="31" spans="1:7" ht="15" customHeight="1" x14ac:dyDescent="0.3">
      <c r="A31" s="12" t="s">
        <v>16</v>
      </c>
      <c r="B31" s="13">
        <v>4805</v>
      </c>
      <c r="C31" s="13">
        <v>18</v>
      </c>
      <c r="D31" s="14">
        <f t="shared" si="4"/>
        <v>2.3847218982485568E-2</v>
      </c>
      <c r="E31" s="14">
        <f t="shared" si="5"/>
        <v>1.6513761467889909E-2</v>
      </c>
      <c r="F31" s="15">
        <v>0</v>
      </c>
      <c r="G31" s="2" t="s">
        <v>21</v>
      </c>
    </row>
    <row r="32" spans="1:7" ht="15" customHeight="1" x14ac:dyDescent="0.3">
      <c r="A32" s="7" t="s">
        <v>17</v>
      </c>
      <c r="B32" s="8">
        <v>4806</v>
      </c>
      <c r="C32" s="8">
        <v>24</v>
      </c>
      <c r="D32" s="9">
        <f t="shared" si="4"/>
        <v>2.3852181983314392E-2</v>
      </c>
      <c r="E32" s="9">
        <f t="shared" si="5"/>
        <v>2.2018348623853212E-2</v>
      </c>
      <c r="F32" s="10">
        <v>0</v>
      </c>
      <c r="G32" s="11" t="s">
        <v>21</v>
      </c>
    </row>
    <row r="33" spans="1:10" ht="15" customHeight="1" x14ac:dyDescent="0.3">
      <c r="A33" s="12" t="s">
        <v>18</v>
      </c>
      <c r="B33" s="13">
        <v>146740</v>
      </c>
      <c r="C33" s="13">
        <v>906</v>
      </c>
      <c r="D33" s="14">
        <f t="shared" si="4"/>
        <v>0.72827074162121386</v>
      </c>
      <c r="E33" s="14">
        <f t="shared" si="5"/>
        <v>0.83119266055045871</v>
      </c>
      <c r="F33" s="15">
        <v>0</v>
      </c>
      <c r="G33" s="2" t="s">
        <v>21</v>
      </c>
    </row>
    <row r="34" spans="1:10" ht="15" customHeight="1" x14ac:dyDescent="0.3">
      <c r="A34" s="16" t="s">
        <v>19</v>
      </c>
      <c r="B34" s="17">
        <f>SUM(B26:B33)</f>
        <v>201491</v>
      </c>
      <c r="C34" s="17">
        <f>SUM(C26:C33)</f>
        <v>1090</v>
      </c>
      <c r="D34" s="18"/>
      <c r="E34" s="18"/>
      <c r="F34" s="18"/>
      <c r="G34" s="18"/>
    </row>
    <row r="35" spans="1:10" ht="15" customHeight="1" x14ac:dyDescent="0.3">
      <c r="A35" s="50" t="s">
        <v>22</v>
      </c>
      <c r="B35" s="50"/>
      <c r="C35" s="50"/>
      <c r="D35" s="50"/>
      <c r="E35" s="50"/>
      <c r="F35" s="50"/>
    </row>
    <row r="36" spans="1:10" ht="14.25" customHeight="1" x14ac:dyDescent="0.3">
      <c r="A36" s="51" t="s">
        <v>23</v>
      </c>
      <c r="B36" s="51"/>
      <c r="C36" s="51"/>
      <c r="D36" s="51"/>
      <c r="E36" s="51"/>
      <c r="F36" s="51"/>
      <c r="G36" s="51"/>
      <c r="H36" s="51"/>
      <c r="I36" s="51"/>
    </row>
    <row r="37" spans="1:10" ht="14.25" customHeight="1" x14ac:dyDescent="0.3"/>
    <row r="38" spans="1:10" ht="14.25" customHeight="1" x14ac:dyDescent="0.3">
      <c r="A38" s="6" t="s">
        <v>24</v>
      </c>
      <c r="B38" s="6" t="s">
        <v>25</v>
      </c>
      <c r="C38" s="6" t="s">
        <v>3</v>
      </c>
      <c r="D38" s="6" t="s">
        <v>26</v>
      </c>
      <c r="E38" s="6" t="s">
        <v>27</v>
      </c>
      <c r="F38" s="6" t="s">
        <v>28</v>
      </c>
      <c r="G38" s="6" t="s">
        <v>8</v>
      </c>
      <c r="H38" s="6" t="s">
        <v>29</v>
      </c>
      <c r="I38" s="6" t="s">
        <v>30</v>
      </c>
      <c r="J38" s="6" t="s">
        <v>9</v>
      </c>
    </row>
    <row r="39" spans="1:10" ht="14.25" hidden="1" customHeight="1" x14ac:dyDescent="0.3">
      <c r="A39" s="11" t="s">
        <v>31</v>
      </c>
      <c r="B39" s="19" t="str">
        <f>INDEX(SETORES!$B:$B,MATCH(A39,SETORES!$A:$A,0))</f>
        <v>Clientes</v>
      </c>
      <c r="C39" s="11" t="s">
        <v>10</v>
      </c>
      <c r="D39" s="9">
        <f>IF(B39="Clientes",SUMIFS(PARÂMETROS!$D$8:$D$907,PARÂMETROS!$A$8:$A$907,C39,PARÂMETROS!$G$8:$G$907,J39),SUMIFS(PARÂMETROS!$E$8:$E$907,PARÂMETROS!$A$8:$A$907,C39,PARÂMETROS!$G$8:$G$907,J39))</f>
        <v>3.3077914012820578E-2</v>
      </c>
      <c r="E39" s="20">
        <f>SUMIFS(SETORES!$D:$D,SETORES!$A:$A,A39,SETORES!$F:$F,J39)</f>
        <v>69943.8511</v>
      </c>
      <c r="F39" s="20">
        <f t="shared" ref="F39:F102" si="6">IFERROR(D39*E39,0)</f>
        <v>2313.5966924113259</v>
      </c>
      <c r="G39" s="9">
        <f>SUMIFS(PARÂMETROS!$F$8:$F$907,PARÂMETROS!$A$8:$A$907,C39,PARÂMETROS!$G$8:$G$907,J39)</f>
        <v>0</v>
      </c>
      <c r="H39" s="20">
        <f t="shared" ref="H39:H102" si="7">IFERROR(F39*G39,0)</f>
        <v>0</v>
      </c>
      <c r="I39" s="20">
        <f t="shared" ref="I39:I102" si="8">F39+H39</f>
        <v>2313.5966924113259</v>
      </c>
      <c r="J39" s="11" t="s">
        <v>11</v>
      </c>
    </row>
    <row r="40" spans="1:10" ht="14.25" hidden="1" customHeight="1" x14ac:dyDescent="0.3">
      <c r="A40" s="2" t="s">
        <v>31</v>
      </c>
      <c r="B40" s="2" t="str">
        <f>INDEX(SETORES!$B:$B,MATCH(A40,SETORES!$A:$A,0))</f>
        <v>Clientes</v>
      </c>
      <c r="C40" s="2" t="s">
        <v>12</v>
      </c>
      <c r="D40" s="14">
        <f>IF(B40="Clientes",SUMIFS(PARÂMETROS!$D$8:$D$907,PARÂMETROS!$A$8:$A$907,C40,PARÂMETROS!$G$8:$G$907,J40),SUMIFS(PARÂMETROS!$E$8:$E$907,PARÂMETROS!$A$8:$A$907,C40,PARÂMETROS!$G$8:$G$907,J40))</f>
        <v>6.886570212940675E-2</v>
      </c>
      <c r="E40" s="21">
        <f>SUMIFS(SETORES!$D:$D,SETORES!$A:$A,A40,SETORES!$F:$F,J40)</f>
        <v>69943.8511</v>
      </c>
      <c r="F40" s="21">
        <f t="shared" si="6"/>
        <v>4816.7324156361783</v>
      </c>
      <c r="G40" s="14">
        <f>SUMIFS(PARÂMETROS!$F$8:$F$907,PARÂMETROS!$A$8:$A$907,C40,PARÂMETROS!$G$8:$G$907,J40)</f>
        <v>0</v>
      </c>
      <c r="H40" s="21">
        <f t="shared" si="7"/>
        <v>0</v>
      </c>
      <c r="I40" s="21">
        <f t="shared" si="8"/>
        <v>4816.7324156361783</v>
      </c>
      <c r="J40" s="2" t="s">
        <v>11</v>
      </c>
    </row>
    <row r="41" spans="1:10" ht="14.25" hidden="1" customHeight="1" x14ac:dyDescent="0.3">
      <c r="A41" s="11" t="s">
        <v>31</v>
      </c>
      <c r="B41" s="19" t="str">
        <f>INDEX(SETORES!$B:$B,MATCH(A41,SETORES!$A:$A,0))</f>
        <v>Clientes</v>
      </c>
      <c r="C41" s="11" t="s">
        <v>13</v>
      </c>
      <c r="D41" s="9">
        <f>IF(B41="Clientes",SUMIFS(PARÂMETROS!$D$8:$D$907,PARÂMETROS!$A$8:$A$907,C41,PARÂMETROS!$G$8:$G$907,J41),SUMIFS(PARÂMETROS!$E$8:$E$907,PARÂMETROS!$A$8:$A$907,C41,PARÂMETROS!$G$8:$G$907,J41))</f>
        <v>7.4116083205452599E-2</v>
      </c>
      <c r="E41" s="20">
        <f>SUMIFS(SETORES!$D:$D,SETORES!$A:$A,A41,SETORES!$F:$F,J41)</f>
        <v>69943.8511</v>
      </c>
      <c r="F41" s="20">
        <f t="shared" si="6"/>
        <v>5183.964287837387</v>
      </c>
      <c r="G41" s="9">
        <f>SUMIFS(PARÂMETROS!$F$8:$F$907,PARÂMETROS!$A$8:$A$907,C41,PARÂMETROS!$G$8:$G$907,J41)</f>
        <v>0</v>
      </c>
      <c r="H41" s="20">
        <f t="shared" si="7"/>
        <v>0</v>
      </c>
      <c r="I41" s="20">
        <f t="shared" si="8"/>
        <v>5183.964287837387</v>
      </c>
      <c r="J41" s="11" t="s">
        <v>11</v>
      </c>
    </row>
    <row r="42" spans="1:10" ht="14.25" customHeight="1" x14ac:dyDescent="0.3">
      <c r="A42" s="2" t="s">
        <v>31</v>
      </c>
      <c r="B42" s="2" t="str">
        <f>INDEX(SETORES!$B:$B,MATCH(A42,SETORES!$A:$A,0))</f>
        <v>Clientes</v>
      </c>
      <c r="C42" s="2" t="s">
        <v>14</v>
      </c>
      <c r="D42" s="14">
        <f>IF(B42="Clientes",SUMIFS(PARÂMETROS!$D$8:$D$907,PARÂMETROS!$A$8:$A$907,C42,PARÂMETROS!$G$8:$G$907,J42),SUMIFS(PARÂMETROS!$E$8:$E$907,PARÂMETROS!$A$8:$A$907,C42,PARÂMETROS!$G$8:$G$907,J42))</f>
        <v>1.9010177424901076E-2</v>
      </c>
      <c r="E42" s="21">
        <f>SUMIFS(SETORES!$D:$D,SETORES!$A:$A,A42,SETORES!$F:$F,J42)</f>
        <v>69943.8511</v>
      </c>
      <c r="F42" s="21">
        <f t="shared" si="6"/>
        <v>1329.6450191918623</v>
      </c>
      <c r="G42" s="14">
        <f>SUMIFS(PARÂMETROS!$F$8:$F$907,PARÂMETROS!$A$8:$A$907,C42,PARÂMETROS!$G$8:$G$907,J42)</f>
        <v>0</v>
      </c>
      <c r="H42" s="21">
        <f t="shared" si="7"/>
        <v>0</v>
      </c>
      <c r="I42" s="21">
        <f t="shared" si="8"/>
        <v>1329.6450191918623</v>
      </c>
      <c r="J42" s="2" t="s">
        <v>11</v>
      </c>
    </row>
    <row r="43" spans="1:10" ht="14.25" hidden="1" customHeight="1" x14ac:dyDescent="0.3">
      <c r="A43" s="11" t="s">
        <v>31</v>
      </c>
      <c r="B43" s="19" t="str">
        <f>INDEX(SETORES!$B:$B,MATCH(A43,SETORES!$A:$A,0))</f>
        <v>Clientes</v>
      </c>
      <c r="C43" s="11" t="s">
        <v>15</v>
      </c>
      <c r="D43" s="9">
        <f>IF(B43="Clientes",SUMIFS(PARÂMETROS!$D$8:$D$907,PARÂMETROS!$A$8:$A$907,C43,PARÂMETROS!$G$8:$G$907,J43),SUMIFS(PARÂMETROS!$E$8:$E$907,PARÂMETROS!$A$8:$A$907,C43,PARÂMETROS!$G$8:$G$907,J43))</f>
        <v>3.302145830232546E-2</v>
      </c>
      <c r="E43" s="20">
        <f>SUMIFS(SETORES!$D:$D,SETORES!$A:$A,A43,SETORES!$F:$F,J43)</f>
        <v>69943.8511</v>
      </c>
      <c r="F43" s="20">
        <f t="shared" si="6"/>
        <v>2309.6479626027108</v>
      </c>
      <c r="G43" s="9">
        <f>SUMIFS(PARÂMETROS!$F$8:$F$907,PARÂMETROS!$A$8:$A$907,C43,PARÂMETROS!$G$8:$G$907,J43)</f>
        <v>0</v>
      </c>
      <c r="H43" s="20">
        <f t="shared" si="7"/>
        <v>0</v>
      </c>
      <c r="I43" s="20">
        <f t="shared" si="8"/>
        <v>2309.6479626027108</v>
      </c>
      <c r="J43" s="11" t="s">
        <v>11</v>
      </c>
    </row>
    <row r="44" spans="1:10" ht="14.25" hidden="1" customHeight="1" x14ac:dyDescent="0.3">
      <c r="A44" s="2" t="s">
        <v>31</v>
      </c>
      <c r="B44" s="2" t="str">
        <f>INDEX(SETORES!$B:$B,MATCH(A44,SETORES!$A:$A,0))</f>
        <v>Clientes</v>
      </c>
      <c r="C44" s="2" t="s">
        <v>16</v>
      </c>
      <c r="D44" s="14">
        <f>IF(B44="Clientes",SUMIFS(PARÂMETROS!$D$8:$D$907,PARÂMETROS!$A$8:$A$907,C44,PARÂMETROS!$G$8:$G$907,J44),SUMIFS(PARÂMETROS!$E$8:$E$907,PARÂMETROS!$A$8:$A$907,C44,PARÂMETROS!$G$8:$G$907,J44))</f>
        <v>2.437346992193715E-2</v>
      </c>
      <c r="E44" s="21">
        <f>SUMIFS(SETORES!$D:$D,SETORES!$A:$A,A44,SETORES!$F:$F,J44)</f>
        <v>69943.8511</v>
      </c>
      <c r="F44" s="21">
        <f t="shared" si="6"/>
        <v>1704.7743510103007</v>
      </c>
      <c r="G44" s="14">
        <f>SUMIFS(PARÂMETROS!$F$8:$F$907,PARÂMETROS!$A$8:$A$907,C44,PARÂMETROS!$G$8:$G$907,J44)</f>
        <v>0</v>
      </c>
      <c r="H44" s="21">
        <f t="shared" si="7"/>
        <v>0</v>
      </c>
      <c r="I44" s="21">
        <f t="shared" si="8"/>
        <v>1704.7743510103007</v>
      </c>
      <c r="J44" s="2" t="s">
        <v>11</v>
      </c>
    </row>
    <row r="45" spans="1:10" ht="14.25" hidden="1" customHeight="1" x14ac:dyDescent="0.3">
      <c r="A45" s="11" t="s">
        <v>31</v>
      </c>
      <c r="B45" s="19" t="str">
        <f>INDEX(SETORES!$B:$B,MATCH(A45,SETORES!$A:$A,0))</f>
        <v>Clientes</v>
      </c>
      <c r="C45" s="11" t="s">
        <v>17</v>
      </c>
      <c r="D45" s="9">
        <f>IF(B45="Clientes",SUMIFS(PARÂMETROS!$D$8:$D$907,PARÂMETROS!$A$8:$A$907,C45,PARÂMETROS!$G$8:$G$907,J45),SUMIFS(PARÂMETROS!$E$8:$E$907,PARÂMETROS!$A$8:$A$907,C45,PARÂMETROS!$G$8:$G$907,J45))</f>
        <v>2.460955743855309E-2</v>
      </c>
      <c r="E45" s="20">
        <f>SUMIFS(SETORES!$D:$D,SETORES!$A:$A,A45,SETORES!$F:$F,J45)</f>
        <v>69943.8511</v>
      </c>
      <c r="F45" s="20">
        <f t="shared" si="6"/>
        <v>1721.2872211190547</v>
      </c>
      <c r="G45" s="9">
        <f>SUMIFS(PARÂMETROS!$F$8:$F$907,PARÂMETROS!$A$8:$A$907,C45,PARÂMETROS!$G$8:$G$907,J45)</f>
        <v>0</v>
      </c>
      <c r="H45" s="20">
        <f t="shared" si="7"/>
        <v>0</v>
      </c>
      <c r="I45" s="20">
        <f t="shared" si="8"/>
        <v>1721.2872211190547</v>
      </c>
      <c r="J45" s="11" t="s">
        <v>11</v>
      </c>
    </row>
    <row r="46" spans="1:10" ht="14.25" hidden="1" customHeight="1" x14ac:dyDescent="0.3">
      <c r="A46" s="2" t="s">
        <v>31</v>
      </c>
      <c r="B46" s="2" t="str">
        <f>INDEX(SETORES!$B:$B,MATCH(A46,SETORES!$A:$A,0))</f>
        <v>Clientes</v>
      </c>
      <c r="C46" s="2" t="s">
        <v>18</v>
      </c>
      <c r="D46" s="14">
        <f>IF(B46="Clientes",SUMIFS(PARÂMETROS!$D$8:$D$907,PARÂMETROS!$A$8:$A$907,C46,PARÂMETROS!$G$8:$G$907,J46),SUMIFS(PARÂMETROS!$E$8:$E$907,PARÂMETROS!$A$8:$A$907,C46,PARÂMETROS!$G$8:$G$907,J46))</f>
        <v>0.72292563756460326</v>
      </c>
      <c r="E46" s="21">
        <f>SUMIFS(SETORES!$D:$D,SETORES!$A:$A,A46,SETORES!$F:$F,J46)</f>
        <v>69943.8511</v>
      </c>
      <c r="F46" s="21">
        <f t="shared" si="6"/>
        <v>50564.203150191177</v>
      </c>
      <c r="G46" s="14">
        <f>SUMIFS(PARÂMETROS!$F$8:$F$907,PARÂMETROS!$A$8:$A$907,C46,PARÂMETROS!$G$8:$G$907,J46)</f>
        <v>0</v>
      </c>
      <c r="H46" s="21">
        <f t="shared" si="7"/>
        <v>0</v>
      </c>
      <c r="I46" s="21">
        <f t="shared" si="8"/>
        <v>50564.203150191177</v>
      </c>
      <c r="J46" s="2" t="s">
        <v>11</v>
      </c>
    </row>
    <row r="47" spans="1:10" ht="14.25" hidden="1" customHeight="1" x14ac:dyDescent="0.3">
      <c r="A47" s="11" t="s">
        <v>32</v>
      </c>
      <c r="B47" s="19" t="str">
        <f>INDEX(SETORES!$B:$B,MATCH(A47,SETORES!$A:$A,0))</f>
        <v>Funcionários</v>
      </c>
      <c r="C47" s="11" t="s">
        <v>10</v>
      </c>
      <c r="D47" s="9">
        <f>IF(B47="Clientes",SUMIFS(PARÂMETROS!$D$8:$D$907,PARÂMETROS!$A$8:$A$907,C47,PARÂMETROS!$G$8:$G$907,J47),SUMIFS(PARÂMETROS!$E$8:$E$907,PARÂMETROS!$A$8:$A$907,C47,PARÂMETROS!$G$8:$G$907,J47))</f>
        <v>3.2411820781696854E-2</v>
      </c>
      <c r="E47" s="20">
        <f>SUMIFS(SETORES!$D:$D,SETORES!$A:$A,A47,SETORES!$F:$F,J47)</f>
        <v>36047.874356000008</v>
      </c>
      <c r="F47" s="20">
        <f t="shared" si="6"/>
        <v>1168.3772431877981</v>
      </c>
      <c r="G47" s="9">
        <f>SUMIFS(PARÂMETROS!$F$8:$F$907,PARÂMETROS!$A$8:$A$907,C47,PARÂMETROS!$G$8:$G$907,J47)</f>
        <v>0</v>
      </c>
      <c r="H47" s="20">
        <f t="shared" si="7"/>
        <v>0</v>
      </c>
      <c r="I47" s="20">
        <f t="shared" si="8"/>
        <v>1168.3772431877981</v>
      </c>
      <c r="J47" s="11" t="s">
        <v>11</v>
      </c>
    </row>
    <row r="48" spans="1:10" ht="14.25" hidden="1" customHeight="1" x14ac:dyDescent="0.3">
      <c r="A48" s="2" t="s">
        <v>32</v>
      </c>
      <c r="B48" s="2" t="str">
        <f>INDEX(SETORES!$B:$B,MATCH(A48,SETORES!$A:$A,0))</f>
        <v>Funcionários</v>
      </c>
      <c r="C48" s="2" t="s">
        <v>12</v>
      </c>
      <c r="D48" s="14">
        <f>IF(B48="Clientes",SUMIFS(PARÂMETROS!$D$8:$D$907,PARÂMETROS!$A$8:$A$907,C48,PARÂMETROS!$G$8:$G$907,J48),SUMIFS(PARÂMETROS!$E$8:$E$907,PARÂMETROS!$A$8:$A$907,C48,PARÂMETROS!$G$8:$G$907,J48))</f>
        <v>3.0505243088655862E-2</v>
      </c>
      <c r="E48" s="21">
        <f>SUMIFS(SETORES!$D:$D,SETORES!$A:$A,A48,SETORES!$F:$F,J48)</f>
        <v>36047.874356000008</v>
      </c>
      <c r="F48" s="21">
        <f t="shared" si="6"/>
        <v>1099.6491700591041</v>
      </c>
      <c r="G48" s="14">
        <f>SUMIFS(PARÂMETROS!$F$8:$F$907,PARÂMETROS!$A$8:$A$907,C48,PARÂMETROS!$G$8:$G$907,J48)</f>
        <v>0</v>
      </c>
      <c r="H48" s="21">
        <f t="shared" si="7"/>
        <v>0</v>
      </c>
      <c r="I48" s="21">
        <f t="shared" si="8"/>
        <v>1099.6491700591041</v>
      </c>
      <c r="J48" s="2" t="s">
        <v>11</v>
      </c>
    </row>
    <row r="49" spans="1:10" ht="14.25" hidden="1" customHeight="1" x14ac:dyDescent="0.3">
      <c r="A49" s="11" t="s">
        <v>32</v>
      </c>
      <c r="B49" s="19" t="str">
        <f>INDEX(SETORES!$B:$B,MATCH(A49,SETORES!$A:$A,0))</f>
        <v>Funcionários</v>
      </c>
      <c r="C49" s="11" t="s">
        <v>13</v>
      </c>
      <c r="D49" s="9">
        <f>IF(B49="Clientes",SUMIFS(PARÂMETROS!$D$8:$D$907,PARÂMETROS!$A$8:$A$907,C49,PARÂMETROS!$G$8:$G$907,J49),SUMIFS(PARÂMETROS!$E$8:$E$907,PARÂMETROS!$A$8:$A$907,C49,PARÂMETROS!$G$8:$G$907,J49))</f>
        <v>4.0038131553860823E-2</v>
      </c>
      <c r="E49" s="20">
        <f>SUMIFS(SETORES!$D:$D,SETORES!$A:$A,A49,SETORES!$F:$F,J49)</f>
        <v>36047.874356000008</v>
      </c>
      <c r="F49" s="20">
        <f t="shared" si="6"/>
        <v>1443.2895357025743</v>
      </c>
      <c r="G49" s="9">
        <f>SUMIFS(PARÂMETROS!$F$8:$F$907,PARÂMETROS!$A$8:$A$907,C49,PARÂMETROS!$G$8:$G$907,J49)</f>
        <v>0</v>
      </c>
      <c r="H49" s="20">
        <f t="shared" si="7"/>
        <v>0</v>
      </c>
      <c r="I49" s="20">
        <f t="shared" si="8"/>
        <v>1443.2895357025743</v>
      </c>
      <c r="J49" s="11" t="s">
        <v>11</v>
      </c>
    </row>
    <row r="50" spans="1:10" ht="14.25" customHeight="1" x14ac:dyDescent="0.3">
      <c r="A50" s="2" t="s">
        <v>32</v>
      </c>
      <c r="B50" s="2" t="str">
        <f>INDEX(SETORES!$B:$B,MATCH(A50,SETORES!$A:$A,0))</f>
        <v>Funcionários</v>
      </c>
      <c r="C50" s="2" t="s">
        <v>14</v>
      </c>
      <c r="D50" s="14">
        <f>IF(B50="Clientes",SUMIFS(PARÂMETROS!$D$8:$D$907,PARÂMETROS!$A$8:$A$907,C50,PARÂMETROS!$G$8:$G$907,J50),SUMIFS(PARÂMETROS!$E$8:$E$907,PARÂMETROS!$A$8:$A$907,C50,PARÂMETROS!$G$8:$G$907,J50))</f>
        <v>1.0486177311725452E-2</v>
      </c>
      <c r="E50" s="21">
        <f>SUMIFS(SETORES!$D:$D,SETORES!$A:$A,A50,SETORES!$F:$F,J50)</f>
        <v>36047.874356000008</v>
      </c>
      <c r="F50" s="21">
        <f t="shared" si="6"/>
        <v>378.00440220781701</v>
      </c>
      <c r="G50" s="14">
        <f>SUMIFS(PARÂMETROS!$F$8:$F$907,PARÂMETROS!$A$8:$A$907,C50,PARÂMETROS!$G$8:$G$907,J50)</f>
        <v>0</v>
      </c>
      <c r="H50" s="21">
        <f t="shared" si="7"/>
        <v>0</v>
      </c>
      <c r="I50" s="21">
        <f t="shared" si="8"/>
        <v>378.00440220781701</v>
      </c>
      <c r="J50" s="2" t="s">
        <v>11</v>
      </c>
    </row>
    <row r="51" spans="1:10" ht="14.25" hidden="1" customHeight="1" x14ac:dyDescent="0.3">
      <c r="A51" s="11" t="s">
        <v>32</v>
      </c>
      <c r="B51" s="19" t="str">
        <f>INDEX(SETORES!$B:$B,MATCH(A51,SETORES!$A:$A,0))</f>
        <v>Funcionários</v>
      </c>
      <c r="C51" s="11" t="s">
        <v>15</v>
      </c>
      <c r="D51" s="9">
        <f>IF(B51="Clientes",SUMIFS(PARÂMETROS!$D$8:$D$907,PARÂMETROS!$A$8:$A$907,C51,PARÂMETROS!$G$8:$G$907,J51),SUMIFS(PARÂMETROS!$E$8:$E$907,PARÂMETROS!$A$8:$A$907,C51,PARÂMETROS!$G$8:$G$907,J51))</f>
        <v>4.0038131553860823E-2</v>
      </c>
      <c r="E51" s="20">
        <f>SUMIFS(SETORES!$D:$D,SETORES!$A:$A,A51,SETORES!$F:$F,J51)</f>
        <v>36047.874356000008</v>
      </c>
      <c r="F51" s="20">
        <f t="shared" si="6"/>
        <v>1443.2895357025743</v>
      </c>
      <c r="G51" s="9">
        <f>SUMIFS(PARÂMETROS!$F$8:$F$907,PARÂMETROS!$A$8:$A$907,C51,PARÂMETROS!$G$8:$G$907,J51)</f>
        <v>0</v>
      </c>
      <c r="H51" s="20">
        <f t="shared" si="7"/>
        <v>0</v>
      </c>
      <c r="I51" s="20">
        <f t="shared" si="8"/>
        <v>1443.2895357025743</v>
      </c>
      <c r="J51" s="11" t="s">
        <v>11</v>
      </c>
    </row>
    <row r="52" spans="1:10" ht="14.25" hidden="1" customHeight="1" x14ac:dyDescent="0.3">
      <c r="A52" s="2" t="s">
        <v>32</v>
      </c>
      <c r="B52" s="2" t="str">
        <f>INDEX(SETORES!$B:$B,MATCH(A52,SETORES!$A:$A,0))</f>
        <v>Funcionários</v>
      </c>
      <c r="C52" s="2" t="s">
        <v>16</v>
      </c>
      <c r="D52" s="14">
        <f>IF(B52="Clientes",SUMIFS(PARÂMETROS!$D$8:$D$907,PARÂMETROS!$A$8:$A$907,C52,PARÂMETROS!$G$8:$G$907,J52),SUMIFS(PARÂMETROS!$E$8:$E$907,PARÂMETROS!$A$8:$A$907,C52,PARÂMETROS!$G$8:$G$907,J52))</f>
        <v>1.7159199237368923E-2</v>
      </c>
      <c r="E52" s="21">
        <f>SUMIFS(SETORES!$D:$D,SETORES!$A:$A,A52,SETORES!$F:$F,J52)</f>
        <v>36047.874356000008</v>
      </c>
      <c r="F52" s="21">
        <f t="shared" si="6"/>
        <v>618.55265815824612</v>
      </c>
      <c r="G52" s="14">
        <f>SUMIFS(PARÂMETROS!$F$8:$F$907,PARÂMETROS!$A$8:$A$907,C52,PARÂMETROS!$G$8:$G$907,J52)</f>
        <v>0</v>
      </c>
      <c r="H52" s="21">
        <f t="shared" si="7"/>
        <v>0</v>
      </c>
      <c r="I52" s="21">
        <f t="shared" si="8"/>
        <v>618.55265815824612</v>
      </c>
      <c r="J52" s="2" t="s">
        <v>11</v>
      </c>
    </row>
    <row r="53" spans="1:10" ht="14.25" hidden="1" customHeight="1" x14ac:dyDescent="0.3">
      <c r="A53" s="11" t="s">
        <v>32</v>
      </c>
      <c r="B53" s="19" t="str">
        <f>INDEX(SETORES!$B:$B,MATCH(A53,SETORES!$A:$A,0))</f>
        <v>Funcionários</v>
      </c>
      <c r="C53" s="11" t="s">
        <v>17</v>
      </c>
      <c r="D53" s="9">
        <f>IF(B53="Clientes",SUMIFS(PARÂMETROS!$D$8:$D$907,PARÂMETROS!$A$8:$A$907,C53,PARÂMETROS!$G$8:$G$907,J53),SUMIFS(PARÂMETROS!$E$8:$E$907,PARÂMETROS!$A$8:$A$907,C53,PARÂMETROS!$G$8:$G$907,J53))</f>
        <v>1.6205910390848427E-2</v>
      </c>
      <c r="E53" s="20">
        <f>SUMIFS(SETORES!$D:$D,SETORES!$A:$A,A53,SETORES!$F:$F,J53)</f>
        <v>36047.874356000008</v>
      </c>
      <c r="F53" s="20">
        <f t="shared" si="6"/>
        <v>584.18862159389903</v>
      </c>
      <c r="G53" s="9">
        <f>SUMIFS(PARÂMETROS!$F$8:$F$907,PARÂMETROS!$A$8:$A$907,C53,PARÂMETROS!$G$8:$G$907,J53)</f>
        <v>0</v>
      </c>
      <c r="H53" s="20">
        <f t="shared" si="7"/>
        <v>0</v>
      </c>
      <c r="I53" s="20">
        <f t="shared" si="8"/>
        <v>584.18862159389903</v>
      </c>
      <c r="J53" s="11" t="s">
        <v>11</v>
      </c>
    </row>
    <row r="54" spans="1:10" ht="14.25" hidden="1" customHeight="1" x14ac:dyDescent="0.3">
      <c r="A54" s="2" t="s">
        <v>32</v>
      </c>
      <c r="B54" s="2" t="str">
        <f>INDEX(SETORES!$B:$B,MATCH(A54,SETORES!$A:$A,0))</f>
        <v>Funcionários</v>
      </c>
      <c r="C54" s="2" t="s">
        <v>18</v>
      </c>
      <c r="D54" s="14">
        <f>IF(B54="Clientes",SUMIFS(PARÂMETROS!$D$8:$D$907,PARÂMETROS!$A$8:$A$907,C54,PARÂMETROS!$G$8:$G$907,J54),SUMIFS(PARÂMETROS!$E$8:$E$907,PARÂMETROS!$A$8:$A$907,C54,PARÂMETROS!$G$8:$G$907,J54))</f>
        <v>0.81315538608198279</v>
      </c>
      <c r="E54" s="21">
        <f>SUMIFS(SETORES!$D:$D,SETORES!$A:$A,A54,SETORES!$F:$F,J54)</f>
        <v>36047.874356000008</v>
      </c>
      <c r="F54" s="21">
        <f t="shared" si="6"/>
        <v>29312.523189387994</v>
      </c>
      <c r="G54" s="14">
        <f>SUMIFS(PARÂMETROS!$F$8:$F$907,PARÂMETROS!$A$8:$A$907,C54,PARÂMETROS!$G$8:$G$907,J54)</f>
        <v>0</v>
      </c>
      <c r="H54" s="21">
        <f t="shared" si="7"/>
        <v>0</v>
      </c>
      <c r="I54" s="21">
        <f t="shared" si="8"/>
        <v>29312.523189387994</v>
      </c>
      <c r="J54" s="2" t="s">
        <v>11</v>
      </c>
    </row>
    <row r="55" spans="1:10" ht="14.25" hidden="1" customHeight="1" x14ac:dyDescent="0.3">
      <c r="A55" s="11" t="s">
        <v>33</v>
      </c>
      <c r="B55" s="19" t="str">
        <f>INDEX(SETORES!$B:$B,MATCH(A55,SETORES!$A:$A,0))</f>
        <v>Funcionários</v>
      </c>
      <c r="C55" s="11" t="s">
        <v>10</v>
      </c>
      <c r="D55" s="9">
        <f>IF(B55="Clientes",SUMIFS(PARÂMETROS!$D$8:$D$907,PARÂMETROS!$A$8:$A$907,C55,PARÂMETROS!$G$8:$G$907,J55),SUMIFS(PARÂMETROS!$E$8:$E$907,PARÂMETROS!$A$8:$A$907,C55,PARÂMETROS!$G$8:$G$907,J55))</f>
        <v>3.2411820781696854E-2</v>
      </c>
      <c r="E55" s="20">
        <f>SUMIFS(SETORES!$D:$D,SETORES!$A:$A,A55,SETORES!$F:$F,J55)</f>
        <v>54615.875500000009</v>
      </c>
      <c r="F55" s="20">
        <f t="shared" si="6"/>
        <v>1770.1999685414683</v>
      </c>
      <c r="G55" s="9">
        <f>SUMIFS(PARÂMETROS!$F$8:$F$907,PARÂMETROS!$A$8:$A$907,C55,PARÂMETROS!$G$8:$G$907,J55)</f>
        <v>0</v>
      </c>
      <c r="H55" s="20">
        <f t="shared" si="7"/>
        <v>0</v>
      </c>
      <c r="I55" s="20">
        <f t="shared" si="8"/>
        <v>1770.1999685414683</v>
      </c>
      <c r="J55" s="11" t="s">
        <v>11</v>
      </c>
    </row>
    <row r="56" spans="1:10" ht="14.25" hidden="1" customHeight="1" x14ac:dyDescent="0.3">
      <c r="A56" s="2" t="s">
        <v>33</v>
      </c>
      <c r="B56" s="2" t="str">
        <f>INDEX(SETORES!$B:$B,MATCH(A56,SETORES!$A:$A,0))</f>
        <v>Funcionários</v>
      </c>
      <c r="C56" s="2" t="s">
        <v>12</v>
      </c>
      <c r="D56" s="14">
        <f>IF(B56="Clientes",SUMIFS(PARÂMETROS!$D$8:$D$907,PARÂMETROS!$A$8:$A$907,C56,PARÂMETROS!$G$8:$G$907,J56),SUMIFS(PARÂMETROS!$E$8:$E$907,PARÂMETROS!$A$8:$A$907,C56,PARÂMETROS!$G$8:$G$907,J56))</f>
        <v>3.0505243088655862E-2</v>
      </c>
      <c r="E56" s="21">
        <f>SUMIFS(SETORES!$D:$D,SETORES!$A:$A,A56,SETORES!$F:$F,J56)</f>
        <v>54615.875500000009</v>
      </c>
      <c r="F56" s="21">
        <f t="shared" si="6"/>
        <v>1666.0705586272643</v>
      </c>
      <c r="G56" s="14">
        <f>SUMIFS(PARÂMETROS!$F$8:$F$907,PARÂMETROS!$A$8:$A$907,C56,PARÂMETROS!$G$8:$G$907,J56)</f>
        <v>0</v>
      </c>
      <c r="H56" s="21">
        <f t="shared" si="7"/>
        <v>0</v>
      </c>
      <c r="I56" s="21">
        <f t="shared" si="8"/>
        <v>1666.0705586272643</v>
      </c>
      <c r="J56" s="2" t="s">
        <v>11</v>
      </c>
    </row>
    <row r="57" spans="1:10" ht="14.25" hidden="1" customHeight="1" x14ac:dyDescent="0.3">
      <c r="A57" s="11" t="s">
        <v>33</v>
      </c>
      <c r="B57" s="19" t="str">
        <f>INDEX(SETORES!$B:$B,MATCH(A57,SETORES!$A:$A,0))</f>
        <v>Funcionários</v>
      </c>
      <c r="C57" s="11" t="s">
        <v>13</v>
      </c>
      <c r="D57" s="9">
        <f>IF(B57="Clientes",SUMIFS(PARÂMETROS!$D$8:$D$907,PARÂMETROS!$A$8:$A$907,C57,PARÂMETROS!$G$8:$G$907,J57),SUMIFS(PARÂMETROS!$E$8:$E$907,PARÂMETROS!$A$8:$A$907,C57,PARÂMETROS!$G$8:$G$907,J57))</f>
        <v>4.0038131553860823E-2</v>
      </c>
      <c r="E57" s="20">
        <f>SUMIFS(SETORES!$D:$D,SETORES!$A:$A,A57,SETORES!$F:$F,J57)</f>
        <v>54615.875500000009</v>
      </c>
      <c r="F57" s="20">
        <f t="shared" si="6"/>
        <v>2186.7176081982848</v>
      </c>
      <c r="G57" s="9">
        <f>SUMIFS(PARÂMETROS!$F$8:$F$907,PARÂMETROS!$A$8:$A$907,C57,PARÂMETROS!$G$8:$G$907,J57)</f>
        <v>0</v>
      </c>
      <c r="H57" s="20">
        <f t="shared" si="7"/>
        <v>0</v>
      </c>
      <c r="I57" s="20">
        <f t="shared" si="8"/>
        <v>2186.7176081982848</v>
      </c>
      <c r="J57" s="11" t="s">
        <v>11</v>
      </c>
    </row>
    <row r="58" spans="1:10" ht="14.25" customHeight="1" x14ac:dyDescent="0.3">
      <c r="A58" s="2" t="s">
        <v>33</v>
      </c>
      <c r="B58" s="2" t="str">
        <f>INDEX(SETORES!$B:$B,MATCH(A58,SETORES!$A:$A,0))</f>
        <v>Funcionários</v>
      </c>
      <c r="C58" s="2" t="s">
        <v>14</v>
      </c>
      <c r="D58" s="14">
        <f>IF(B58="Clientes",SUMIFS(PARÂMETROS!$D$8:$D$907,PARÂMETROS!$A$8:$A$907,C58,PARÂMETROS!$G$8:$G$907,J58),SUMIFS(PARÂMETROS!$E$8:$E$907,PARÂMETROS!$A$8:$A$907,C58,PARÂMETROS!$G$8:$G$907,J58))</f>
        <v>1.0486177311725452E-2</v>
      </c>
      <c r="E58" s="21">
        <f>SUMIFS(SETORES!$D:$D,SETORES!$A:$A,A58,SETORES!$F:$F,J58)</f>
        <v>54615.875500000009</v>
      </c>
      <c r="F58" s="21">
        <f t="shared" si="6"/>
        <v>572.71175452812213</v>
      </c>
      <c r="G58" s="14">
        <f>SUMIFS(PARÂMETROS!$F$8:$F$907,PARÂMETROS!$A$8:$A$907,C58,PARÂMETROS!$G$8:$G$907,J58)</f>
        <v>0</v>
      </c>
      <c r="H58" s="21">
        <f t="shared" si="7"/>
        <v>0</v>
      </c>
      <c r="I58" s="21">
        <f t="shared" si="8"/>
        <v>572.71175452812213</v>
      </c>
      <c r="J58" s="2" t="s">
        <v>11</v>
      </c>
    </row>
    <row r="59" spans="1:10" ht="14.25" hidden="1" customHeight="1" x14ac:dyDescent="0.3">
      <c r="A59" s="11" t="s">
        <v>33</v>
      </c>
      <c r="B59" s="19" t="str">
        <f>INDEX(SETORES!$B:$B,MATCH(A59,SETORES!$A:$A,0))</f>
        <v>Funcionários</v>
      </c>
      <c r="C59" s="11" t="s">
        <v>15</v>
      </c>
      <c r="D59" s="9">
        <f>IF(B59="Clientes",SUMIFS(PARÂMETROS!$D$8:$D$907,PARÂMETROS!$A$8:$A$907,C59,PARÂMETROS!$G$8:$G$907,J59),SUMIFS(PARÂMETROS!$E$8:$E$907,PARÂMETROS!$A$8:$A$907,C59,PARÂMETROS!$G$8:$G$907,J59))</f>
        <v>4.0038131553860823E-2</v>
      </c>
      <c r="E59" s="20">
        <f>SUMIFS(SETORES!$D:$D,SETORES!$A:$A,A59,SETORES!$F:$F,J59)</f>
        <v>54615.875500000009</v>
      </c>
      <c r="F59" s="20">
        <f t="shared" si="6"/>
        <v>2186.7176081982848</v>
      </c>
      <c r="G59" s="9">
        <f>SUMIFS(PARÂMETROS!$F$8:$F$907,PARÂMETROS!$A$8:$A$907,C59,PARÂMETROS!$G$8:$G$907,J59)</f>
        <v>0</v>
      </c>
      <c r="H59" s="20">
        <f t="shared" si="7"/>
        <v>0</v>
      </c>
      <c r="I59" s="20">
        <f t="shared" si="8"/>
        <v>2186.7176081982848</v>
      </c>
      <c r="J59" s="11" t="s">
        <v>11</v>
      </c>
    </row>
    <row r="60" spans="1:10" ht="14.25" hidden="1" customHeight="1" x14ac:dyDescent="0.3">
      <c r="A60" s="2" t="s">
        <v>33</v>
      </c>
      <c r="B60" s="2" t="str">
        <f>INDEX(SETORES!$B:$B,MATCH(A60,SETORES!$A:$A,0))</f>
        <v>Funcionários</v>
      </c>
      <c r="C60" s="2" t="s">
        <v>16</v>
      </c>
      <c r="D60" s="14">
        <f>IF(B60="Clientes",SUMIFS(PARÂMETROS!$D$8:$D$907,PARÂMETROS!$A$8:$A$907,C60,PARÂMETROS!$G$8:$G$907,J60),SUMIFS(PARÂMETROS!$E$8:$E$907,PARÂMETROS!$A$8:$A$907,C60,PARÂMETROS!$G$8:$G$907,J60))</f>
        <v>1.7159199237368923E-2</v>
      </c>
      <c r="E60" s="21">
        <f>SUMIFS(SETORES!$D:$D,SETORES!$A:$A,A60,SETORES!$F:$F,J60)</f>
        <v>54615.875500000009</v>
      </c>
      <c r="F60" s="21">
        <f t="shared" si="6"/>
        <v>937.16468922783622</v>
      </c>
      <c r="G60" s="14">
        <f>SUMIFS(PARÂMETROS!$F$8:$F$907,PARÂMETROS!$A$8:$A$907,C60,PARÂMETROS!$G$8:$G$907,J60)</f>
        <v>0</v>
      </c>
      <c r="H60" s="21">
        <f t="shared" si="7"/>
        <v>0</v>
      </c>
      <c r="I60" s="21">
        <f t="shared" si="8"/>
        <v>937.16468922783622</v>
      </c>
      <c r="J60" s="2" t="s">
        <v>11</v>
      </c>
    </row>
    <row r="61" spans="1:10" ht="14.25" hidden="1" customHeight="1" x14ac:dyDescent="0.3">
      <c r="A61" s="11" t="s">
        <v>33</v>
      </c>
      <c r="B61" s="19" t="str">
        <f>INDEX(SETORES!$B:$B,MATCH(A61,SETORES!$A:$A,0))</f>
        <v>Funcionários</v>
      </c>
      <c r="C61" s="11" t="s">
        <v>17</v>
      </c>
      <c r="D61" s="9">
        <f>IF(B61="Clientes",SUMIFS(PARÂMETROS!$D$8:$D$907,PARÂMETROS!$A$8:$A$907,C61,PARÂMETROS!$G$8:$G$907,J61),SUMIFS(PARÂMETROS!$E$8:$E$907,PARÂMETROS!$A$8:$A$907,C61,PARÂMETROS!$G$8:$G$907,J61))</f>
        <v>1.6205910390848427E-2</v>
      </c>
      <c r="E61" s="20">
        <f>SUMIFS(SETORES!$D:$D,SETORES!$A:$A,A61,SETORES!$F:$F,J61)</f>
        <v>54615.875500000009</v>
      </c>
      <c r="F61" s="20">
        <f t="shared" si="6"/>
        <v>885.09998427073413</v>
      </c>
      <c r="G61" s="9">
        <f>SUMIFS(PARÂMETROS!$F$8:$F$907,PARÂMETROS!$A$8:$A$907,C61,PARÂMETROS!$G$8:$G$907,J61)</f>
        <v>0</v>
      </c>
      <c r="H61" s="20">
        <f t="shared" si="7"/>
        <v>0</v>
      </c>
      <c r="I61" s="20">
        <f t="shared" si="8"/>
        <v>885.09998427073413</v>
      </c>
      <c r="J61" s="11" t="s">
        <v>11</v>
      </c>
    </row>
    <row r="62" spans="1:10" ht="14.25" hidden="1" customHeight="1" x14ac:dyDescent="0.3">
      <c r="A62" s="2" t="s">
        <v>33</v>
      </c>
      <c r="B62" s="2" t="str">
        <f>INDEX(SETORES!$B:$B,MATCH(A62,SETORES!$A:$A,0))</f>
        <v>Funcionários</v>
      </c>
      <c r="C62" s="2" t="s">
        <v>18</v>
      </c>
      <c r="D62" s="14">
        <f>IF(B62="Clientes",SUMIFS(PARÂMETROS!$D$8:$D$907,PARÂMETROS!$A$8:$A$907,C62,PARÂMETROS!$G$8:$G$907,J62),SUMIFS(PARÂMETROS!$E$8:$E$907,PARÂMETROS!$A$8:$A$907,C62,PARÂMETROS!$G$8:$G$907,J62))</f>
        <v>0.81315538608198279</v>
      </c>
      <c r="E62" s="21">
        <f>SUMIFS(SETORES!$D:$D,SETORES!$A:$A,A62,SETORES!$F:$F,J62)</f>
        <v>54615.875500000009</v>
      </c>
      <c r="F62" s="21">
        <f t="shared" si="6"/>
        <v>44411.193328408015</v>
      </c>
      <c r="G62" s="14">
        <f>SUMIFS(PARÂMETROS!$F$8:$F$907,PARÂMETROS!$A$8:$A$907,C62,PARÂMETROS!$G$8:$G$907,J62)</f>
        <v>0</v>
      </c>
      <c r="H62" s="21">
        <f t="shared" si="7"/>
        <v>0</v>
      </c>
      <c r="I62" s="21">
        <f t="shared" si="8"/>
        <v>44411.193328408015</v>
      </c>
      <c r="J62" s="2" t="s">
        <v>11</v>
      </c>
    </row>
    <row r="63" spans="1:10" ht="14.25" hidden="1" customHeight="1" x14ac:dyDescent="0.3">
      <c r="A63" s="11" t="s">
        <v>34</v>
      </c>
      <c r="B63" s="19" t="str">
        <f>INDEX(SETORES!$B:$B,MATCH(A63,SETORES!$A:$A,0))</f>
        <v>Clientes</v>
      </c>
      <c r="C63" s="11" t="s">
        <v>10</v>
      </c>
      <c r="D63" s="9">
        <f>IF(B63="Clientes",SUMIFS(PARÂMETROS!$D$8:$D$907,PARÂMETROS!$A$8:$A$907,C63,PARÂMETROS!$G$8:$G$907,J63),SUMIFS(PARÂMETROS!$E$8:$E$907,PARÂMETROS!$A$8:$A$907,C63,PARÂMETROS!$G$8:$G$907,J63))</f>
        <v>3.3077914012820578E-2</v>
      </c>
      <c r="E63" s="20">
        <f>SUMIFS(SETORES!$D:$D,SETORES!$A:$A,A63,SETORES!$F:$F,J63)</f>
        <v>23728.992920000001</v>
      </c>
      <c r="F63" s="20">
        <f t="shared" si="6"/>
        <v>784.90558741858831</v>
      </c>
      <c r="G63" s="9">
        <f>SUMIFS(PARÂMETROS!$F$8:$F$907,PARÂMETROS!$A$8:$A$907,C63,PARÂMETROS!$G$8:$G$907,J63)</f>
        <v>0</v>
      </c>
      <c r="H63" s="20">
        <f t="shared" si="7"/>
        <v>0</v>
      </c>
      <c r="I63" s="20">
        <f t="shared" si="8"/>
        <v>784.90558741858831</v>
      </c>
      <c r="J63" s="11" t="s">
        <v>11</v>
      </c>
    </row>
    <row r="64" spans="1:10" ht="14.25" hidden="1" customHeight="1" x14ac:dyDescent="0.3">
      <c r="A64" s="2" t="s">
        <v>34</v>
      </c>
      <c r="B64" s="2" t="str">
        <f>INDEX(SETORES!$B:$B,MATCH(A64,SETORES!$A:$A,0))</f>
        <v>Clientes</v>
      </c>
      <c r="C64" s="2" t="s">
        <v>12</v>
      </c>
      <c r="D64" s="14">
        <f>IF(B64="Clientes",SUMIFS(PARÂMETROS!$D$8:$D$907,PARÂMETROS!$A$8:$A$907,C64,PARÂMETROS!$G$8:$G$907,J64),SUMIFS(PARÂMETROS!$E$8:$E$907,PARÂMETROS!$A$8:$A$907,C64,PARÂMETROS!$G$8:$G$907,J64))</f>
        <v>6.886570212940675E-2</v>
      </c>
      <c r="E64" s="21">
        <f>SUMIFS(SETORES!$D:$D,SETORES!$A:$A,A64,SETORES!$F:$F,J64)</f>
        <v>23728.992920000001</v>
      </c>
      <c r="F64" s="21">
        <f t="shared" si="6"/>
        <v>1634.1137582595218</v>
      </c>
      <c r="G64" s="14">
        <f>SUMIFS(PARÂMETROS!$F$8:$F$907,PARÂMETROS!$A$8:$A$907,C64,PARÂMETROS!$G$8:$G$907,J64)</f>
        <v>0</v>
      </c>
      <c r="H64" s="21">
        <f t="shared" si="7"/>
        <v>0</v>
      </c>
      <c r="I64" s="21">
        <f t="shared" si="8"/>
        <v>1634.1137582595218</v>
      </c>
      <c r="J64" s="2" t="s">
        <v>11</v>
      </c>
    </row>
    <row r="65" spans="1:10" ht="14.25" hidden="1" customHeight="1" x14ac:dyDescent="0.3">
      <c r="A65" s="11" t="s">
        <v>34</v>
      </c>
      <c r="B65" s="19" t="str">
        <f>INDEX(SETORES!$B:$B,MATCH(A65,SETORES!$A:$A,0))</f>
        <v>Clientes</v>
      </c>
      <c r="C65" s="11" t="s">
        <v>13</v>
      </c>
      <c r="D65" s="9">
        <f>IF(B65="Clientes",SUMIFS(PARÂMETROS!$D$8:$D$907,PARÂMETROS!$A$8:$A$907,C65,PARÂMETROS!$G$8:$G$907,J65),SUMIFS(PARÂMETROS!$E$8:$E$907,PARÂMETROS!$A$8:$A$907,C65,PARÂMETROS!$G$8:$G$907,J65))</f>
        <v>7.4116083205452599E-2</v>
      </c>
      <c r="E65" s="20">
        <f>SUMIFS(SETORES!$D:$D,SETORES!$A:$A,A65,SETORES!$F:$F,J65)</f>
        <v>23728.992920000001</v>
      </c>
      <c r="F65" s="20">
        <f t="shared" si="6"/>
        <v>1758.7000136403158</v>
      </c>
      <c r="G65" s="9">
        <f>SUMIFS(PARÂMETROS!$F$8:$F$907,PARÂMETROS!$A$8:$A$907,C65,PARÂMETROS!$G$8:$G$907,J65)</f>
        <v>0</v>
      </c>
      <c r="H65" s="20">
        <f t="shared" si="7"/>
        <v>0</v>
      </c>
      <c r="I65" s="20">
        <f t="shared" si="8"/>
        <v>1758.7000136403158</v>
      </c>
      <c r="J65" s="11" t="s">
        <v>11</v>
      </c>
    </row>
    <row r="66" spans="1:10" ht="14.25" customHeight="1" x14ac:dyDescent="0.3">
      <c r="A66" s="2" t="s">
        <v>34</v>
      </c>
      <c r="B66" s="2" t="str">
        <f>INDEX(SETORES!$B:$B,MATCH(A66,SETORES!$A:$A,0))</f>
        <v>Clientes</v>
      </c>
      <c r="C66" s="2" t="s">
        <v>14</v>
      </c>
      <c r="D66" s="14">
        <f>IF(B66="Clientes",SUMIFS(PARÂMETROS!$D$8:$D$907,PARÂMETROS!$A$8:$A$907,C66,PARÂMETROS!$G$8:$G$907,J66),SUMIFS(PARÂMETROS!$E$8:$E$907,PARÂMETROS!$A$8:$A$907,C66,PARÂMETROS!$G$8:$G$907,J66))</f>
        <v>1.9010177424901076E-2</v>
      </c>
      <c r="E66" s="21">
        <f>SUMIFS(SETORES!$D:$D,SETORES!$A:$A,A66,SETORES!$F:$F,J66)</f>
        <v>23728.992920000001</v>
      </c>
      <c r="F66" s="21">
        <f t="shared" si="6"/>
        <v>451.09236552342145</v>
      </c>
      <c r="G66" s="14">
        <f>SUMIFS(PARÂMETROS!$F$8:$F$907,PARÂMETROS!$A$8:$A$907,C66,PARÂMETROS!$G$8:$G$907,J66)</f>
        <v>0</v>
      </c>
      <c r="H66" s="21">
        <f t="shared" si="7"/>
        <v>0</v>
      </c>
      <c r="I66" s="21">
        <f t="shared" si="8"/>
        <v>451.09236552342145</v>
      </c>
      <c r="J66" s="2" t="s">
        <v>11</v>
      </c>
    </row>
    <row r="67" spans="1:10" ht="14.25" hidden="1" customHeight="1" x14ac:dyDescent="0.3">
      <c r="A67" s="11" t="s">
        <v>34</v>
      </c>
      <c r="B67" s="19" t="str">
        <f>INDEX(SETORES!$B:$B,MATCH(A67,SETORES!$A:$A,0))</f>
        <v>Clientes</v>
      </c>
      <c r="C67" s="11" t="s">
        <v>15</v>
      </c>
      <c r="D67" s="9">
        <f>IF(B67="Clientes",SUMIFS(PARÂMETROS!$D$8:$D$907,PARÂMETROS!$A$8:$A$907,C67,PARÂMETROS!$G$8:$G$907,J67),SUMIFS(PARÂMETROS!$E$8:$E$907,PARÂMETROS!$A$8:$A$907,C67,PARÂMETROS!$G$8:$G$907,J67))</f>
        <v>3.302145830232546E-2</v>
      </c>
      <c r="E67" s="20">
        <f>SUMIFS(SETORES!$D:$D,SETORES!$A:$A,A67,SETORES!$F:$F,J67)</f>
        <v>23728.992920000001</v>
      </c>
      <c r="F67" s="20">
        <f t="shared" si="6"/>
        <v>783.5659502639561</v>
      </c>
      <c r="G67" s="9">
        <f>SUMIFS(PARÂMETROS!$F$8:$F$907,PARÂMETROS!$A$8:$A$907,C67,PARÂMETROS!$G$8:$G$907,J67)</f>
        <v>0</v>
      </c>
      <c r="H67" s="20">
        <f t="shared" si="7"/>
        <v>0</v>
      </c>
      <c r="I67" s="20">
        <f t="shared" si="8"/>
        <v>783.5659502639561</v>
      </c>
      <c r="J67" s="11" t="s">
        <v>11</v>
      </c>
    </row>
    <row r="68" spans="1:10" ht="14.25" hidden="1" customHeight="1" x14ac:dyDescent="0.3">
      <c r="A68" s="2" t="s">
        <v>34</v>
      </c>
      <c r="B68" s="2" t="str">
        <f>INDEX(SETORES!$B:$B,MATCH(A68,SETORES!$A:$A,0))</f>
        <v>Clientes</v>
      </c>
      <c r="C68" s="2" t="s">
        <v>16</v>
      </c>
      <c r="D68" s="14">
        <f>IF(B68="Clientes",SUMIFS(PARÂMETROS!$D$8:$D$907,PARÂMETROS!$A$8:$A$907,C68,PARÂMETROS!$G$8:$G$907,J68),SUMIFS(PARÂMETROS!$E$8:$E$907,PARÂMETROS!$A$8:$A$907,C68,PARÂMETROS!$G$8:$G$907,J68))</f>
        <v>2.437346992193715E-2</v>
      </c>
      <c r="E68" s="21">
        <f>SUMIFS(SETORES!$D:$D,SETORES!$A:$A,A68,SETORES!$F:$F,J68)</f>
        <v>23728.992920000001</v>
      </c>
      <c r="F68" s="21">
        <f t="shared" si="6"/>
        <v>578.35789521347965</v>
      </c>
      <c r="G68" s="14">
        <f>SUMIFS(PARÂMETROS!$F$8:$F$907,PARÂMETROS!$A$8:$A$907,C68,PARÂMETROS!$G$8:$G$907,J68)</f>
        <v>0</v>
      </c>
      <c r="H68" s="21">
        <f t="shared" si="7"/>
        <v>0</v>
      </c>
      <c r="I68" s="21">
        <f t="shared" si="8"/>
        <v>578.35789521347965</v>
      </c>
      <c r="J68" s="2" t="s">
        <v>11</v>
      </c>
    </row>
    <row r="69" spans="1:10" ht="14.25" hidden="1" customHeight="1" x14ac:dyDescent="0.3">
      <c r="A69" s="11" t="s">
        <v>34</v>
      </c>
      <c r="B69" s="19" t="str">
        <f>INDEX(SETORES!$B:$B,MATCH(A69,SETORES!$A:$A,0))</f>
        <v>Clientes</v>
      </c>
      <c r="C69" s="11" t="s">
        <v>17</v>
      </c>
      <c r="D69" s="9">
        <f>IF(B69="Clientes",SUMIFS(PARÂMETROS!$D$8:$D$907,PARÂMETROS!$A$8:$A$907,C69,PARÂMETROS!$G$8:$G$907,J69),SUMIFS(PARÂMETROS!$E$8:$E$907,PARÂMETROS!$A$8:$A$907,C69,PARÂMETROS!$G$8:$G$907,J69))</f>
        <v>2.460955743855309E-2</v>
      </c>
      <c r="E69" s="20">
        <f>SUMIFS(SETORES!$D:$D,SETORES!$A:$A,A69,SETORES!$F:$F,J69)</f>
        <v>23728.992920000001</v>
      </c>
      <c r="F69" s="20">
        <f t="shared" si="6"/>
        <v>583.96001422375969</v>
      </c>
      <c r="G69" s="9">
        <f>SUMIFS(PARÂMETROS!$F$8:$F$907,PARÂMETROS!$A$8:$A$907,C69,PARÂMETROS!$G$8:$G$907,J69)</f>
        <v>0</v>
      </c>
      <c r="H69" s="20">
        <f t="shared" si="7"/>
        <v>0</v>
      </c>
      <c r="I69" s="20">
        <f t="shared" si="8"/>
        <v>583.96001422375969</v>
      </c>
      <c r="J69" s="11" t="s">
        <v>11</v>
      </c>
    </row>
    <row r="70" spans="1:10" ht="14.25" hidden="1" customHeight="1" x14ac:dyDescent="0.3">
      <c r="A70" s="2" t="s">
        <v>34</v>
      </c>
      <c r="B70" s="2" t="str">
        <f>INDEX(SETORES!$B:$B,MATCH(A70,SETORES!$A:$A,0))</f>
        <v>Clientes</v>
      </c>
      <c r="C70" s="2" t="s">
        <v>18</v>
      </c>
      <c r="D70" s="14">
        <f>IF(B70="Clientes",SUMIFS(PARÂMETROS!$D$8:$D$907,PARÂMETROS!$A$8:$A$907,C70,PARÂMETROS!$G$8:$G$907,J70),SUMIFS(PARÂMETROS!$E$8:$E$907,PARÂMETROS!$A$8:$A$907,C70,PARÂMETROS!$G$8:$G$907,J70))</f>
        <v>0.72292563756460326</v>
      </c>
      <c r="E70" s="21">
        <f>SUMIFS(SETORES!$D:$D,SETORES!$A:$A,A70,SETORES!$F:$F,J70)</f>
        <v>23728.992920000001</v>
      </c>
      <c r="F70" s="21">
        <f t="shared" si="6"/>
        <v>17154.297335456959</v>
      </c>
      <c r="G70" s="14">
        <f>SUMIFS(PARÂMETROS!$F$8:$F$907,PARÂMETROS!$A$8:$A$907,C70,PARÂMETROS!$G$8:$G$907,J70)</f>
        <v>0</v>
      </c>
      <c r="H70" s="21">
        <f t="shared" si="7"/>
        <v>0</v>
      </c>
      <c r="I70" s="21">
        <f t="shared" si="8"/>
        <v>17154.297335456959</v>
      </c>
      <c r="J70" s="2" t="s">
        <v>11</v>
      </c>
    </row>
    <row r="71" spans="1:10" ht="14.25" hidden="1" customHeight="1" x14ac:dyDescent="0.3">
      <c r="A71" s="11" t="s">
        <v>35</v>
      </c>
      <c r="B71" s="19" t="str">
        <f>INDEX(SETORES!$B:$B,MATCH(A71,SETORES!$A:$A,0))</f>
        <v>Clientes</v>
      </c>
      <c r="C71" s="11" t="s">
        <v>10</v>
      </c>
      <c r="D71" s="9">
        <f>IF(B71="Clientes",SUMIFS(PARÂMETROS!$D$8:$D$907,PARÂMETROS!$A$8:$A$907,C71,PARÂMETROS!$G$8:$G$907,J71),SUMIFS(PARÂMETROS!$E$8:$E$907,PARÂMETROS!$A$8:$A$907,C71,PARÂMETROS!$G$8:$G$907,J71))</f>
        <v>3.3077914012820578E-2</v>
      </c>
      <c r="E71" s="20">
        <f>SUMIFS(SETORES!$D:$D,SETORES!$A:$A,A71,SETORES!$F:$F,J71)</f>
        <v>17219.4689</v>
      </c>
      <c r="F71" s="20">
        <f t="shared" si="6"/>
        <v>569.58411162063817</v>
      </c>
      <c r="G71" s="9">
        <f>SUMIFS(PARÂMETROS!$F$8:$F$907,PARÂMETROS!$A$8:$A$907,C71,PARÂMETROS!$G$8:$G$907,J71)</f>
        <v>0</v>
      </c>
      <c r="H71" s="20">
        <f t="shared" si="7"/>
        <v>0</v>
      </c>
      <c r="I71" s="20">
        <f t="shared" si="8"/>
        <v>569.58411162063817</v>
      </c>
      <c r="J71" s="11" t="s">
        <v>11</v>
      </c>
    </row>
    <row r="72" spans="1:10" ht="14.25" hidden="1" customHeight="1" x14ac:dyDescent="0.3">
      <c r="A72" s="2" t="s">
        <v>35</v>
      </c>
      <c r="B72" s="2" t="str">
        <f>INDEX(SETORES!$B:$B,MATCH(A72,SETORES!$A:$A,0))</f>
        <v>Clientes</v>
      </c>
      <c r="C72" s="2" t="s">
        <v>12</v>
      </c>
      <c r="D72" s="14">
        <f>IF(B72="Clientes",SUMIFS(PARÂMETROS!$D$8:$D$907,PARÂMETROS!$A$8:$A$907,C72,PARÂMETROS!$G$8:$G$907,J72),SUMIFS(PARÂMETROS!$E$8:$E$907,PARÂMETROS!$A$8:$A$907,C72,PARÂMETROS!$G$8:$G$907,J72))</f>
        <v>6.886570212940675E-2</v>
      </c>
      <c r="E72" s="21">
        <f>SUMIFS(SETORES!$D:$D,SETORES!$A:$A,A72,SETORES!$F:$F,J72)</f>
        <v>17219.4689</v>
      </c>
      <c r="F72" s="21">
        <f t="shared" si="6"/>
        <v>1185.8308160939832</v>
      </c>
      <c r="G72" s="14">
        <f>SUMIFS(PARÂMETROS!$F$8:$F$907,PARÂMETROS!$A$8:$A$907,C72,PARÂMETROS!$G$8:$G$907,J72)</f>
        <v>0</v>
      </c>
      <c r="H72" s="21">
        <f t="shared" si="7"/>
        <v>0</v>
      </c>
      <c r="I72" s="21">
        <f t="shared" si="8"/>
        <v>1185.8308160939832</v>
      </c>
      <c r="J72" s="2" t="s">
        <v>11</v>
      </c>
    </row>
    <row r="73" spans="1:10" ht="14.25" hidden="1" customHeight="1" x14ac:dyDescent="0.3">
      <c r="A73" s="11" t="s">
        <v>35</v>
      </c>
      <c r="B73" s="19" t="str">
        <f>INDEX(SETORES!$B:$B,MATCH(A73,SETORES!$A:$A,0))</f>
        <v>Clientes</v>
      </c>
      <c r="C73" s="11" t="s">
        <v>13</v>
      </c>
      <c r="D73" s="9">
        <f>IF(B73="Clientes",SUMIFS(PARÂMETROS!$D$8:$D$907,PARÂMETROS!$A$8:$A$907,C73,PARÂMETROS!$G$8:$G$907,J73),SUMIFS(PARÂMETROS!$E$8:$E$907,PARÂMETROS!$A$8:$A$907,C73,PARÂMETROS!$G$8:$G$907,J73))</f>
        <v>7.4116083205452599E-2</v>
      </c>
      <c r="E73" s="20">
        <f>SUMIFS(SETORES!$D:$D,SETORES!$A:$A,A73,SETORES!$F:$F,J73)</f>
        <v>17219.4689</v>
      </c>
      <c r="F73" s="20">
        <f t="shared" si="6"/>
        <v>1276.2395897461033</v>
      </c>
      <c r="G73" s="9">
        <f>SUMIFS(PARÂMETROS!$F$8:$F$907,PARÂMETROS!$A$8:$A$907,C73,PARÂMETROS!$G$8:$G$907,J73)</f>
        <v>0</v>
      </c>
      <c r="H73" s="20">
        <f t="shared" si="7"/>
        <v>0</v>
      </c>
      <c r="I73" s="20">
        <f t="shared" si="8"/>
        <v>1276.2395897461033</v>
      </c>
      <c r="J73" s="11" t="s">
        <v>11</v>
      </c>
    </row>
    <row r="74" spans="1:10" ht="14.25" customHeight="1" x14ac:dyDescent="0.3">
      <c r="A74" s="2" t="s">
        <v>35</v>
      </c>
      <c r="B74" s="2" t="str">
        <f>INDEX(SETORES!$B:$B,MATCH(A74,SETORES!$A:$A,0))</f>
        <v>Clientes</v>
      </c>
      <c r="C74" s="2" t="s">
        <v>14</v>
      </c>
      <c r="D74" s="14">
        <f>IF(B74="Clientes",SUMIFS(PARÂMETROS!$D$8:$D$907,PARÂMETROS!$A$8:$A$907,C74,PARÂMETROS!$G$8:$G$907,J74),SUMIFS(PARÂMETROS!$E$8:$E$907,PARÂMETROS!$A$8:$A$907,C74,PARÂMETROS!$G$8:$G$907,J74))</f>
        <v>1.9010177424901076E-2</v>
      </c>
      <c r="E74" s="21">
        <f>SUMIFS(SETORES!$D:$D,SETORES!$A:$A,A74,SETORES!$F:$F,J74)</f>
        <v>17219.4689</v>
      </c>
      <c r="F74" s="21">
        <f t="shared" si="6"/>
        <v>327.34515895156613</v>
      </c>
      <c r="G74" s="14">
        <f>SUMIFS(PARÂMETROS!$F$8:$F$907,PARÂMETROS!$A$8:$A$907,C74,PARÂMETROS!$G$8:$G$907,J74)</f>
        <v>0</v>
      </c>
      <c r="H74" s="21">
        <f t="shared" si="7"/>
        <v>0</v>
      </c>
      <c r="I74" s="21">
        <f t="shared" si="8"/>
        <v>327.34515895156613</v>
      </c>
      <c r="J74" s="2" t="s">
        <v>11</v>
      </c>
    </row>
    <row r="75" spans="1:10" ht="14.25" hidden="1" customHeight="1" x14ac:dyDescent="0.3">
      <c r="A75" s="11" t="s">
        <v>35</v>
      </c>
      <c r="B75" s="19" t="str">
        <f>INDEX(SETORES!$B:$B,MATCH(A75,SETORES!$A:$A,0))</f>
        <v>Clientes</v>
      </c>
      <c r="C75" s="11" t="s">
        <v>15</v>
      </c>
      <c r="D75" s="9">
        <f>IF(B75="Clientes",SUMIFS(PARÂMETROS!$D$8:$D$907,PARÂMETROS!$A$8:$A$907,C75,PARÂMETROS!$G$8:$G$907,J75),SUMIFS(PARÂMETROS!$E$8:$E$907,PARÂMETROS!$A$8:$A$907,C75,PARÂMETROS!$G$8:$G$907,J75))</f>
        <v>3.302145830232546E-2</v>
      </c>
      <c r="E75" s="20">
        <f>SUMIFS(SETORES!$D:$D,SETORES!$A:$A,A75,SETORES!$F:$F,J75)</f>
        <v>17219.4689</v>
      </c>
      <c r="F75" s="20">
        <f t="shared" si="6"/>
        <v>568.61197426954004</v>
      </c>
      <c r="G75" s="9">
        <f>SUMIFS(PARÂMETROS!$F$8:$F$907,PARÂMETROS!$A$8:$A$907,C75,PARÂMETROS!$G$8:$G$907,J75)</f>
        <v>0</v>
      </c>
      <c r="H75" s="20">
        <f t="shared" si="7"/>
        <v>0</v>
      </c>
      <c r="I75" s="20">
        <f t="shared" si="8"/>
        <v>568.61197426954004</v>
      </c>
      <c r="J75" s="11" t="s">
        <v>11</v>
      </c>
    </row>
    <row r="76" spans="1:10" ht="14.25" hidden="1" customHeight="1" x14ac:dyDescent="0.3">
      <c r="A76" s="2" t="s">
        <v>35</v>
      </c>
      <c r="B76" s="2" t="str">
        <f>INDEX(SETORES!$B:$B,MATCH(A76,SETORES!$A:$A,0))</f>
        <v>Clientes</v>
      </c>
      <c r="C76" s="2" t="s">
        <v>16</v>
      </c>
      <c r="D76" s="14">
        <f>IF(B76="Clientes",SUMIFS(PARÂMETROS!$D$8:$D$907,PARÂMETROS!$A$8:$A$907,C76,PARÂMETROS!$G$8:$G$907,J76),SUMIFS(PARÂMETROS!$E$8:$E$907,PARÂMETROS!$A$8:$A$907,C76,PARÂMETROS!$G$8:$G$907,J76))</f>
        <v>2.437346992193715E-2</v>
      </c>
      <c r="E76" s="21">
        <f>SUMIFS(SETORES!$D:$D,SETORES!$A:$A,A76,SETORES!$F:$F,J76)</f>
        <v>17219.4689</v>
      </c>
      <c r="F76" s="21">
        <f t="shared" si="6"/>
        <v>419.69820730588219</v>
      </c>
      <c r="G76" s="14">
        <f>SUMIFS(PARÂMETROS!$F$8:$F$907,PARÂMETROS!$A$8:$A$907,C76,PARÂMETROS!$G$8:$G$907,J76)</f>
        <v>0</v>
      </c>
      <c r="H76" s="21">
        <f t="shared" si="7"/>
        <v>0</v>
      </c>
      <c r="I76" s="21">
        <f t="shared" si="8"/>
        <v>419.69820730588219</v>
      </c>
      <c r="J76" s="2" t="s">
        <v>11</v>
      </c>
    </row>
    <row r="77" spans="1:10" ht="14.25" hidden="1" customHeight="1" x14ac:dyDescent="0.3">
      <c r="A77" s="11" t="s">
        <v>35</v>
      </c>
      <c r="B77" s="19" t="str">
        <f>INDEX(SETORES!$B:$B,MATCH(A77,SETORES!$A:$A,0))</f>
        <v>Clientes</v>
      </c>
      <c r="C77" s="11" t="s">
        <v>17</v>
      </c>
      <c r="D77" s="9">
        <f>IF(B77="Clientes",SUMIFS(PARÂMETROS!$D$8:$D$907,PARÂMETROS!$A$8:$A$907,C77,PARÂMETROS!$G$8:$G$907,J77),SUMIFS(PARÂMETROS!$E$8:$E$907,PARÂMETROS!$A$8:$A$907,C77,PARÂMETROS!$G$8:$G$907,J77))</f>
        <v>2.460955743855309E-2</v>
      </c>
      <c r="E77" s="20">
        <f>SUMIFS(SETORES!$D:$D,SETORES!$A:$A,A77,SETORES!$F:$F,J77)</f>
        <v>17219.4689</v>
      </c>
      <c r="F77" s="20">
        <f t="shared" si="6"/>
        <v>423.76350895592861</v>
      </c>
      <c r="G77" s="9">
        <f>SUMIFS(PARÂMETROS!$F$8:$F$907,PARÂMETROS!$A$8:$A$907,C77,PARÂMETROS!$G$8:$G$907,J77)</f>
        <v>0</v>
      </c>
      <c r="H77" s="20">
        <f t="shared" si="7"/>
        <v>0</v>
      </c>
      <c r="I77" s="20">
        <f t="shared" si="8"/>
        <v>423.76350895592861</v>
      </c>
      <c r="J77" s="11" t="s">
        <v>11</v>
      </c>
    </row>
    <row r="78" spans="1:10" ht="14.25" hidden="1" customHeight="1" x14ac:dyDescent="0.3">
      <c r="A78" s="2" t="s">
        <v>35</v>
      </c>
      <c r="B78" s="2" t="str">
        <f>INDEX(SETORES!$B:$B,MATCH(A78,SETORES!$A:$A,0))</f>
        <v>Clientes</v>
      </c>
      <c r="C78" s="2" t="s">
        <v>18</v>
      </c>
      <c r="D78" s="14">
        <f>IF(B78="Clientes",SUMIFS(PARÂMETROS!$D$8:$D$907,PARÂMETROS!$A$8:$A$907,C78,PARÂMETROS!$G$8:$G$907,J78),SUMIFS(PARÂMETROS!$E$8:$E$907,PARÂMETROS!$A$8:$A$907,C78,PARÂMETROS!$G$8:$G$907,J78))</f>
        <v>0.72292563756460326</v>
      </c>
      <c r="E78" s="21">
        <f>SUMIFS(SETORES!$D:$D,SETORES!$A:$A,A78,SETORES!$F:$F,J78)</f>
        <v>17219.4689</v>
      </c>
      <c r="F78" s="21">
        <f t="shared" si="6"/>
        <v>12448.395533056357</v>
      </c>
      <c r="G78" s="14">
        <f>SUMIFS(PARÂMETROS!$F$8:$F$907,PARÂMETROS!$A$8:$A$907,C78,PARÂMETROS!$G$8:$G$907,J78)</f>
        <v>0</v>
      </c>
      <c r="H78" s="21">
        <f t="shared" si="7"/>
        <v>0</v>
      </c>
      <c r="I78" s="21">
        <f t="shared" si="8"/>
        <v>12448.395533056357</v>
      </c>
      <c r="J78" s="2" t="s">
        <v>11</v>
      </c>
    </row>
    <row r="79" spans="1:10" ht="14.25" hidden="1" customHeight="1" x14ac:dyDescent="0.3">
      <c r="A79" s="11" t="s">
        <v>36</v>
      </c>
      <c r="B79" s="19" t="str">
        <f>INDEX(SETORES!$B:$B,MATCH(A79,SETORES!$A:$A,0))</f>
        <v>Clientes</v>
      </c>
      <c r="C79" s="11" t="s">
        <v>10</v>
      </c>
      <c r="D79" s="9">
        <f>IF(B79="Clientes",SUMIFS(PARÂMETROS!$D$8:$D$907,PARÂMETROS!$A$8:$A$907,C79,PARÂMETROS!$G$8:$G$907,J79),SUMIFS(PARÂMETROS!$E$8:$E$907,PARÂMETROS!$A$8:$A$907,C79,PARÂMETROS!$G$8:$G$907,J79))</f>
        <v>3.3077914012820578E-2</v>
      </c>
      <c r="E79" s="20">
        <f>SUMIFS(SETORES!$D:$D,SETORES!$A:$A,A79,SETORES!$F:$F,J79)</f>
        <v>70630.625500000009</v>
      </c>
      <c r="F79" s="20">
        <f t="shared" si="6"/>
        <v>2336.3137569607329</v>
      </c>
      <c r="G79" s="9">
        <f>SUMIFS(PARÂMETROS!$F$8:$F$907,PARÂMETROS!$A$8:$A$907,C79,PARÂMETROS!$G$8:$G$907,J79)</f>
        <v>0</v>
      </c>
      <c r="H79" s="20">
        <f t="shared" si="7"/>
        <v>0</v>
      </c>
      <c r="I79" s="20">
        <f t="shared" si="8"/>
        <v>2336.3137569607329</v>
      </c>
      <c r="J79" s="11" t="s">
        <v>11</v>
      </c>
    </row>
    <row r="80" spans="1:10" ht="14.25" hidden="1" customHeight="1" x14ac:dyDescent="0.3">
      <c r="A80" s="2" t="s">
        <v>36</v>
      </c>
      <c r="B80" s="2" t="str">
        <f>INDEX(SETORES!$B:$B,MATCH(A80,SETORES!$A:$A,0))</f>
        <v>Clientes</v>
      </c>
      <c r="C80" s="2" t="s">
        <v>12</v>
      </c>
      <c r="D80" s="14">
        <f>IF(B80="Clientes",SUMIFS(PARÂMETROS!$D$8:$D$907,PARÂMETROS!$A$8:$A$907,C80,PARÂMETROS!$G$8:$G$907,J80),SUMIFS(PARÂMETROS!$E$8:$E$907,PARÂMETROS!$A$8:$A$907,C80,PARÂMETROS!$G$8:$G$907,J80))</f>
        <v>6.886570212940675E-2</v>
      </c>
      <c r="E80" s="21">
        <f>SUMIFS(SETORES!$D:$D,SETORES!$A:$A,A80,SETORES!$F:$F,J80)</f>
        <v>70630.625500000009</v>
      </c>
      <c r="F80" s="21">
        <f t="shared" si="6"/>
        <v>4864.0276168966811</v>
      </c>
      <c r="G80" s="14">
        <f>SUMIFS(PARÂMETROS!$F$8:$F$907,PARÂMETROS!$A$8:$A$907,C80,PARÂMETROS!$G$8:$G$907,J80)</f>
        <v>0</v>
      </c>
      <c r="H80" s="21">
        <f t="shared" si="7"/>
        <v>0</v>
      </c>
      <c r="I80" s="21">
        <f t="shared" si="8"/>
        <v>4864.0276168966811</v>
      </c>
      <c r="J80" s="2" t="s">
        <v>11</v>
      </c>
    </row>
    <row r="81" spans="1:10" ht="14.25" hidden="1" customHeight="1" x14ac:dyDescent="0.3">
      <c r="A81" s="11" t="s">
        <v>36</v>
      </c>
      <c r="B81" s="19" t="str">
        <f>INDEX(SETORES!$B:$B,MATCH(A81,SETORES!$A:$A,0))</f>
        <v>Clientes</v>
      </c>
      <c r="C81" s="11" t="s">
        <v>13</v>
      </c>
      <c r="D81" s="9">
        <f>IF(B81="Clientes",SUMIFS(PARÂMETROS!$D$8:$D$907,PARÂMETROS!$A$8:$A$907,C81,PARÂMETROS!$G$8:$G$907,J81),SUMIFS(PARÂMETROS!$E$8:$E$907,PARÂMETROS!$A$8:$A$907,C81,PARÂMETROS!$G$8:$G$907,J81))</f>
        <v>7.4116083205452599E-2</v>
      </c>
      <c r="E81" s="20">
        <f>SUMIFS(SETORES!$D:$D,SETORES!$A:$A,A81,SETORES!$F:$F,J81)</f>
        <v>70630.625500000009</v>
      </c>
      <c r="F81" s="20">
        <f t="shared" si="6"/>
        <v>5234.8653164111629</v>
      </c>
      <c r="G81" s="9">
        <f>SUMIFS(PARÂMETROS!$F$8:$F$907,PARÂMETROS!$A$8:$A$907,C81,PARÂMETROS!$G$8:$G$907,J81)</f>
        <v>0</v>
      </c>
      <c r="H81" s="20">
        <f t="shared" si="7"/>
        <v>0</v>
      </c>
      <c r="I81" s="20">
        <f t="shared" si="8"/>
        <v>5234.8653164111629</v>
      </c>
      <c r="J81" s="11" t="s">
        <v>11</v>
      </c>
    </row>
    <row r="82" spans="1:10" ht="14.25" customHeight="1" x14ac:dyDescent="0.3">
      <c r="A82" s="2" t="s">
        <v>36</v>
      </c>
      <c r="B82" s="2" t="str">
        <f>INDEX(SETORES!$B:$B,MATCH(A82,SETORES!$A:$A,0))</f>
        <v>Clientes</v>
      </c>
      <c r="C82" s="2" t="s">
        <v>14</v>
      </c>
      <c r="D82" s="14">
        <f>IF(B82="Clientes",SUMIFS(PARÂMETROS!$D$8:$D$907,PARÂMETROS!$A$8:$A$907,C82,PARÂMETROS!$G$8:$G$907,J82),SUMIFS(PARÂMETROS!$E$8:$E$907,PARÂMETROS!$A$8:$A$907,C82,PARÂMETROS!$G$8:$G$907,J82))</f>
        <v>1.9010177424901076E-2</v>
      </c>
      <c r="E82" s="21">
        <f>SUMIFS(SETORES!$D:$D,SETORES!$A:$A,A82,SETORES!$F:$F,J82)</f>
        <v>70630.625500000009</v>
      </c>
      <c r="F82" s="21">
        <f t="shared" si="6"/>
        <v>1342.7007223867424</v>
      </c>
      <c r="G82" s="14">
        <f>SUMIFS(PARÂMETROS!$F$8:$F$907,PARÂMETROS!$A$8:$A$907,C82,PARÂMETROS!$G$8:$G$907,J82)</f>
        <v>0</v>
      </c>
      <c r="H82" s="21">
        <f t="shared" si="7"/>
        <v>0</v>
      </c>
      <c r="I82" s="21">
        <f t="shared" si="8"/>
        <v>1342.7007223867424</v>
      </c>
      <c r="J82" s="2" t="s">
        <v>11</v>
      </c>
    </row>
    <row r="83" spans="1:10" ht="14.25" hidden="1" customHeight="1" x14ac:dyDescent="0.3">
      <c r="A83" s="11" t="s">
        <v>36</v>
      </c>
      <c r="B83" s="19" t="str">
        <f>INDEX(SETORES!$B:$B,MATCH(A83,SETORES!$A:$A,0))</f>
        <v>Clientes</v>
      </c>
      <c r="C83" s="11" t="s">
        <v>15</v>
      </c>
      <c r="D83" s="9">
        <f>IF(B83="Clientes",SUMIFS(PARÂMETROS!$D$8:$D$907,PARÂMETROS!$A$8:$A$907,C83,PARÂMETROS!$G$8:$G$907,J83),SUMIFS(PARÂMETROS!$E$8:$E$907,PARÂMETROS!$A$8:$A$907,C83,PARÂMETROS!$G$8:$G$907,J83))</f>
        <v>3.302145830232546E-2</v>
      </c>
      <c r="E83" s="20">
        <f>SUMIFS(SETORES!$D:$D,SETORES!$A:$A,A83,SETORES!$F:$F,J83)</f>
        <v>70630.625500000009</v>
      </c>
      <c r="F83" s="20">
        <f t="shared" si="6"/>
        <v>2332.3262548154157</v>
      </c>
      <c r="G83" s="9">
        <f>SUMIFS(PARÂMETROS!$F$8:$F$907,PARÂMETROS!$A$8:$A$907,C83,PARÂMETROS!$G$8:$G$907,J83)</f>
        <v>0</v>
      </c>
      <c r="H83" s="20">
        <f t="shared" si="7"/>
        <v>0</v>
      </c>
      <c r="I83" s="20">
        <f t="shared" si="8"/>
        <v>2332.3262548154157</v>
      </c>
      <c r="J83" s="11" t="s">
        <v>11</v>
      </c>
    </row>
    <row r="84" spans="1:10" ht="14.25" hidden="1" customHeight="1" x14ac:dyDescent="0.3">
      <c r="A84" s="2" t="s">
        <v>36</v>
      </c>
      <c r="B84" s="2" t="str">
        <f>INDEX(SETORES!$B:$B,MATCH(A84,SETORES!$A:$A,0))</f>
        <v>Clientes</v>
      </c>
      <c r="C84" s="2" t="s">
        <v>16</v>
      </c>
      <c r="D84" s="14">
        <f>IF(B84="Clientes",SUMIFS(PARÂMETROS!$D$8:$D$907,PARÂMETROS!$A$8:$A$907,C84,PARÂMETROS!$G$8:$G$907,J84),SUMIFS(PARÂMETROS!$E$8:$E$907,PARÂMETROS!$A$8:$A$907,C84,PARÂMETROS!$G$8:$G$907,J84))</f>
        <v>2.437346992193715E-2</v>
      </c>
      <c r="E84" s="21">
        <f>SUMIFS(SETORES!$D:$D,SETORES!$A:$A,A84,SETORES!$F:$F,J84)</f>
        <v>70630.625500000009</v>
      </c>
      <c r="F84" s="21">
        <f t="shared" si="6"/>
        <v>1721.5134261918572</v>
      </c>
      <c r="G84" s="14">
        <f>SUMIFS(PARÂMETROS!$F$8:$F$907,PARÂMETROS!$A$8:$A$907,C84,PARÂMETROS!$G$8:$G$907,J84)</f>
        <v>0</v>
      </c>
      <c r="H84" s="21">
        <f t="shared" si="7"/>
        <v>0</v>
      </c>
      <c r="I84" s="21">
        <f t="shared" si="8"/>
        <v>1721.5134261918572</v>
      </c>
      <c r="J84" s="2" t="s">
        <v>11</v>
      </c>
    </row>
    <row r="85" spans="1:10" ht="14.25" hidden="1" customHeight="1" x14ac:dyDescent="0.3">
      <c r="A85" s="11" t="s">
        <v>36</v>
      </c>
      <c r="B85" s="19" t="str">
        <f>INDEX(SETORES!$B:$B,MATCH(A85,SETORES!$A:$A,0))</f>
        <v>Clientes</v>
      </c>
      <c r="C85" s="11" t="s">
        <v>17</v>
      </c>
      <c r="D85" s="9">
        <f>IF(B85="Clientes",SUMIFS(PARÂMETROS!$D$8:$D$907,PARÂMETROS!$A$8:$A$907,C85,PARÂMETROS!$G$8:$G$907,J85),SUMIFS(PARÂMETROS!$E$8:$E$907,PARÂMETROS!$A$8:$A$907,C85,PARÂMETROS!$G$8:$G$907,J85))</f>
        <v>2.460955743855309E-2</v>
      </c>
      <c r="E85" s="20">
        <f>SUMIFS(SETORES!$D:$D,SETORES!$A:$A,A85,SETORES!$F:$F,J85)</f>
        <v>70630.625500000009</v>
      </c>
      <c r="F85" s="20">
        <f t="shared" si="6"/>
        <v>1738.1884351631827</v>
      </c>
      <c r="G85" s="9">
        <f>SUMIFS(PARÂMETROS!$F$8:$F$907,PARÂMETROS!$A$8:$A$907,C85,PARÂMETROS!$G$8:$G$907,J85)</f>
        <v>0</v>
      </c>
      <c r="H85" s="20">
        <f t="shared" si="7"/>
        <v>0</v>
      </c>
      <c r="I85" s="20">
        <f t="shared" si="8"/>
        <v>1738.1884351631827</v>
      </c>
      <c r="J85" s="11" t="s">
        <v>11</v>
      </c>
    </row>
    <row r="86" spans="1:10" ht="14.25" hidden="1" customHeight="1" x14ac:dyDescent="0.3">
      <c r="A86" s="2" t="s">
        <v>36</v>
      </c>
      <c r="B86" s="2" t="str">
        <f>INDEX(SETORES!$B:$B,MATCH(A86,SETORES!$A:$A,0))</f>
        <v>Clientes</v>
      </c>
      <c r="C86" s="2" t="s">
        <v>18</v>
      </c>
      <c r="D86" s="14">
        <f>IF(B86="Clientes",SUMIFS(PARÂMETROS!$D$8:$D$907,PARÂMETROS!$A$8:$A$907,C86,PARÂMETROS!$G$8:$G$907,J86),SUMIFS(PARÂMETROS!$E$8:$E$907,PARÂMETROS!$A$8:$A$907,C86,PARÂMETROS!$G$8:$G$907,J86))</f>
        <v>0.72292563756460326</v>
      </c>
      <c r="E86" s="21">
        <f>SUMIFS(SETORES!$D:$D,SETORES!$A:$A,A86,SETORES!$F:$F,J86)</f>
        <v>70630.625500000009</v>
      </c>
      <c r="F86" s="21">
        <f t="shared" si="6"/>
        <v>51060.68997117423</v>
      </c>
      <c r="G86" s="14">
        <f>SUMIFS(PARÂMETROS!$F$8:$F$907,PARÂMETROS!$A$8:$A$907,C86,PARÂMETROS!$G$8:$G$907,J86)</f>
        <v>0</v>
      </c>
      <c r="H86" s="21">
        <f t="shared" si="7"/>
        <v>0</v>
      </c>
      <c r="I86" s="21">
        <f t="shared" si="8"/>
        <v>51060.68997117423</v>
      </c>
      <c r="J86" s="2" t="s">
        <v>11</v>
      </c>
    </row>
    <row r="87" spans="1:10" ht="14.25" hidden="1" customHeight="1" x14ac:dyDescent="0.3">
      <c r="A87" s="11" t="s">
        <v>37</v>
      </c>
      <c r="B87" s="19" t="str">
        <f>INDEX(SETORES!$B:$B,MATCH(A87,SETORES!$A:$A,0))</f>
        <v>Clientes</v>
      </c>
      <c r="C87" s="11" t="s">
        <v>10</v>
      </c>
      <c r="D87" s="9">
        <f>IF(B87="Clientes",SUMIFS(PARÂMETROS!$D$8:$D$907,PARÂMETROS!$A$8:$A$907,C87,PARÂMETROS!$G$8:$G$907,J87),SUMIFS(PARÂMETROS!$E$8:$E$907,PARÂMETROS!$A$8:$A$907,C87,PARÂMETROS!$G$8:$G$907,J87))</f>
        <v>3.3077914012820578E-2</v>
      </c>
      <c r="E87" s="20">
        <f>SUMIFS(SETORES!$D:$D,SETORES!$A:$A,A87,SETORES!$F:$F,J87)</f>
        <v>173281.41410600001</v>
      </c>
      <c r="F87" s="20">
        <f t="shared" si="6"/>
        <v>5731.7877158182228</v>
      </c>
      <c r="G87" s="9">
        <f>SUMIFS(PARÂMETROS!$F$8:$F$907,PARÂMETROS!$A$8:$A$907,C87,PARÂMETROS!$G$8:$G$907,J87)</f>
        <v>0</v>
      </c>
      <c r="H87" s="20">
        <f t="shared" si="7"/>
        <v>0</v>
      </c>
      <c r="I87" s="20">
        <f t="shared" si="8"/>
        <v>5731.7877158182228</v>
      </c>
      <c r="J87" s="11" t="s">
        <v>11</v>
      </c>
    </row>
    <row r="88" spans="1:10" ht="14.25" hidden="1" customHeight="1" x14ac:dyDescent="0.3">
      <c r="A88" s="2" t="s">
        <v>37</v>
      </c>
      <c r="B88" s="2" t="str">
        <f>INDEX(SETORES!$B:$B,MATCH(A88,SETORES!$A:$A,0))</f>
        <v>Clientes</v>
      </c>
      <c r="C88" s="2" t="s">
        <v>12</v>
      </c>
      <c r="D88" s="14">
        <f>IF(B88="Clientes",SUMIFS(PARÂMETROS!$D$8:$D$907,PARÂMETROS!$A$8:$A$907,C88,PARÂMETROS!$G$8:$G$907,J88),SUMIFS(PARÂMETROS!$E$8:$E$907,PARÂMETROS!$A$8:$A$907,C88,PARÂMETROS!$G$8:$G$907,J88))</f>
        <v>6.886570212940675E-2</v>
      </c>
      <c r="E88" s="21">
        <f>SUMIFS(SETORES!$D:$D,SETORES!$A:$A,A88,SETORES!$F:$F,J88)</f>
        <v>173281.41410600001</v>
      </c>
      <c r="F88" s="21">
        <f t="shared" si="6"/>
        <v>11933.146248386178</v>
      </c>
      <c r="G88" s="14">
        <f>SUMIFS(PARÂMETROS!$F$8:$F$907,PARÂMETROS!$A$8:$A$907,C88,PARÂMETROS!$G$8:$G$907,J88)</f>
        <v>0</v>
      </c>
      <c r="H88" s="21">
        <f t="shared" si="7"/>
        <v>0</v>
      </c>
      <c r="I88" s="21">
        <f t="shared" si="8"/>
        <v>11933.146248386178</v>
      </c>
      <c r="J88" s="2" t="s">
        <v>11</v>
      </c>
    </row>
    <row r="89" spans="1:10" ht="14.25" hidden="1" customHeight="1" x14ac:dyDescent="0.3">
      <c r="A89" s="11" t="s">
        <v>37</v>
      </c>
      <c r="B89" s="19" t="str">
        <f>INDEX(SETORES!$B:$B,MATCH(A89,SETORES!$A:$A,0))</f>
        <v>Clientes</v>
      </c>
      <c r="C89" s="11" t="s">
        <v>13</v>
      </c>
      <c r="D89" s="9">
        <f>IF(B89="Clientes",SUMIFS(PARÂMETROS!$D$8:$D$907,PARÂMETROS!$A$8:$A$907,C89,PARÂMETROS!$G$8:$G$907,J89),SUMIFS(PARÂMETROS!$E$8:$E$907,PARÂMETROS!$A$8:$A$907,C89,PARÂMETROS!$G$8:$G$907,J89))</f>
        <v>7.4116083205452599E-2</v>
      </c>
      <c r="E89" s="20">
        <f>SUMIFS(SETORES!$D:$D,SETORES!$A:$A,A89,SETORES!$F:$F,J89)</f>
        <v>173281.41410600001</v>
      </c>
      <c r="F89" s="20">
        <f t="shared" si="6"/>
        <v>12842.939705838784</v>
      </c>
      <c r="G89" s="9">
        <f>SUMIFS(PARÂMETROS!$F$8:$F$907,PARÂMETROS!$A$8:$A$907,C89,PARÂMETROS!$G$8:$G$907,J89)</f>
        <v>0</v>
      </c>
      <c r="H89" s="20">
        <f t="shared" si="7"/>
        <v>0</v>
      </c>
      <c r="I89" s="20">
        <f t="shared" si="8"/>
        <v>12842.939705838784</v>
      </c>
      <c r="J89" s="11" t="s">
        <v>11</v>
      </c>
    </row>
    <row r="90" spans="1:10" ht="14.25" customHeight="1" x14ac:dyDescent="0.3">
      <c r="A90" s="2" t="s">
        <v>37</v>
      </c>
      <c r="B90" s="2" t="str">
        <f>INDEX(SETORES!$B:$B,MATCH(A90,SETORES!$A:$A,0))</f>
        <v>Clientes</v>
      </c>
      <c r="C90" s="2" t="s">
        <v>14</v>
      </c>
      <c r="D90" s="14">
        <f>IF(B90="Clientes",SUMIFS(PARÂMETROS!$D$8:$D$907,PARÂMETROS!$A$8:$A$907,C90,PARÂMETROS!$G$8:$G$907,J90),SUMIFS(PARÂMETROS!$E$8:$E$907,PARÂMETROS!$A$8:$A$907,C90,PARÂMETROS!$G$8:$G$907,J90))</f>
        <v>1.9010177424901076E-2</v>
      </c>
      <c r="E90" s="21">
        <f>SUMIFS(SETORES!$D:$D,SETORES!$A:$A,A90,SETORES!$F:$F,J90)</f>
        <v>173281.41410600001</v>
      </c>
      <c r="F90" s="21">
        <f t="shared" si="6"/>
        <v>3294.1104265928161</v>
      </c>
      <c r="G90" s="14">
        <f>SUMIFS(PARÂMETROS!$F$8:$F$907,PARÂMETROS!$A$8:$A$907,C90,PARÂMETROS!$G$8:$G$907,J90)</f>
        <v>0</v>
      </c>
      <c r="H90" s="21">
        <f t="shared" si="7"/>
        <v>0</v>
      </c>
      <c r="I90" s="21">
        <f t="shared" si="8"/>
        <v>3294.1104265928161</v>
      </c>
      <c r="J90" s="2" t="s">
        <v>11</v>
      </c>
    </row>
    <row r="91" spans="1:10" ht="14.25" hidden="1" customHeight="1" x14ac:dyDescent="0.3">
      <c r="A91" s="11" t="s">
        <v>37</v>
      </c>
      <c r="B91" s="19" t="str">
        <f>INDEX(SETORES!$B:$B,MATCH(A91,SETORES!$A:$A,0))</f>
        <v>Clientes</v>
      </c>
      <c r="C91" s="11" t="s">
        <v>15</v>
      </c>
      <c r="D91" s="9">
        <f>IF(B91="Clientes",SUMIFS(PARÂMETROS!$D$8:$D$907,PARÂMETROS!$A$8:$A$907,C91,PARÂMETROS!$G$8:$G$907,J91),SUMIFS(PARÂMETROS!$E$8:$E$907,PARÂMETROS!$A$8:$A$907,C91,PARÂMETROS!$G$8:$G$907,J91))</f>
        <v>3.302145830232546E-2</v>
      </c>
      <c r="E91" s="20">
        <f>SUMIFS(SETORES!$D:$D,SETORES!$A:$A,A91,SETORES!$F:$F,J91)</f>
        <v>173281.41410600001</v>
      </c>
      <c r="F91" s="20">
        <f t="shared" si="6"/>
        <v>5722.0049904692705</v>
      </c>
      <c r="G91" s="9">
        <f>SUMIFS(PARÂMETROS!$F$8:$F$907,PARÂMETROS!$A$8:$A$907,C91,PARÂMETROS!$G$8:$G$907,J91)</f>
        <v>0</v>
      </c>
      <c r="H91" s="20">
        <f t="shared" si="7"/>
        <v>0</v>
      </c>
      <c r="I91" s="20">
        <f t="shared" si="8"/>
        <v>5722.0049904692705</v>
      </c>
      <c r="J91" s="11" t="s">
        <v>11</v>
      </c>
    </row>
    <row r="92" spans="1:10" ht="14.25" hidden="1" customHeight="1" x14ac:dyDescent="0.3">
      <c r="A92" s="2" t="s">
        <v>37</v>
      </c>
      <c r="B92" s="2" t="str">
        <f>INDEX(SETORES!$B:$B,MATCH(A92,SETORES!$A:$A,0))</f>
        <v>Clientes</v>
      </c>
      <c r="C92" s="2" t="s">
        <v>16</v>
      </c>
      <c r="D92" s="14">
        <f>IF(B92="Clientes",SUMIFS(PARÂMETROS!$D$8:$D$907,PARÂMETROS!$A$8:$A$907,C92,PARÂMETROS!$G$8:$G$907,J92),SUMIFS(PARÂMETROS!$E$8:$E$907,PARÂMETROS!$A$8:$A$907,C92,PARÂMETROS!$G$8:$G$907,J92))</f>
        <v>2.437346992193715E-2</v>
      </c>
      <c r="E92" s="21">
        <f>SUMIFS(SETORES!$D:$D,SETORES!$A:$A,A92,SETORES!$F:$F,J92)</f>
        <v>173281.41410600001</v>
      </c>
      <c r="F92" s="21">
        <f t="shared" si="6"/>
        <v>4223.4693347433267</v>
      </c>
      <c r="G92" s="14">
        <f>SUMIFS(PARÂMETROS!$F$8:$F$907,PARÂMETROS!$A$8:$A$907,C92,PARÂMETROS!$G$8:$G$907,J92)</f>
        <v>0</v>
      </c>
      <c r="H92" s="21">
        <f t="shared" si="7"/>
        <v>0</v>
      </c>
      <c r="I92" s="21">
        <f t="shared" si="8"/>
        <v>4223.4693347433267</v>
      </c>
      <c r="J92" s="2" t="s">
        <v>11</v>
      </c>
    </row>
    <row r="93" spans="1:10" ht="14.25" hidden="1" customHeight="1" x14ac:dyDescent="0.3">
      <c r="A93" s="11" t="s">
        <v>37</v>
      </c>
      <c r="B93" s="19" t="str">
        <f>INDEX(SETORES!$B:$B,MATCH(A93,SETORES!$A:$A,0))</f>
        <v>Clientes</v>
      </c>
      <c r="C93" s="11" t="s">
        <v>17</v>
      </c>
      <c r="D93" s="9">
        <f>IF(B93="Clientes",SUMIFS(PARÂMETROS!$D$8:$D$907,PARÂMETROS!$A$8:$A$907,C93,PARÂMETROS!$G$8:$G$907,J93),SUMIFS(PARÂMETROS!$E$8:$E$907,PARÂMETROS!$A$8:$A$907,C93,PARÂMETROS!$G$8:$G$907,J93))</f>
        <v>2.460955743855309E-2</v>
      </c>
      <c r="E93" s="20">
        <f>SUMIFS(SETORES!$D:$D,SETORES!$A:$A,A93,SETORES!$F:$F,J93)</f>
        <v>173281.41410600001</v>
      </c>
      <c r="F93" s="20">
        <f t="shared" si="6"/>
        <v>4264.3789134753106</v>
      </c>
      <c r="G93" s="9">
        <f>SUMIFS(PARÂMETROS!$F$8:$F$907,PARÂMETROS!$A$8:$A$907,C93,PARÂMETROS!$G$8:$G$907,J93)</f>
        <v>0</v>
      </c>
      <c r="H93" s="20">
        <f t="shared" si="7"/>
        <v>0</v>
      </c>
      <c r="I93" s="20">
        <f t="shared" si="8"/>
        <v>4264.3789134753106</v>
      </c>
      <c r="J93" s="11" t="s">
        <v>11</v>
      </c>
    </row>
    <row r="94" spans="1:10" ht="14.25" hidden="1" customHeight="1" x14ac:dyDescent="0.3">
      <c r="A94" s="2" t="s">
        <v>37</v>
      </c>
      <c r="B94" s="2" t="str">
        <f>INDEX(SETORES!$B:$B,MATCH(A94,SETORES!$A:$A,0))</f>
        <v>Clientes</v>
      </c>
      <c r="C94" s="2" t="s">
        <v>18</v>
      </c>
      <c r="D94" s="14">
        <f>IF(B94="Clientes",SUMIFS(PARÂMETROS!$D$8:$D$907,PARÂMETROS!$A$8:$A$907,C94,PARÂMETROS!$G$8:$G$907,J94),SUMIFS(PARÂMETROS!$E$8:$E$907,PARÂMETROS!$A$8:$A$907,C94,PARÂMETROS!$G$8:$G$907,J94))</f>
        <v>0.72292563756460326</v>
      </c>
      <c r="E94" s="21">
        <f>SUMIFS(SETORES!$D:$D,SETORES!$A:$A,A94,SETORES!$F:$F,J94)</f>
        <v>173281.41410600001</v>
      </c>
      <c r="F94" s="21">
        <f t="shared" si="6"/>
        <v>125269.5767706761</v>
      </c>
      <c r="G94" s="14">
        <f>SUMIFS(PARÂMETROS!$F$8:$F$907,PARÂMETROS!$A$8:$A$907,C94,PARÂMETROS!$G$8:$G$907,J94)</f>
        <v>0</v>
      </c>
      <c r="H94" s="21">
        <f t="shared" si="7"/>
        <v>0</v>
      </c>
      <c r="I94" s="21">
        <f t="shared" si="8"/>
        <v>125269.5767706761</v>
      </c>
      <c r="J94" s="2" t="s">
        <v>11</v>
      </c>
    </row>
    <row r="95" spans="1:10" ht="14.25" hidden="1" customHeight="1" x14ac:dyDescent="0.3">
      <c r="A95" s="11" t="s">
        <v>38</v>
      </c>
      <c r="B95" s="19" t="str">
        <f>INDEX(SETORES!$B:$B,MATCH(A95,SETORES!$A:$A,0))</f>
        <v>Clientes</v>
      </c>
      <c r="C95" s="11" t="s">
        <v>10</v>
      </c>
      <c r="D95" s="9">
        <f>IF(B95="Clientes",SUMIFS(PARÂMETROS!$D$8:$D$907,PARÂMETROS!$A$8:$A$907,C95,PARÂMETROS!$G$8:$G$907,J95),SUMIFS(PARÂMETROS!$E$8:$E$907,PARÂMETROS!$A$8:$A$907,C95,PARÂMETROS!$G$8:$G$907,J95))</f>
        <v>3.3077914012820578E-2</v>
      </c>
      <c r="E95" s="20">
        <f>SUMIFS(SETORES!$D:$D,SETORES!$A:$A,A95,SETORES!$F:$F,J95)</f>
        <v>42678.53605100001</v>
      </c>
      <c r="F95" s="20">
        <f t="shared" si="6"/>
        <v>1411.7169456880415</v>
      </c>
      <c r="G95" s="9">
        <f>SUMIFS(PARÂMETROS!$F$8:$F$907,PARÂMETROS!$A$8:$A$907,C95,PARÂMETROS!$G$8:$G$907,J95)</f>
        <v>0</v>
      </c>
      <c r="H95" s="20">
        <f t="shared" si="7"/>
        <v>0</v>
      </c>
      <c r="I95" s="20">
        <f t="shared" si="8"/>
        <v>1411.7169456880415</v>
      </c>
      <c r="J95" s="11" t="s">
        <v>11</v>
      </c>
    </row>
    <row r="96" spans="1:10" ht="14.25" hidden="1" customHeight="1" x14ac:dyDescent="0.3">
      <c r="A96" s="2" t="s">
        <v>38</v>
      </c>
      <c r="B96" s="2" t="str">
        <f>INDEX(SETORES!$B:$B,MATCH(A96,SETORES!$A:$A,0))</f>
        <v>Clientes</v>
      </c>
      <c r="C96" s="2" t="s">
        <v>12</v>
      </c>
      <c r="D96" s="14">
        <f>IF(B96="Clientes",SUMIFS(PARÂMETROS!$D$8:$D$907,PARÂMETROS!$A$8:$A$907,C96,PARÂMETROS!$G$8:$G$907,J96),SUMIFS(PARÂMETROS!$E$8:$E$907,PARÂMETROS!$A$8:$A$907,C96,PARÂMETROS!$G$8:$G$907,J96))</f>
        <v>6.886570212940675E-2</v>
      </c>
      <c r="E96" s="21">
        <f>SUMIFS(SETORES!$D:$D,SETORES!$A:$A,A96,SETORES!$F:$F,J96)</f>
        <v>42678.53605100001</v>
      </c>
      <c r="F96" s="21">
        <f t="shared" si="6"/>
        <v>2939.0873510073143</v>
      </c>
      <c r="G96" s="14">
        <f>SUMIFS(PARÂMETROS!$F$8:$F$907,PARÂMETROS!$A$8:$A$907,C96,PARÂMETROS!$G$8:$G$907,J96)</f>
        <v>0</v>
      </c>
      <c r="H96" s="21">
        <f t="shared" si="7"/>
        <v>0</v>
      </c>
      <c r="I96" s="21">
        <f t="shared" si="8"/>
        <v>2939.0873510073143</v>
      </c>
      <c r="J96" s="2" t="s">
        <v>11</v>
      </c>
    </row>
    <row r="97" spans="1:10" ht="14.25" hidden="1" customHeight="1" x14ac:dyDescent="0.3">
      <c r="A97" s="11" t="s">
        <v>38</v>
      </c>
      <c r="B97" s="19" t="str">
        <f>INDEX(SETORES!$B:$B,MATCH(A97,SETORES!$A:$A,0))</f>
        <v>Clientes</v>
      </c>
      <c r="C97" s="11" t="s">
        <v>13</v>
      </c>
      <c r="D97" s="9">
        <f>IF(B97="Clientes",SUMIFS(PARÂMETROS!$D$8:$D$907,PARÂMETROS!$A$8:$A$907,C97,PARÂMETROS!$G$8:$G$907,J97),SUMIFS(PARÂMETROS!$E$8:$E$907,PARÂMETROS!$A$8:$A$907,C97,PARÂMETROS!$G$8:$G$907,J97))</f>
        <v>7.4116083205452599E-2</v>
      </c>
      <c r="E97" s="20">
        <f>SUMIFS(SETORES!$D:$D,SETORES!$A:$A,A97,SETORES!$F:$F,J97)</f>
        <v>42678.53605100001</v>
      </c>
      <c r="F97" s="20">
        <f t="shared" si="6"/>
        <v>3163.1659290428252</v>
      </c>
      <c r="G97" s="9">
        <f>SUMIFS(PARÂMETROS!$F$8:$F$907,PARÂMETROS!$A$8:$A$907,C97,PARÂMETROS!$G$8:$G$907,J97)</f>
        <v>0</v>
      </c>
      <c r="H97" s="20">
        <f t="shared" si="7"/>
        <v>0</v>
      </c>
      <c r="I97" s="20">
        <f t="shared" si="8"/>
        <v>3163.1659290428252</v>
      </c>
      <c r="J97" s="11" t="s">
        <v>11</v>
      </c>
    </row>
    <row r="98" spans="1:10" ht="14.25" customHeight="1" x14ac:dyDescent="0.3">
      <c r="A98" s="2" t="s">
        <v>38</v>
      </c>
      <c r="B98" s="2" t="str">
        <f>INDEX(SETORES!$B:$B,MATCH(A98,SETORES!$A:$A,0))</f>
        <v>Clientes</v>
      </c>
      <c r="C98" s="2" t="s">
        <v>14</v>
      </c>
      <c r="D98" s="14">
        <f>IF(B98="Clientes",SUMIFS(PARÂMETROS!$D$8:$D$907,PARÂMETROS!$A$8:$A$907,C98,PARÂMETROS!$G$8:$G$907,J98),SUMIFS(PARÂMETROS!$E$8:$E$907,PARÂMETROS!$A$8:$A$907,C98,PARÂMETROS!$G$8:$G$907,J98))</f>
        <v>1.9010177424901076E-2</v>
      </c>
      <c r="E98" s="21">
        <f>SUMIFS(SETORES!$D:$D,SETORES!$A:$A,A98,SETORES!$F:$F,J98)</f>
        <v>42678.53605100001</v>
      </c>
      <c r="F98" s="21">
        <f t="shared" si="6"/>
        <v>811.32654256454714</v>
      </c>
      <c r="G98" s="14">
        <f>SUMIFS(PARÂMETROS!$F$8:$F$907,PARÂMETROS!$A$8:$A$907,C98,PARÂMETROS!$G$8:$G$907,J98)</f>
        <v>0</v>
      </c>
      <c r="H98" s="21">
        <f t="shared" si="7"/>
        <v>0</v>
      </c>
      <c r="I98" s="21">
        <f t="shared" si="8"/>
        <v>811.32654256454714</v>
      </c>
      <c r="J98" s="2" t="s">
        <v>11</v>
      </c>
    </row>
    <row r="99" spans="1:10" ht="14.25" hidden="1" customHeight="1" x14ac:dyDescent="0.3">
      <c r="A99" s="11" t="s">
        <v>38</v>
      </c>
      <c r="B99" s="19" t="str">
        <f>INDEX(SETORES!$B:$B,MATCH(A99,SETORES!$A:$A,0))</f>
        <v>Clientes</v>
      </c>
      <c r="C99" s="11" t="s">
        <v>15</v>
      </c>
      <c r="D99" s="9">
        <f>IF(B99="Clientes",SUMIFS(PARÂMETROS!$D$8:$D$907,PARÂMETROS!$A$8:$A$907,C99,PARÂMETROS!$G$8:$G$907,J99),SUMIFS(PARÂMETROS!$E$8:$E$907,PARÂMETROS!$A$8:$A$907,C99,PARÂMETROS!$G$8:$G$907,J99))</f>
        <v>3.302145830232546E-2</v>
      </c>
      <c r="E99" s="20">
        <f>SUMIFS(SETORES!$D:$D,SETORES!$A:$A,A99,SETORES!$F:$F,J99)</f>
        <v>42678.53605100001</v>
      </c>
      <c r="F99" s="20">
        <f t="shared" si="6"/>
        <v>1409.3074986123906</v>
      </c>
      <c r="G99" s="9">
        <f>SUMIFS(PARÂMETROS!$F$8:$F$907,PARÂMETROS!$A$8:$A$907,C99,PARÂMETROS!$G$8:$G$907,J99)</f>
        <v>0</v>
      </c>
      <c r="H99" s="20">
        <f t="shared" si="7"/>
        <v>0</v>
      </c>
      <c r="I99" s="20">
        <f t="shared" si="8"/>
        <v>1409.3074986123906</v>
      </c>
      <c r="J99" s="11" t="s">
        <v>11</v>
      </c>
    </row>
    <row r="100" spans="1:10" ht="14.25" hidden="1" customHeight="1" x14ac:dyDescent="0.3">
      <c r="A100" s="2" t="s">
        <v>38</v>
      </c>
      <c r="B100" s="2" t="str">
        <f>INDEX(SETORES!$B:$B,MATCH(A100,SETORES!$A:$A,0))</f>
        <v>Clientes</v>
      </c>
      <c r="C100" s="2" t="s">
        <v>16</v>
      </c>
      <c r="D100" s="14">
        <f>IF(B100="Clientes",SUMIFS(PARÂMETROS!$D$8:$D$907,PARÂMETROS!$A$8:$A$907,C100,PARÂMETROS!$G$8:$G$907,J100),SUMIFS(PARÂMETROS!$E$8:$E$907,PARÂMETROS!$A$8:$A$907,C100,PARÂMETROS!$G$8:$G$907,J100))</f>
        <v>2.437346992193715E-2</v>
      </c>
      <c r="E100" s="21">
        <f>SUMIFS(SETORES!$D:$D,SETORES!$A:$A,A100,SETORES!$F:$F,J100)</f>
        <v>42678.53605100001</v>
      </c>
      <c r="F100" s="21">
        <f t="shared" si="6"/>
        <v>1040.2240147513592</v>
      </c>
      <c r="G100" s="14">
        <f>SUMIFS(PARÂMETROS!$F$8:$F$907,PARÂMETROS!$A$8:$A$907,C100,PARÂMETROS!$G$8:$G$907,J100)</f>
        <v>0</v>
      </c>
      <c r="H100" s="21">
        <f t="shared" si="7"/>
        <v>0</v>
      </c>
      <c r="I100" s="21">
        <f t="shared" si="8"/>
        <v>1040.2240147513592</v>
      </c>
      <c r="J100" s="2" t="s">
        <v>11</v>
      </c>
    </row>
    <row r="101" spans="1:10" ht="14.25" hidden="1" customHeight="1" x14ac:dyDescent="0.3">
      <c r="A101" s="11" t="s">
        <v>38</v>
      </c>
      <c r="B101" s="19" t="str">
        <f>INDEX(SETORES!$B:$B,MATCH(A101,SETORES!$A:$A,0))</f>
        <v>Clientes</v>
      </c>
      <c r="C101" s="11" t="s">
        <v>17</v>
      </c>
      <c r="D101" s="9">
        <f>IF(B101="Clientes",SUMIFS(PARÂMETROS!$D$8:$D$907,PARÂMETROS!$A$8:$A$907,C101,PARÂMETROS!$G$8:$G$907,J101),SUMIFS(PARÂMETROS!$E$8:$E$907,PARÂMETROS!$A$8:$A$907,C101,PARÂMETROS!$G$8:$G$907,J101))</f>
        <v>2.460955743855309E-2</v>
      </c>
      <c r="E101" s="20">
        <f>SUMIFS(SETORES!$D:$D,SETORES!$A:$A,A101,SETORES!$F:$F,J101)</f>
        <v>42678.53605100001</v>
      </c>
      <c r="F101" s="20">
        <f t="shared" si="6"/>
        <v>1050.2998843404434</v>
      </c>
      <c r="G101" s="9">
        <f>SUMIFS(PARÂMETROS!$F$8:$F$907,PARÂMETROS!$A$8:$A$907,C101,PARÂMETROS!$G$8:$G$907,J101)</f>
        <v>0</v>
      </c>
      <c r="H101" s="20">
        <f t="shared" si="7"/>
        <v>0</v>
      </c>
      <c r="I101" s="20">
        <f t="shared" si="8"/>
        <v>1050.2998843404434</v>
      </c>
      <c r="J101" s="11" t="s">
        <v>11</v>
      </c>
    </row>
    <row r="102" spans="1:10" ht="14.25" hidden="1" customHeight="1" x14ac:dyDescent="0.3">
      <c r="A102" s="2" t="s">
        <v>38</v>
      </c>
      <c r="B102" s="2" t="str">
        <f>INDEX(SETORES!$B:$B,MATCH(A102,SETORES!$A:$A,0))</f>
        <v>Clientes</v>
      </c>
      <c r="C102" s="2" t="s">
        <v>18</v>
      </c>
      <c r="D102" s="14">
        <f>IF(B102="Clientes",SUMIFS(PARÂMETROS!$D$8:$D$907,PARÂMETROS!$A$8:$A$907,C102,PARÂMETROS!$G$8:$G$907,J102),SUMIFS(PARÂMETROS!$E$8:$E$907,PARÂMETROS!$A$8:$A$907,C102,PARÂMETROS!$G$8:$G$907,J102))</f>
        <v>0.72292563756460326</v>
      </c>
      <c r="E102" s="21">
        <f>SUMIFS(SETORES!$D:$D,SETORES!$A:$A,A102,SETORES!$F:$F,J102)</f>
        <v>42678.53605100001</v>
      </c>
      <c r="F102" s="21">
        <f t="shared" si="6"/>
        <v>30853.407884993088</v>
      </c>
      <c r="G102" s="14">
        <f>SUMIFS(PARÂMETROS!$F$8:$F$907,PARÂMETROS!$A$8:$A$907,C102,PARÂMETROS!$G$8:$G$907,J102)</f>
        <v>0</v>
      </c>
      <c r="H102" s="21">
        <f t="shared" si="7"/>
        <v>0</v>
      </c>
      <c r="I102" s="21">
        <f t="shared" si="8"/>
        <v>30853.407884993088</v>
      </c>
      <c r="J102" s="2" t="s">
        <v>11</v>
      </c>
    </row>
    <row r="103" spans="1:10" ht="14.25" hidden="1" customHeight="1" x14ac:dyDescent="0.3">
      <c r="A103" s="11" t="s">
        <v>39</v>
      </c>
      <c r="B103" s="19" t="str">
        <f>INDEX(SETORES!$B:$B,MATCH(A103,SETORES!$A:$A,0))</f>
        <v>Clientes</v>
      </c>
      <c r="C103" s="11" t="s">
        <v>10</v>
      </c>
      <c r="D103" s="9">
        <f>IF(B103="Clientes",SUMIFS(PARÂMETROS!$D$8:$D$907,PARÂMETROS!$A$8:$A$907,C103,PARÂMETROS!$G$8:$G$907,J103),SUMIFS(PARÂMETROS!$E$8:$E$907,PARÂMETROS!$A$8:$A$907,C103,PARÂMETROS!$G$8:$G$907,J103))</f>
        <v>3.3077914012820578E-2</v>
      </c>
      <c r="E103" s="20">
        <f>SUMIFS(SETORES!$D:$D,SETORES!$A:$A,A103,SETORES!$F:$F,J103)</f>
        <v>51023.148556</v>
      </c>
      <c r="F103" s="20">
        <f t="shared" ref="F103:F166" si="9">IFERROR(D103*E103,0)</f>
        <v>1687.7393205987385</v>
      </c>
      <c r="G103" s="9">
        <f>SUMIFS(PARÂMETROS!$F$8:$F$907,PARÂMETROS!$A$8:$A$907,C103,PARÂMETROS!$G$8:$G$907,J103)</f>
        <v>0</v>
      </c>
      <c r="H103" s="20">
        <f t="shared" ref="H103:H166" si="10">IFERROR(F103*G103,0)</f>
        <v>0</v>
      </c>
      <c r="I103" s="20">
        <f t="shared" ref="I103:I166" si="11">F103+H103</f>
        <v>1687.7393205987385</v>
      </c>
      <c r="J103" s="11" t="s">
        <v>11</v>
      </c>
    </row>
    <row r="104" spans="1:10" ht="14.25" hidden="1" customHeight="1" x14ac:dyDescent="0.3">
      <c r="A104" s="2" t="s">
        <v>39</v>
      </c>
      <c r="B104" s="2" t="str">
        <f>INDEX(SETORES!$B:$B,MATCH(A104,SETORES!$A:$A,0))</f>
        <v>Clientes</v>
      </c>
      <c r="C104" s="2" t="s">
        <v>12</v>
      </c>
      <c r="D104" s="14">
        <f>IF(B104="Clientes",SUMIFS(PARÂMETROS!$D$8:$D$907,PARÂMETROS!$A$8:$A$907,C104,PARÂMETROS!$G$8:$G$907,J104),SUMIFS(PARÂMETROS!$E$8:$E$907,PARÂMETROS!$A$8:$A$907,C104,PARÂMETROS!$G$8:$G$907,J104))</f>
        <v>6.886570212940675E-2</v>
      </c>
      <c r="E104" s="21">
        <f>SUMIFS(SETORES!$D:$D,SETORES!$A:$A,A104,SETORES!$F:$F,J104)</f>
        <v>51023.148556</v>
      </c>
      <c r="F104" s="21">
        <f t="shared" si="9"/>
        <v>3513.7449501619662</v>
      </c>
      <c r="G104" s="14">
        <f>SUMIFS(PARÂMETROS!$F$8:$F$907,PARÂMETROS!$A$8:$A$907,C104,PARÂMETROS!$G$8:$G$907,J104)</f>
        <v>0</v>
      </c>
      <c r="H104" s="21">
        <f t="shared" si="10"/>
        <v>0</v>
      </c>
      <c r="I104" s="21">
        <f t="shared" si="11"/>
        <v>3513.7449501619662</v>
      </c>
      <c r="J104" s="2" t="s">
        <v>11</v>
      </c>
    </row>
    <row r="105" spans="1:10" ht="14.25" hidden="1" customHeight="1" x14ac:dyDescent="0.3">
      <c r="A105" s="11" t="s">
        <v>39</v>
      </c>
      <c r="B105" s="19" t="str">
        <f>INDEX(SETORES!$B:$B,MATCH(A105,SETORES!$A:$A,0))</f>
        <v>Clientes</v>
      </c>
      <c r="C105" s="11" t="s">
        <v>13</v>
      </c>
      <c r="D105" s="9">
        <f>IF(B105="Clientes",SUMIFS(PARÂMETROS!$D$8:$D$907,PARÂMETROS!$A$8:$A$907,C105,PARÂMETROS!$G$8:$G$907,J105),SUMIFS(PARÂMETROS!$E$8:$E$907,PARÂMETROS!$A$8:$A$907,C105,PARÂMETROS!$G$8:$G$907,J105))</f>
        <v>7.4116083205452599E-2</v>
      </c>
      <c r="E105" s="20">
        <f>SUMIFS(SETORES!$D:$D,SETORES!$A:$A,A105,SETORES!$F:$F,J105)</f>
        <v>51023.148556</v>
      </c>
      <c r="F105" s="20">
        <f t="shared" si="9"/>
        <v>3781.6359237806646</v>
      </c>
      <c r="G105" s="9">
        <f>SUMIFS(PARÂMETROS!$F$8:$F$907,PARÂMETROS!$A$8:$A$907,C105,PARÂMETROS!$G$8:$G$907,J105)</f>
        <v>0</v>
      </c>
      <c r="H105" s="20">
        <f t="shared" si="10"/>
        <v>0</v>
      </c>
      <c r="I105" s="20">
        <f t="shared" si="11"/>
        <v>3781.6359237806646</v>
      </c>
      <c r="J105" s="11" t="s">
        <v>11</v>
      </c>
    </row>
    <row r="106" spans="1:10" ht="14.25" customHeight="1" x14ac:dyDescent="0.3">
      <c r="A106" s="2" t="s">
        <v>39</v>
      </c>
      <c r="B106" s="2" t="str">
        <f>INDEX(SETORES!$B:$B,MATCH(A106,SETORES!$A:$A,0))</f>
        <v>Clientes</v>
      </c>
      <c r="C106" s="2" t="s">
        <v>14</v>
      </c>
      <c r="D106" s="14">
        <f>IF(B106="Clientes",SUMIFS(PARÂMETROS!$D$8:$D$907,PARÂMETROS!$A$8:$A$907,C106,PARÂMETROS!$G$8:$G$907,J106),SUMIFS(PARÂMETROS!$E$8:$E$907,PARÂMETROS!$A$8:$A$907,C106,PARÂMETROS!$G$8:$G$907,J106))</f>
        <v>1.9010177424901076E-2</v>
      </c>
      <c r="E106" s="21">
        <f>SUMIFS(SETORES!$D:$D,SETORES!$A:$A,A106,SETORES!$F:$F,J106)</f>
        <v>51023.148556</v>
      </c>
      <c r="F106" s="21">
        <f t="shared" si="9"/>
        <v>969.9591068266451</v>
      </c>
      <c r="G106" s="14">
        <f>SUMIFS(PARÂMETROS!$F$8:$F$907,PARÂMETROS!$A$8:$A$907,C106,PARÂMETROS!$G$8:$G$907,J106)</f>
        <v>0</v>
      </c>
      <c r="H106" s="21">
        <f t="shared" si="10"/>
        <v>0</v>
      </c>
      <c r="I106" s="21">
        <f t="shared" si="11"/>
        <v>969.9591068266451</v>
      </c>
      <c r="J106" s="2" t="s">
        <v>11</v>
      </c>
    </row>
    <row r="107" spans="1:10" ht="14.25" hidden="1" customHeight="1" x14ac:dyDescent="0.3">
      <c r="A107" s="11" t="s">
        <v>39</v>
      </c>
      <c r="B107" s="19" t="str">
        <f>INDEX(SETORES!$B:$B,MATCH(A107,SETORES!$A:$A,0))</f>
        <v>Clientes</v>
      </c>
      <c r="C107" s="11" t="s">
        <v>15</v>
      </c>
      <c r="D107" s="9">
        <f>IF(B107="Clientes",SUMIFS(PARÂMETROS!$D$8:$D$907,PARÂMETROS!$A$8:$A$907,C107,PARÂMETROS!$G$8:$G$907,J107),SUMIFS(PARÂMETROS!$E$8:$E$907,PARÂMETROS!$A$8:$A$907,C107,PARÂMETROS!$G$8:$G$907,J107))</f>
        <v>3.302145830232546E-2</v>
      </c>
      <c r="E107" s="20">
        <f>SUMIFS(SETORES!$D:$D,SETORES!$A:$A,A107,SETORES!$F:$F,J107)</f>
        <v>51023.148556</v>
      </c>
      <c r="F107" s="20">
        <f t="shared" si="9"/>
        <v>1684.8587724953115</v>
      </c>
      <c r="G107" s="9">
        <f>SUMIFS(PARÂMETROS!$F$8:$F$907,PARÂMETROS!$A$8:$A$907,C107,PARÂMETROS!$G$8:$G$907,J107)</f>
        <v>0</v>
      </c>
      <c r="H107" s="20">
        <f t="shared" si="10"/>
        <v>0</v>
      </c>
      <c r="I107" s="20">
        <f t="shared" si="11"/>
        <v>1684.8587724953115</v>
      </c>
      <c r="J107" s="11" t="s">
        <v>11</v>
      </c>
    </row>
    <row r="108" spans="1:10" ht="14.25" hidden="1" customHeight="1" x14ac:dyDescent="0.3">
      <c r="A108" s="2" t="s">
        <v>39</v>
      </c>
      <c r="B108" s="2" t="str">
        <f>INDEX(SETORES!$B:$B,MATCH(A108,SETORES!$A:$A,0))</f>
        <v>Clientes</v>
      </c>
      <c r="C108" s="2" t="s">
        <v>16</v>
      </c>
      <c r="D108" s="14">
        <f>IF(B108="Clientes",SUMIFS(PARÂMETROS!$D$8:$D$907,PARÂMETROS!$A$8:$A$907,C108,PARÂMETROS!$G$8:$G$907,J108),SUMIFS(PARÂMETROS!$E$8:$E$907,PARÂMETROS!$A$8:$A$907,C108,PARÂMETROS!$G$8:$G$907,J108))</f>
        <v>2.437346992193715E-2</v>
      </c>
      <c r="E108" s="21">
        <f>SUMIFS(SETORES!$D:$D,SETORES!$A:$A,A108,SETORES!$F:$F,J108)</f>
        <v>51023.148556</v>
      </c>
      <c r="F108" s="21">
        <f t="shared" si="9"/>
        <v>1243.6111766521969</v>
      </c>
      <c r="G108" s="14">
        <f>SUMIFS(PARÂMETROS!$F$8:$F$907,PARÂMETROS!$A$8:$A$907,C108,PARÂMETROS!$G$8:$G$907,J108)</f>
        <v>0</v>
      </c>
      <c r="H108" s="21">
        <f t="shared" si="10"/>
        <v>0</v>
      </c>
      <c r="I108" s="21">
        <f t="shared" si="11"/>
        <v>1243.6111766521969</v>
      </c>
      <c r="J108" s="2" t="s">
        <v>11</v>
      </c>
    </row>
    <row r="109" spans="1:10" ht="14.25" hidden="1" customHeight="1" x14ac:dyDescent="0.3">
      <c r="A109" s="11" t="s">
        <v>39</v>
      </c>
      <c r="B109" s="19" t="str">
        <f>INDEX(SETORES!$B:$B,MATCH(A109,SETORES!$A:$A,0))</f>
        <v>Clientes</v>
      </c>
      <c r="C109" s="11" t="s">
        <v>17</v>
      </c>
      <c r="D109" s="9">
        <f>IF(B109="Clientes",SUMIFS(PARÂMETROS!$D$8:$D$907,PARÂMETROS!$A$8:$A$907,C109,PARÂMETROS!$G$8:$G$907,J109),SUMIFS(PARÂMETROS!$E$8:$E$907,PARÂMETROS!$A$8:$A$907,C109,PARÂMETROS!$G$8:$G$907,J109))</f>
        <v>2.460955743855309E-2</v>
      </c>
      <c r="E109" s="20">
        <f>SUMIFS(SETORES!$D:$D,SETORES!$A:$A,A109,SETORES!$F:$F,J109)</f>
        <v>51023.148556</v>
      </c>
      <c r="F109" s="20">
        <f t="shared" si="9"/>
        <v>1255.6571050847092</v>
      </c>
      <c r="G109" s="9">
        <f>SUMIFS(PARÂMETROS!$F$8:$F$907,PARÂMETROS!$A$8:$A$907,C109,PARÂMETROS!$G$8:$G$907,J109)</f>
        <v>0</v>
      </c>
      <c r="H109" s="20">
        <f t="shared" si="10"/>
        <v>0</v>
      </c>
      <c r="I109" s="20">
        <f t="shared" si="11"/>
        <v>1255.6571050847092</v>
      </c>
      <c r="J109" s="11" t="s">
        <v>11</v>
      </c>
    </row>
    <row r="110" spans="1:10" ht="14.25" hidden="1" customHeight="1" x14ac:dyDescent="0.3">
      <c r="A110" s="2" t="s">
        <v>39</v>
      </c>
      <c r="B110" s="2" t="str">
        <f>INDEX(SETORES!$B:$B,MATCH(A110,SETORES!$A:$A,0))</f>
        <v>Clientes</v>
      </c>
      <c r="C110" s="2" t="s">
        <v>18</v>
      </c>
      <c r="D110" s="14">
        <f>IF(B110="Clientes",SUMIFS(PARÂMETROS!$D$8:$D$907,PARÂMETROS!$A$8:$A$907,C110,PARÂMETROS!$G$8:$G$907,J110),SUMIFS(PARÂMETROS!$E$8:$E$907,PARÂMETROS!$A$8:$A$907,C110,PARÂMETROS!$G$8:$G$907,J110))</f>
        <v>0.72292563756460326</v>
      </c>
      <c r="E110" s="21">
        <f>SUMIFS(SETORES!$D:$D,SETORES!$A:$A,A110,SETORES!$F:$F,J110)</f>
        <v>51023.148556</v>
      </c>
      <c r="F110" s="21">
        <f t="shared" si="9"/>
        <v>36885.942200399768</v>
      </c>
      <c r="G110" s="14">
        <f>SUMIFS(PARÂMETROS!$F$8:$F$907,PARÂMETROS!$A$8:$A$907,C110,PARÂMETROS!$G$8:$G$907,J110)</f>
        <v>0</v>
      </c>
      <c r="H110" s="21">
        <f t="shared" si="10"/>
        <v>0</v>
      </c>
      <c r="I110" s="21">
        <f t="shared" si="11"/>
        <v>36885.942200399768</v>
      </c>
      <c r="J110" s="2" t="s">
        <v>11</v>
      </c>
    </row>
    <row r="111" spans="1:10" ht="14.25" hidden="1" customHeight="1" x14ac:dyDescent="0.3">
      <c r="A111" s="11" t="s">
        <v>40</v>
      </c>
      <c r="B111" s="19" t="str">
        <f>INDEX(SETORES!$B:$B,MATCH(A111,SETORES!$A:$A,0))</f>
        <v>Clientes</v>
      </c>
      <c r="C111" s="11" t="s">
        <v>10</v>
      </c>
      <c r="D111" s="9">
        <f>IF(B111="Clientes",SUMIFS(PARÂMETROS!$D$8:$D$907,PARÂMETROS!$A$8:$A$907,C111,PARÂMETROS!$G$8:$G$907,J111),SUMIFS(PARÂMETROS!$E$8:$E$907,PARÂMETROS!$A$8:$A$907,C111,PARÂMETROS!$G$8:$G$907,J111))</f>
        <v>3.3077914012820578E-2</v>
      </c>
      <c r="E111" s="20">
        <f>SUMIFS(SETORES!$D:$D,SETORES!$A:$A,A111,SETORES!$F:$F,J111)</f>
        <v>38110.164356000001</v>
      </c>
      <c r="F111" s="20">
        <f t="shared" si="9"/>
        <v>1260.6047395822277</v>
      </c>
      <c r="G111" s="9">
        <f>SUMIFS(PARÂMETROS!$F$8:$F$907,PARÂMETROS!$A$8:$A$907,C111,PARÂMETROS!$G$8:$G$907,J111)</f>
        <v>0</v>
      </c>
      <c r="H111" s="20">
        <f t="shared" si="10"/>
        <v>0</v>
      </c>
      <c r="I111" s="20">
        <f t="shared" si="11"/>
        <v>1260.6047395822277</v>
      </c>
      <c r="J111" s="11" t="s">
        <v>11</v>
      </c>
    </row>
    <row r="112" spans="1:10" ht="14.25" hidden="1" customHeight="1" x14ac:dyDescent="0.3">
      <c r="A112" s="2" t="s">
        <v>40</v>
      </c>
      <c r="B112" s="2" t="str">
        <f>INDEX(SETORES!$B:$B,MATCH(A112,SETORES!$A:$A,0))</f>
        <v>Clientes</v>
      </c>
      <c r="C112" s="2" t="s">
        <v>12</v>
      </c>
      <c r="D112" s="14">
        <f>IF(B112="Clientes",SUMIFS(PARÂMETROS!$D$8:$D$907,PARÂMETROS!$A$8:$A$907,C112,PARÂMETROS!$G$8:$G$907,J112),SUMIFS(PARÂMETROS!$E$8:$E$907,PARÂMETROS!$A$8:$A$907,C112,PARÂMETROS!$G$8:$G$907,J112))</f>
        <v>6.886570212940675E-2</v>
      </c>
      <c r="E112" s="21">
        <f>SUMIFS(SETORES!$D:$D,SETORES!$A:$A,A112,SETORES!$F:$F,J112)</f>
        <v>38110.164356000001</v>
      </c>
      <c r="F112" s="21">
        <f t="shared" si="9"/>
        <v>2624.4832266430303</v>
      </c>
      <c r="G112" s="14">
        <f>SUMIFS(PARÂMETROS!$F$8:$F$907,PARÂMETROS!$A$8:$A$907,C112,PARÂMETROS!$G$8:$G$907,J112)</f>
        <v>0</v>
      </c>
      <c r="H112" s="21">
        <f t="shared" si="10"/>
        <v>0</v>
      </c>
      <c r="I112" s="21">
        <f t="shared" si="11"/>
        <v>2624.4832266430303</v>
      </c>
      <c r="J112" s="2" t="s">
        <v>11</v>
      </c>
    </row>
    <row r="113" spans="1:10" ht="14.25" hidden="1" customHeight="1" x14ac:dyDescent="0.3">
      <c r="A113" s="11" t="s">
        <v>40</v>
      </c>
      <c r="B113" s="19" t="str">
        <f>INDEX(SETORES!$B:$B,MATCH(A113,SETORES!$A:$A,0))</f>
        <v>Clientes</v>
      </c>
      <c r="C113" s="11" t="s">
        <v>13</v>
      </c>
      <c r="D113" s="9">
        <f>IF(B113="Clientes",SUMIFS(PARÂMETROS!$D$8:$D$907,PARÂMETROS!$A$8:$A$907,C113,PARÂMETROS!$G$8:$G$907,J113),SUMIFS(PARÂMETROS!$E$8:$E$907,PARÂMETROS!$A$8:$A$907,C113,PARÂMETROS!$G$8:$G$907,J113))</f>
        <v>7.4116083205452599E-2</v>
      </c>
      <c r="E113" s="20">
        <f>SUMIFS(SETORES!$D:$D,SETORES!$A:$A,A113,SETORES!$F:$F,J113)</f>
        <v>38110.164356000001</v>
      </c>
      <c r="F113" s="20">
        <f t="shared" si="9"/>
        <v>2824.5761123827701</v>
      </c>
      <c r="G113" s="9">
        <f>SUMIFS(PARÂMETROS!$F$8:$F$907,PARÂMETROS!$A$8:$A$907,C113,PARÂMETROS!$G$8:$G$907,J113)</f>
        <v>0</v>
      </c>
      <c r="H113" s="20">
        <f t="shared" si="10"/>
        <v>0</v>
      </c>
      <c r="I113" s="20">
        <f t="shared" si="11"/>
        <v>2824.5761123827701</v>
      </c>
      <c r="J113" s="11" t="s">
        <v>11</v>
      </c>
    </row>
    <row r="114" spans="1:10" ht="14.25" customHeight="1" x14ac:dyDescent="0.3">
      <c r="A114" s="2" t="s">
        <v>40</v>
      </c>
      <c r="B114" s="2" t="str">
        <f>INDEX(SETORES!$B:$B,MATCH(A114,SETORES!$A:$A,0))</f>
        <v>Clientes</v>
      </c>
      <c r="C114" s="2" t="s">
        <v>14</v>
      </c>
      <c r="D114" s="14">
        <f>IF(B114="Clientes",SUMIFS(PARÂMETROS!$D$8:$D$907,PARÂMETROS!$A$8:$A$907,C114,PARÂMETROS!$G$8:$G$907,J114),SUMIFS(PARÂMETROS!$E$8:$E$907,PARÂMETROS!$A$8:$A$907,C114,PARÂMETROS!$G$8:$G$907,J114))</f>
        <v>1.9010177424901076E-2</v>
      </c>
      <c r="E114" s="21">
        <f>SUMIFS(SETORES!$D:$D,SETORES!$A:$A,A114,SETORES!$F:$F,J114)</f>
        <v>38110.164356000001</v>
      </c>
      <c r="F114" s="21">
        <f t="shared" si="9"/>
        <v>724.48098609970089</v>
      </c>
      <c r="G114" s="14">
        <f>SUMIFS(PARÂMETROS!$F$8:$F$907,PARÂMETROS!$A$8:$A$907,C114,PARÂMETROS!$G$8:$G$907,J114)</f>
        <v>0</v>
      </c>
      <c r="H114" s="21">
        <f t="shared" si="10"/>
        <v>0</v>
      </c>
      <c r="I114" s="21">
        <f t="shared" si="11"/>
        <v>724.48098609970089</v>
      </c>
      <c r="J114" s="2" t="s">
        <v>11</v>
      </c>
    </row>
    <row r="115" spans="1:10" ht="14.25" hidden="1" customHeight="1" x14ac:dyDescent="0.3">
      <c r="A115" s="11" t="s">
        <v>40</v>
      </c>
      <c r="B115" s="19" t="str">
        <f>INDEX(SETORES!$B:$B,MATCH(A115,SETORES!$A:$A,0))</f>
        <v>Clientes</v>
      </c>
      <c r="C115" s="11" t="s">
        <v>15</v>
      </c>
      <c r="D115" s="9">
        <f>IF(B115="Clientes",SUMIFS(PARÂMETROS!$D$8:$D$907,PARÂMETROS!$A$8:$A$907,C115,PARÂMETROS!$G$8:$G$907,J115),SUMIFS(PARÂMETROS!$E$8:$E$907,PARÂMETROS!$A$8:$A$907,C115,PARÂMETROS!$G$8:$G$907,J115))</f>
        <v>3.302145830232546E-2</v>
      </c>
      <c r="E115" s="20">
        <f>SUMIFS(SETORES!$D:$D,SETORES!$A:$A,A115,SETORES!$F:$F,J115)</f>
        <v>38110.164356000001</v>
      </c>
      <c r="F115" s="20">
        <f t="shared" si="9"/>
        <v>1258.453203176424</v>
      </c>
      <c r="G115" s="9">
        <f>SUMIFS(PARÂMETROS!$F$8:$F$907,PARÂMETROS!$A$8:$A$907,C115,PARÂMETROS!$G$8:$G$907,J115)</f>
        <v>0</v>
      </c>
      <c r="H115" s="20">
        <f t="shared" si="10"/>
        <v>0</v>
      </c>
      <c r="I115" s="20">
        <f t="shared" si="11"/>
        <v>1258.453203176424</v>
      </c>
      <c r="J115" s="11" t="s">
        <v>11</v>
      </c>
    </row>
    <row r="116" spans="1:10" ht="14.25" hidden="1" customHeight="1" x14ac:dyDescent="0.3">
      <c r="A116" s="2" t="s">
        <v>40</v>
      </c>
      <c r="B116" s="2" t="str">
        <f>INDEX(SETORES!$B:$B,MATCH(A116,SETORES!$A:$A,0))</f>
        <v>Clientes</v>
      </c>
      <c r="C116" s="2" t="s">
        <v>16</v>
      </c>
      <c r="D116" s="14">
        <f>IF(B116="Clientes",SUMIFS(PARÂMETROS!$D$8:$D$907,PARÂMETROS!$A$8:$A$907,C116,PARÂMETROS!$G$8:$G$907,J116),SUMIFS(PARÂMETROS!$E$8:$E$907,PARÂMETROS!$A$8:$A$907,C116,PARÂMETROS!$G$8:$G$907,J116))</f>
        <v>2.437346992193715E-2</v>
      </c>
      <c r="E116" s="21">
        <f>SUMIFS(SETORES!$D:$D,SETORES!$A:$A,A116,SETORES!$F:$F,J116)</f>
        <v>38110.164356000001</v>
      </c>
      <c r="F116" s="21">
        <f t="shared" si="9"/>
        <v>928.87694465104732</v>
      </c>
      <c r="G116" s="14">
        <f>SUMIFS(PARÂMETROS!$F$8:$F$907,PARÂMETROS!$A$8:$A$907,C116,PARÂMETROS!$G$8:$G$907,J116)</f>
        <v>0</v>
      </c>
      <c r="H116" s="21">
        <f t="shared" si="10"/>
        <v>0</v>
      </c>
      <c r="I116" s="21">
        <f t="shared" si="11"/>
        <v>928.87694465104732</v>
      </c>
      <c r="J116" s="2" t="s">
        <v>11</v>
      </c>
    </row>
    <row r="117" spans="1:10" ht="14.25" hidden="1" customHeight="1" x14ac:dyDescent="0.3">
      <c r="A117" s="11" t="s">
        <v>40</v>
      </c>
      <c r="B117" s="19" t="str">
        <f>INDEX(SETORES!$B:$B,MATCH(A117,SETORES!$A:$A,0))</f>
        <v>Clientes</v>
      </c>
      <c r="C117" s="11" t="s">
        <v>17</v>
      </c>
      <c r="D117" s="9">
        <f>IF(B117="Clientes",SUMIFS(PARÂMETROS!$D$8:$D$907,PARÂMETROS!$A$8:$A$907,C117,PARÂMETROS!$G$8:$G$907,J117),SUMIFS(PARÂMETROS!$E$8:$E$907,PARÂMETROS!$A$8:$A$907,C117,PARÂMETROS!$G$8:$G$907,J117))</f>
        <v>2.460955743855309E-2</v>
      </c>
      <c r="E117" s="20">
        <f>SUMIFS(SETORES!$D:$D,SETORES!$A:$A,A117,SETORES!$F:$F,J117)</f>
        <v>38110.164356000001</v>
      </c>
      <c r="F117" s="20">
        <f t="shared" si="9"/>
        <v>937.87427871168063</v>
      </c>
      <c r="G117" s="9">
        <f>SUMIFS(PARÂMETROS!$F$8:$F$907,PARÂMETROS!$A$8:$A$907,C117,PARÂMETROS!$G$8:$G$907,J117)</f>
        <v>0</v>
      </c>
      <c r="H117" s="20">
        <f t="shared" si="10"/>
        <v>0</v>
      </c>
      <c r="I117" s="20">
        <f t="shared" si="11"/>
        <v>937.87427871168063</v>
      </c>
      <c r="J117" s="11" t="s">
        <v>11</v>
      </c>
    </row>
    <row r="118" spans="1:10" ht="14.25" hidden="1" customHeight="1" x14ac:dyDescent="0.3">
      <c r="A118" s="2" t="s">
        <v>40</v>
      </c>
      <c r="B118" s="2" t="str">
        <f>INDEX(SETORES!$B:$B,MATCH(A118,SETORES!$A:$A,0))</f>
        <v>Clientes</v>
      </c>
      <c r="C118" s="2" t="s">
        <v>18</v>
      </c>
      <c r="D118" s="14">
        <f>IF(B118="Clientes",SUMIFS(PARÂMETROS!$D$8:$D$907,PARÂMETROS!$A$8:$A$907,C118,PARÂMETROS!$G$8:$G$907,J118),SUMIFS(PARÂMETROS!$E$8:$E$907,PARÂMETROS!$A$8:$A$907,C118,PARÂMETROS!$G$8:$G$907,J118))</f>
        <v>0.72292563756460326</v>
      </c>
      <c r="E118" s="21">
        <f>SUMIFS(SETORES!$D:$D,SETORES!$A:$A,A118,SETORES!$F:$F,J118)</f>
        <v>38110.164356000001</v>
      </c>
      <c r="F118" s="21">
        <f t="shared" si="9"/>
        <v>27550.81486475312</v>
      </c>
      <c r="G118" s="14">
        <f>SUMIFS(PARÂMETROS!$F$8:$F$907,PARÂMETROS!$A$8:$A$907,C118,PARÂMETROS!$G$8:$G$907,J118)</f>
        <v>0</v>
      </c>
      <c r="H118" s="21">
        <f t="shared" si="10"/>
        <v>0</v>
      </c>
      <c r="I118" s="21">
        <f t="shared" si="11"/>
        <v>27550.81486475312</v>
      </c>
      <c r="J118" s="2" t="s">
        <v>11</v>
      </c>
    </row>
    <row r="119" spans="1:10" ht="14.25" hidden="1" customHeight="1" x14ac:dyDescent="0.3">
      <c r="A119" s="11" t="s">
        <v>41</v>
      </c>
      <c r="B119" s="19" t="str">
        <f>INDEX(SETORES!$B:$B,MATCH(A119,SETORES!$A:$A,0))</f>
        <v>Clientes</v>
      </c>
      <c r="C119" s="11" t="s">
        <v>10</v>
      </c>
      <c r="D119" s="9">
        <f>IF(B119="Clientes",SUMIFS(PARÂMETROS!$D$8:$D$907,PARÂMETROS!$A$8:$A$907,C119,PARÂMETROS!$G$8:$G$907,J119),SUMIFS(PARÂMETROS!$E$8:$E$907,PARÂMETROS!$A$8:$A$907,C119,PARÂMETROS!$G$8:$G$907,J119))</f>
        <v>3.3077914012820578E-2</v>
      </c>
      <c r="E119" s="20">
        <f>SUMIFS(SETORES!$D:$D,SETORES!$A:$A,A119,SETORES!$F:$F,J119)</f>
        <v>18198.008564</v>
      </c>
      <c r="F119" s="20">
        <f t="shared" si="9"/>
        <v>601.9521624845645</v>
      </c>
      <c r="G119" s="9">
        <f>SUMIFS(PARÂMETROS!$F$8:$F$907,PARÂMETROS!$A$8:$A$907,C119,PARÂMETROS!$G$8:$G$907,J119)</f>
        <v>0</v>
      </c>
      <c r="H119" s="20">
        <f t="shared" si="10"/>
        <v>0</v>
      </c>
      <c r="I119" s="20">
        <f t="shared" si="11"/>
        <v>601.9521624845645</v>
      </c>
      <c r="J119" s="11" t="s">
        <v>11</v>
      </c>
    </row>
    <row r="120" spans="1:10" ht="14.25" hidden="1" customHeight="1" x14ac:dyDescent="0.3">
      <c r="A120" s="2" t="s">
        <v>41</v>
      </c>
      <c r="B120" s="2" t="str">
        <f>INDEX(SETORES!$B:$B,MATCH(A120,SETORES!$A:$A,0))</f>
        <v>Clientes</v>
      </c>
      <c r="C120" s="2" t="s">
        <v>12</v>
      </c>
      <c r="D120" s="14">
        <f>IF(B120="Clientes",SUMIFS(PARÂMETROS!$D$8:$D$907,PARÂMETROS!$A$8:$A$907,C120,PARÂMETROS!$G$8:$G$907,J120),SUMIFS(PARÂMETROS!$E$8:$E$907,PARÂMETROS!$A$8:$A$907,C120,PARÂMETROS!$G$8:$G$907,J120))</f>
        <v>6.886570212940675E-2</v>
      </c>
      <c r="E120" s="21">
        <f>SUMIFS(SETORES!$D:$D,SETORES!$A:$A,A120,SETORES!$F:$F,J120)</f>
        <v>18198.008564</v>
      </c>
      <c r="F120" s="21">
        <f t="shared" si="9"/>
        <v>1253.218637116817</v>
      </c>
      <c r="G120" s="14">
        <f>SUMIFS(PARÂMETROS!$F$8:$F$907,PARÂMETROS!$A$8:$A$907,C120,PARÂMETROS!$G$8:$G$907,J120)</f>
        <v>0</v>
      </c>
      <c r="H120" s="21">
        <f t="shared" si="10"/>
        <v>0</v>
      </c>
      <c r="I120" s="21">
        <f t="shared" si="11"/>
        <v>1253.218637116817</v>
      </c>
      <c r="J120" s="2" t="s">
        <v>11</v>
      </c>
    </row>
    <row r="121" spans="1:10" ht="14.25" hidden="1" customHeight="1" x14ac:dyDescent="0.3">
      <c r="A121" s="11" t="s">
        <v>41</v>
      </c>
      <c r="B121" s="19" t="str">
        <f>INDEX(SETORES!$B:$B,MATCH(A121,SETORES!$A:$A,0))</f>
        <v>Clientes</v>
      </c>
      <c r="C121" s="11" t="s">
        <v>13</v>
      </c>
      <c r="D121" s="9">
        <f>IF(B121="Clientes",SUMIFS(PARÂMETROS!$D$8:$D$907,PARÂMETROS!$A$8:$A$907,C121,PARÂMETROS!$G$8:$G$907,J121),SUMIFS(PARÂMETROS!$E$8:$E$907,PARÂMETROS!$A$8:$A$907,C121,PARÂMETROS!$G$8:$G$907,J121))</f>
        <v>7.4116083205452599E-2</v>
      </c>
      <c r="E121" s="20">
        <f>SUMIFS(SETORES!$D:$D,SETORES!$A:$A,A121,SETORES!$F:$F,J121)</f>
        <v>18198.008564</v>
      </c>
      <c r="F121" s="20">
        <f t="shared" si="9"/>
        <v>1348.765116902963</v>
      </c>
      <c r="G121" s="9">
        <f>SUMIFS(PARÂMETROS!$F$8:$F$907,PARÂMETROS!$A$8:$A$907,C121,PARÂMETROS!$G$8:$G$907,J121)</f>
        <v>0</v>
      </c>
      <c r="H121" s="20">
        <f t="shared" si="10"/>
        <v>0</v>
      </c>
      <c r="I121" s="20">
        <f t="shared" si="11"/>
        <v>1348.765116902963</v>
      </c>
      <c r="J121" s="11" t="s">
        <v>11</v>
      </c>
    </row>
    <row r="122" spans="1:10" ht="14.25" customHeight="1" x14ac:dyDescent="0.3">
      <c r="A122" s="2" t="s">
        <v>41</v>
      </c>
      <c r="B122" s="2" t="str">
        <f>INDEX(SETORES!$B:$B,MATCH(A122,SETORES!$A:$A,0))</f>
        <v>Clientes</v>
      </c>
      <c r="C122" s="2" t="s">
        <v>14</v>
      </c>
      <c r="D122" s="14">
        <f>IF(B122="Clientes",SUMIFS(PARÂMETROS!$D$8:$D$907,PARÂMETROS!$A$8:$A$907,C122,PARÂMETROS!$G$8:$G$907,J122),SUMIFS(PARÂMETROS!$E$8:$E$907,PARÂMETROS!$A$8:$A$907,C122,PARÂMETROS!$G$8:$G$907,J122))</f>
        <v>1.9010177424901076E-2</v>
      </c>
      <c r="E122" s="21">
        <f>SUMIFS(SETORES!$D:$D,SETORES!$A:$A,A122,SETORES!$F:$F,J122)</f>
        <v>18198.008564</v>
      </c>
      <c r="F122" s="21">
        <f t="shared" si="9"/>
        <v>345.94737158150923</v>
      </c>
      <c r="G122" s="14">
        <f>SUMIFS(PARÂMETROS!$F$8:$F$907,PARÂMETROS!$A$8:$A$907,C122,PARÂMETROS!$G$8:$G$907,J122)</f>
        <v>0</v>
      </c>
      <c r="H122" s="21">
        <f t="shared" si="10"/>
        <v>0</v>
      </c>
      <c r="I122" s="21">
        <f t="shared" si="11"/>
        <v>345.94737158150923</v>
      </c>
      <c r="J122" s="2" t="s">
        <v>11</v>
      </c>
    </row>
    <row r="123" spans="1:10" ht="14.25" hidden="1" customHeight="1" x14ac:dyDescent="0.3">
      <c r="A123" s="11" t="s">
        <v>41</v>
      </c>
      <c r="B123" s="19" t="str">
        <f>INDEX(SETORES!$B:$B,MATCH(A123,SETORES!$A:$A,0))</f>
        <v>Clientes</v>
      </c>
      <c r="C123" s="11" t="s">
        <v>15</v>
      </c>
      <c r="D123" s="9">
        <f>IF(B123="Clientes",SUMIFS(PARÂMETROS!$D$8:$D$907,PARÂMETROS!$A$8:$A$907,C123,PARÂMETROS!$G$8:$G$907,J123),SUMIFS(PARÂMETROS!$E$8:$E$907,PARÂMETROS!$A$8:$A$907,C123,PARÂMETROS!$G$8:$G$907,J123))</f>
        <v>3.302145830232546E-2</v>
      </c>
      <c r="E123" s="20">
        <f>SUMIFS(SETORES!$D:$D,SETORES!$A:$A,A123,SETORES!$F:$F,J123)</f>
        <v>18198.008564</v>
      </c>
      <c r="F123" s="20">
        <f t="shared" si="9"/>
        <v>600.92478098148763</v>
      </c>
      <c r="G123" s="9">
        <f>SUMIFS(PARÂMETROS!$F$8:$F$907,PARÂMETROS!$A$8:$A$907,C123,PARÂMETROS!$G$8:$G$907,J123)</f>
        <v>0</v>
      </c>
      <c r="H123" s="20">
        <f t="shared" si="10"/>
        <v>0</v>
      </c>
      <c r="I123" s="20">
        <f t="shared" si="11"/>
        <v>600.92478098148763</v>
      </c>
      <c r="J123" s="11" t="s">
        <v>11</v>
      </c>
    </row>
    <row r="124" spans="1:10" ht="14.25" hidden="1" customHeight="1" x14ac:dyDescent="0.3">
      <c r="A124" s="2" t="s">
        <v>41</v>
      </c>
      <c r="B124" s="2" t="str">
        <f>INDEX(SETORES!$B:$B,MATCH(A124,SETORES!$A:$A,0))</f>
        <v>Clientes</v>
      </c>
      <c r="C124" s="2" t="s">
        <v>16</v>
      </c>
      <c r="D124" s="14">
        <f>IF(B124="Clientes",SUMIFS(PARÂMETROS!$D$8:$D$907,PARÂMETROS!$A$8:$A$907,C124,PARÂMETROS!$G$8:$G$907,J124),SUMIFS(PARÂMETROS!$E$8:$E$907,PARÂMETROS!$A$8:$A$907,C124,PARÂMETROS!$G$8:$G$907,J124))</f>
        <v>2.437346992193715E-2</v>
      </c>
      <c r="E124" s="21">
        <f>SUMIFS(SETORES!$D:$D,SETORES!$A:$A,A124,SETORES!$F:$F,J124)</f>
        <v>18198.008564</v>
      </c>
      <c r="F124" s="21">
        <f t="shared" si="9"/>
        <v>443.54861437380868</v>
      </c>
      <c r="G124" s="14">
        <f>SUMIFS(PARÂMETROS!$F$8:$F$907,PARÂMETROS!$A$8:$A$907,C124,PARÂMETROS!$G$8:$G$907,J124)</f>
        <v>0</v>
      </c>
      <c r="H124" s="21">
        <f t="shared" si="10"/>
        <v>0</v>
      </c>
      <c r="I124" s="21">
        <f t="shared" si="11"/>
        <v>443.54861437380868</v>
      </c>
      <c r="J124" s="2" t="s">
        <v>11</v>
      </c>
    </row>
    <row r="125" spans="1:10" ht="14.25" hidden="1" customHeight="1" x14ac:dyDescent="0.3">
      <c r="A125" s="11" t="s">
        <v>41</v>
      </c>
      <c r="B125" s="19" t="str">
        <f>INDEX(SETORES!$B:$B,MATCH(A125,SETORES!$A:$A,0))</f>
        <v>Clientes</v>
      </c>
      <c r="C125" s="11" t="s">
        <v>17</v>
      </c>
      <c r="D125" s="9">
        <f>IF(B125="Clientes",SUMIFS(PARÂMETROS!$D$8:$D$907,PARÂMETROS!$A$8:$A$907,C125,PARÂMETROS!$G$8:$G$907,J125),SUMIFS(PARÂMETROS!$E$8:$E$907,PARÂMETROS!$A$8:$A$907,C125,PARÂMETROS!$G$8:$G$907,J125))</f>
        <v>2.460955743855309E-2</v>
      </c>
      <c r="E125" s="20">
        <f>SUMIFS(SETORES!$D:$D,SETORES!$A:$A,A125,SETORES!$F:$F,J125)</f>
        <v>18198.008564</v>
      </c>
      <c r="F125" s="20">
        <f t="shared" si="9"/>
        <v>447.84493702303905</v>
      </c>
      <c r="G125" s="9">
        <f>SUMIFS(PARÂMETROS!$F$8:$F$907,PARÂMETROS!$A$8:$A$907,C125,PARÂMETROS!$G$8:$G$907,J125)</f>
        <v>0</v>
      </c>
      <c r="H125" s="20">
        <f t="shared" si="10"/>
        <v>0</v>
      </c>
      <c r="I125" s="20">
        <f t="shared" si="11"/>
        <v>447.84493702303905</v>
      </c>
      <c r="J125" s="11" t="s">
        <v>11</v>
      </c>
    </row>
    <row r="126" spans="1:10" ht="14.25" hidden="1" customHeight="1" x14ac:dyDescent="0.3">
      <c r="A126" s="2" t="s">
        <v>41</v>
      </c>
      <c r="B126" s="2" t="str">
        <f>INDEX(SETORES!$B:$B,MATCH(A126,SETORES!$A:$A,0))</f>
        <v>Clientes</v>
      </c>
      <c r="C126" s="2" t="s">
        <v>18</v>
      </c>
      <c r="D126" s="14">
        <f>IF(B126="Clientes",SUMIFS(PARÂMETROS!$D$8:$D$907,PARÂMETROS!$A$8:$A$907,C126,PARÂMETROS!$G$8:$G$907,J126),SUMIFS(PARÂMETROS!$E$8:$E$907,PARÂMETROS!$A$8:$A$907,C126,PARÂMETROS!$G$8:$G$907,J126))</f>
        <v>0.72292563756460326</v>
      </c>
      <c r="E126" s="21">
        <f>SUMIFS(SETORES!$D:$D,SETORES!$A:$A,A126,SETORES!$F:$F,J126)</f>
        <v>18198.008564</v>
      </c>
      <c r="F126" s="21">
        <f t="shared" si="9"/>
        <v>13155.80694353581</v>
      </c>
      <c r="G126" s="14">
        <f>SUMIFS(PARÂMETROS!$F$8:$F$907,PARÂMETROS!$A$8:$A$907,C126,PARÂMETROS!$G$8:$G$907,J126)</f>
        <v>0</v>
      </c>
      <c r="H126" s="21">
        <f t="shared" si="10"/>
        <v>0</v>
      </c>
      <c r="I126" s="21">
        <f t="shared" si="11"/>
        <v>13155.80694353581</v>
      </c>
      <c r="J126" s="2" t="s">
        <v>11</v>
      </c>
    </row>
    <row r="127" spans="1:10" ht="14.25" hidden="1" customHeight="1" x14ac:dyDescent="0.3">
      <c r="A127" s="11" t="s">
        <v>42</v>
      </c>
      <c r="B127" s="19" t="str">
        <f>INDEX(SETORES!$B:$B,MATCH(A127,SETORES!$A:$A,0))</f>
        <v>Clientes</v>
      </c>
      <c r="C127" s="11" t="s">
        <v>10</v>
      </c>
      <c r="D127" s="9">
        <f>IF(B127="Clientes",SUMIFS(PARÂMETROS!$D$8:$D$907,PARÂMETROS!$A$8:$A$907,C127,PARÂMETROS!$G$8:$G$907,J127),SUMIFS(PARÂMETROS!$E$8:$E$907,PARÂMETROS!$A$8:$A$907,C127,PARÂMETROS!$G$8:$G$907,J127))</f>
        <v>3.3077914012820578E-2</v>
      </c>
      <c r="E127" s="20">
        <f>SUMIFS(SETORES!$D:$D,SETORES!$A:$A,A127,SETORES!$F:$F,J127)</f>
        <v>28599.527788740801</v>
      </c>
      <c r="F127" s="20">
        <f t="shared" si="9"/>
        <v>946.01272100324081</v>
      </c>
      <c r="G127" s="9">
        <f>SUMIFS(PARÂMETROS!$F$8:$F$907,PARÂMETROS!$A$8:$A$907,C127,PARÂMETROS!$G$8:$G$907,J127)</f>
        <v>0</v>
      </c>
      <c r="H127" s="20">
        <f t="shared" si="10"/>
        <v>0</v>
      </c>
      <c r="I127" s="20">
        <f t="shared" si="11"/>
        <v>946.01272100324081</v>
      </c>
      <c r="J127" s="11" t="s">
        <v>11</v>
      </c>
    </row>
    <row r="128" spans="1:10" ht="14.25" hidden="1" customHeight="1" x14ac:dyDescent="0.3">
      <c r="A128" s="2" t="s">
        <v>42</v>
      </c>
      <c r="B128" s="2" t="str">
        <f>INDEX(SETORES!$B:$B,MATCH(A128,SETORES!$A:$A,0))</f>
        <v>Clientes</v>
      </c>
      <c r="C128" s="2" t="s">
        <v>12</v>
      </c>
      <c r="D128" s="14">
        <f>IF(B128="Clientes",SUMIFS(PARÂMETROS!$D$8:$D$907,PARÂMETROS!$A$8:$A$907,C128,PARÂMETROS!$G$8:$G$907,J128),SUMIFS(PARÂMETROS!$E$8:$E$907,PARÂMETROS!$A$8:$A$907,C128,PARÂMETROS!$G$8:$G$907,J128))</f>
        <v>6.886570212940675E-2</v>
      </c>
      <c r="E128" s="21">
        <f>SUMIFS(SETORES!$D:$D,SETORES!$A:$A,A128,SETORES!$F:$F,J128)</f>
        <v>28599.527788740801</v>
      </c>
      <c r="F128" s="21">
        <f t="shared" si="9"/>
        <v>1969.5265617411148</v>
      </c>
      <c r="G128" s="14">
        <f>SUMIFS(PARÂMETROS!$F$8:$F$907,PARÂMETROS!$A$8:$A$907,C128,PARÂMETROS!$G$8:$G$907,J128)</f>
        <v>0</v>
      </c>
      <c r="H128" s="21">
        <f t="shared" si="10"/>
        <v>0</v>
      </c>
      <c r="I128" s="21">
        <f t="shared" si="11"/>
        <v>1969.5265617411148</v>
      </c>
      <c r="J128" s="2" t="s">
        <v>11</v>
      </c>
    </row>
    <row r="129" spans="1:10" ht="14.25" hidden="1" customHeight="1" x14ac:dyDescent="0.3">
      <c r="A129" s="11" t="s">
        <v>42</v>
      </c>
      <c r="B129" s="19" t="str">
        <f>INDEX(SETORES!$B:$B,MATCH(A129,SETORES!$A:$A,0))</f>
        <v>Clientes</v>
      </c>
      <c r="C129" s="11" t="s">
        <v>13</v>
      </c>
      <c r="D129" s="9">
        <f>IF(B129="Clientes",SUMIFS(PARÂMETROS!$D$8:$D$907,PARÂMETROS!$A$8:$A$907,C129,PARÂMETROS!$G$8:$G$907,J129),SUMIFS(PARÂMETROS!$E$8:$E$907,PARÂMETROS!$A$8:$A$907,C129,PARÂMETROS!$G$8:$G$907,J129))</f>
        <v>7.4116083205452599E-2</v>
      </c>
      <c r="E129" s="20">
        <f>SUMIFS(SETORES!$D:$D,SETORES!$A:$A,A129,SETORES!$F:$F,J129)</f>
        <v>28599.527788740801</v>
      </c>
      <c r="F129" s="20">
        <f t="shared" si="9"/>
        <v>2119.684981226967</v>
      </c>
      <c r="G129" s="9">
        <f>SUMIFS(PARÂMETROS!$F$8:$F$907,PARÂMETROS!$A$8:$A$907,C129,PARÂMETROS!$G$8:$G$907,J129)</f>
        <v>0</v>
      </c>
      <c r="H129" s="20">
        <f t="shared" si="10"/>
        <v>0</v>
      </c>
      <c r="I129" s="20">
        <f t="shared" si="11"/>
        <v>2119.684981226967</v>
      </c>
      <c r="J129" s="11" t="s">
        <v>11</v>
      </c>
    </row>
    <row r="130" spans="1:10" ht="14.25" customHeight="1" x14ac:dyDescent="0.3">
      <c r="A130" s="2" t="s">
        <v>42</v>
      </c>
      <c r="B130" s="2" t="str">
        <f>INDEX(SETORES!$B:$B,MATCH(A130,SETORES!$A:$A,0))</f>
        <v>Clientes</v>
      </c>
      <c r="C130" s="2" t="s">
        <v>14</v>
      </c>
      <c r="D130" s="14">
        <f>IF(B130="Clientes",SUMIFS(PARÂMETROS!$D$8:$D$907,PARÂMETROS!$A$8:$A$907,C130,PARÂMETROS!$G$8:$G$907,J130),SUMIFS(PARÂMETROS!$E$8:$E$907,PARÂMETROS!$A$8:$A$907,C130,PARÂMETROS!$G$8:$G$907,J130))</f>
        <v>1.9010177424901076E-2</v>
      </c>
      <c r="E130" s="21">
        <f>SUMIFS(SETORES!$D:$D,SETORES!$A:$A,A130,SETORES!$F:$F,J130)</f>
        <v>28599.527788740801</v>
      </c>
      <c r="F130" s="21">
        <f t="shared" si="9"/>
        <v>543.68209753235135</v>
      </c>
      <c r="G130" s="14">
        <f>SUMIFS(PARÂMETROS!$F$8:$F$907,PARÂMETROS!$A$8:$A$907,C130,PARÂMETROS!$G$8:$G$907,J130)</f>
        <v>0</v>
      </c>
      <c r="H130" s="21">
        <f t="shared" si="10"/>
        <v>0</v>
      </c>
      <c r="I130" s="21">
        <f t="shared" si="11"/>
        <v>543.68209753235135</v>
      </c>
      <c r="J130" s="2" t="s">
        <v>11</v>
      </c>
    </row>
    <row r="131" spans="1:10" ht="14.25" hidden="1" customHeight="1" x14ac:dyDescent="0.3">
      <c r="A131" s="11" t="s">
        <v>42</v>
      </c>
      <c r="B131" s="19" t="str">
        <f>INDEX(SETORES!$B:$B,MATCH(A131,SETORES!$A:$A,0))</f>
        <v>Clientes</v>
      </c>
      <c r="C131" s="11" t="s">
        <v>15</v>
      </c>
      <c r="D131" s="9">
        <f>IF(B131="Clientes",SUMIFS(PARÂMETROS!$D$8:$D$907,PARÂMETROS!$A$8:$A$907,C131,PARÂMETROS!$G$8:$G$907,J131),SUMIFS(PARÂMETROS!$E$8:$E$907,PARÂMETROS!$A$8:$A$907,C131,PARÂMETROS!$G$8:$G$907,J131))</f>
        <v>3.302145830232546E-2</v>
      </c>
      <c r="E131" s="20">
        <f>SUMIFS(SETORES!$D:$D,SETORES!$A:$A,A131,SETORES!$F:$F,J131)</f>
        <v>28599.527788740801</v>
      </c>
      <c r="F131" s="20">
        <f t="shared" si="9"/>
        <v>944.39811434210264</v>
      </c>
      <c r="G131" s="9">
        <f>SUMIFS(PARÂMETROS!$F$8:$F$907,PARÂMETROS!$A$8:$A$907,C131,PARÂMETROS!$G$8:$G$907,J131)</f>
        <v>0</v>
      </c>
      <c r="H131" s="20">
        <f t="shared" si="10"/>
        <v>0</v>
      </c>
      <c r="I131" s="20">
        <f t="shared" si="11"/>
        <v>944.39811434210264</v>
      </c>
      <c r="J131" s="11" t="s">
        <v>11</v>
      </c>
    </row>
    <row r="132" spans="1:10" ht="14.25" hidden="1" customHeight="1" x14ac:dyDescent="0.3">
      <c r="A132" s="2" t="s">
        <v>42</v>
      </c>
      <c r="B132" s="2" t="str">
        <f>INDEX(SETORES!$B:$B,MATCH(A132,SETORES!$A:$A,0))</f>
        <v>Clientes</v>
      </c>
      <c r="C132" s="2" t="s">
        <v>16</v>
      </c>
      <c r="D132" s="14">
        <f>IF(B132="Clientes",SUMIFS(PARÂMETROS!$D$8:$D$907,PARÂMETROS!$A$8:$A$907,C132,PARÂMETROS!$G$8:$G$907,J132),SUMIFS(PARÂMETROS!$E$8:$E$907,PARÂMETROS!$A$8:$A$907,C132,PARÂMETROS!$G$8:$G$907,J132))</f>
        <v>2.437346992193715E-2</v>
      </c>
      <c r="E132" s="21">
        <f>SUMIFS(SETORES!$D:$D,SETORES!$A:$A,A132,SETORES!$F:$F,J132)</f>
        <v>28599.527788740801</v>
      </c>
      <c r="F132" s="21">
        <f t="shared" si="9"/>
        <v>697.06973034047962</v>
      </c>
      <c r="G132" s="14">
        <f>SUMIFS(PARÂMETROS!$F$8:$F$907,PARÂMETROS!$A$8:$A$907,C132,PARÂMETROS!$G$8:$G$907,J132)</f>
        <v>0</v>
      </c>
      <c r="H132" s="21">
        <f t="shared" si="10"/>
        <v>0</v>
      </c>
      <c r="I132" s="21">
        <f t="shared" si="11"/>
        <v>697.06973034047962</v>
      </c>
      <c r="J132" s="2" t="s">
        <v>11</v>
      </c>
    </row>
    <row r="133" spans="1:10" ht="14.25" hidden="1" customHeight="1" x14ac:dyDescent="0.3">
      <c r="A133" s="11" t="s">
        <v>42</v>
      </c>
      <c r="B133" s="19" t="str">
        <f>INDEX(SETORES!$B:$B,MATCH(A133,SETORES!$A:$A,0))</f>
        <v>Clientes</v>
      </c>
      <c r="C133" s="11" t="s">
        <v>17</v>
      </c>
      <c r="D133" s="9">
        <f>IF(B133="Clientes",SUMIFS(PARÂMETROS!$D$8:$D$907,PARÂMETROS!$A$8:$A$907,C133,PARÂMETROS!$G$8:$G$907,J133),SUMIFS(PARÂMETROS!$E$8:$E$907,PARÂMETROS!$A$8:$A$907,C133,PARÂMETROS!$G$8:$G$907,J133))</f>
        <v>2.460955743855309E-2</v>
      </c>
      <c r="E133" s="20">
        <f>SUMIFS(SETORES!$D:$D,SETORES!$A:$A,A133,SETORES!$F:$F,J133)</f>
        <v>28599.527788740801</v>
      </c>
      <c r="F133" s="20">
        <f t="shared" si="9"/>
        <v>703.82172183251203</v>
      </c>
      <c r="G133" s="9">
        <f>SUMIFS(PARÂMETROS!$F$8:$F$907,PARÂMETROS!$A$8:$A$907,C133,PARÂMETROS!$G$8:$G$907,J133)</f>
        <v>0</v>
      </c>
      <c r="H133" s="20">
        <f t="shared" si="10"/>
        <v>0</v>
      </c>
      <c r="I133" s="20">
        <f t="shared" si="11"/>
        <v>703.82172183251203</v>
      </c>
      <c r="J133" s="11" t="s">
        <v>11</v>
      </c>
    </row>
    <row r="134" spans="1:10" ht="14.25" hidden="1" customHeight="1" x14ac:dyDescent="0.3">
      <c r="A134" s="2" t="s">
        <v>42</v>
      </c>
      <c r="B134" s="2" t="str">
        <f>INDEX(SETORES!$B:$B,MATCH(A134,SETORES!$A:$A,0))</f>
        <v>Clientes</v>
      </c>
      <c r="C134" s="2" t="s">
        <v>18</v>
      </c>
      <c r="D134" s="14">
        <f>IF(B134="Clientes",SUMIFS(PARÂMETROS!$D$8:$D$907,PARÂMETROS!$A$8:$A$907,C134,PARÂMETROS!$G$8:$G$907,J134),SUMIFS(PARÂMETROS!$E$8:$E$907,PARÂMETROS!$A$8:$A$907,C134,PARÂMETROS!$G$8:$G$907,J134))</f>
        <v>0.72292563756460326</v>
      </c>
      <c r="E134" s="21">
        <f>SUMIFS(SETORES!$D:$D,SETORES!$A:$A,A134,SETORES!$F:$F,J134)</f>
        <v>28599.527788740801</v>
      </c>
      <c r="F134" s="21">
        <f t="shared" si="9"/>
        <v>20675.331860722032</v>
      </c>
      <c r="G134" s="14">
        <f>SUMIFS(PARÂMETROS!$F$8:$F$907,PARÂMETROS!$A$8:$A$907,C134,PARÂMETROS!$G$8:$G$907,J134)</f>
        <v>0</v>
      </c>
      <c r="H134" s="21">
        <f t="shared" si="10"/>
        <v>0</v>
      </c>
      <c r="I134" s="21">
        <f t="shared" si="11"/>
        <v>20675.331860722032</v>
      </c>
      <c r="J134" s="2" t="s">
        <v>11</v>
      </c>
    </row>
    <row r="135" spans="1:10" ht="14.25" hidden="1" customHeight="1" x14ac:dyDescent="0.3">
      <c r="A135" s="11" t="s">
        <v>43</v>
      </c>
      <c r="B135" s="19" t="str">
        <f>INDEX(SETORES!$B:$B,MATCH(A135,SETORES!$A:$A,0))</f>
        <v>Clientes</v>
      </c>
      <c r="C135" s="11" t="s">
        <v>10</v>
      </c>
      <c r="D135" s="9">
        <f>IF(B135="Clientes",SUMIFS(PARÂMETROS!$D$8:$D$907,PARÂMETROS!$A$8:$A$907,C135,PARÂMETROS!$G$8:$G$907,J135),SUMIFS(PARÂMETROS!$E$8:$E$907,PARÂMETROS!$A$8:$A$907,C135,PARÂMETROS!$G$8:$G$907,J135))</f>
        <v>3.3077914012820578E-2</v>
      </c>
      <c r="E135" s="20">
        <f>SUMIFS(SETORES!$D:$D,SETORES!$A:$A,A135,SETORES!$F:$F,J135)</f>
        <v>23910.3904</v>
      </c>
      <c r="F135" s="20">
        <f t="shared" si="9"/>
        <v>790.90583766417058</v>
      </c>
      <c r="G135" s="9">
        <f>SUMIFS(PARÂMETROS!$F$8:$F$907,PARÂMETROS!$A$8:$A$907,C135,PARÂMETROS!$G$8:$G$907,J135)</f>
        <v>0</v>
      </c>
      <c r="H135" s="20">
        <f t="shared" si="10"/>
        <v>0</v>
      </c>
      <c r="I135" s="20">
        <f t="shared" si="11"/>
        <v>790.90583766417058</v>
      </c>
      <c r="J135" s="11" t="s">
        <v>11</v>
      </c>
    </row>
    <row r="136" spans="1:10" ht="14.25" hidden="1" customHeight="1" x14ac:dyDescent="0.3">
      <c r="A136" s="2" t="s">
        <v>43</v>
      </c>
      <c r="B136" s="2" t="str">
        <f>INDEX(SETORES!$B:$B,MATCH(A136,SETORES!$A:$A,0))</f>
        <v>Clientes</v>
      </c>
      <c r="C136" s="2" t="s">
        <v>12</v>
      </c>
      <c r="D136" s="14">
        <f>IF(B136="Clientes",SUMIFS(PARÂMETROS!$D$8:$D$907,PARÂMETROS!$A$8:$A$907,C136,PARÂMETROS!$G$8:$G$907,J136),SUMIFS(PARÂMETROS!$E$8:$E$907,PARÂMETROS!$A$8:$A$907,C136,PARÂMETROS!$G$8:$G$907,J136))</f>
        <v>6.886570212940675E-2</v>
      </c>
      <c r="E136" s="21">
        <f>SUMIFS(SETORES!$D:$D,SETORES!$A:$A,A136,SETORES!$F:$F,J136)</f>
        <v>23910.3904</v>
      </c>
      <c r="F136" s="21">
        <f t="shared" si="9"/>
        <v>1646.6058230842268</v>
      </c>
      <c r="G136" s="14">
        <f>SUMIFS(PARÂMETROS!$F$8:$F$907,PARÂMETROS!$A$8:$A$907,C136,PARÂMETROS!$G$8:$G$907,J136)</f>
        <v>0</v>
      </c>
      <c r="H136" s="21">
        <f t="shared" si="10"/>
        <v>0</v>
      </c>
      <c r="I136" s="21">
        <f t="shared" si="11"/>
        <v>1646.6058230842268</v>
      </c>
      <c r="J136" s="2" t="s">
        <v>11</v>
      </c>
    </row>
    <row r="137" spans="1:10" ht="14.25" hidden="1" customHeight="1" x14ac:dyDescent="0.3">
      <c r="A137" s="11" t="s">
        <v>43</v>
      </c>
      <c r="B137" s="19" t="str">
        <f>INDEX(SETORES!$B:$B,MATCH(A137,SETORES!$A:$A,0))</f>
        <v>Clientes</v>
      </c>
      <c r="C137" s="11" t="s">
        <v>13</v>
      </c>
      <c r="D137" s="9">
        <f>IF(B137="Clientes",SUMIFS(PARÂMETROS!$D$8:$D$907,PARÂMETROS!$A$8:$A$907,C137,PARÂMETROS!$G$8:$G$907,J137),SUMIFS(PARÂMETROS!$E$8:$E$907,PARÂMETROS!$A$8:$A$907,C137,PARÂMETROS!$G$8:$G$907,J137))</f>
        <v>7.4116083205452599E-2</v>
      </c>
      <c r="E137" s="20">
        <f>SUMIFS(SETORES!$D:$D,SETORES!$A:$A,A137,SETORES!$F:$F,J137)</f>
        <v>23910.3904</v>
      </c>
      <c r="F137" s="20">
        <f t="shared" si="9"/>
        <v>1772.1444843612551</v>
      </c>
      <c r="G137" s="9">
        <f>SUMIFS(PARÂMETROS!$F$8:$F$907,PARÂMETROS!$A$8:$A$907,C137,PARÂMETROS!$G$8:$G$907,J137)</f>
        <v>0</v>
      </c>
      <c r="H137" s="20">
        <f t="shared" si="10"/>
        <v>0</v>
      </c>
      <c r="I137" s="20">
        <f t="shared" si="11"/>
        <v>1772.1444843612551</v>
      </c>
      <c r="J137" s="11" t="s">
        <v>11</v>
      </c>
    </row>
    <row r="138" spans="1:10" ht="14.25" customHeight="1" x14ac:dyDescent="0.3">
      <c r="A138" s="2" t="s">
        <v>43</v>
      </c>
      <c r="B138" s="2" t="str">
        <f>INDEX(SETORES!$B:$B,MATCH(A138,SETORES!$A:$A,0))</f>
        <v>Clientes</v>
      </c>
      <c r="C138" s="2" t="s">
        <v>14</v>
      </c>
      <c r="D138" s="14">
        <f>IF(B138="Clientes",SUMIFS(PARÂMETROS!$D$8:$D$907,PARÂMETROS!$A$8:$A$907,C138,PARÂMETROS!$G$8:$G$907,J138),SUMIFS(PARÂMETROS!$E$8:$E$907,PARÂMETROS!$A$8:$A$907,C138,PARÂMETROS!$G$8:$G$907,J138))</f>
        <v>1.9010177424901076E-2</v>
      </c>
      <c r="E138" s="21">
        <f>SUMIFS(SETORES!$D:$D,SETORES!$A:$A,A138,SETORES!$F:$F,J138)</f>
        <v>23910.3904</v>
      </c>
      <c r="F138" s="21">
        <f t="shared" si="9"/>
        <v>454.54076380265138</v>
      </c>
      <c r="G138" s="14">
        <f>SUMIFS(PARÂMETROS!$F$8:$F$907,PARÂMETROS!$A$8:$A$907,C138,PARÂMETROS!$G$8:$G$907,J138)</f>
        <v>0</v>
      </c>
      <c r="H138" s="21">
        <f t="shared" si="10"/>
        <v>0</v>
      </c>
      <c r="I138" s="21">
        <f t="shared" si="11"/>
        <v>454.54076380265138</v>
      </c>
      <c r="J138" s="2" t="s">
        <v>11</v>
      </c>
    </row>
    <row r="139" spans="1:10" ht="14.25" hidden="1" customHeight="1" x14ac:dyDescent="0.3">
      <c r="A139" s="11" t="s">
        <v>43</v>
      </c>
      <c r="B139" s="19" t="str">
        <f>INDEX(SETORES!$B:$B,MATCH(A139,SETORES!$A:$A,0))</f>
        <v>Clientes</v>
      </c>
      <c r="C139" s="11" t="s">
        <v>15</v>
      </c>
      <c r="D139" s="9">
        <f>IF(B139="Clientes",SUMIFS(PARÂMETROS!$D$8:$D$907,PARÂMETROS!$A$8:$A$907,C139,PARÂMETROS!$G$8:$G$907,J139),SUMIFS(PARÂMETROS!$E$8:$E$907,PARÂMETROS!$A$8:$A$907,C139,PARÂMETROS!$G$8:$G$907,J139))</f>
        <v>3.302145830232546E-2</v>
      </c>
      <c r="E139" s="20">
        <f>SUMIFS(SETORES!$D:$D,SETORES!$A:$A,A139,SETORES!$F:$F,J139)</f>
        <v>23910.3904</v>
      </c>
      <c r="F139" s="20">
        <f t="shared" si="9"/>
        <v>789.55595958592301</v>
      </c>
      <c r="G139" s="9">
        <f>SUMIFS(PARÂMETROS!$F$8:$F$907,PARÂMETROS!$A$8:$A$907,C139,PARÂMETROS!$G$8:$G$907,J139)</f>
        <v>0</v>
      </c>
      <c r="H139" s="20">
        <f t="shared" si="10"/>
        <v>0</v>
      </c>
      <c r="I139" s="20">
        <f t="shared" si="11"/>
        <v>789.55595958592301</v>
      </c>
      <c r="J139" s="11" t="s">
        <v>11</v>
      </c>
    </row>
    <row r="140" spans="1:10" ht="14.25" hidden="1" customHeight="1" x14ac:dyDescent="0.3">
      <c r="A140" s="2" t="s">
        <v>43</v>
      </c>
      <c r="B140" s="2" t="str">
        <f>INDEX(SETORES!$B:$B,MATCH(A140,SETORES!$A:$A,0))</f>
        <v>Clientes</v>
      </c>
      <c r="C140" s="2" t="s">
        <v>16</v>
      </c>
      <c r="D140" s="14">
        <f>IF(B140="Clientes",SUMIFS(PARÂMETROS!$D$8:$D$907,PARÂMETROS!$A$8:$A$907,C140,PARÂMETROS!$G$8:$G$907,J140),SUMIFS(PARÂMETROS!$E$8:$E$907,PARÂMETROS!$A$8:$A$907,C140,PARÂMETROS!$G$8:$G$907,J140))</f>
        <v>2.437346992193715E-2</v>
      </c>
      <c r="E140" s="21">
        <f>SUMIFS(SETORES!$D:$D,SETORES!$A:$A,A140,SETORES!$F:$F,J140)</f>
        <v>23910.3904</v>
      </c>
      <c r="F140" s="21">
        <f t="shared" si="9"/>
        <v>582.77918123617474</v>
      </c>
      <c r="G140" s="14">
        <f>SUMIFS(PARÂMETROS!$F$8:$F$907,PARÂMETROS!$A$8:$A$907,C140,PARÂMETROS!$G$8:$G$907,J140)</f>
        <v>0</v>
      </c>
      <c r="H140" s="21">
        <f t="shared" si="10"/>
        <v>0</v>
      </c>
      <c r="I140" s="21">
        <f t="shared" si="11"/>
        <v>582.77918123617474</v>
      </c>
      <c r="J140" s="2" t="s">
        <v>11</v>
      </c>
    </row>
    <row r="141" spans="1:10" ht="14.25" hidden="1" customHeight="1" x14ac:dyDescent="0.3">
      <c r="A141" s="11" t="s">
        <v>43</v>
      </c>
      <c r="B141" s="19" t="str">
        <f>INDEX(SETORES!$B:$B,MATCH(A141,SETORES!$A:$A,0))</f>
        <v>Clientes</v>
      </c>
      <c r="C141" s="11" t="s">
        <v>17</v>
      </c>
      <c r="D141" s="9">
        <f>IF(B141="Clientes",SUMIFS(PARÂMETROS!$D$8:$D$907,PARÂMETROS!$A$8:$A$907,C141,PARÂMETROS!$G$8:$G$907,J141),SUMIFS(PARÂMETROS!$E$8:$E$907,PARÂMETROS!$A$8:$A$907,C141,PARÂMETROS!$G$8:$G$907,J141))</f>
        <v>2.460955743855309E-2</v>
      </c>
      <c r="E141" s="20">
        <f>SUMIFS(SETORES!$D:$D,SETORES!$A:$A,A141,SETORES!$F:$F,J141)</f>
        <v>23910.3904</v>
      </c>
      <c r="F141" s="20">
        <f t="shared" si="9"/>
        <v>588.4241259270284</v>
      </c>
      <c r="G141" s="9">
        <f>SUMIFS(PARÂMETROS!$F$8:$F$907,PARÂMETROS!$A$8:$A$907,C141,PARÂMETROS!$G$8:$G$907,J141)</f>
        <v>0</v>
      </c>
      <c r="H141" s="20">
        <f t="shared" si="10"/>
        <v>0</v>
      </c>
      <c r="I141" s="20">
        <f t="shared" si="11"/>
        <v>588.4241259270284</v>
      </c>
      <c r="J141" s="11" t="s">
        <v>11</v>
      </c>
    </row>
    <row r="142" spans="1:10" ht="14.25" hidden="1" customHeight="1" x14ac:dyDescent="0.3">
      <c r="A142" s="2" t="s">
        <v>43</v>
      </c>
      <c r="B142" s="2" t="str">
        <f>INDEX(SETORES!$B:$B,MATCH(A142,SETORES!$A:$A,0))</f>
        <v>Clientes</v>
      </c>
      <c r="C142" s="2" t="s">
        <v>18</v>
      </c>
      <c r="D142" s="14">
        <f>IF(B142="Clientes",SUMIFS(PARÂMETROS!$D$8:$D$907,PARÂMETROS!$A$8:$A$907,C142,PARÂMETROS!$G$8:$G$907,J142),SUMIFS(PARÂMETROS!$E$8:$E$907,PARÂMETROS!$A$8:$A$907,C142,PARÂMETROS!$G$8:$G$907,J142))</f>
        <v>0.72292563756460326</v>
      </c>
      <c r="E142" s="21">
        <f>SUMIFS(SETORES!$D:$D,SETORES!$A:$A,A142,SETORES!$F:$F,J142)</f>
        <v>23910.3904</v>
      </c>
      <c r="F142" s="21">
        <f t="shared" si="9"/>
        <v>17285.434224338569</v>
      </c>
      <c r="G142" s="14">
        <f>SUMIFS(PARÂMETROS!$F$8:$F$907,PARÂMETROS!$A$8:$A$907,C142,PARÂMETROS!$G$8:$G$907,J142)</f>
        <v>0</v>
      </c>
      <c r="H142" s="21">
        <f t="shared" si="10"/>
        <v>0</v>
      </c>
      <c r="I142" s="21">
        <f t="shared" si="11"/>
        <v>17285.434224338569</v>
      </c>
      <c r="J142" s="2" t="s">
        <v>11</v>
      </c>
    </row>
    <row r="143" spans="1:10" ht="14.25" hidden="1" customHeight="1" x14ac:dyDescent="0.3">
      <c r="A143" s="11" t="s">
        <v>44</v>
      </c>
      <c r="B143" s="19" t="str">
        <f>INDEX(SETORES!$B:$B,MATCH(A143,SETORES!$A:$A,0))</f>
        <v>Funcionários</v>
      </c>
      <c r="C143" s="11" t="s">
        <v>10</v>
      </c>
      <c r="D143" s="9">
        <f>IF(B143="Clientes",SUMIFS(PARÂMETROS!$D$8:$D$907,PARÂMETROS!$A$8:$A$907,C143,PARÂMETROS!$G$8:$G$907,J143),SUMIFS(PARÂMETROS!$E$8:$E$907,PARÂMETROS!$A$8:$A$907,C143,PARÂMETROS!$G$8:$G$907,J143))</f>
        <v>3.2411820781696854E-2</v>
      </c>
      <c r="E143" s="20">
        <f>SUMIFS(SETORES!$D:$D,SETORES!$A:$A,A143,SETORES!$F:$F,J143)</f>
        <v>50475.490600000005</v>
      </c>
      <c r="F143" s="20">
        <f t="shared" si="9"/>
        <v>1636.0025551954243</v>
      </c>
      <c r="G143" s="9">
        <f>SUMIFS(PARÂMETROS!$F$8:$F$907,PARÂMETROS!$A$8:$A$907,C143,PARÂMETROS!$G$8:$G$907,J143)</f>
        <v>0</v>
      </c>
      <c r="H143" s="20">
        <f t="shared" si="10"/>
        <v>0</v>
      </c>
      <c r="I143" s="20">
        <f t="shared" si="11"/>
        <v>1636.0025551954243</v>
      </c>
      <c r="J143" s="11" t="s">
        <v>11</v>
      </c>
    </row>
    <row r="144" spans="1:10" ht="14.25" hidden="1" customHeight="1" x14ac:dyDescent="0.3">
      <c r="A144" s="2" t="s">
        <v>44</v>
      </c>
      <c r="B144" s="2" t="str">
        <f>INDEX(SETORES!$B:$B,MATCH(A144,SETORES!$A:$A,0))</f>
        <v>Funcionários</v>
      </c>
      <c r="C144" s="2" t="s">
        <v>12</v>
      </c>
      <c r="D144" s="14">
        <f>IF(B144="Clientes",SUMIFS(PARÂMETROS!$D$8:$D$907,PARÂMETROS!$A$8:$A$907,C144,PARÂMETROS!$G$8:$G$907,J144),SUMIFS(PARÂMETROS!$E$8:$E$907,PARÂMETROS!$A$8:$A$907,C144,PARÂMETROS!$G$8:$G$907,J144))</f>
        <v>3.0505243088655862E-2</v>
      </c>
      <c r="E144" s="21">
        <f>SUMIFS(SETORES!$D:$D,SETORES!$A:$A,A144,SETORES!$F:$F,J144)</f>
        <v>50475.490600000005</v>
      </c>
      <c r="F144" s="21">
        <f t="shared" si="9"/>
        <v>1539.767110772164</v>
      </c>
      <c r="G144" s="14">
        <f>SUMIFS(PARÂMETROS!$F$8:$F$907,PARÂMETROS!$A$8:$A$907,C144,PARÂMETROS!$G$8:$G$907,J144)</f>
        <v>0</v>
      </c>
      <c r="H144" s="21">
        <f t="shared" si="10"/>
        <v>0</v>
      </c>
      <c r="I144" s="21">
        <f t="shared" si="11"/>
        <v>1539.767110772164</v>
      </c>
      <c r="J144" s="2" t="s">
        <v>11</v>
      </c>
    </row>
    <row r="145" spans="1:10" ht="14.25" hidden="1" customHeight="1" x14ac:dyDescent="0.3">
      <c r="A145" s="11" t="s">
        <v>44</v>
      </c>
      <c r="B145" s="19" t="str">
        <f>INDEX(SETORES!$B:$B,MATCH(A145,SETORES!$A:$A,0))</f>
        <v>Funcionários</v>
      </c>
      <c r="C145" s="11" t="s">
        <v>13</v>
      </c>
      <c r="D145" s="9">
        <f>IF(B145="Clientes",SUMIFS(PARÂMETROS!$D$8:$D$907,PARÂMETROS!$A$8:$A$907,C145,PARÂMETROS!$G$8:$G$907,J145),SUMIFS(PARÂMETROS!$E$8:$E$907,PARÂMETROS!$A$8:$A$907,C145,PARÂMETROS!$G$8:$G$907,J145))</f>
        <v>4.0038131553860823E-2</v>
      </c>
      <c r="E145" s="20">
        <f>SUMIFS(SETORES!$D:$D,SETORES!$A:$A,A145,SETORES!$F:$F,J145)</f>
        <v>50475.490600000005</v>
      </c>
      <c r="F145" s="20">
        <f t="shared" si="9"/>
        <v>2020.9443328884656</v>
      </c>
      <c r="G145" s="9">
        <f>SUMIFS(PARÂMETROS!$F$8:$F$907,PARÂMETROS!$A$8:$A$907,C145,PARÂMETROS!$G$8:$G$907,J145)</f>
        <v>0</v>
      </c>
      <c r="H145" s="20">
        <f t="shared" si="10"/>
        <v>0</v>
      </c>
      <c r="I145" s="20">
        <f t="shared" si="11"/>
        <v>2020.9443328884656</v>
      </c>
      <c r="J145" s="11" t="s">
        <v>11</v>
      </c>
    </row>
    <row r="146" spans="1:10" ht="14.25" customHeight="1" x14ac:dyDescent="0.3">
      <c r="A146" s="2" t="s">
        <v>44</v>
      </c>
      <c r="B146" s="2" t="str">
        <f>INDEX(SETORES!$B:$B,MATCH(A146,SETORES!$A:$A,0))</f>
        <v>Funcionários</v>
      </c>
      <c r="C146" s="2" t="s">
        <v>14</v>
      </c>
      <c r="D146" s="14">
        <f>IF(B146="Clientes",SUMIFS(PARÂMETROS!$D$8:$D$907,PARÂMETROS!$A$8:$A$907,C146,PARÂMETROS!$G$8:$G$907,J146),SUMIFS(PARÂMETROS!$E$8:$E$907,PARÂMETROS!$A$8:$A$907,C146,PARÂMETROS!$G$8:$G$907,J146))</f>
        <v>1.0486177311725452E-2</v>
      </c>
      <c r="E146" s="21">
        <f>SUMIFS(SETORES!$D:$D,SETORES!$A:$A,A146,SETORES!$F:$F,J146)</f>
        <v>50475.490600000005</v>
      </c>
      <c r="F146" s="21">
        <f t="shared" si="9"/>
        <v>529.29494432793138</v>
      </c>
      <c r="G146" s="14">
        <f>SUMIFS(PARÂMETROS!$F$8:$F$907,PARÂMETROS!$A$8:$A$907,C146,PARÂMETROS!$G$8:$G$907,J146)</f>
        <v>0</v>
      </c>
      <c r="H146" s="21">
        <f t="shared" si="10"/>
        <v>0</v>
      </c>
      <c r="I146" s="21">
        <f t="shared" si="11"/>
        <v>529.29494432793138</v>
      </c>
      <c r="J146" s="2" t="s">
        <v>11</v>
      </c>
    </row>
    <row r="147" spans="1:10" ht="14.25" hidden="1" customHeight="1" x14ac:dyDescent="0.3">
      <c r="A147" s="11" t="s">
        <v>44</v>
      </c>
      <c r="B147" s="19" t="str">
        <f>INDEX(SETORES!$B:$B,MATCH(A147,SETORES!$A:$A,0))</f>
        <v>Funcionários</v>
      </c>
      <c r="C147" s="11" t="s">
        <v>15</v>
      </c>
      <c r="D147" s="9">
        <f>IF(B147="Clientes",SUMIFS(PARÂMETROS!$D$8:$D$907,PARÂMETROS!$A$8:$A$907,C147,PARÂMETROS!$G$8:$G$907,J147),SUMIFS(PARÂMETROS!$E$8:$E$907,PARÂMETROS!$A$8:$A$907,C147,PARÂMETROS!$G$8:$G$907,J147))</f>
        <v>4.0038131553860823E-2</v>
      </c>
      <c r="E147" s="20">
        <f>SUMIFS(SETORES!$D:$D,SETORES!$A:$A,A147,SETORES!$F:$F,J147)</f>
        <v>50475.490600000005</v>
      </c>
      <c r="F147" s="20">
        <f t="shared" si="9"/>
        <v>2020.9443328884656</v>
      </c>
      <c r="G147" s="9">
        <f>SUMIFS(PARÂMETROS!$F$8:$F$907,PARÂMETROS!$A$8:$A$907,C147,PARÂMETROS!$G$8:$G$907,J147)</f>
        <v>0</v>
      </c>
      <c r="H147" s="20">
        <f t="shared" si="10"/>
        <v>0</v>
      </c>
      <c r="I147" s="20">
        <f t="shared" si="11"/>
        <v>2020.9443328884656</v>
      </c>
      <c r="J147" s="11" t="s">
        <v>11</v>
      </c>
    </row>
    <row r="148" spans="1:10" ht="14.25" hidden="1" customHeight="1" x14ac:dyDescent="0.3">
      <c r="A148" s="2" t="s">
        <v>44</v>
      </c>
      <c r="B148" s="2" t="str">
        <f>INDEX(SETORES!$B:$B,MATCH(A148,SETORES!$A:$A,0))</f>
        <v>Funcionários</v>
      </c>
      <c r="C148" s="2" t="s">
        <v>16</v>
      </c>
      <c r="D148" s="14">
        <f>IF(B148="Clientes",SUMIFS(PARÂMETROS!$D$8:$D$907,PARÂMETROS!$A$8:$A$907,C148,PARÂMETROS!$G$8:$G$907,J148),SUMIFS(PARÂMETROS!$E$8:$E$907,PARÂMETROS!$A$8:$A$907,C148,PARÂMETROS!$G$8:$G$907,J148))</f>
        <v>1.7159199237368923E-2</v>
      </c>
      <c r="E148" s="21">
        <f>SUMIFS(SETORES!$D:$D,SETORES!$A:$A,A148,SETORES!$F:$F,J148)</f>
        <v>50475.490600000005</v>
      </c>
      <c r="F148" s="21">
        <f t="shared" si="9"/>
        <v>866.11899980934231</v>
      </c>
      <c r="G148" s="14">
        <f>SUMIFS(PARÂMETROS!$F$8:$F$907,PARÂMETROS!$A$8:$A$907,C148,PARÂMETROS!$G$8:$G$907,J148)</f>
        <v>0</v>
      </c>
      <c r="H148" s="21">
        <f t="shared" si="10"/>
        <v>0</v>
      </c>
      <c r="I148" s="21">
        <f t="shared" si="11"/>
        <v>866.11899980934231</v>
      </c>
      <c r="J148" s="2" t="s">
        <v>11</v>
      </c>
    </row>
    <row r="149" spans="1:10" ht="14.25" hidden="1" customHeight="1" x14ac:dyDescent="0.3">
      <c r="A149" s="11" t="s">
        <v>44</v>
      </c>
      <c r="B149" s="19" t="str">
        <f>INDEX(SETORES!$B:$B,MATCH(A149,SETORES!$A:$A,0))</f>
        <v>Funcionários</v>
      </c>
      <c r="C149" s="11" t="s">
        <v>17</v>
      </c>
      <c r="D149" s="9">
        <f>IF(B149="Clientes",SUMIFS(PARÂMETROS!$D$8:$D$907,PARÂMETROS!$A$8:$A$907,C149,PARÂMETROS!$G$8:$G$907,J149),SUMIFS(PARÂMETROS!$E$8:$E$907,PARÂMETROS!$A$8:$A$907,C149,PARÂMETROS!$G$8:$G$907,J149))</f>
        <v>1.6205910390848427E-2</v>
      </c>
      <c r="E149" s="20">
        <f>SUMIFS(SETORES!$D:$D,SETORES!$A:$A,A149,SETORES!$F:$F,J149)</f>
        <v>50475.490600000005</v>
      </c>
      <c r="F149" s="20">
        <f t="shared" si="9"/>
        <v>818.00127759771215</v>
      </c>
      <c r="G149" s="9">
        <f>SUMIFS(PARÂMETROS!$F$8:$F$907,PARÂMETROS!$A$8:$A$907,C149,PARÂMETROS!$G$8:$G$907,J149)</f>
        <v>0</v>
      </c>
      <c r="H149" s="20">
        <f t="shared" si="10"/>
        <v>0</v>
      </c>
      <c r="I149" s="20">
        <f t="shared" si="11"/>
        <v>818.00127759771215</v>
      </c>
      <c r="J149" s="11" t="s">
        <v>11</v>
      </c>
    </row>
    <row r="150" spans="1:10" ht="14.25" hidden="1" customHeight="1" x14ac:dyDescent="0.3">
      <c r="A150" s="2" t="s">
        <v>44</v>
      </c>
      <c r="B150" s="2" t="str">
        <f>INDEX(SETORES!$B:$B,MATCH(A150,SETORES!$A:$A,0))</f>
        <v>Funcionários</v>
      </c>
      <c r="C150" s="2" t="s">
        <v>18</v>
      </c>
      <c r="D150" s="14">
        <f>IF(B150="Clientes",SUMIFS(PARÂMETROS!$D$8:$D$907,PARÂMETROS!$A$8:$A$907,C150,PARÂMETROS!$G$8:$G$907,J150),SUMIFS(PARÂMETROS!$E$8:$E$907,PARÂMETROS!$A$8:$A$907,C150,PARÂMETROS!$G$8:$G$907,J150))</f>
        <v>0.81315538608198279</v>
      </c>
      <c r="E150" s="21">
        <f>SUMIFS(SETORES!$D:$D,SETORES!$A:$A,A150,SETORES!$F:$F,J150)</f>
        <v>50475.490600000005</v>
      </c>
      <c r="F150" s="21">
        <f t="shared" si="9"/>
        <v>41044.417046520495</v>
      </c>
      <c r="G150" s="14">
        <f>SUMIFS(PARÂMETROS!$F$8:$F$907,PARÂMETROS!$A$8:$A$907,C150,PARÂMETROS!$G$8:$G$907,J150)</f>
        <v>0</v>
      </c>
      <c r="H150" s="21">
        <f t="shared" si="10"/>
        <v>0</v>
      </c>
      <c r="I150" s="21">
        <f t="shared" si="11"/>
        <v>41044.417046520495</v>
      </c>
      <c r="J150" s="2" t="s">
        <v>11</v>
      </c>
    </row>
    <row r="151" spans="1:10" ht="14.25" hidden="1" customHeight="1" x14ac:dyDescent="0.3">
      <c r="A151" s="11" t="s">
        <v>45</v>
      </c>
      <c r="B151" s="19" t="str">
        <f>INDEX(SETORES!$B:$B,MATCH(A151,SETORES!$A:$A,0))</f>
        <v>Clientes</v>
      </c>
      <c r="C151" s="11" t="s">
        <v>10</v>
      </c>
      <c r="D151" s="9">
        <f>IF(B151="Clientes",SUMIFS(PARÂMETROS!$D$8:$D$907,PARÂMETROS!$A$8:$A$907,C151,PARÂMETROS!$G$8:$G$907,J151),SUMIFS(PARÂMETROS!$E$8:$E$907,PARÂMETROS!$A$8:$A$907,C151,PARÂMETROS!$G$8:$G$907,J151))</f>
        <v>3.3077914012820578E-2</v>
      </c>
      <c r="E151" s="20">
        <f>SUMIFS(SETORES!$D:$D,SETORES!$A:$A,A151,SETORES!$F:$F,J151)</f>
        <v>73463.700699999987</v>
      </c>
      <c r="F151" s="20">
        <f t="shared" si="9"/>
        <v>2430.0259748181866</v>
      </c>
      <c r="G151" s="9">
        <f>SUMIFS(PARÂMETROS!$F$8:$F$907,PARÂMETROS!$A$8:$A$907,C151,PARÂMETROS!$G$8:$G$907,J151)</f>
        <v>0</v>
      </c>
      <c r="H151" s="20">
        <f t="shared" si="10"/>
        <v>0</v>
      </c>
      <c r="I151" s="20">
        <f t="shared" si="11"/>
        <v>2430.0259748181866</v>
      </c>
      <c r="J151" s="11" t="s">
        <v>11</v>
      </c>
    </row>
    <row r="152" spans="1:10" ht="14.25" hidden="1" customHeight="1" x14ac:dyDescent="0.3">
      <c r="A152" s="2" t="s">
        <v>45</v>
      </c>
      <c r="B152" s="2" t="str">
        <f>INDEX(SETORES!$B:$B,MATCH(A152,SETORES!$A:$A,0))</f>
        <v>Clientes</v>
      </c>
      <c r="C152" s="2" t="s">
        <v>12</v>
      </c>
      <c r="D152" s="14">
        <f>IF(B152="Clientes",SUMIFS(PARÂMETROS!$D$8:$D$907,PARÂMETROS!$A$8:$A$907,C152,PARÂMETROS!$G$8:$G$907,J152),SUMIFS(PARÂMETROS!$E$8:$E$907,PARÂMETROS!$A$8:$A$907,C152,PARÂMETROS!$G$8:$G$907,J152))</f>
        <v>6.886570212940675E-2</v>
      </c>
      <c r="E152" s="21">
        <f>SUMIFS(SETORES!$D:$D,SETORES!$A:$A,A152,SETORES!$F:$F,J152)</f>
        <v>73463.700699999987</v>
      </c>
      <c r="F152" s="21">
        <f t="shared" si="9"/>
        <v>5059.129329730089</v>
      </c>
      <c r="G152" s="14">
        <f>SUMIFS(PARÂMETROS!$F$8:$F$907,PARÂMETROS!$A$8:$A$907,C152,PARÂMETROS!$G$8:$G$907,J152)</f>
        <v>0</v>
      </c>
      <c r="H152" s="21">
        <f t="shared" si="10"/>
        <v>0</v>
      </c>
      <c r="I152" s="21">
        <f t="shared" si="11"/>
        <v>5059.129329730089</v>
      </c>
      <c r="J152" s="2" t="s">
        <v>11</v>
      </c>
    </row>
    <row r="153" spans="1:10" ht="14.25" hidden="1" customHeight="1" x14ac:dyDescent="0.3">
      <c r="A153" s="11" t="s">
        <v>45</v>
      </c>
      <c r="B153" s="19" t="str">
        <f>INDEX(SETORES!$B:$B,MATCH(A153,SETORES!$A:$A,0))</f>
        <v>Clientes</v>
      </c>
      <c r="C153" s="11" t="s">
        <v>13</v>
      </c>
      <c r="D153" s="9">
        <f>IF(B153="Clientes",SUMIFS(PARÂMETROS!$D$8:$D$907,PARÂMETROS!$A$8:$A$907,C153,PARÂMETROS!$G$8:$G$907,J153),SUMIFS(PARÂMETROS!$E$8:$E$907,PARÂMETROS!$A$8:$A$907,C153,PARÂMETROS!$G$8:$G$907,J153))</f>
        <v>7.4116083205452599E-2</v>
      </c>
      <c r="E153" s="20">
        <f>SUMIFS(SETORES!$D:$D,SETORES!$A:$A,A153,SETORES!$F:$F,J153)</f>
        <v>73463.700699999987</v>
      </c>
      <c r="F153" s="20">
        <f t="shared" si="9"/>
        <v>5444.8417536616653</v>
      </c>
      <c r="G153" s="9">
        <f>SUMIFS(PARÂMETROS!$F$8:$F$907,PARÂMETROS!$A$8:$A$907,C153,PARÂMETROS!$G$8:$G$907,J153)</f>
        <v>0</v>
      </c>
      <c r="H153" s="20">
        <f t="shared" si="10"/>
        <v>0</v>
      </c>
      <c r="I153" s="20">
        <f t="shared" si="11"/>
        <v>5444.8417536616653</v>
      </c>
      <c r="J153" s="11" t="s">
        <v>11</v>
      </c>
    </row>
    <row r="154" spans="1:10" ht="14.25" customHeight="1" x14ac:dyDescent="0.3">
      <c r="A154" s="2" t="s">
        <v>45</v>
      </c>
      <c r="B154" s="2" t="str">
        <f>INDEX(SETORES!$B:$B,MATCH(A154,SETORES!$A:$A,0))</f>
        <v>Clientes</v>
      </c>
      <c r="C154" s="2" t="s">
        <v>14</v>
      </c>
      <c r="D154" s="14">
        <f>IF(B154="Clientes",SUMIFS(PARÂMETROS!$D$8:$D$907,PARÂMETROS!$A$8:$A$907,C154,PARÂMETROS!$G$8:$G$907,J154),SUMIFS(PARÂMETROS!$E$8:$E$907,PARÂMETROS!$A$8:$A$907,C154,PARÂMETROS!$G$8:$G$907,J154))</f>
        <v>1.9010177424901076E-2</v>
      </c>
      <c r="E154" s="21">
        <f>SUMIFS(SETORES!$D:$D,SETORES!$A:$A,A154,SETORES!$F:$F,J154)</f>
        <v>73463.700699999987</v>
      </c>
      <c r="F154" s="21">
        <f t="shared" si="9"/>
        <v>1396.5579845968291</v>
      </c>
      <c r="G154" s="14">
        <f>SUMIFS(PARÂMETROS!$F$8:$F$907,PARÂMETROS!$A$8:$A$907,C154,PARÂMETROS!$G$8:$G$907,J154)</f>
        <v>0</v>
      </c>
      <c r="H154" s="21">
        <f t="shared" si="10"/>
        <v>0</v>
      </c>
      <c r="I154" s="21">
        <f t="shared" si="11"/>
        <v>1396.5579845968291</v>
      </c>
      <c r="J154" s="2" t="s">
        <v>11</v>
      </c>
    </row>
    <row r="155" spans="1:10" ht="14.25" hidden="1" customHeight="1" x14ac:dyDescent="0.3">
      <c r="A155" s="11" t="s">
        <v>45</v>
      </c>
      <c r="B155" s="19" t="str">
        <f>INDEX(SETORES!$B:$B,MATCH(A155,SETORES!$A:$A,0))</f>
        <v>Clientes</v>
      </c>
      <c r="C155" s="11" t="s">
        <v>15</v>
      </c>
      <c r="D155" s="9">
        <f>IF(B155="Clientes",SUMIFS(PARÂMETROS!$D$8:$D$907,PARÂMETROS!$A$8:$A$907,C155,PARÂMETROS!$G$8:$G$907,J155),SUMIFS(PARÂMETROS!$E$8:$E$907,PARÂMETROS!$A$8:$A$907,C155,PARÂMETROS!$G$8:$G$907,J155))</f>
        <v>3.302145830232546E-2</v>
      </c>
      <c r="E155" s="20">
        <f>SUMIFS(SETORES!$D:$D,SETORES!$A:$A,A155,SETORES!$F:$F,J155)</f>
        <v>73463.700699999987</v>
      </c>
      <c r="F155" s="20">
        <f t="shared" si="9"/>
        <v>2425.8785293995675</v>
      </c>
      <c r="G155" s="9">
        <f>SUMIFS(PARÂMETROS!$F$8:$F$907,PARÂMETROS!$A$8:$A$907,C155,PARÂMETROS!$G$8:$G$907,J155)</f>
        <v>0</v>
      </c>
      <c r="H155" s="20">
        <f t="shared" si="10"/>
        <v>0</v>
      </c>
      <c r="I155" s="20">
        <f t="shared" si="11"/>
        <v>2425.8785293995675</v>
      </c>
      <c r="J155" s="11" t="s">
        <v>11</v>
      </c>
    </row>
    <row r="156" spans="1:10" ht="14.25" hidden="1" customHeight="1" x14ac:dyDescent="0.3">
      <c r="A156" s="2" t="s">
        <v>45</v>
      </c>
      <c r="B156" s="2" t="str">
        <f>INDEX(SETORES!$B:$B,MATCH(A156,SETORES!$A:$A,0))</f>
        <v>Clientes</v>
      </c>
      <c r="C156" s="2" t="s">
        <v>16</v>
      </c>
      <c r="D156" s="14">
        <f>IF(B156="Clientes",SUMIFS(PARÂMETROS!$D$8:$D$907,PARÂMETROS!$A$8:$A$907,C156,PARÂMETROS!$G$8:$G$907,J156),SUMIFS(PARÂMETROS!$E$8:$E$907,PARÂMETROS!$A$8:$A$907,C156,PARÂMETROS!$G$8:$G$907,J156))</f>
        <v>2.437346992193715E-2</v>
      </c>
      <c r="E156" s="21">
        <f>SUMIFS(SETORES!$D:$D,SETORES!$A:$A,A156,SETORES!$F:$F,J156)</f>
        <v>73463.700699999987</v>
      </c>
      <c r="F156" s="21">
        <f t="shared" si="9"/>
        <v>1790.5652993656429</v>
      </c>
      <c r="G156" s="14">
        <f>SUMIFS(PARÂMETROS!$F$8:$F$907,PARÂMETROS!$A$8:$A$907,C156,PARÂMETROS!$G$8:$G$907,J156)</f>
        <v>0</v>
      </c>
      <c r="H156" s="21">
        <f t="shared" si="10"/>
        <v>0</v>
      </c>
      <c r="I156" s="21">
        <f t="shared" si="11"/>
        <v>1790.5652993656429</v>
      </c>
      <c r="J156" s="2" t="s">
        <v>11</v>
      </c>
    </row>
    <row r="157" spans="1:10" ht="14.25" hidden="1" customHeight="1" x14ac:dyDescent="0.3">
      <c r="A157" s="11" t="s">
        <v>45</v>
      </c>
      <c r="B157" s="19" t="str">
        <f>INDEX(SETORES!$B:$B,MATCH(A157,SETORES!$A:$A,0))</f>
        <v>Clientes</v>
      </c>
      <c r="C157" s="11" t="s">
        <v>17</v>
      </c>
      <c r="D157" s="9">
        <f>IF(B157="Clientes",SUMIFS(PARÂMETROS!$D$8:$D$907,PARÂMETROS!$A$8:$A$907,C157,PARÂMETROS!$G$8:$G$907,J157),SUMIFS(PARÂMETROS!$E$8:$E$907,PARÂMETROS!$A$8:$A$907,C157,PARÂMETROS!$G$8:$G$907,J157))</f>
        <v>2.460955743855309E-2</v>
      </c>
      <c r="E157" s="20">
        <f>SUMIFS(SETORES!$D:$D,SETORES!$A:$A,A157,SETORES!$F:$F,J157)</f>
        <v>73463.700699999987</v>
      </c>
      <c r="F157" s="20">
        <f t="shared" si="9"/>
        <v>1807.9091620253225</v>
      </c>
      <c r="G157" s="9">
        <f>SUMIFS(PARÂMETROS!$F$8:$F$907,PARÂMETROS!$A$8:$A$907,C157,PARÂMETROS!$G$8:$G$907,J157)</f>
        <v>0</v>
      </c>
      <c r="H157" s="20">
        <f t="shared" si="10"/>
        <v>0</v>
      </c>
      <c r="I157" s="20">
        <f t="shared" si="11"/>
        <v>1807.9091620253225</v>
      </c>
      <c r="J157" s="11" t="s">
        <v>11</v>
      </c>
    </row>
    <row r="158" spans="1:10" ht="14.25" hidden="1" customHeight="1" x14ac:dyDescent="0.3">
      <c r="A158" s="2" t="s">
        <v>45</v>
      </c>
      <c r="B158" s="2" t="str">
        <f>INDEX(SETORES!$B:$B,MATCH(A158,SETORES!$A:$A,0))</f>
        <v>Clientes</v>
      </c>
      <c r="C158" s="2" t="s">
        <v>18</v>
      </c>
      <c r="D158" s="14">
        <f>IF(B158="Clientes",SUMIFS(PARÂMETROS!$D$8:$D$907,PARÂMETROS!$A$8:$A$907,C158,PARÂMETROS!$G$8:$G$907,J158),SUMIFS(PARÂMETROS!$E$8:$E$907,PARÂMETROS!$A$8:$A$907,C158,PARÂMETROS!$G$8:$G$907,J158))</f>
        <v>0.72292563756460326</v>
      </c>
      <c r="E158" s="21">
        <f>SUMIFS(SETORES!$D:$D,SETORES!$A:$A,A158,SETORES!$F:$F,J158)</f>
        <v>73463.700699999987</v>
      </c>
      <c r="F158" s="21">
        <f t="shared" si="9"/>
        <v>53108.792666402682</v>
      </c>
      <c r="G158" s="14">
        <f>SUMIFS(PARÂMETROS!$F$8:$F$907,PARÂMETROS!$A$8:$A$907,C158,PARÂMETROS!$G$8:$G$907,J158)</f>
        <v>0</v>
      </c>
      <c r="H158" s="21">
        <f t="shared" si="10"/>
        <v>0</v>
      </c>
      <c r="I158" s="21">
        <f t="shared" si="11"/>
        <v>53108.792666402682</v>
      </c>
      <c r="J158" s="2" t="s">
        <v>11</v>
      </c>
    </row>
    <row r="159" spans="1:10" ht="14.25" hidden="1" customHeight="1" x14ac:dyDescent="0.3">
      <c r="A159" s="11" t="s">
        <v>46</v>
      </c>
      <c r="B159" s="19" t="str">
        <f>INDEX(SETORES!$B:$B,MATCH(A159,SETORES!$A:$A,0))</f>
        <v>Clientes</v>
      </c>
      <c r="C159" s="11" t="s">
        <v>10</v>
      </c>
      <c r="D159" s="9">
        <f>IF(B159="Clientes",SUMIFS(PARÂMETROS!$D$8:$D$907,PARÂMETROS!$A$8:$A$907,C159,PARÂMETROS!$G$8:$G$907,J159),SUMIFS(PARÂMETROS!$E$8:$E$907,PARÂMETROS!$A$8:$A$907,C159,PARÂMETROS!$G$8:$G$907,J159))</f>
        <v>3.3077914012820578E-2</v>
      </c>
      <c r="E159" s="20">
        <f>SUMIFS(SETORES!$D:$D,SETORES!$A:$A,A159,SETORES!$F:$F,J159)</f>
        <v>188228.34999999998</v>
      </c>
      <c r="F159" s="20">
        <f t="shared" si="9"/>
        <v>6226.2011760750956</v>
      </c>
      <c r="G159" s="9">
        <f>SUMIFS(PARÂMETROS!$F$8:$F$907,PARÂMETROS!$A$8:$A$907,C159,PARÂMETROS!$G$8:$G$907,J159)</f>
        <v>0</v>
      </c>
      <c r="H159" s="20">
        <f t="shared" si="10"/>
        <v>0</v>
      </c>
      <c r="I159" s="20">
        <f t="shared" si="11"/>
        <v>6226.2011760750956</v>
      </c>
      <c r="J159" s="11" t="s">
        <v>11</v>
      </c>
    </row>
    <row r="160" spans="1:10" ht="14.25" hidden="1" customHeight="1" x14ac:dyDescent="0.3">
      <c r="A160" s="2" t="s">
        <v>46</v>
      </c>
      <c r="B160" s="2" t="str">
        <f>INDEX(SETORES!$B:$B,MATCH(A160,SETORES!$A:$A,0))</f>
        <v>Clientes</v>
      </c>
      <c r="C160" s="2" t="s">
        <v>12</v>
      </c>
      <c r="D160" s="14">
        <f>IF(B160="Clientes",SUMIFS(PARÂMETROS!$D$8:$D$907,PARÂMETROS!$A$8:$A$907,C160,PARÂMETROS!$G$8:$G$907,J160),SUMIFS(PARÂMETROS!$E$8:$E$907,PARÂMETROS!$A$8:$A$907,C160,PARÂMETROS!$G$8:$G$907,J160))</f>
        <v>6.886570212940675E-2</v>
      </c>
      <c r="E160" s="21">
        <f>SUMIFS(SETORES!$D:$D,SETORES!$A:$A,A160,SETORES!$F:$F,J160)</f>
        <v>188228.34999999998</v>
      </c>
      <c r="F160" s="21">
        <f t="shared" si="9"/>
        <v>12962.477483409717</v>
      </c>
      <c r="G160" s="14">
        <f>SUMIFS(PARÂMETROS!$F$8:$F$907,PARÂMETROS!$A$8:$A$907,C160,PARÂMETROS!$G$8:$G$907,J160)</f>
        <v>0</v>
      </c>
      <c r="H160" s="21">
        <f t="shared" si="10"/>
        <v>0</v>
      </c>
      <c r="I160" s="21">
        <f t="shared" si="11"/>
        <v>12962.477483409717</v>
      </c>
      <c r="J160" s="2" t="s">
        <v>11</v>
      </c>
    </row>
    <row r="161" spans="1:10" ht="14.25" hidden="1" customHeight="1" x14ac:dyDescent="0.3">
      <c r="A161" s="11" t="s">
        <v>46</v>
      </c>
      <c r="B161" s="19" t="str">
        <f>INDEX(SETORES!$B:$B,MATCH(A161,SETORES!$A:$A,0))</f>
        <v>Clientes</v>
      </c>
      <c r="C161" s="11" t="s">
        <v>13</v>
      </c>
      <c r="D161" s="9">
        <f>IF(B161="Clientes",SUMIFS(PARÂMETROS!$D$8:$D$907,PARÂMETROS!$A$8:$A$907,C161,PARÂMETROS!$G$8:$G$907,J161),SUMIFS(PARÂMETROS!$E$8:$E$907,PARÂMETROS!$A$8:$A$907,C161,PARÂMETROS!$G$8:$G$907,J161))</f>
        <v>7.4116083205452599E-2</v>
      </c>
      <c r="E161" s="20">
        <f>SUMIFS(SETORES!$D:$D,SETORES!$A:$A,A161,SETORES!$F:$F,J161)</f>
        <v>188228.34999999998</v>
      </c>
      <c r="F161" s="20">
        <f t="shared" si="9"/>
        <v>13950.748050225053</v>
      </c>
      <c r="G161" s="9">
        <f>SUMIFS(PARÂMETROS!$F$8:$F$907,PARÂMETROS!$A$8:$A$907,C161,PARÂMETROS!$G$8:$G$907,J161)</f>
        <v>0</v>
      </c>
      <c r="H161" s="20">
        <f t="shared" si="10"/>
        <v>0</v>
      </c>
      <c r="I161" s="20">
        <f t="shared" si="11"/>
        <v>13950.748050225053</v>
      </c>
      <c r="J161" s="11" t="s">
        <v>11</v>
      </c>
    </row>
    <row r="162" spans="1:10" ht="14.25" customHeight="1" x14ac:dyDescent="0.3">
      <c r="A162" s="2" t="s">
        <v>46</v>
      </c>
      <c r="B162" s="2" t="str">
        <f>INDEX(SETORES!$B:$B,MATCH(A162,SETORES!$A:$A,0))</f>
        <v>Clientes</v>
      </c>
      <c r="C162" s="2" t="s">
        <v>14</v>
      </c>
      <c r="D162" s="14">
        <f>IF(B162="Clientes",SUMIFS(PARÂMETROS!$D$8:$D$907,PARÂMETROS!$A$8:$A$907,C162,PARÂMETROS!$G$8:$G$907,J162),SUMIFS(PARÂMETROS!$E$8:$E$907,PARÂMETROS!$A$8:$A$907,C162,PARÂMETROS!$G$8:$G$907,J162))</f>
        <v>1.9010177424901076E-2</v>
      </c>
      <c r="E162" s="21">
        <f>SUMIFS(SETORES!$D:$D,SETORES!$A:$A,A162,SETORES!$F:$F,J162)</f>
        <v>188228.34999999998</v>
      </c>
      <c r="F162" s="21">
        <f t="shared" si="9"/>
        <v>3578.2543298963778</v>
      </c>
      <c r="G162" s="14">
        <f>SUMIFS(PARÂMETROS!$F$8:$F$907,PARÂMETROS!$A$8:$A$907,C162,PARÂMETROS!$G$8:$G$907,J162)</f>
        <v>0</v>
      </c>
      <c r="H162" s="21">
        <f t="shared" si="10"/>
        <v>0</v>
      </c>
      <c r="I162" s="21">
        <f t="shared" si="11"/>
        <v>3578.2543298963778</v>
      </c>
      <c r="J162" s="2" t="s">
        <v>11</v>
      </c>
    </row>
    <row r="163" spans="1:10" ht="14.25" hidden="1" customHeight="1" x14ac:dyDescent="0.3">
      <c r="A163" s="11" t="s">
        <v>46</v>
      </c>
      <c r="B163" s="19" t="str">
        <f>INDEX(SETORES!$B:$B,MATCH(A163,SETORES!$A:$A,0))</f>
        <v>Clientes</v>
      </c>
      <c r="C163" s="11" t="s">
        <v>15</v>
      </c>
      <c r="D163" s="9">
        <f>IF(B163="Clientes",SUMIFS(PARÂMETROS!$D$8:$D$907,PARÂMETROS!$A$8:$A$907,C163,PARÂMETROS!$G$8:$G$907,J163),SUMIFS(PARÂMETROS!$E$8:$E$907,PARÂMETROS!$A$8:$A$907,C163,PARÂMETROS!$G$8:$G$907,J163))</f>
        <v>3.302145830232546E-2</v>
      </c>
      <c r="E163" s="20">
        <f>SUMIFS(SETORES!$D:$D,SETORES!$A:$A,A163,SETORES!$F:$F,J163)</f>
        <v>188228.34999999998</v>
      </c>
      <c r="F163" s="20">
        <f t="shared" si="9"/>
        <v>6215.5746108405219</v>
      </c>
      <c r="G163" s="9">
        <f>SUMIFS(PARÂMETROS!$F$8:$F$907,PARÂMETROS!$A$8:$A$907,C163,PARÂMETROS!$G$8:$G$907,J163)</f>
        <v>0</v>
      </c>
      <c r="H163" s="20">
        <f t="shared" si="10"/>
        <v>0</v>
      </c>
      <c r="I163" s="20">
        <f t="shared" si="11"/>
        <v>6215.5746108405219</v>
      </c>
      <c r="J163" s="11" t="s">
        <v>11</v>
      </c>
    </row>
    <row r="164" spans="1:10" ht="14.25" hidden="1" customHeight="1" x14ac:dyDescent="0.3">
      <c r="A164" s="2" t="s">
        <v>46</v>
      </c>
      <c r="B164" s="2" t="str">
        <f>INDEX(SETORES!$B:$B,MATCH(A164,SETORES!$A:$A,0))</f>
        <v>Clientes</v>
      </c>
      <c r="C164" s="2" t="s">
        <v>16</v>
      </c>
      <c r="D164" s="14">
        <f>IF(B164="Clientes",SUMIFS(PARÂMETROS!$D$8:$D$907,PARÂMETROS!$A$8:$A$907,C164,PARÂMETROS!$G$8:$G$907,J164),SUMIFS(PARÂMETROS!$E$8:$E$907,PARÂMETROS!$A$8:$A$907,C164,PARÂMETROS!$G$8:$G$907,J164))</f>
        <v>2.437346992193715E-2</v>
      </c>
      <c r="E164" s="21">
        <f>SUMIFS(SETORES!$D:$D,SETORES!$A:$A,A164,SETORES!$F:$F,J164)</f>
        <v>188228.34999999998</v>
      </c>
      <c r="F164" s="21">
        <f t="shared" si="9"/>
        <v>4587.7780271808579</v>
      </c>
      <c r="G164" s="14">
        <f>SUMIFS(PARÂMETROS!$F$8:$F$907,PARÂMETROS!$A$8:$A$907,C164,PARÂMETROS!$G$8:$G$907,J164)</f>
        <v>0</v>
      </c>
      <c r="H164" s="21">
        <f t="shared" si="10"/>
        <v>0</v>
      </c>
      <c r="I164" s="21">
        <f t="shared" si="11"/>
        <v>4587.7780271808579</v>
      </c>
      <c r="J164" s="2" t="s">
        <v>11</v>
      </c>
    </row>
    <row r="165" spans="1:10" ht="14.25" hidden="1" customHeight="1" x14ac:dyDescent="0.3">
      <c r="A165" s="11" t="s">
        <v>46</v>
      </c>
      <c r="B165" s="19" t="str">
        <f>INDEX(SETORES!$B:$B,MATCH(A165,SETORES!$A:$A,0))</f>
        <v>Clientes</v>
      </c>
      <c r="C165" s="11" t="s">
        <v>17</v>
      </c>
      <c r="D165" s="9">
        <f>IF(B165="Clientes",SUMIFS(PARÂMETROS!$D$8:$D$907,PARÂMETROS!$A$8:$A$907,C165,PARÂMETROS!$G$8:$G$907,J165),SUMIFS(PARÂMETROS!$E$8:$E$907,PARÂMETROS!$A$8:$A$907,C165,PARÂMETROS!$G$8:$G$907,J165))</f>
        <v>2.460955743855309E-2</v>
      </c>
      <c r="E165" s="20">
        <f>SUMIFS(SETORES!$D:$D,SETORES!$A:$A,A165,SETORES!$F:$F,J165)</f>
        <v>188228.34999999998</v>
      </c>
      <c r="F165" s="20">
        <f t="shared" si="9"/>
        <v>4632.2163908890743</v>
      </c>
      <c r="G165" s="9">
        <f>SUMIFS(PARÂMETROS!$F$8:$F$907,PARÂMETROS!$A$8:$A$907,C165,PARÂMETROS!$G$8:$G$907,J165)</f>
        <v>0</v>
      </c>
      <c r="H165" s="20">
        <f t="shared" si="10"/>
        <v>0</v>
      </c>
      <c r="I165" s="20">
        <f t="shared" si="11"/>
        <v>4632.2163908890743</v>
      </c>
      <c r="J165" s="11" t="s">
        <v>11</v>
      </c>
    </row>
    <row r="166" spans="1:10" ht="14.25" hidden="1" customHeight="1" x14ac:dyDescent="0.3">
      <c r="A166" s="2" t="s">
        <v>46</v>
      </c>
      <c r="B166" s="2" t="str">
        <f>INDEX(SETORES!$B:$B,MATCH(A166,SETORES!$A:$A,0))</f>
        <v>Clientes</v>
      </c>
      <c r="C166" s="2" t="s">
        <v>18</v>
      </c>
      <c r="D166" s="14">
        <f>IF(B166="Clientes",SUMIFS(PARÂMETROS!$D$8:$D$907,PARÂMETROS!$A$8:$A$907,C166,PARÂMETROS!$G$8:$G$907,J166),SUMIFS(PARÂMETROS!$E$8:$E$907,PARÂMETROS!$A$8:$A$907,C166,PARÂMETROS!$G$8:$G$907,J166))</f>
        <v>0.72292563756460326</v>
      </c>
      <c r="E166" s="21">
        <f>SUMIFS(SETORES!$D:$D,SETORES!$A:$A,A166,SETORES!$F:$F,J166)</f>
        <v>188228.34999999998</v>
      </c>
      <c r="F166" s="21">
        <f t="shared" si="9"/>
        <v>136075.09993148327</v>
      </c>
      <c r="G166" s="14">
        <f>SUMIFS(PARÂMETROS!$F$8:$F$907,PARÂMETROS!$A$8:$A$907,C166,PARÂMETROS!$G$8:$G$907,J166)</f>
        <v>0</v>
      </c>
      <c r="H166" s="21">
        <f t="shared" si="10"/>
        <v>0</v>
      </c>
      <c r="I166" s="21">
        <f t="shared" si="11"/>
        <v>136075.09993148327</v>
      </c>
      <c r="J166" s="2" t="s">
        <v>11</v>
      </c>
    </row>
    <row r="167" spans="1:10" ht="14.25" hidden="1" customHeight="1" x14ac:dyDescent="0.3">
      <c r="A167" s="11" t="s">
        <v>47</v>
      </c>
      <c r="B167" s="19" t="str">
        <f>INDEX(SETORES!$B:$B,MATCH(A167,SETORES!$A:$A,0))</f>
        <v>Clientes</v>
      </c>
      <c r="C167" s="11" t="s">
        <v>10</v>
      </c>
      <c r="D167" s="9">
        <f>IF(B167="Clientes",SUMIFS(PARÂMETROS!$D$8:$D$907,PARÂMETROS!$A$8:$A$907,C167,PARÂMETROS!$G$8:$G$907,J167),SUMIFS(PARÂMETROS!$E$8:$E$907,PARÂMETROS!$A$8:$A$907,C167,PARÂMETROS!$G$8:$G$907,J167))</f>
        <v>3.3077914012820578E-2</v>
      </c>
      <c r="E167" s="20">
        <f>SUMIFS(SETORES!$D:$D,SETORES!$A:$A,A167,SETORES!$F:$F,J167)</f>
        <v>129568.98999999999</v>
      </c>
      <c r="F167" s="20">
        <f t="shared" ref="F167:F230" si="12">IFERROR(D167*E167,0)</f>
        <v>4285.8719099480086</v>
      </c>
      <c r="G167" s="9">
        <f>SUMIFS(PARÂMETROS!$F$8:$F$907,PARÂMETROS!$A$8:$A$907,C167,PARÂMETROS!$G$8:$G$907,J167)</f>
        <v>0</v>
      </c>
      <c r="H167" s="20">
        <f t="shared" ref="H167:H230" si="13">IFERROR(F167*G167,0)</f>
        <v>0</v>
      </c>
      <c r="I167" s="20">
        <f t="shared" ref="I167:I230" si="14">F167+H167</f>
        <v>4285.8719099480086</v>
      </c>
      <c r="J167" s="11" t="s">
        <v>11</v>
      </c>
    </row>
    <row r="168" spans="1:10" ht="14.25" hidden="1" customHeight="1" x14ac:dyDescent="0.3">
      <c r="A168" s="2" t="s">
        <v>47</v>
      </c>
      <c r="B168" s="2" t="str">
        <f>INDEX(SETORES!$B:$B,MATCH(A168,SETORES!$A:$A,0))</f>
        <v>Clientes</v>
      </c>
      <c r="C168" s="2" t="s">
        <v>12</v>
      </c>
      <c r="D168" s="14">
        <f>IF(B168="Clientes",SUMIFS(PARÂMETROS!$D$8:$D$907,PARÂMETROS!$A$8:$A$907,C168,PARÂMETROS!$G$8:$G$907,J168),SUMIFS(PARÂMETROS!$E$8:$E$907,PARÂMETROS!$A$8:$A$907,C168,PARÂMETROS!$G$8:$G$907,J168))</f>
        <v>6.886570212940675E-2</v>
      </c>
      <c r="E168" s="21">
        <f>SUMIFS(SETORES!$D:$D,SETORES!$A:$A,A168,SETORES!$F:$F,J168)</f>
        <v>129568.98999999999</v>
      </c>
      <c r="F168" s="21">
        <f t="shared" si="12"/>
        <v>8922.8594705480809</v>
      </c>
      <c r="G168" s="14">
        <f>SUMIFS(PARÂMETROS!$F$8:$F$907,PARÂMETROS!$A$8:$A$907,C168,PARÂMETROS!$G$8:$G$907,J168)</f>
        <v>0</v>
      </c>
      <c r="H168" s="21">
        <f t="shared" si="13"/>
        <v>0</v>
      </c>
      <c r="I168" s="21">
        <f t="shared" si="14"/>
        <v>8922.8594705480809</v>
      </c>
      <c r="J168" s="2" t="s">
        <v>11</v>
      </c>
    </row>
    <row r="169" spans="1:10" ht="14.25" hidden="1" customHeight="1" x14ac:dyDescent="0.3">
      <c r="A169" s="11" t="s">
        <v>47</v>
      </c>
      <c r="B169" s="19" t="str">
        <f>INDEX(SETORES!$B:$B,MATCH(A169,SETORES!$A:$A,0))</f>
        <v>Clientes</v>
      </c>
      <c r="C169" s="11" t="s">
        <v>13</v>
      </c>
      <c r="D169" s="9">
        <f>IF(B169="Clientes",SUMIFS(PARÂMETROS!$D$8:$D$907,PARÂMETROS!$A$8:$A$907,C169,PARÂMETROS!$G$8:$G$907,J169),SUMIFS(PARÂMETROS!$E$8:$E$907,PARÂMETROS!$A$8:$A$907,C169,PARÂMETROS!$G$8:$G$907,J169))</f>
        <v>7.4116083205452599E-2</v>
      </c>
      <c r="E169" s="20">
        <f>SUMIFS(SETORES!$D:$D,SETORES!$A:$A,A169,SETORES!$F:$F,J169)</f>
        <v>129568.98999999999</v>
      </c>
      <c r="F169" s="20">
        <f t="shared" si="12"/>
        <v>9603.1460436864545</v>
      </c>
      <c r="G169" s="9">
        <f>SUMIFS(PARÂMETROS!$F$8:$F$907,PARÂMETROS!$A$8:$A$907,C169,PARÂMETROS!$G$8:$G$907,J169)</f>
        <v>0</v>
      </c>
      <c r="H169" s="20">
        <f t="shared" si="13"/>
        <v>0</v>
      </c>
      <c r="I169" s="20">
        <f t="shared" si="14"/>
        <v>9603.1460436864545</v>
      </c>
      <c r="J169" s="11" t="s">
        <v>11</v>
      </c>
    </row>
    <row r="170" spans="1:10" ht="14.25" customHeight="1" x14ac:dyDescent="0.3">
      <c r="A170" s="2" t="s">
        <v>47</v>
      </c>
      <c r="B170" s="2" t="str">
        <f>INDEX(SETORES!$B:$B,MATCH(A170,SETORES!$A:$A,0))</f>
        <v>Clientes</v>
      </c>
      <c r="C170" s="2" t="s">
        <v>14</v>
      </c>
      <c r="D170" s="14">
        <f>IF(B170="Clientes",SUMIFS(PARÂMETROS!$D$8:$D$907,PARÂMETROS!$A$8:$A$907,C170,PARÂMETROS!$G$8:$G$907,J170),SUMIFS(PARÂMETROS!$E$8:$E$907,PARÂMETROS!$A$8:$A$907,C170,PARÂMETROS!$G$8:$G$907,J170))</f>
        <v>1.9010177424901076E-2</v>
      </c>
      <c r="E170" s="21">
        <f>SUMIFS(SETORES!$D:$D,SETORES!$A:$A,A170,SETORES!$F:$F,J170)</f>
        <v>129568.98999999999</v>
      </c>
      <c r="F170" s="21">
        <f t="shared" si="12"/>
        <v>2463.1294886652331</v>
      </c>
      <c r="G170" s="14">
        <f>SUMIFS(PARÂMETROS!$F$8:$F$907,PARÂMETROS!$A$8:$A$907,C170,PARÂMETROS!$G$8:$G$907,J170)</f>
        <v>0</v>
      </c>
      <c r="H170" s="21">
        <f t="shared" si="13"/>
        <v>0</v>
      </c>
      <c r="I170" s="21">
        <f t="shared" si="14"/>
        <v>2463.1294886652331</v>
      </c>
      <c r="J170" s="2" t="s">
        <v>11</v>
      </c>
    </row>
    <row r="171" spans="1:10" ht="14.25" hidden="1" customHeight="1" x14ac:dyDescent="0.3">
      <c r="A171" s="11" t="s">
        <v>47</v>
      </c>
      <c r="B171" s="19" t="str">
        <f>INDEX(SETORES!$B:$B,MATCH(A171,SETORES!$A:$A,0))</f>
        <v>Clientes</v>
      </c>
      <c r="C171" s="11" t="s">
        <v>15</v>
      </c>
      <c r="D171" s="9">
        <f>IF(B171="Clientes",SUMIFS(PARÂMETROS!$D$8:$D$907,PARÂMETROS!$A$8:$A$907,C171,PARÂMETROS!$G$8:$G$907,J171),SUMIFS(PARÂMETROS!$E$8:$E$907,PARÂMETROS!$A$8:$A$907,C171,PARÂMETROS!$G$8:$G$907,J171))</f>
        <v>3.302145830232546E-2</v>
      </c>
      <c r="E171" s="20">
        <f>SUMIFS(SETORES!$D:$D,SETORES!$A:$A,A171,SETORES!$F:$F,J171)</f>
        <v>129568.98999999999</v>
      </c>
      <c r="F171" s="20">
        <f t="shared" si="12"/>
        <v>4278.5570005594245</v>
      </c>
      <c r="G171" s="9">
        <f>SUMIFS(PARÂMETROS!$F$8:$F$907,PARÂMETROS!$A$8:$A$907,C171,PARÂMETROS!$G$8:$G$907,J171)</f>
        <v>0</v>
      </c>
      <c r="H171" s="20">
        <f t="shared" si="13"/>
        <v>0</v>
      </c>
      <c r="I171" s="20">
        <f t="shared" si="14"/>
        <v>4278.5570005594245</v>
      </c>
      <c r="J171" s="11" t="s">
        <v>11</v>
      </c>
    </row>
    <row r="172" spans="1:10" ht="14.25" hidden="1" customHeight="1" x14ac:dyDescent="0.3">
      <c r="A172" s="2" t="s">
        <v>47</v>
      </c>
      <c r="B172" s="2" t="str">
        <f>INDEX(SETORES!$B:$B,MATCH(A172,SETORES!$A:$A,0))</f>
        <v>Clientes</v>
      </c>
      <c r="C172" s="2" t="s">
        <v>16</v>
      </c>
      <c r="D172" s="14">
        <f>IF(B172="Clientes",SUMIFS(PARÂMETROS!$D$8:$D$907,PARÂMETROS!$A$8:$A$907,C172,PARÂMETROS!$G$8:$G$907,J172),SUMIFS(PARÂMETROS!$E$8:$E$907,PARÂMETROS!$A$8:$A$907,C172,PARÂMETROS!$G$8:$G$907,J172))</f>
        <v>2.437346992193715E-2</v>
      </c>
      <c r="E172" s="21">
        <f>SUMIFS(SETORES!$D:$D,SETORES!$A:$A,A172,SETORES!$F:$F,J172)</f>
        <v>129568.98999999999</v>
      </c>
      <c r="F172" s="21">
        <f t="shared" si="12"/>
        <v>3158.0458805807752</v>
      </c>
      <c r="G172" s="14">
        <f>SUMIFS(PARÂMETROS!$F$8:$F$907,PARÂMETROS!$A$8:$A$907,C172,PARÂMETROS!$G$8:$G$907,J172)</f>
        <v>0</v>
      </c>
      <c r="H172" s="21">
        <f t="shared" si="13"/>
        <v>0</v>
      </c>
      <c r="I172" s="21">
        <f t="shared" si="14"/>
        <v>3158.0458805807752</v>
      </c>
      <c r="J172" s="2" t="s">
        <v>11</v>
      </c>
    </row>
    <row r="173" spans="1:10" ht="14.25" hidden="1" customHeight="1" x14ac:dyDescent="0.3">
      <c r="A173" s="11" t="s">
        <v>47</v>
      </c>
      <c r="B173" s="19" t="str">
        <f>INDEX(SETORES!$B:$B,MATCH(A173,SETORES!$A:$A,0))</f>
        <v>Clientes</v>
      </c>
      <c r="C173" s="11" t="s">
        <v>17</v>
      </c>
      <c r="D173" s="9">
        <f>IF(B173="Clientes",SUMIFS(PARÂMETROS!$D$8:$D$907,PARÂMETROS!$A$8:$A$907,C173,PARÂMETROS!$G$8:$G$907,J173),SUMIFS(PARÂMETROS!$E$8:$E$907,PARÂMETROS!$A$8:$A$907,C173,PARÂMETROS!$G$8:$G$907,J173))</f>
        <v>2.460955743855309E-2</v>
      </c>
      <c r="E173" s="20">
        <f>SUMIFS(SETORES!$D:$D,SETORES!$A:$A,A173,SETORES!$F:$F,J173)</f>
        <v>129568.98999999999</v>
      </c>
      <c r="F173" s="20">
        <f t="shared" si="12"/>
        <v>3188.6355016603106</v>
      </c>
      <c r="G173" s="9">
        <f>SUMIFS(PARÂMETROS!$F$8:$F$907,PARÂMETROS!$A$8:$A$907,C173,PARÂMETROS!$G$8:$G$907,J173)</f>
        <v>0</v>
      </c>
      <c r="H173" s="20">
        <f t="shared" si="13"/>
        <v>0</v>
      </c>
      <c r="I173" s="20">
        <f t="shared" si="14"/>
        <v>3188.6355016603106</v>
      </c>
      <c r="J173" s="11" t="s">
        <v>11</v>
      </c>
    </row>
    <row r="174" spans="1:10" ht="14.25" hidden="1" customHeight="1" x14ac:dyDescent="0.3">
      <c r="A174" s="2" t="s">
        <v>47</v>
      </c>
      <c r="B174" s="2" t="str">
        <f>INDEX(SETORES!$B:$B,MATCH(A174,SETORES!$A:$A,0))</f>
        <v>Clientes</v>
      </c>
      <c r="C174" s="2" t="s">
        <v>18</v>
      </c>
      <c r="D174" s="14">
        <f>IF(B174="Clientes",SUMIFS(PARÂMETROS!$D$8:$D$907,PARÂMETROS!$A$8:$A$907,C174,PARÂMETROS!$G$8:$G$907,J174),SUMIFS(PARÂMETROS!$E$8:$E$907,PARÂMETROS!$A$8:$A$907,C174,PARÂMETROS!$G$8:$G$907,J174))</f>
        <v>0.72292563756460326</v>
      </c>
      <c r="E174" s="21">
        <f>SUMIFS(SETORES!$D:$D,SETORES!$A:$A,A174,SETORES!$F:$F,J174)</f>
        <v>129568.98999999999</v>
      </c>
      <c r="F174" s="21">
        <f t="shared" si="12"/>
        <v>93668.744704351702</v>
      </c>
      <c r="G174" s="14">
        <f>SUMIFS(PARÂMETROS!$F$8:$F$907,PARÂMETROS!$A$8:$A$907,C174,PARÂMETROS!$G$8:$G$907,J174)</f>
        <v>0</v>
      </c>
      <c r="H174" s="21">
        <f t="shared" si="13"/>
        <v>0</v>
      </c>
      <c r="I174" s="21">
        <f t="shared" si="14"/>
        <v>93668.744704351702</v>
      </c>
      <c r="J174" s="2" t="s">
        <v>11</v>
      </c>
    </row>
    <row r="175" spans="1:10" ht="14.25" hidden="1" customHeight="1" x14ac:dyDescent="0.3">
      <c r="A175" s="11" t="s">
        <v>48</v>
      </c>
      <c r="B175" s="19" t="str">
        <f>INDEX(SETORES!$B:$B,MATCH(A175,SETORES!$A:$A,0))</f>
        <v>Clientes</v>
      </c>
      <c r="C175" s="11" t="s">
        <v>10</v>
      </c>
      <c r="D175" s="9">
        <f>IF(B175="Clientes",SUMIFS(PARÂMETROS!$D$8:$D$907,PARÂMETROS!$A$8:$A$907,C175,PARÂMETROS!$G$8:$G$907,J175),SUMIFS(PARÂMETROS!$E$8:$E$907,PARÂMETROS!$A$8:$A$907,C175,PARÂMETROS!$G$8:$G$907,J175))</f>
        <v>3.3077914012820578E-2</v>
      </c>
      <c r="E175" s="20">
        <f>SUMIFS(SETORES!$D:$D,SETORES!$A:$A,A175,SETORES!$F:$F,J175)</f>
        <v>133032.35675699997</v>
      </c>
      <c r="F175" s="20">
        <f t="shared" si="12"/>
        <v>4400.4328577309161</v>
      </c>
      <c r="G175" s="9">
        <f>SUMIFS(PARÂMETROS!$F$8:$F$907,PARÂMETROS!$A$8:$A$907,C175,PARÂMETROS!$G$8:$G$907,J175)</f>
        <v>0</v>
      </c>
      <c r="H175" s="20">
        <f t="shared" si="13"/>
        <v>0</v>
      </c>
      <c r="I175" s="20">
        <f t="shared" si="14"/>
        <v>4400.4328577309161</v>
      </c>
      <c r="J175" s="11" t="s">
        <v>11</v>
      </c>
    </row>
    <row r="176" spans="1:10" ht="14.25" hidden="1" customHeight="1" x14ac:dyDescent="0.3">
      <c r="A176" s="2" t="s">
        <v>48</v>
      </c>
      <c r="B176" s="2" t="str">
        <f>INDEX(SETORES!$B:$B,MATCH(A176,SETORES!$A:$A,0))</f>
        <v>Clientes</v>
      </c>
      <c r="C176" s="2" t="s">
        <v>12</v>
      </c>
      <c r="D176" s="14">
        <f>IF(B176="Clientes",SUMIFS(PARÂMETROS!$D$8:$D$907,PARÂMETROS!$A$8:$A$907,C176,PARÂMETROS!$G$8:$G$907,J176),SUMIFS(PARÂMETROS!$E$8:$E$907,PARÂMETROS!$A$8:$A$907,C176,PARÂMETROS!$G$8:$G$907,J176))</f>
        <v>6.886570212940675E-2</v>
      </c>
      <c r="E176" s="21">
        <f>SUMIFS(SETORES!$D:$D,SETORES!$A:$A,A176,SETORES!$F:$F,J176)</f>
        <v>133032.35675699997</v>
      </c>
      <c r="F176" s="21">
        <f t="shared" si="12"/>
        <v>9161.3666540005306</v>
      </c>
      <c r="G176" s="14">
        <f>SUMIFS(PARÂMETROS!$F$8:$F$907,PARÂMETROS!$A$8:$A$907,C176,PARÂMETROS!$G$8:$G$907,J176)</f>
        <v>0</v>
      </c>
      <c r="H176" s="21">
        <f t="shared" si="13"/>
        <v>0</v>
      </c>
      <c r="I176" s="21">
        <f t="shared" si="14"/>
        <v>9161.3666540005306</v>
      </c>
      <c r="J176" s="2" t="s">
        <v>11</v>
      </c>
    </row>
    <row r="177" spans="1:10" ht="14.25" hidden="1" customHeight="1" x14ac:dyDescent="0.3">
      <c r="A177" s="11" t="s">
        <v>48</v>
      </c>
      <c r="B177" s="19" t="str">
        <f>INDEX(SETORES!$B:$B,MATCH(A177,SETORES!$A:$A,0))</f>
        <v>Clientes</v>
      </c>
      <c r="C177" s="11" t="s">
        <v>13</v>
      </c>
      <c r="D177" s="9">
        <f>IF(B177="Clientes",SUMIFS(PARÂMETROS!$D$8:$D$907,PARÂMETROS!$A$8:$A$907,C177,PARÂMETROS!$G$8:$G$907,J177),SUMIFS(PARÂMETROS!$E$8:$E$907,PARÂMETROS!$A$8:$A$907,C177,PARÂMETROS!$G$8:$G$907,J177))</f>
        <v>7.4116083205452599E-2</v>
      </c>
      <c r="E177" s="20">
        <f>SUMIFS(SETORES!$D:$D,SETORES!$A:$A,A177,SETORES!$F:$F,J177)</f>
        <v>133032.35675699997</v>
      </c>
      <c r="F177" s="20">
        <f t="shared" si="12"/>
        <v>9859.8372224192644</v>
      </c>
      <c r="G177" s="9">
        <f>SUMIFS(PARÂMETROS!$F$8:$F$907,PARÂMETROS!$A$8:$A$907,C177,PARÂMETROS!$G$8:$G$907,J177)</f>
        <v>0</v>
      </c>
      <c r="H177" s="20">
        <f t="shared" si="13"/>
        <v>0</v>
      </c>
      <c r="I177" s="20">
        <f t="shared" si="14"/>
        <v>9859.8372224192644</v>
      </c>
      <c r="J177" s="11" t="s">
        <v>11</v>
      </c>
    </row>
    <row r="178" spans="1:10" ht="14.25" customHeight="1" x14ac:dyDescent="0.3">
      <c r="A178" s="2" t="s">
        <v>48</v>
      </c>
      <c r="B178" s="2" t="str">
        <f>INDEX(SETORES!$B:$B,MATCH(A178,SETORES!$A:$A,0))</f>
        <v>Clientes</v>
      </c>
      <c r="C178" s="2" t="s">
        <v>14</v>
      </c>
      <c r="D178" s="14">
        <f>IF(B178="Clientes",SUMIFS(PARÂMETROS!$D$8:$D$907,PARÂMETROS!$A$8:$A$907,C178,PARÂMETROS!$G$8:$G$907,J178),SUMIFS(PARÂMETROS!$E$8:$E$907,PARÂMETROS!$A$8:$A$907,C178,PARÂMETROS!$G$8:$G$907,J178))</f>
        <v>1.9010177424901076E-2</v>
      </c>
      <c r="E178" s="21">
        <f>SUMIFS(SETORES!$D:$D,SETORES!$A:$A,A178,SETORES!$F:$F,J178)</f>
        <v>133032.35675699997</v>
      </c>
      <c r="F178" s="21">
        <f t="shared" si="12"/>
        <v>2528.9687052033069</v>
      </c>
      <c r="G178" s="14">
        <f>SUMIFS(PARÂMETROS!$F$8:$F$907,PARÂMETROS!$A$8:$A$907,C178,PARÂMETROS!$G$8:$G$907,J178)</f>
        <v>0</v>
      </c>
      <c r="H178" s="21">
        <f t="shared" si="13"/>
        <v>0</v>
      </c>
      <c r="I178" s="21">
        <f t="shared" si="14"/>
        <v>2528.9687052033069</v>
      </c>
      <c r="J178" s="2" t="s">
        <v>11</v>
      </c>
    </row>
    <row r="179" spans="1:10" ht="14.25" hidden="1" customHeight="1" x14ac:dyDescent="0.3">
      <c r="A179" s="11" t="s">
        <v>48</v>
      </c>
      <c r="B179" s="19" t="str">
        <f>INDEX(SETORES!$B:$B,MATCH(A179,SETORES!$A:$A,0))</f>
        <v>Clientes</v>
      </c>
      <c r="C179" s="11" t="s">
        <v>15</v>
      </c>
      <c r="D179" s="9">
        <f>IF(B179="Clientes",SUMIFS(PARÂMETROS!$D$8:$D$907,PARÂMETROS!$A$8:$A$907,C179,PARÂMETROS!$G$8:$G$907,J179),SUMIFS(PARÂMETROS!$E$8:$E$907,PARÂMETROS!$A$8:$A$907,C179,PARÂMETROS!$G$8:$G$907,J179))</f>
        <v>3.302145830232546E-2</v>
      </c>
      <c r="E179" s="20">
        <f>SUMIFS(SETORES!$D:$D,SETORES!$A:$A,A179,SETORES!$F:$F,J179)</f>
        <v>133032.35675699997</v>
      </c>
      <c r="F179" s="20">
        <f t="shared" si="12"/>
        <v>4392.9224215113591</v>
      </c>
      <c r="G179" s="9">
        <f>SUMIFS(PARÂMETROS!$F$8:$F$907,PARÂMETROS!$A$8:$A$907,C179,PARÂMETROS!$G$8:$G$907,J179)</f>
        <v>0</v>
      </c>
      <c r="H179" s="20">
        <f t="shared" si="13"/>
        <v>0</v>
      </c>
      <c r="I179" s="20">
        <f t="shared" si="14"/>
        <v>4392.9224215113591</v>
      </c>
      <c r="J179" s="11" t="s">
        <v>11</v>
      </c>
    </row>
    <row r="180" spans="1:10" ht="14.25" hidden="1" customHeight="1" x14ac:dyDescent="0.3">
      <c r="A180" s="2" t="s">
        <v>48</v>
      </c>
      <c r="B180" s="2" t="str">
        <f>INDEX(SETORES!$B:$B,MATCH(A180,SETORES!$A:$A,0))</f>
        <v>Clientes</v>
      </c>
      <c r="C180" s="2" t="s">
        <v>16</v>
      </c>
      <c r="D180" s="14">
        <f>IF(B180="Clientes",SUMIFS(PARÂMETROS!$D$8:$D$907,PARÂMETROS!$A$8:$A$907,C180,PARÂMETROS!$G$8:$G$907,J180),SUMIFS(PARÂMETROS!$E$8:$E$907,PARÂMETROS!$A$8:$A$907,C180,PARÂMETROS!$G$8:$G$907,J180))</f>
        <v>2.437346992193715E-2</v>
      </c>
      <c r="E180" s="21">
        <f>SUMIFS(SETORES!$D:$D,SETORES!$A:$A,A180,SETORES!$F:$F,J180)</f>
        <v>133032.35675699997</v>
      </c>
      <c r="F180" s="21">
        <f t="shared" si="12"/>
        <v>3242.4601460611511</v>
      </c>
      <c r="G180" s="14">
        <f>SUMIFS(PARÂMETROS!$F$8:$F$907,PARÂMETROS!$A$8:$A$907,C180,PARÂMETROS!$G$8:$G$907,J180)</f>
        <v>0</v>
      </c>
      <c r="H180" s="21">
        <f t="shared" si="13"/>
        <v>0</v>
      </c>
      <c r="I180" s="21">
        <f t="shared" si="14"/>
        <v>3242.4601460611511</v>
      </c>
      <c r="J180" s="2" t="s">
        <v>11</v>
      </c>
    </row>
    <row r="181" spans="1:10" ht="14.25" hidden="1" customHeight="1" x14ac:dyDescent="0.3">
      <c r="A181" s="11" t="s">
        <v>48</v>
      </c>
      <c r="B181" s="19" t="str">
        <f>INDEX(SETORES!$B:$B,MATCH(A181,SETORES!$A:$A,0))</f>
        <v>Clientes</v>
      </c>
      <c r="C181" s="11" t="s">
        <v>17</v>
      </c>
      <c r="D181" s="9">
        <f>IF(B181="Clientes",SUMIFS(PARÂMETROS!$D$8:$D$907,PARÂMETROS!$A$8:$A$907,C181,PARÂMETROS!$G$8:$G$907,J181),SUMIFS(PARÂMETROS!$E$8:$E$907,PARÂMETROS!$A$8:$A$907,C181,PARÂMETROS!$G$8:$G$907,J181))</f>
        <v>2.460955743855309E-2</v>
      </c>
      <c r="E181" s="20">
        <f>SUMIFS(SETORES!$D:$D,SETORES!$A:$A,A181,SETORES!$F:$F,J181)</f>
        <v>133032.35675699997</v>
      </c>
      <c r="F181" s="20">
        <f t="shared" si="12"/>
        <v>3273.8674247974773</v>
      </c>
      <c r="G181" s="9">
        <f>SUMIFS(PARÂMETROS!$F$8:$F$907,PARÂMETROS!$A$8:$A$907,C181,PARÂMETROS!$G$8:$G$907,J181)</f>
        <v>0</v>
      </c>
      <c r="H181" s="20">
        <f t="shared" si="13"/>
        <v>0</v>
      </c>
      <c r="I181" s="20">
        <f t="shared" si="14"/>
        <v>3273.8674247974773</v>
      </c>
      <c r="J181" s="11" t="s">
        <v>11</v>
      </c>
    </row>
    <row r="182" spans="1:10" ht="14.25" hidden="1" customHeight="1" x14ac:dyDescent="0.3">
      <c r="A182" s="2" t="s">
        <v>48</v>
      </c>
      <c r="B182" s="2" t="str">
        <f>INDEX(SETORES!$B:$B,MATCH(A182,SETORES!$A:$A,0))</f>
        <v>Clientes</v>
      </c>
      <c r="C182" s="2" t="s">
        <v>18</v>
      </c>
      <c r="D182" s="14">
        <f>IF(B182="Clientes",SUMIFS(PARÂMETROS!$D$8:$D$907,PARÂMETROS!$A$8:$A$907,C182,PARÂMETROS!$G$8:$G$907,J182),SUMIFS(PARÂMETROS!$E$8:$E$907,PARÂMETROS!$A$8:$A$907,C182,PARÂMETROS!$G$8:$G$907,J182))</f>
        <v>0.72292563756460326</v>
      </c>
      <c r="E182" s="21">
        <f>SUMIFS(SETORES!$D:$D,SETORES!$A:$A,A182,SETORES!$F:$F,J182)</f>
        <v>133032.35675699997</v>
      </c>
      <c r="F182" s="21">
        <f t="shared" si="12"/>
        <v>96172.501325275967</v>
      </c>
      <c r="G182" s="14">
        <f>SUMIFS(PARÂMETROS!$F$8:$F$907,PARÂMETROS!$A$8:$A$907,C182,PARÂMETROS!$G$8:$G$907,J182)</f>
        <v>0</v>
      </c>
      <c r="H182" s="21">
        <f t="shared" si="13"/>
        <v>0</v>
      </c>
      <c r="I182" s="21">
        <f t="shared" si="14"/>
        <v>96172.501325275967</v>
      </c>
      <c r="J182" s="2" t="s">
        <v>11</v>
      </c>
    </row>
    <row r="183" spans="1:10" ht="14.25" hidden="1" customHeight="1" x14ac:dyDescent="0.3">
      <c r="A183" s="11" t="s">
        <v>49</v>
      </c>
      <c r="B183" s="19" t="str">
        <f>INDEX(SETORES!$B:$B,MATCH(A183,SETORES!$A:$A,0))</f>
        <v>Clientes</v>
      </c>
      <c r="C183" s="11" t="s">
        <v>10</v>
      </c>
      <c r="D183" s="9">
        <f>IF(B183="Clientes",SUMIFS(PARÂMETROS!$D$8:$D$907,PARÂMETROS!$A$8:$A$907,C183,PARÂMETROS!$G$8:$G$907,J183),SUMIFS(PARÂMETROS!$E$8:$E$907,PARÂMETROS!$A$8:$A$907,C183,PARÂMETROS!$G$8:$G$907,J183))</f>
        <v>3.3077914012820578E-2</v>
      </c>
      <c r="E183" s="20">
        <f>SUMIFS(SETORES!$D:$D,SETORES!$A:$A,A183,SETORES!$F:$F,J183)</f>
        <v>33247.455043000009</v>
      </c>
      <c r="F183" s="20">
        <f t="shared" si="12"/>
        <v>1099.7564590574723</v>
      </c>
      <c r="G183" s="9">
        <f>SUMIFS(PARÂMETROS!$F$8:$F$907,PARÂMETROS!$A$8:$A$907,C183,PARÂMETROS!$G$8:$G$907,J183)</f>
        <v>0</v>
      </c>
      <c r="H183" s="20">
        <f t="shared" si="13"/>
        <v>0</v>
      </c>
      <c r="I183" s="20">
        <f t="shared" si="14"/>
        <v>1099.7564590574723</v>
      </c>
      <c r="J183" s="11" t="s">
        <v>11</v>
      </c>
    </row>
    <row r="184" spans="1:10" ht="14.25" hidden="1" customHeight="1" x14ac:dyDescent="0.3">
      <c r="A184" s="2" t="s">
        <v>49</v>
      </c>
      <c r="B184" s="2" t="str">
        <f>INDEX(SETORES!$B:$B,MATCH(A184,SETORES!$A:$A,0))</f>
        <v>Clientes</v>
      </c>
      <c r="C184" s="2" t="s">
        <v>12</v>
      </c>
      <c r="D184" s="14">
        <f>IF(B184="Clientes",SUMIFS(PARÂMETROS!$D$8:$D$907,PARÂMETROS!$A$8:$A$907,C184,PARÂMETROS!$G$8:$G$907,J184),SUMIFS(PARÂMETROS!$E$8:$E$907,PARÂMETROS!$A$8:$A$907,C184,PARÂMETROS!$G$8:$G$907,J184))</f>
        <v>6.886570212940675E-2</v>
      </c>
      <c r="E184" s="21">
        <f>SUMIFS(SETORES!$D:$D,SETORES!$A:$A,A184,SETORES!$F:$F,J184)</f>
        <v>33247.455043000009</v>
      </c>
      <c r="F184" s="21">
        <f t="shared" si="12"/>
        <v>2289.6093355520811</v>
      </c>
      <c r="G184" s="14">
        <f>SUMIFS(PARÂMETROS!$F$8:$F$907,PARÂMETROS!$A$8:$A$907,C184,PARÂMETROS!$G$8:$G$907,J184)</f>
        <v>0</v>
      </c>
      <c r="H184" s="21">
        <f t="shared" si="13"/>
        <v>0</v>
      </c>
      <c r="I184" s="21">
        <f t="shared" si="14"/>
        <v>2289.6093355520811</v>
      </c>
      <c r="J184" s="2" t="s">
        <v>11</v>
      </c>
    </row>
    <row r="185" spans="1:10" ht="14.25" hidden="1" customHeight="1" x14ac:dyDescent="0.3">
      <c r="A185" s="11" t="s">
        <v>49</v>
      </c>
      <c r="B185" s="19" t="str">
        <f>INDEX(SETORES!$B:$B,MATCH(A185,SETORES!$A:$A,0))</f>
        <v>Clientes</v>
      </c>
      <c r="C185" s="11" t="s">
        <v>13</v>
      </c>
      <c r="D185" s="9">
        <f>IF(B185="Clientes",SUMIFS(PARÂMETROS!$D$8:$D$907,PARÂMETROS!$A$8:$A$907,C185,PARÂMETROS!$G$8:$G$907,J185),SUMIFS(PARÂMETROS!$E$8:$E$907,PARÂMETROS!$A$8:$A$907,C185,PARÂMETROS!$G$8:$G$907,J185))</f>
        <v>7.4116083205452599E-2</v>
      </c>
      <c r="E185" s="20">
        <f>SUMIFS(SETORES!$D:$D,SETORES!$A:$A,A185,SETORES!$F:$F,J185)</f>
        <v>33247.455043000009</v>
      </c>
      <c r="F185" s="20">
        <f t="shared" si="12"/>
        <v>2464.1711443365334</v>
      </c>
      <c r="G185" s="9">
        <f>SUMIFS(PARÂMETROS!$F$8:$F$907,PARÂMETROS!$A$8:$A$907,C185,PARÂMETROS!$G$8:$G$907,J185)</f>
        <v>0</v>
      </c>
      <c r="H185" s="20">
        <f t="shared" si="13"/>
        <v>0</v>
      </c>
      <c r="I185" s="20">
        <f t="shared" si="14"/>
        <v>2464.1711443365334</v>
      </c>
      <c r="J185" s="11" t="s">
        <v>11</v>
      </c>
    </row>
    <row r="186" spans="1:10" ht="14.25" customHeight="1" x14ac:dyDescent="0.3">
      <c r="A186" s="2" t="s">
        <v>49</v>
      </c>
      <c r="B186" s="2" t="str">
        <f>INDEX(SETORES!$B:$B,MATCH(A186,SETORES!$A:$A,0))</f>
        <v>Clientes</v>
      </c>
      <c r="C186" s="2" t="s">
        <v>14</v>
      </c>
      <c r="D186" s="14">
        <f>IF(B186="Clientes",SUMIFS(PARÂMETROS!$D$8:$D$907,PARÂMETROS!$A$8:$A$907,C186,PARÂMETROS!$G$8:$G$907,J186),SUMIFS(PARÂMETROS!$E$8:$E$907,PARÂMETROS!$A$8:$A$907,C186,PARÂMETROS!$G$8:$G$907,J186))</f>
        <v>1.9010177424901076E-2</v>
      </c>
      <c r="E186" s="21">
        <f>SUMIFS(SETORES!$D:$D,SETORES!$A:$A,A186,SETORES!$F:$F,J186)</f>
        <v>33247.455043000009</v>
      </c>
      <c r="F186" s="21">
        <f t="shared" si="12"/>
        <v>632.0400192938522</v>
      </c>
      <c r="G186" s="14">
        <f>SUMIFS(PARÂMETROS!$F$8:$F$907,PARÂMETROS!$A$8:$A$907,C186,PARÂMETROS!$G$8:$G$907,J186)</f>
        <v>0</v>
      </c>
      <c r="H186" s="21">
        <f t="shared" si="13"/>
        <v>0</v>
      </c>
      <c r="I186" s="21">
        <f t="shared" si="14"/>
        <v>632.0400192938522</v>
      </c>
      <c r="J186" s="2" t="s">
        <v>11</v>
      </c>
    </row>
    <row r="187" spans="1:10" ht="14.25" hidden="1" customHeight="1" x14ac:dyDescent="0.3">
      <c r="A187" s="11" t="s">
        <v>49</v>
      </c>
      <c r="B187" s="19" t="str">
        <f>INDEX(SETORES!$B:$B,MATCH(A187,SETORES!$A:$A,0))</f>
        <v>Clientes</v>
      </c>
      <c r="C187" s="11" t="s">
        <v>15</v>
      </c>
      <c r="D187" s="9">
        <f>IF(B187="Clientes",SUMIFS(PARÂMETROS!$D$8:$D$907,PARÂMETROS!$A$8:$A$907,C187,PARÂMETROS!$G$8:$G$907,J187),SUMIFS(PARÂMETROS!$E$8:$E$907,PARÂMETROS!$A$8:$A$907,C187,PARÂMETROS!$G$8:$G$907,J187))</f>
        <v>3.302145830232546E-2</v>
      </c>
      <c r="E187" s="20">
        <f>SUMIFS(SETORES!$D:$D,SETORES!$A:$A,A187,SETORES!$F:$F,J187)</f>
        <v>33247.455043000009</v>
      </c>
      <c r="F187" s="20">
        <f t="shared" si="12"/>
        <v>1097.8794503608651</v>
      </c>
      <c r="G187" s="9">
        <f>SUMIFS(PARÂMETROS!$F$8:$F$907,PARÂMETROS!$A$8:$A$907,C187,PARÂMETROS!$G$8:$G$907,J187)</f>
        <v>0</v>
      </c>
      <c r="H187" s="20">
        <f t="shared" si="13"/>
        <v>0</v>
      </c>
      <c r="I187" s="20">
        <f t="shared" si="14"/>
        <v>1097.8794503608651</v>
      </c>
      <c r="J187" s="11" t="s">
        <v>11</v>
      </c>
    </row>
    <row r="188" spans="1:10" ht="14.25" hidden="1" customHeight="1" x14ac:dyDescent="0.3">
      <c r="A188" s="2" t="s">
        <v>49</v>
      </c>
      <c r="B188" s="2" t="str">
        <f>INDEX(SETORES!$B:$B,MATCH(A188,SETORES!$A:$A,0))</f>
        <v>Clientes</v>
      </c>
      <c r="C188" s="2" t="s">
        <v>16</v>
      </c>
      <c r="D188" s="14">
        <f>IF(B188="Clientes",SUMIFS(PARÂMETROS!$D$8:$D$907,PARÂMETROS!$A$8:$A$907,C188,PARÂMETROS!$G$8:$G$907,J188),SUMIFS(PARÂMETROS!$E$8:$E$907,PARÂMETROS!$A$8:$A$907,C188,PARÂMETROS!$G$8:$G$907,J188))</f>
        <v>2.437346992193715E-2</v>
      </c>
      <c r="E188" s="21">
        <f>SUMIFS(SETORES!$D:$D,SETORES!$A:$A,A188,SETORES!$F:$F,J188)</f>
        <v>33247.455043000009</v>
      </c>
      <c r="F188" s="21">
        <f t="shared" si="12"/>
        <v>810.35584547151836</v>
      </c>
      <c r="G188" s="14">
        <f>SUMIFS(PARÂMETROS!$F$8:$F$907,PARÂMETROS!$A$8:$A$907,C188,PARÂMETROS!$G$8:$G$907,J188)</f>
        <v>0</v>
      </c>
      <c r="H188" s="21">
        <f t="shared" si="13"/>
        <v>0</v>
      </c>
      <c r="I188" s="21">
        <f t="shared" si="14"/>
        <v>810.35584547151836</v>
      </c>
      <c r="J188" s="2" t="s">
        <v>11</v>
      </c>
    </row>
    <row r="189" spans="1:10" ht="14.25" hidden="1" customHeight="1" x14ac:dyDescent="0.3">
      <c r="A189" s="11" t="s">
        <v>49</v>
      </c>
      <c r="B189" s="19" t="str">
        <f>INDEX(SETORES!$B:$B,MATCH(A189,SETORES!$A:$A,0))</f>
        <v>Clientes</v>
      </c>
      <c r="C189" s="11" t="s">
        <v>17</v>
      </c>
      <c r="D189" s="9">
        <f>IF(B189="Clientes",SUMIFS(PARÂMETROS!$D$8:$D$907,PARÂMETROS!$A$8:$A$907,C189,PARÂMETROS!$G$8:$G$907,J189),SUMIFS(PARÂMETROS!$E$8:$E$907,PARÂMETROS!$A$8:$A$907,C189,PARÂMETROS!$G$8:$G$907,J189))</f>
        <v>2.460955743855309E-2</v>
      </c>
      <c r="E189" s="20">
        <f>SUMIFS(SETORES!$D:$D,SETORES!$A:$A,A189,SETORES!$F:$F,J189)</f>
        <v>33247.455043000009</v>
      </c>
      <c r="F189" s="20">
        <f t="shared" si="12"/>
        <v>818.20515456642033</v>
      </c>
      <c r="G189" s="9">
        <f>SUMIFS(PARÂMETROS!$F$8:$F$907,PARÂMETROS!$A$8:$A$907,C189,PARÂMETROS!$G$8:$G$907,J189)</f>
        <v>0</v>
      </c>
      <c r="H189" s="20">
        <f t="shared" si="13"/>
        <v>0</v>
      </c>
      <c r="I189" s="20">
        <f t="shared" si="14"/>
        <v>818.20515456642033</v>
      </c>
      <c r="J189" s="11" t="s">
        <v>11</v>
      </c>
    </row>
    <row r="190" spans="1:10" ht="14.25" hidden="1" customHeight="1" x14ac:dyDescent="0.3">
      <c r="A190" s="2" t="s">
        <v>49</v>
      </c>
      <c r="B190" s="2" t="str">
        <f>INDEX(SETORES!$B:$B,MATCH(A190,SETORES!$A:$A,0))</f>
        <v>Clientes</v>
      </c>
      <c r="C190" s="2" t="s">
        <v>18</v>
      </c>
      <c r="D190" s="14">
        <f>IF(B190="Clientes",SUMIFS(PARÂMETROS!$D$8:$D$907,PARÂMETROS!$A$8:$A$907,C190,PARÂMETROS!$G$8:$G$907,J190),SUMIFS(PARÂMETROS!$E$8:$E$907,PARÂMETROS!$A$8:$A$907,C190,PARÂMETROS!$G$8:$G$907,J190))</f>
        <v>0.72292563756460326</v>
      </c>
      <c r="E190" s="21">
        <f>SUMIFS(SETORES!$D:$D,SETORES!$A:$A,A190,SETORES!$F:$F,J190)</f>
        <v>33247.455043000009</v>
      </c>
      <c r="F190" s="21">
        <f t="shared" si="12"/>
        <v>24035.437634361264</v>
      </c>
      <c r="G190" s="14">
        <f>SUMIFS(PARÂMETROS!$F$8:$F$907,PARÂMETROS!$A$8:$A$907,C190,PARÂMETROS!$G$8:$G$907,J190)</f>
        <v>0</v>
      </c>
      <c r="H190" s="21">
        <f t="shared" si="13"/>
        <v>0</v>
      </c>
      <c r="I190" s="21">
        <f t="shared" si="14"/>
        <v>24035.437634361264</v>
      </c>
      <c r="J190" s="2" t="s">
        <v>11</v>
      </c>
    </row>
    <row r="191" spans="1:10" ht="14.25" hidden="1" customHeight="1" x14ac:dyDescent="0.3">
      <c r="A191" s="11" t="s">
        <v>50</v>
      </c>
      <c r="B191" s="19" t="str">
        <f>INDEX(SETORES!$B:$B,MATCH(A191,SETORES!$A:$A,0))</f>
        <v>Clientes</v>
      </c>
      <c r="C191" s="11" t="s">
        <v>10</v>
      </c>
      <c r="D191" s="9">
        <f>IF(B191="Clientes",SUMIFS(PARÂMETROS!$D$8:$D$907,PARÂMETROS!$A$8:$A$907,C191,PARÂMETROS!$G$8:$G$907,J191),SUMIFS(PARÂMETROS!$E$8:$E$907,PARÂMETROS!$A$8:$A$907,C191,PARÂMETROS!$G$8:$G$907,J191))</f>
        <v>3.3077914012820578E-2</v>
      </c>
      <c r="E191" s="20">
        <f>SUMIFS(SETORES!$D:$D,SETORES!$A:$A,A191,SETORES!$F:$F,J191)</f>
        <v>66303.021199999988</v>
      </c>
      <c r="F191" s="20">
        <f t="shared" si="12"/>
        <v>2193.1656340438194</v>
      </c>
      <c r="G191" s="9">
        <f>SUMIFS(PARÂMETROS!$F$8:$F$907,PARÂMETROS!$A$8:$A$907,C191,PARÂMETROS!$G$8:$G$907,J191)</f>
        <v>0</v>
      </c>
      <c r="H191" s="20">
        <f t="shared" si="13"/>
        <v>0</v>
      </c>
      <c r="I191" s="20">
        <f t="shared" si="14"/>
        <v>2193.1656340438194</v>
      </c>
      <c r="J191" s="11" t="s">
        <v>11</v>
      </c>
    </row>
    <row r="192" spans="1:10" ht="14.25" hidden="1" customHeight="1" x14ac:dyDescent="0.3">
      <c r="A192" s="2" t="s">
        <v>50</v>
      </c>
      <c r="B192" s="2" t="str">
        <f>INDEX(SETORES!$B:$B,MATCH(A192,SETORES!$A:$A,0))</f>
        <v>Clientes</v>
      </c>
      <c r="C192" s="2" t="s">
        <v>12</v>
      </c>
      <c r="D192" s="14">
        <f>IF(B192="Clientes",SUMIFS(PARÂMETROS!$D$8:$D$907,PARÂMETROS!$A$8:$A$907,C192,PARÂMETROS!$G$8:$G$907,J192),SUMIFS(PARÂMETROS!$E$8:$E$907,PARÂMETROS!$A$8:$A$907,C192,PARÂMETROS!$G$8:$G$907,J192))</f>
        <v>6.886570212940675E-2</v>
      </c>
      <c r="E192" s="21">
        <f>SUMIFS(SETORES!$D:$D,SETORES!$A:$A,A192,SETORES!$F:$F,J192)</f>
        <v>66303.021199999988</v>
      </c>
      <c r="F192" s="21">
        <f t="shared" si="12"/>
        <v>4566.0041082389398</v>
      </c>
      <c r="G192" s="14">
        <f>SUMIFS(PARÂMETROS!$F$8:$F$907,PARÂMETROS!$A$8:$A$907,C192,PARÂMETROS!$G$8:$G$907,J192)</f>
        <v>0</v>
      </c>
      <c r="H192" s="21">
        <f t="shared" si="13"/>
        <v>0</v>
      </c>
      <c r="I192" s="21">
        <f t="shared" si="14"/>
        <v>4566.0041082389398</v>
      </c>
      <c r="J192" s="2" t="s">
        <v>11</v>
      </c>
    </row>
    <row r="193" spans="1:10" ht="14.25" hidden="1" customHeight="1" x14ac:dyDescent="0.3">
      <c r="A193" s="11" t="s">
        <v>50</v>
      </c>
      <c r="B193" s="19" t="str">
        <f>INDEX(SETORES!$B:$B,MATCH(A193,SETORES!$A:$A,0))</f>
        <v>Clientes</v>
      </c>
      <c r="C193" s="11" t="s">
        <v>13</v>
      </c>
      <c r="D193" s="9">
        <f>IF(B193="Clientes",SUMIFS(PARÂMETROS!$D$8:$D$907,PARÂMETROS!$A$8:$A$907,C193,PARÂMETROS!$G$8:$G$907,J193),SUMIFS(PARÂMETROS!$E$8:$E$907,PARÂMETROS!$A$8:$A$907,C193,PARÂMETROS!$G$8:$G$907,J193))</f>
        <v>7.4116083205452599E-2</v>
      </c>
      <c r="E193" s="20">
        <f>SUMIFS(SETORES!$D:$D,SETORES!$A:$A,A193,SETORES!$F:$F,J193)</f>
        <v>66303.021199999988</v>
      </c>
      <c r="F193" s="20">
        <f t="shared" si="12"/>
        <v>4914.1202360320867</v>
      </c>
      <c r="G193" s="9">
        <f>SUMIFS(PARÂMETROS!$F$8:$F$907,PARÂMETROS!$A$8:$A$907,C193,PARÂMETROS!$G$8:$G$907,J193)</f>
        <v>0</v>
      </c>
      <c r="H193" s="20">
        <f t="shared" si="13"/>
        <v>0</v>
      </c>
      <c r="I193" s="20">
        <f t="shared" si="14"/>
        <v>4914.1202360320867</v>
      </c>
      <c r="J193" s="11" t="s">
        <v>11</v>
      </c>
    </row>
    <row r="194" spans="1:10" ht="14.25" customHeight="1" x14ac:dyDescent="0.3">
      <c r="A194" s="2" t="s">
        <v>50</v>
      </c>
      <c r="B194" s="2" t="str">
        <f>INDEX(SETORES!$B:$B,MATCH(A194,SETORES!$A:$A,0))</f>
        <v>Clientes</v>
      </c>
      <c r="C194" s="2" t="s">
        <v>14</v>
      </c>
      <c r="D194" s="14">
        <f>IF(B194="Clientes",SUMIFS(PARÂMETROS!$D$8:$D$907,PARÂMETROS!$A$8:$A$907,C194,PARÂMETROS!$G$8:$G$907,J194),SUMIFS(PARÂMETROS!$E$8:$E$907,PARÂMETROS!$A$8:$A$907,C194,PARÂMETROS!$G$8:$G$907,J194))</f>
        <v>1.9010177424901076E-2</v>
      </c>
      <c r="E194" s="21">
        <f>SUMIFS(SETORES!$D:$D,SETORES!$A:$A,A194,SETORES!$F:$F,J194)</f>
        <v>66303.021199999988</v>
      </c>
      <c r="F194" s="21">
        <f t="shared" si="12"/>
        <v>1260.4321968189772</v>
      </c>
      <c r="G194" s="14">
        <f>SUMIFS(PARÂMETROS!$F$8:$F$907,PARÂMETROS!$A$8:$A$907,C194,PARÂMETROS!$G$8:$G$907,J194)</f>
        <v>0</v>
      </c>
      <c r="H194" s="21">
        <f t="shared" si="13"/>
        <v>0</v>
      </c>
      <c r="I194" s="21">
        <f t="shared" si="14"/>
        <v>1260.4321968189772</v>
      </c>
      <c r="J194" s="2" t="s">
        <v>11</v>
      </c>
    </row>
    <row r="195" spans="1:10" ht="14.25" hidden="1" customHeight="1" x14ac:dyDescent="0.3">
      <c r="A195" s="11" t="s">
        <v>50</v>
      </c>
      <c r="B195" s="19" t="str">
        <f>INDEX(SETORES!$B:$B,MATCH(A195,SETORES!$A:$A,0))</f>
        <v>Clientes</v>
      </c>
      <c r="C195" s="11" t="s">
        <v>15</v>
      </c>
      <c r="D195" s="9">
        <f>IF(B195="Clientes",SUMIFS(PARÂMETROS!$D$8:$D$907,PARÂMETROS!$A$8:$A$907,C195,PARÂMETROS!$G$8:$G$907,J195),SUMIFS(PARÂMETROS!$E$8:$E$907,PARÂMETROS!$A$8:$A$907,C195,PARÂMETROS!$G$8:$G$907,J195))</f>
        <v>3.302145830232546E-2</v>
      </c>
      <c r="E195" s="20">
        <f>SUMIFS(SETORES!$D:$D,SETORES!$A:$A,A195,SETORES!$F:$F,J195)</f>
        <v>66303.021199999988</v>
      </c>
      <c r="F195" s="20">
        <f t="shared" si="12"/>
        <v>2189.4224498740004</v>
      </c>
      <c r="G195" s="9">
        <f>SUMIFS(PARÂMETROS!$F$8:$F$907,PARÂMETROS!$A$8:$A$907,C195,PARÂMETROS!$G$8:$G$907,J195)</f>
        <v>0</v>
      </c>
      <c r="H195" s="20">
        <f t="shared" si="13"/>
        <v>0</v>
      </c>
      <c r="I195" s="20">
        <f t="shared" si="14"/>
        <v>2189.4224498740004</v>
      </c>
      <c r="J195" s="11" t="s">
        <v>11</v>
      </c>
    </row>
    <row r="196" spans="1:10" ht="14.25" hidden="1" customHeight="1" x14ac:dyDescent="0.3">
      <c r="A196" s="2" t="s">
        <v>50</v>
      </c>
      <c r="B196" s="2" t="str">
        <f>INDEX(SETORES!$B:$B,MATCH(A196,SETORES!$A:$A,0))</f>
        <v>Clientes</v>
      </c>
      <c r="C196" s="2" t="s">
        <v>16</v>
      </c>
      <c r="D196" s="14">
        <f>IF(B196="Clientes",SUMIFS(PARÂMETROS!$D$8:$D$907,PARÂMETROS!$A$8:$A$907,C196,PARÂMETROS!$G$8:$G$907,J196),SUMIFS(PARÂMETROS!$E$8:$E$907,PARÂMETROS!$A$8:$A$907,C196,PARÂMETROS!$G$8:$G$907,J196))</f>
        <v>2.437346992193715E-2</v>
      </c>
      <c r="E196" s="21">
        <f>SUMIFS(SETORES!$D:$D,SETORES!$A:$A,A196,SETORES!$F:$F,J196)</f>
        <v>66303.021199999988</v>
      </c>
      <c r="F196" s="21">
        <f t="shared" si="12"/>
        <v>1616.0346929517609</v>
      </c>
      <c r="G196" s="14">
        <f>SUMIFS(PARÂMETROS!$F$8:$F$907,PARÂMETROS!$A$8:$A$907,C196,PARÂMETROS!$G$8:$G$907,J196)</f>
        <v>0</v>
      </c>
      <c r="H196" s="21">
        <f t="shared" si="13"/>
        <v>0</v>
      </c>
      <c r="I196" s="21">
        <f t="shared" si="14"/>
        <v>1616.0346929517609</v>
      </c>
      <c r="J196" s="2" t="s">
        <v>11</v>
      </c>
    </row>
    <row r="197" spans="1:10" ht="14.25" hidden="1" customHeight="1" x14ac:dyDescent="0.3">
      <c r="A197" s="11" t="s">
        <v>50</v>
      </c>
      <c r="B197" s="19" t="str">
        <f>INDEX(SETORES!$B:$B,MATCH(A197,SETORES!$A:$A,0))</f>
        <v>Clientes</v>
      </c>
      <c r="C197" s="11" t="s">
        <v>17</v>
      </c>
      <c r="D197" s="9">
        <f>IF(B197="Clientes",SUMIFS(PARÂMETROS!$D$8:$D$907,PARÂMETROS!$A$8:$A$907,C197,PARÂMETROS!$G$8:$G$907,J197),SUMIFS(PARÂMETROS!$E$8:$E$907,PARÂMETROS!$A$8:$A$907,C197,PARÂMETROS!$G$8:$G$907,J197))</f>
        <v>2.460955743855309E-2</v>
      </c>
      <c r="E197" s="20">
        <f>SUMIFS(SETORES!$D:$D,SETORES!$A:$A,A197,SETORES!$F:$F,J197)</f>
        <v>66303.021199999988</v>
      </c>
      <c r="F197" s="20">
        <f t="shared" si="12"/>
        <v>1631.6880085710029</v>
      </c>
      <c r="G197" s="9">
        <f>SUMIFS(PARÂMETROS!$F$8:$F$907,PARÂMETROS!$A$8:$A$907,C197,PARÂMETROS!$G$8:$G$907,J197)</f>
        <v>0</v>
      </c>
      <c r="H197" s="20">
        <f t="shared" si="13"/>
        <v>0</v>
      </c>
      <c r="I197" s="20">
        <f t="shared" si="14"/>
        <v>1631.6880085710029</v>
      </c>
      <c r="J197" s="11" t="s">
        <v>11</v>
      </c>
    </row>
    <row r="198" spans="1:10" ht="14.25" hidden="1" customHeight="1" x14ac:dyDescent="0.3">
      <c r="A198" s="2" t="s">
        <v>50</v>
      </c>
      <c r="B198" s="2" t="str">
        <f>INDEX(SETORES!$B:$B,MATCH(A198,SETORES!$A:$A,0))</f>
        <v>Clientes</v>
      </c>
      <c r="C198" s="2" t="s">
        <v>18</v>
      </c>
      <c r="D198" s="14">
        <f>IF(B198="Clientes",SUMIFS(PARÂMETROS!$D$8:$D$907,PARÂMETROS!$A$8:$A$907,C198,PARÂMETROS!$G$8:$G$907,J198),SUMIFS(PARÂMETROS!$E$8:$E$907,PARÂMETROS!$A$8:$A$907,C198,PARÂMETROS!$G$8:$G$907,J198))</f>
        <v>0.72292563756460326</v>
      </c>
      <c r="E198" s="21">
        <f>SUMIFS(SETORES!$D:$D,SETORES!$A:$A,A198,SETORES!$F:$F,J198)</f>
        <v>66303.021199999988</v>
      </c>
      <c r="F198" s="21">
        <f t="shared" si="12"/>
        <v>47932.153873469397</v>
      </c>
      <c r="G198" s="14">
        <f>SUMIFS(PARÂMETROS!$F$8:$F$907,PARÂMETROS!$A$8:$A$907,C198,PARÂMETROS!$G$8:$G$907,J198)</f>
        <v>0</v>
      </c>
      <c r="H198" s="21">
        <f t="shared" si="13"/>
        <v>0</v>
      </c>
      <c r="I198" s="21">
        <f t="shared" si="14"/>
        <v>47932.153873469397</v>
      </c>
      <c r="J198" s="2" t="s">
        <v>11</v>
      </c>
    </row>
    <row r="199" spans="1:10" ht="14.25" hidden="1" customHeight="1" x14ac:dyDescent="0.3">
      <c r="A199" s="11" t="s">
        <v>51</v>
      </c>
      <c r="B199" s="19" t="str">
        <f>INDEX(SETORES!$B:$B,MATCH(A199,SETORES!$A:$A,0))</f>
        <v>Clientes</v>
      </c>
      <c r="C199" s="11" t="s">
        <v>10</v>
      </c>
      <c r="D199" s="9">
        <f>IF(B199="Clientes",SUMIFS(PARÂMETROS!$D$8:$D$907,PARÂMETROS!$A$8:$A$907,C199,PARÂMETROS!$G$8:$G$907,J199),SUMIFS(PARÂMETROS!$E$8:$E$907,PARÂMETROS!$A$8:$A$907,C199,PARÂMETROS!$G$8:$G$907,J199))</f>
        <v>3.3077914012820578E-2</v>
      </c>
      <c r="E199" s="20">
        <f>SUMIFS(SETORES!$D:$D,SETORES!$A:$A,A199,SETORES!$F:$F,J199)</f>
        <v>155386.55811844495</v>
      </c>
      <c r="F199" s="20">
        <f t="shared" si="12"/>
        <v>5139.8632081900696</v>
      </c>
      <c r="G199" s="9">
        <f>SUMIFS(PARÂMETROS!$F$8:$F$907,PARÂMETROS!$A$8:$A$907,C199,PARÂMETROS!$G$8:$G$907,J199)</f>
        <v>0</v>
      </c>
      <c r="H199" s="20">
        <f t="shared" si="13"/>
        <v>0</v>
      </c>
      <c r="I199" s="20">
        <f t="shared" si="14"/>
        <v>5139.8632081900696</v>
      </c>
      <c r="J199" s="11" t="s">
        <v>11</v>
      </c>
    </row>
    <row r="200" spans="1:10" ht="14.25" hidden="1" customHeight="1" x14ac:dyDescent="0.3">
      <c r="A200" s="2" t="s">
        <v>51</v>
      </c>
      <c r="B200" s="2" t="str">
        <f>INDEX(SETORES!$B:$B,MATCH(A200,SETORES!$A:$A,0))</f>
        <v>Clientes</v>
      </c>
      <c r="C200" s="2" t="s">
        <v>12</v>
      </c>
      <c r="D200" s="14">
        <f>IF(B200="Clientes",SUMIFS(PARÂMETROS!$D$8:$D$907,PARÂMETROS!$A$8:$A$907,C200,PARÂMETROS!$G$8:$G$907,J200),SUMIFS(PARÂMETROS!$E$8:$E$907,PARÂMETROS!$A$8:$A$907,C200,PARÂMETROS!$G$8:$G$907,J200))</f>
        <v>6.886570212940675E-2</v>
      </c>
      <c r="E200" s="21">
        <f>SUMIFS(SETORES!$D:$D,SETORES!$A:$A,A200,SETORES!$F:$F,J200)</f>
        <v>155386.55811844495</v>
      </c>
      <c r="F200" s="21">
        <f t="shared" si="12"/>
        <v>10700.80442629858</v>
      </c>
      <c r="G200" s="14">
        <f>SUMIFS(PARÂMETROS!$F$8:$F$907,PARÂMETROS!$A$8:$A$907,C200,PARÂMETROS!$G$8:$G$907,J200)</f>
        <v>0</v>
      </c>
      <c r="H200" s="21">
        <f t="shared" si="13"/>
        <v>0</v>
      </c>
      <c r="I200" s="21">
        <f t="shared" si="14"/>
        <v>10700.80442629858</v>
      </c>
      <c r="J200" s="2" t="s">
        <v>11</v>
      </c>
    </row>
    <row r="201" spans="1:10" ht="14.25" hidden="1" customHeight="1" x14ac:dyDescent="0.3">
      <c r="A201" s="11" t="s">
        <v>51</v>
      </c>
      <c r="B201" s="19" t="str">
        <f>INDEX(SETORES!$B:$B,MATCH(A201,SETORES!$A:$A,0))</f>
        <v>Clientes</v>
      </c>
      <c r="C201" s="11" t="s">
        <v>13</v>
      </c>
      <c r="D201" s="9">
        <f>IF(B201="Clientes",SUMIFS(PARÂMETROS!$D$8:$D$907,PARÂMETROS!$A$8:$A$907,C201,PARÂMETROS!$G$8:$G$907,J201),SUMIFS(PARÂMETROS!$E$8:$E$907,PARÂMETROS!$A$8:$A$907,C201,PARÂMETROS!$G$8:$G$907,J201))</f>
        <v>7.4116083205452599E-2</v>
      </c>
      <c r="E201" s="20">
        <f>SUMIFS(SETORES!$D:$D,SETORES!$A:$A,A201,SETORES!$F:$F,J201)</f>
        <v>155386.55811844495</v>
      </c>
      <c r="F201" s="20">
        <f t="shared" si="12"/>
        <v>11516.643070515562</v>
      </c>
      <c r="G201" s="9">
        <f>SUMIFS(PARÂMETROS!$F$8:$F$907,PARÂMETROS!$A$8:$A$907,C201,PARÂMETROS!$G$8:$G$907,J201)</f>
        <v>0</v>
      </c>
      <c r="H201" s="20">
        <f t="shared" si="13"/>
        <v>0</v>
      </c>
      <c r="I201" s="20">
        <f t="shared" si="14"/>
        <v>11516.643070515562</v>
      </c>
      <c r="J201" s="11" t="s">
        <v>11</v>
      </c>
    </row>
    <row r="202" spans="1:10" ht="14.25" customHeight="1" x14ac:dyDescent="0.3">
      <c r="A202" s="2" t="s">
        <v>51</v>
      </c>
      <c r="B202" s="2" t="str">
        <f>INDEX(SETORES!$B:$B,MATCH(A202,SETORES!$A:$A,0))</f>
        <v>Clientes</v>
      </c>
      <c r="C202" s="2" t="s">
        <v>14</v>
      </c>
      <c r="D202" s="14">
        <f>IF(B202="Clientes",SUMIFS(PARÂMETROS!$D$8:$D$907,PARÂMETROS!$A$8:$A$907,C202,PARÂMETROS!$G$8:$G$907,J202),SUMIFS(PARÂMETROS!$E$8:$E$907,PARÂMETROS!$A$8:$A$907,C202,PARÂMETROS!$G$8:$G$907,J202))</f>
        <v>1.9010177424901076E-2</v>
      </c>
      <c r="E202" s="21">
        <f>SUMIFS(SETORES!$D:$D,SETORES!$A:$A,A202,SETORES!$F:$F,J202)</f>
        <v>155386.55811844495</v>
      </c>
      <c r="F202" s="21">
        <f t="shared" si="12"/>
        <v>2953.9260392763413</v>
      </c>
      <c r="G202" s="14">
        <f>SUMIFS(PARÂMETROS!$F$8:$F$907,PARÂMETROS!$A$8:$A$907,C202,PARÂMETROS!$G$8:$G$907,J202)</f>
        <v>0</v>
      </c>
      <c r="H202" s="21">
        <f t="shared" si="13"/>
        <v>0</v>
      </c>
      <c r="I202" s="21">
        <f t="shared" si="14"/>
        <v>2953.9260392763413</v>
      </c>
      <c r="J202" s="2" t="s">
        <v>11</v>
      </c>
    </row>
    <row r="203" spans="1:10" ht="14.25" hidden="1" customHeight="1" x14ac:dyDescent="0.3">
      <c r="A203" s="11" t="s">
        <v>51</v>
      </c>
      <c r="B203" s="19" t="str">
        <f>INDEX(SETORES!$B:$B,MATCH(A203,SETORES!$A:$A,0))</f>
        <v>Clientes</v>
      </c>
      <c r="C203" s="11" t="s">
        <v>15</v>
      </c>
      <c r="D203" s="9">
        <f>IF(B203="Clientes",SUMIFS(PARÂMETROS!$D$8:$D$907,PARÂMETROS!$A$8:$A$907,C203,PARÂMETROS!$G$8:$G$907,J203),SUMIFS(PARÂMETROS!$E$8:$E$907,PARÂMETROS!$A$8:$A$907,C203,PARÂMETROS!$G$8:$G$907,J203))</f>
        <v>3.302145830232546E-2</v>
      </c>
      <c r="E203" s="20">
        <f>SUMIFS(SETORES!$D:$D,SETORES!$A:$A,A203,SETORES!$F:$F,J203)</f>
        <v>155386.55811844495</v>
      </c>
      <c r="F203" s="20">
        <f t="shared" si="12"/>
        <v>5131.0907496501013</v>
      </c>
      <c r="G203" s="9">
        <f>SUMIFS(PARÂMETROS!$F$8:$F$907,PARÂMETROS!$A$8:$A$907,C203,PARÂMETROS!$G$8:$G$907,J203)</f>
        <v>0</v>
      </c>
      <c r="H203" s="20">
        <f t="shared" si="13"/>
        <v>0</v>
      </c>
      <c r="I203" s="20">
        <f t="shared" si="14"/>
        <v>5131.0907496501013</v>
      </c>
      <c r="J203" s="11" t="s">
        <v>11</v>
      </c>
    </row>
    <row r="204" spans="1:10" ht="14.25" hidden="1" customHeight="1" x14ac:dyDescent="0.3">
      <c r="A204" s="2" t="s">
        <v>51</v>
      </c>
      <c r="B204" s="2" t="str">
        <f>INDEX(SETORES!$B:$B,MATCH(A204,SETORES!$A:$A,0))</f>
        <v>Clientes</v>
      </c>
      <c r="C204" s="2" t="s">
        <v>16</v>
      </c>
      <c r="D204" s="14">
        <f>IF(B204="Clientes",SUMIFS(PARÂMETROS!$D$8:$D$907,PARÂMETROS!$A$8:$A$907,C204,PARÂMETROS!$G$8:$G$907,J204),SUMIFS(PARÂMETROS!$E$8:$E$907,PARÂMETROS!$A$8:$A$907,C204,PARÂMETROS!$G$8:$G$907,J204))</f>
        <v>2.437346992193715E-2</v>
      </c>
      <c r="E204" s="21">
        <f>SUMIFS(SETORES!$D:$D,SETORES!$A:$A,A204,SETORES!$F:$F,J204)</f>
        <v>155386.55811844495</v>
      </c>
      <c r="F204" s="21">
        <f t="shared" si="12"/>
        <v>3787.3096005732568</v>
      </c>
      <c r="G204" s="14">
        <f>SUMIFS(PARÂMETROS!$F$8:$F$907,PARÂMETROS!$A$8:$A$907,C204,PARÂMETROS!$G$8:$G$907,J204)</f>
        <v>0</v>
      </c>
      <c r="H204" s="21">
        <f t="shared" si="13"/>
        <v>0</v>
      </c>
      <c r="I204" s="21">
        <f t="shared" si="14"/>
        <v>3787.3096005732568</v>
      </c>
      <c r="J204" s="2" t="s">
        <v>11</v>
      </c>
    </row>
    <row r="205" spans="1:10" ht="14.25" hidden="1" customHeight="1" x14ac:dyDescent="0.3">
      <c r="A205" s="11" t="s">
        <v>51</v>
      </c>
      <c r="B205" s="19" t="str">
        <f>INDEX(SETORES!$B:$B,MATCH(A205,SETORES!$A:$A,0))</f>
        <v>Clientes</v>
      </c>
      <c r="C205" s="11" t="s">
        <v>17</v>
      </c>
      <c r="D205" s="9">
        <f>IF(B205="Clientes",SUMIFS(PARÂMETROS!$D$8:$D$907,PARÂMETROS!$A$8:$A$907,C205,PARÂMETROS!$G$8:$G$907,J205),SUMIFS(PARÂMETROS!$E$8:$E$907,PARÂMETROS!$A$8:$A$907,C205,PARÂMETROS!$G$8:$G$907,J205))</f>
        <v>2.460955743855309E-2</v>
      </c>
      <c r="E205" s="20">
        <f>SUMIFS(SETORES!$D:$D,SETORES!$A:$A,A205,SETORES!$F:$F,J205)</f>
        <v>155386.55811844495</v>
      </c>
      <c r="F205" s="20">
        <f t="shared" si="12"/>
        <v>3823.9944271949389</v>
      </c>
      <c r="G205" s="9">
        <f>SUMIFS(PARÂMETROS!$F$8:$F$907,PARÂMETROS!$A$8:$A$907,C205,PARÂMETROS!$G$8:$G$907,J205)</f>
        <v>0</v>
      </c>
      <c r="H205" s="20">
        <f t="shared" si="13"/>
        <v>0</v>
      </c>
      <c r="I205" s="20">
        <f t="shared" si="14"/>
        <v>3823.9944271949389</v>
      </c>
      <c r="J205" s="11" t="s">
        <v>11</v>
      </c>
    </row>
    <row r="206" spans="1:10" ht="14.25" hidden="1" customHeight="1" x14ac:dyDescent="0.3">
      <c r="A206" s="2" t="s">
        <v>51</v>
      </c>
      <c r="B206" s="2" t="str">
        <f>INDEX(SETORES!$B:$B,MATCH(A206,SETORES!$A:$A,0))</f>
        <v>Clientes</v>
      </c>
      <c r="C206" s="2" t="s">
        <v>18</v>
      </c>
      <c r="D206" s="14">
        <f>IF(B206="Clientes",SUMIFS(PARÂMETROS!$D$8:$D$907,PARÂMETROS!$A$8:$A$907,C206,PARÂMETROS!$G$8:$G$907,J206),SUMIFS(PARÂMETROS!$E$8:$E$907,PARÂMETROS!$A$8:$A$907,C206,PARÂMETROS!$G$8:$G$907,J206))</f>
        <v>0.72292563756460326</v>
      </c>
      <c r="E206" s="21">
        <f>SUMIFS(SETORES!$D:$D,SETORES!$A:$A,A206,SETORES!$F:$F,J206)</f>
        <v>155386.55811844495</v>
      </c>
      <c r="F206" s="21">
        <f t="shared" si="12"/>
        <v>112332.9265967461</v>
      </c>
      <c r="G206" s="14">
        <f>SUMIFS(PARÂMETROS!$F$8:$F$907,PARÂMETROS!$A$8:$A$907,C206,PARÂMETROS!$G$8:$G$907,J206)</f>
        <v>0</v>
      </c>
      <c r="H206" s="21">
        <f t="shared" si="13"/>
        <v>0</v>
      </c>
      <c r="I206" s="21">
        <f t="shared" si="14"/>
        <v>112332.9265967461</v>
      </c>
      <c r="J206" s="2" t="s">
        <v>11</v>
      </c>
    </row>
    <row r="207" spans="1:10" ht="14.25" hidden="1" customHeight="1" x14ac:dyDescent="0.3">
      <c r="A207" s="11" t="s">
        <v>52</v>
      </c>
      <c r="B207" s="19" t="str">
        <f>INDEX(SETORES!$B:$B,MATCH(A207,SETORES!$A:$A,0))</f>
        <v>Clientes</v>
      </c>
      <c r="C207" s="11" t="s">
        <v>10</v>
      </c>
      <c r="D207" s="9">
        <f>IF(B207="Clientes",SUMIFS(PARÂMETROS!$D$8:$D$907,PARÂMETROS!$A$8:$A$907,C207,PARÂMETROS!$G$8:$G$907,J207),SUMIFS(PARÂMETROS!$E$8:$E$907,PARÂMETROS!$A$8:$A$907,C207,PARÂMETROS!$G$8:$G$907,J207))</f>
        <v>3.3077914012820578E-2</v>
      </c>
      <c r="E207" s="20">
        <f>SUMIFS(SETORES!$D:$D,SETORES!$A:$A,A207,SETORES!$F:$F,J207)</f>
        <v>35189.313446</v>
      </c>
      <c r="F207" s="20">
        <f t="shared" si="12"/>
        <v>1163.989084336979</v>
      </c>
      <c r="G207" s="9">
        <f>SUMIFS(PARÂMETROS!$F$8:$F$907,PARÂMETROS!$A$8:$A$907,C207,PARÂMETROS!$G$8:$G$907,J207)</f>
        <v>0</v>
      </c>
      <c r="H207" s="20">
        <f t="shared" si="13"/>
        <v>0</v>
      </c>
      <c r="I207" s="20">
        <f t="shared" si="14"/>
        <v>1163.989084336979</v>
      </c>
      <c r="J207" s="11" t="s">
        <v>11</v>
      </c>
    </row>
    <row r="208" spans="1:10" ht="14.25" hidden="1" customHeight="1" x14ac:dyDescent="0.3">
      <c r="A208" s="2" t="s">
        <v>52</v>
      </c>
      <c r="B208" s="2" t="str">
        <f>INDEX(SETORES!$B:$B,MATCH(A208,SETORES!$A:$A,0))</f>
        <v>Clientes</v>
      </c>
      <c r="C208" s="2" t="s">
        <v>12</v>
      </c>
      <c r="D208" s="14">
        <f>IF(B208="Clientes",SUMIFS(PARÂMETROS!$D$8:$D$907,PARÂMETROS!$A$8:$A$907,C208,PARÂMETROS!$G$8:$G$907,J208),SUMIFS(PARÂMETROS!$E$8:$E$907,PARÂMETROS!$A$8:$A$907,C208,PARÂMETROS!$G$8:$G$907,J208))</f>
        <v>6.886570212940675E-2</v>
      </c>
      <c r="E208" s="21">
        <f>SUMIFS(SETORES!$D:$D,SETORES!$A:$A,A208,SETORES!$F:$F,J208)</f>
        <v>35189.313446</v>
      </c>
      <c r="F208" s="21">
        <f t="shared" si="12"/>
        <v>2423.3367779105638</v>
      </c>
      <c r="G208" s="14">
        <f>SUMIFS(PARÂMETROS!$F$8:$F$907,PARÂMETROS!$A$8:$A$907,C208,PARÂMETROS!$G$8:$G$907,J208)</f>
        <v>0</v>
      </c>
      <c r="H208" s="21">
        <f t="shared" si="13"/>
        <v>0</v>
      </c>
      <c r="I208" s="21">
        <f t="shared" si="14"/>
        <v>2423.3367779105638</v>
      </c>
      <c r="J208" s="2" t="s">
        <v>11</v>
      </c>
    </row>
    <row r="209" spans="1:10" ht="14.25" hidden="1" customHeight="1" x14ac:dyDescent="0.3">
      <c r="A209" s="11" t="s">
        <v>52</v>
      </c>
      <c r="B209" s="19" t="str">
        <f>INDEX(SETORES!$B:$B,MATCH(A209,SETORES!$A:$A,0))</f>
        <v>Clientes</v>
      </c>
      <c r="C209" s="11" t="s">
        <v>13</v>
      </c>
      <c r="D209" s="9">
        <f>IF(B209="Clientes",SUMIFS(PARÂMETROS!$D$8:$D$907,PARÂMETROS!$A$8:$A$907,C209,PARÂMETROS!$G$8:$G$907,J209),SUMIFS(PARÂMETROS!$E$8:$E$907,PARÂMETROS!$A$8:$A$907,C209,PARÂMETROS!$G$8:$G$907,J209))</f>
        <v>7.4116083205452599E-2</v>
      </c>
      <c r="E209" s="20">
        <f>SUMIFS(SETORES!$D:$D,SETORES!$A:$A,A209,SETORES!$F:$F,J209)</f>
        <v>35189.313446</v>
      </c>
      <c r="F209" s="20">
        <f t="shared" si="12"/>
        <v>2608.0940833064878</v>
      </c>
      <c r="G209" s="9">
        <f>SUMIFS(PARÂMETROS!$F$8:$F$907,PARÂMETROS!$A$8:$A$907,C209,PARÂMETROS!$G$8:$G$907,J209)</f>
        <v>0</v>
      </c>
      <c r="H209" s="20">
        <f t="shared" si="13"/>
        <v>0</v>
      </c>
      <c r="I209" s="20">
        <f t="shared" si="14"/>
        <v>2608.0940833064878</v>
      </c>
      <c r="J209" s="11" t="s">
        <v>11</v>
      </c>
    </row>
    <row r="210" spans="1:10" ht="14.25" customHeight="1" x14ac:dyDescent="0.3">
      <c r="A210" s="2" t="s">
        <v>52</v>
      </c>
      <c r="B210" s="2" t="str">
        <f>INDEX(SETORES!$B:$B,MATCH(A210,SETORES!$A:$A,0))</f>
        <v>Clientes</v>
      </c>
      <c r="C210" s="2" t="s">
        <v>14</v>
      </c>
      <c r="D210" s="14">
        <f>IF(B210="Clientes",SUMIFS(PARÂMETROS!$D$8:$D$907,PARÂMETROS!$A$8:$A$907,C210,PARÂMETROS!$G$8:$G$907,J210),SUMIFS(PARÂMETROS!$E$8:$E$907,PARÂMETROS!$A$8:$A$907,C210,PARÂMETROS!$G$8:$G$907,J210))</f>
        <v>1.9010177424901076E-2</v>
      </c>
      <c r="E210" s="21">
        <f>SUMIFS(SETORES!$D:$D,SETORES!$A:$A,A210,SETORES!$F:$F,J210)</f>
        <v>35189.313446</v>
      </c>
      <c r="F210" s="21">
        <f t="shared" si="12"/>
        <v>668.95509206891711</v>
      </c>
      <c r="G210" s="14">
        <f>SUMIFS(PARÂMETROS!$F$8:$F$907,PARÂMETROS!$A$8:$A$907,C210,PARÂMETROS!$G$8:$G$907,J210)</f>
        <v>0</v>
      </c>
      <c r="H210" s="21">
        <f t="shared" si="13"/>
        <v>0</v>
      </c>
      <c r="I210" s="21">
        <f t="shared" si="14"/>
        <v>668.95509206891711</v>
      </c>
      <c r="J210" s="2" t="s">
        <v>11</v>
      </c>
    </row>
    <row r="211" spans="1:10" ht="14.25" hidden="1" customHeight="1" x14ac:dyDescent="0.3">
      <c r="A211" s="11" t="s">
        <v>52</v>
      </c>
      <c r="B211" s="19" t="str">
        <f>INDEX(SETORES!$B:$B,MATCH(A211,SETORES!$A:$A,0))</f>
        <v>Clientes</v>
      </c>
      <c r="C211" s="11" t="s">
        <v>15</v>
      </c>
      <c r="D211" s="9">
        <f>IF(B211="Clientes",SUMIFS(PARÂMETROS!$D$8:$D$907,PARÂMETROS!$A$8:$A$907,C211,PARÂMETROS!$G$8:$G$907,J211),SUMIFS(PARÂMETROS!$E$8:$E$907,PARÂMETROS!$A$8:$A$907,C211,PARÂMETROS!$G$8:$G$907,J211))</f>
        <v>3.302145830232546E-2</v>
      </c>
      <c r="E211" s="20">
        <f>SUMIFS(SETORES!$D:$D,SETORES!$A:$A,A211,SETORES!$F:$F,J211)</f>
        <v>35189.313446</v>
      </c>
      <c r="F211" s="20">
        <f t="shared" si="12"/>
        <v>1162.0024466445495</v>
      </c>
      <c r="G211" s="9">
        <f>SUMIFS(PARÂMETROS!$F$8:$F$907,PARÂMETROS!$A$8:$A$907,C211,PARÂMETROS!$G$8:$G$907,J211)</f>
        <v>0</v>
      </c>
      <c r="H211" s="20">
        <f t="shared" si="13"/>
        <v>0</v>
      </c>
      <c r="I211" s="20">
        <f t="shared" si="14"/>
        <v>1162.0024466445495</v>
      </c>
      <c r="J211" s="11" t="s">
        <v>11</v>
      </c>
    </row>
    <row r="212" spans="1:10" ht="14.25" hidden="1" customHeight="1" x14ac:dyDescent="0.3">
      <c r="A212" s="2" t="s">
        <v>52</v>
      </c>
      <c r="B212" s="2" t="str">
        <f>INDEX(SETORES!$B:$B,MATCH(A212,SETORES!$A:$A,0))</f>
        <v>Clientes</v>
      </c>
      <c r="C212" s="2" t="s">
        <v>16</v>
      </c>
      <c r="D212" s="14">
        <f>IF(B212="Clientes",SUMIFS(PARÂMETROS!$D$8:$D$907,PARÂMETROS!$A$8:$A$907,C212,PARÂMETROS!$G$8:$G$907,J212),SUMIFS(PARÂMETROS!$E$8:$E$907,PARÂMETROS!$A$8:$A$907,C212,PARÂMETROS!$G$8:$G$907,J212))</f>
        <v>2.437346992193715E-2</v>
      </c>
      <c r="E212" s="21">
        <f>SUMIFS(SETORES!$D:$D,SETORES!$A:$A,A212,SETORES!$F:$F,J212)</f>
        <v>35189.313446</v>
      </c>
      <c r="F212" s="21">
        <f t="shared" si="12"/>
        <v>857.68567284969947</v>
      </c>
      <c r="G212" s="14">
        <f>SUMIFS(PARÂMETROS!$F$8:$F$907,PARÂMETROS!$A$8:$A$907,C212,PARÂMETROS!$G$8:$G$907,J212)</f>
        <v>0</v>
      </c>
      <c r="H212" s="21">
        <f t="shared" si="13"/>
        <v>0</v>
      </c>
      <c r="I212" s="21">
        <f t="shared" si="14"/>
        <v>857.68567284969947</v>
      </c>
      <c r="J212" s="2" t="s">
        <v>11</v>
      </c>
    </row>
    <row r="213" spans="1:10" ht="14.25" hidden="1" customHeight="1" x14ac:dyDescent="0.3">
      <c r="A213" s="11" t="s">
        <v>52</v>
      </c>
      <c r="B213" s="19" t="str">
        <f>INDEX(SETORES!$B:$B,MATCH(A213,SETORES!$A:$A,0))</f>
        <v>Clientes</v>
      </c>
      <c r="C213" s="11" t="s">
        <v>17</v>
      </c>
      <c r="D213" s="9">
        <f>IF(B213="Clientes",SUMIFS(PARÂMETROS!$D$8:$D$907,PARÂMETROS!$A$8:$A$907,C213,PARÂMETROS!$G$8:$G$907,J213),SUMIFS(PARÂMETROS!$E$8:$E$907,PARÂMETROS!$A$8:$A$907,C213,PARÂMETROS!$G$8:$G$907,J213))</f>
        <v>2.460955743855309E-2</v>
      </c>
      <c r="E213" s="20">
        <f>SUMIFS(SETORES!$D:$D,SETORES!$A:$A,A213,SETORES!$F:$F,J213)</f>
        <v>35189.313446</v>
      </c>
      <c r="F213" s="20">
        <f t="shared" si="12"/>
        <v>865.9934304725856</v>
      </c>
      <c r="G213" s="9">
        <f>SUMIFS(PARÂMETROS!$F$8:$F$907,PARÂMETROS!$A$8:$A$907,C213,PARÂMETROS!$G$8:$G$907,J213)</f>
        <v>0</v>
      </c>
      <c r="H213" s="20">
        <f t="shared" si="13"/>
        <v>0</v>
      </c>
      <c r="I213" s="20">
        <f t="shared" si="14"/>
        <v>865.9934304725856</v>
      </c>
      <c r="J213" s="11" t="s">
        <v>11</v>
      </c>
    </row>
    <row r="214" spans="1:10" ht="14.25" hidden="1" customHeight="1" x14ac:dyDescent="0.3">
      <c r="A214" s="2" t="s">
        <v>52</v>
      </c>
      <c r="B214" s="2" t="str">
        <f>INDEX(SETORES!$B:$B,MATCH(A214,SETORES!$A:$A,0))</f>
        <v>Clientes</v>
      </c>
      <c r="C214" s="2" t="s">
        <v>18</v>
      </c>
      <c r="D214" s="14">
        <f>IF(B214="Clientes",SUMIFS(PARÂMETROS!$D$8:$D$907,PARÂMETROS!$A$8:$A$907,C214,PARÂMETROS!$G$8:$G$907,J214),SUMIFS(PARÂMETROS!$E$8:$E$907,PARÂMETROS!$A$8:$A$907,C214,PARÂMETROS!$G$8:$G$907,J214))</f>
        <v>0.72292563756460326</v>
      </c>
      <c r="E214" s="21">
        <f>SUMIFS(SETORES!$D:$D,SETORES!$A:$A,A214,SETORES!$F:$F,J214)</f>
        <v>35189.313446</v>
      </c>
      <c r="F214" s="21">
        <f t="shared" si="12"/>
        <v>25439.256858410216</v>
      </c>
      <c r="G214" s="14">
        <f>SUMIFS(PARÂMETROS!$F$8:$F$907,PARÂMETROS!$A$8:$A$907,C214,PARÂMETROS!$G$8:$G$907,J214)</f>
        <v>0</v>
      </c>
      <c r="H214" s="21">
        <f t="shared" si="13"/>
        <v>0</v>
      </c>
      <c r="I214" s="21">
        <f t="shared" si="14"/>
        <v>25439.256858410216</v>
      </c>
      <c r="J214" s="2" t="s">
        <v>11</v>
      </c>
    </row>
    <row r="215" spans="1:10" ht="14.25" hidden="1" customHeight="1" x14ac:dyDescent="0.3">
      <c r="A215" s="11" t="s">
        <v>53</v>
      </c>
      <c r="B215" s="19" t="str">
        <f>INDEX(SETORES!$B:$B,MATCH(A215,SETORES!$A:$A,0))</f>
        <v>Clientes</v>
      </c>
      <c r="C215" s="11" t="s">
        <v>10</v>
      </c>
      <c r="D215" s="9">
        <f>IF(B215="Clientes",SUMIFS(PARÂMETROS!$D$8:$D$907,PARÂMETROS!$A$8:$A$907,C215,PARÂMETROS!$G$8:$G$907,J215),SUMIFS(PARÂMETROS!$E$8:$E$907,PARÂMETROS!$A$8:$A$907,C215,PARÂMETROS!$G$8:$G$907,J215))</f>
        <v>3.3077914012820578E-2</v>
      </c>
      <c r="E215" s="20">
        <f>SUMIFS(SETORES!$D:$D,SETORES!$A:$A,A215,SETORES!$F:$F,J215)</f>
        <v>126953.68388599997</v>
      </c>
      <c r="F215" s="20">
        <f t="shared" si="12"/>
        <v>4199.3630391919123</v>
      </c>
      <c r="G215" s="9">
        <f>SUMIFS(PARÂMETROS!$F$8:$F$907,PARÂMETROS!$A$8:$A$907,C215,PARÂMETROS!$G$8:$G$907,J215)</f>
        <v>0</v>
      </c>
      <c r="H215" s="20">
        <f t="shared" si="13"/>
        <v>0</v>
      </c>
      <c r="I215" s="20">
        <f t="shared" si="14"/>
        <v>4199.3630391919123</v>
      </c>
      <c r="J215" s="11" t="s">
        <v>11</v>
      </c>
    </row>
    <row r="216" spans="1:10" ht="14.25" hidden="1" customHeight="1" x14ac:dyDescent="0.3">
      <c r="A216" s="2" t="s">
        <v>53</v>
      </c>
      <c r="B216" s="2" t="str">
        <f>INDEX(SETORES!$B:$B,MATCH(A216,SETORES!$A:$A,0))</f>
        <v>Clientes</v>
      </c>
      <c r="C216" s="2" t="s">
        <v>12</v>
      </c>
      <c r="D216" s="14">
        <f>IF(B216="Clientes",SUMIFS(PARÂMETROS!$D$8:$D$907,PARÂMETROS!$A$8:$A$907,C216,PARÂMETROS!$G$8:$G$907,J216),SUMIFS(PARÂMETROS!$E$8:$E$907,PARÂMETROS!$A$8:$A$907,C216,PARÂMETROS!$G$8:$G$907,J216))</f>
        <v>6.886570212940675E-2</v>
      </c>
      <c r="E216" s="21">
        <f>SUMIFS(SETORES!$D:$D,SETORES!$A:$A,A216,SETORES!$F:$F,J216)</f>
        <v>126953.68388599997</v>
      </c>
      <c r="F216" s="21">
        <f t="shared" si="12"/>
        <v>8742.7545787241397</v>
      </c>
      <c r="G216" s="14">
        <f>SUMIFS(PARÂMETROS!$F$8:$F$907,PARÂMETROS!$A$8:$A$907,C216,PARÂMETROS!$G$8:$G$907,J216)</f>
        <v>0</v>
      </c>
      <c r="H216" s="21">
        <f t="shared" si="13"/>
        <v>0</v>
      </c>
      <c r="I216" s="21">
        <f t="shared" si="14"/>
        <v>8742.7545787241397</v>
      </c>
      <c r="J216" s="2" t="s">
        <v>11</v>
      </c>
    </row>
    <row r="217" spans="1:10" ht="14.25" hidden="1" customHeight="1" x14ac:dyDescent="0.3">
      <c r="A217" s="11" t="s">
        <v>53</v>
      </c>
      <c r="B217" s="19" t="str">
        <f>INDEX(SETORES!$B:$B,MATCH(A217,SETORES!$A:$A,0))</f>
        <v>Clientes</v>
      </c>
      <c r="C217" s="11" t="s">
        <v>13</v>
      </c>
      <c r="D217" s="9">
        <f>IF(B217="Clientes",SUMIFS(PARÂMETROS!$D$8:$D$907,PARÂMETROS!$A$8:$A$907,C217,PARÂMETROS!$G$8:$G$907,J217),SUMIFS(PARÂMETROS!$E$8:$E$907,PARÂMETROS!$A$8:$A$907,C217,PARÂMETROS!$G$8:$G$907,J217))</f>
        <v>7.4116083205452599E-2</v>
      </c>
      <c r="E217" s="20">
        <f>SUMIFS(SETORES!$D:$D,SETORES!$A:$A,A217,SETORES!$F:$F,J217)</f>
        <v>126953.68388599997</v>
      </c>
      <c r="F217" s="20">
        <f t="shared" si="12"/>
        <v>9409.3097981335013</v>
      </c>
      <c r="G217" s="9">
        <f>SUMIFS(PARÂMETROS!$F$8:$F$907,PARÂMETROS!$A$8:$A$907,C217,PARÂMETROS!$G$8:$G$907,J217)</f>
        <v>0</v>
      </c>
      <c r="H217" s="20">
        <f t="shared" si="13"/>
        <v>0</v>
      </c>
      <c r="I217" s="20">
        <f t="shared" si="14"/>
        <v>9409.3097981335013</v>
      </c>
      <c r="J217" s="11" t="s">
        <v>11</v>
      </c>
    </row>
    <row r="218" spans="1:10" ht="14.25" customHeight="1" x14ac:dyDescent="0.3">
      <c r="A218" s="2" t="s">
        <v>53</v>
      </c>
      <c r="B218" s="2" t="str">
        <f>INDEX(SETORES!$B:$B,MATCH(A218,SETORES!$A:$A,0))</f>
        <v>Clientes</v>
      </c>
      <c r="C218" s="2" t="s">
        <v>14</v>
      </c>
      <c r="D218" s="14">
        <f>IF(B218="Clientes",SUMIFS(PARÂMETROS!$D$8:$D$907,PARÂMETROS!$A$8:$A$907,C218,PARÂMETROS!$G$8:$G$907,J218),SUMIFS(PARÂMETROS!$E$8:$E$907,PARÂMETROS!$A$8:$A$907,C218,PARÂMETROS!$G$8:$G$907,J218))</f>
        <v>1.9010177424901076E-2</v>
      </c>
      <c r="E218" s="21">
        <f>SUMIFS(SETORES!$D:$D,SETORES!$A:$A,A218,SETORES!$F:$F,J218)</f>
        <v>126953.68388599997</v>
      </c>
      <c r="F218" s="21">
        <f t="shared" si="12"/>
        <v>2413.4120554176643</v>
      </c>
      <c r="G218" s="14">
        <f>SUMIFS(PARÂMETROS!$F$8:$F$907,PARÂMETROS!$A$8:$A$907,C218,PARÂMETROS!$G$8:$G$907,J218)</f>
        <v>0</v>
      </c>
      <c r="H218" s="21">
        <f t="shared" si="13"/>
        <v>0</v>
      </c>
      <c r="I218" s="21">
        <f t="shared" si="14"/>
        <v>2413.4120554176643</v>
      </c>
      <c r="J218" s="2" t="s">
        <v>11</v>
      </c>
    </row>
    <row r="219" spans="1:10" ht="14.25" hidden="1" customHeight="1" x14ac:dyDescent="0.3">
      <c r="A219" s="11" t="s">
        <v>53</v>
      </c>
      <c r="B219" s="19" t="str">
        <f>INDEX(SETORES!$B:$B,MATCH(A219,SETORES!$A:$A,0))</f>
        <v>Clientes</v>
      </c>
      <c r="C219" s="11" t="s">
        <v>15</v>
      </c>
      <c r="D219" s="9">
        <f>IF(B219="Clientes",SUMIFS(PARÂMETROS!$D$8:$D$907,PARÂMETROS!$A$8:$A$907,C219,PARÂMETROS!$G$8:$G$907,J219),SUMIFS(PARÂMETROS!$E$8:$E$907,PARÂMETROS!$A$8:$A$907,C219,PARÂMETROS!$G$8:$G$907,J219))</f>
        <v>3.302145830232546E-2</v>
      </c>
      <c r="E219" s="20">
        <f>SUMIFS(SETORES!$D:$D,SETORES!$A:$A,A219,SETORES!$F:$F,J219)</f>
        <v>126953.68388599997</v>
      </c>
      <c r="F219" s="20">
        <f t="shared" si="12"/>
        <v>4192.1957787681558</v>
      </c>
      <c r="G219" s="9">
        <f>SUMIFS(PARÂMETROS!$F$8:$F$907,PARÂMETROS!$A$8:$A$907,C219,PARÂMETROS!$G$8:$G$907,J219)</f>
        <v>0</v>
      </c>
      <c r="H219" s="20">
        <f t="shared" si="13"/>
        <v>0</v>
      </c>
      <c r="I219" s="20">
        <f t="shared" si="14"/>
        <v>4192.1957787681558</v>
      </c>
      <c r="J219" s="11" t="s">
        <v>11</v>
      </c>
    </row>
    <row r="220" spans="1:10" ht="14.25" hidden="1" customHeight="1" x14ac:dyDescent="0.3">
      <c r="A220" s="2" t="s">
        <v>53</v>
      </c>
      <c r="B220" s="2" t="str">
        <f>INDEX(SETORES!$B:$B,MATCH(A220,SETORES!$A:$A,0))</f>
        <v>Clientes</v>
      </c>
      <c r="C220" s="2" t="s">
        <v>16</v>
      </c>
      <c r="D220" s="14">
        <f>IF(B220="Clientes",SUMIFS(PARÂMETROS!$D$8:$D$907,PARÂMETROS!$A$8:$A$907,C220,PARÂMETROS!$G$8:$G$907,J220),SUMIFS(PARÂMETROS!$E$8:$E$907,PARÂMETROS!$A$8:$A$907,C220,PARÂMETROS!$G$8:$G$907,J220))</f>
        <v>2.437346992193715E-2</v>
      </c>
      <c r="E220" s="21">
        <f>SUMIFS(SETORES!$D:$D,SETORES!$A:$A,A220,SETORES!$F:$F,J220)</f>
        <v>126953.68388599997</v>
      </c>
      <c r="F220" s="21">
        <f t="shared" si="12"/>
        <v>3094.3017956745375</v>
      </c>
      <c r="G220" s="14">
        <f>SUMIFS(PARÂMETROS!$F$8:$F$907,PARÂMETROS!$A$8:$A$907,C220,PARÂMETROS!$G$8:$G$907,J220)</f>
        <v>0</v>
      </c>
      <c r="H220" s="21">
        <f t="shared" si="13"/>
        <v>0</v>
      </c>
      <c r="I220" s="21">
        <f t="shared" si="14"/>
        <v>3094.3017956745375</v>
      </c>
      <c r="J220" s="2" t="s">
        <v>11</v>
      </c>
    </row>
    <row r="221" spans="1:10" ht="14.25" hidden="1" customHeight="1" x14ac:dyDescent="0.3">
      <c r="A221" s="11" t="s">
        <v>53</v>
      </c>
      <c r="B221" s="19" t="str">
        <f>INDEX(SETORES!$B:$B,MATCH(A221,SETORES!$A:$A,0))</f>
        <v>Clientes</v>
      </c>
      <c r="C221" s="11" t="s">
        <v>17</v>
      </c>
      <c r="D221" s="9">
        <f>IF(B221="Clientes",SUMIFS(PARÂMETROS!$D$8:$D$907,PARÂMETROS!$A$8:$A$907,C221,PARÂMETROS!$G$8:$G$907,J221),SUMIFS(PARÂMETROS!$E$8:$E$907,PARÂMETROS!$A$8:$A$907,C221,PARÂMETROS!$G$8:$G$907,J221))</f>
        <v>2.460955743855309E-2</v>
      </c>
      <c r="E221" s="20">
        <f>SUMIFS(SETORES!$D:$D,SETORES!$A:$A,A221,SETORES!$F:$F,J221)</f>
        <v>126953.68388599997</v>
      </c>
      <c r="F221" s="20">
        <f t="shared" si="12"/>
        <v>3124.2739756284282</v>
      </c>
      <c r="G221" s="9">
        <f>SUMIFS(PARÂMETROS!$F$8:$F$907,PARÂMETROS!$A$8:$A$907,C221,PARÂMETROS!$G$8:$G$907,J221)</f>
        <v>0</v>
      </c>
      <c r="H221" s="20">
        <f t="shared" si="13"/>
        <v>0</v>
      </c>
      <c r="I221" s="20">
        <f t="shared" si="14"/>
        <v>3124.2739756284282</v>
      </c>
      <c r="J221" s="11" t="s">
        <v>11</v>
      </c>
    </row>
    <row r="222" spans="1:10" ht="14.25" hidden="1" customHeight="1" x14ac:dyDescent="0.3">
      <c r="A222" s="2" t="s">
        <v>53</v>
      </c>
      <c r="B222" s="2" t="str">
        <f>INDEX(SETORES!$B:$B,MATCH(A222,SETORES!$A:$A,0))</f>
        <v>Clientes</v>
      </c>
      <c r="C222" s="2" t="s">
        <v>18</v>
      </c>
      <c r="D222" s="14">
        <f>IF(B222="Clientes",SUMIFS(PARÂMETROS!$D$8:$D$907,PARÂMETROS!$A$8:$A$907,C222,PARÂMETROS!$G$8:$G$907,J222),SUMIFS(PARÂMETROS!$E$8:$E$907,PARÂMETROS!$A$8:$A$907,C222,PARÂMETROS!$G$8:$G$907,J222))</f>
        <v>0.72292563756460326</v>
      </c>
      <c r="E222" s="21">
        <f>SUMIFS(SETORES!$D:$D,SETORES!$A:$A,A222,SETORES!$F:$F,J222)</f>
        <v>126953.68388599997</v>
      </c>
      <c r="F222" s="21">
        <f t="shared" si="12"/>
        <v>91778.072864461632</v>
      </c>
      <c r="G222" s="14">
        <f>SUMIFS(PARÂMETROS!$F$8:$F$907,PARÂMETROS!$A$8:$A$907,C222,PARÂMETROS!$G$8:$G$907,J222)</f>
        <v>0</v>
      </c>
      <c r="H222" s="21">
        <f t="shared" si="13"/>
        <v>0</v>
      </c>
      <c r="I222" s="21">
        <f t="shared" si="14"/>
        <v>91778.072864461632</v>
      </c>
      <c r="J222" s="2" t="s">
        <v>11</v>
      </c>
    </row>
    <row r="223" spans="1:10" ht="14.25" hidden="1" customHeight="1" x14ac:dyDescent="0.3">
      <c r="A223" s="11" t="s">
        <v>54</v>
      </c>
      <c r="B223" s="19" t="str">
        <f>INDEX(SETORES!$B:$B,MATCH(A223,SETORES!$A:$A,0))</f>
        <v>Clientes</v>
      </c>
      <c r="C223" s="11" t="s">
        <v>10</v>
      </c>
      <c r="D223" s="9">
        <f>IF(B223="Clientes",SUMIFS(PARÂMETROS!$D$8:$D$907,PARÂMETROS!$A$8:$A$907,C223,PARÂMETROS!$G$8:$G$907,J223),SUMIFS(PARÂMETROS!$E$8:$E$907,PARÂMETROS!$A$8:$A$907,C223,PARÂMETROS!$G$8:$G$907,J223))</f>
        <v>3.3077914012820578E-2</v>
      </c>
      <c r="E223" s="20">
        <f>SUMIFS(SETORES!$D:$D,SETORES!$A:$A,A223,SETORES!$F:$F,J223)</f>
        <v>143669.76804</v>
      </c>
      <c r="F223" s="20">
        <f t="shared" si="12"/>
        <v>4752.2962334689983</v>
      </c>
      <c r="G223" s="9">
        <f>SUMIFS(PARÂMETROS!$F$8:$F$907,PARÂMETROS!$A$8:$A$907,C223,PARÂMETROS!$G$8:$G$907,J223)</f>
        <v>0</v>
      </c>
      <c r="H223" s="20">
        <f t="shared" si="13"/>
        <v>0</v>
      </c>
      <c r="I223" s="20">
        <f t="shared" si="14"/>
        <v>4752.2962334689983</v>
      </c>
      <c r="J223" s="11" t="s">
        <v>11</v>
      </c>
    </row>
    <row r="224" spans="1:10" ht="14.25" hidden="1" customHeight="1" x14ac:dyDescent="0.3">
      <c r="A224" s="2" t="s">
        <v>54</v>
      </c>
      <c r="B224" s="2" t="str">
        <f>INDEX(SETORES!$B:$B,MATCH(A224,SETORES!$A:$A,0))</f>
        <v>Clientes</v>
      </c>
      <c r="C224" s="2" t="s">
        <v>12</v>
      </c>
      <c r="D224" s="14">
        <f>IF(B224="Clientes",SUMIFS(PARÂMETROS!$D$8:$D$907,PARÂMETROS!$A$8:$A$907,C224,PARÂMETROS!$G$8:$G$907,J224),SUMIFS(PARÂMETROS!$E$8:$E$907,PARÂMETROS!$A$8:$A$907,C224,PARÂMETROS!$G$8:$G$907,J224))</f>
        <v>6.886570212940675E-2</v>
      </c>
      <c r="E224" s="21">
        <f>SUMIFS(SETORES!$D:$D,SETORES!$A:$A,A224,SETORES!$F:$F,J224)</f>
        <v>143669.76804</v>
      </c>
      <c r="F224" s="21">
        <f t="shared" si="12"/>
        <v>9893.9194508436012</v>
      </c>
      <c r="G224" s="14">
        <f>SUMIFS(PARÂMETROS!$F$8:$F$907,PARÂMETROS!$A$8:$A$907,C224,PARÂMETROS!$G$8:$G$907,J224)</f>
        <v>0</v>
      </c>
      <c r="H224" s="21">
        <f t="shared" si="13"/>
        <v>0</v>
      </c>
      <c r="I224" s="21">
        <f t="shared" si="14"/>
        <v>9893.9194508436012</v>
      </c>
      <c r="J224" s="2" t="s">
        <v>11</v>
      </c>
    </row>
    <row r="225" spans="1:10" ht="14.25" hidden="1" customHeight="1" x14ac:dyDescent="0.3">
      <c r="A225" s="11" t="s">
        <v>54</v>
      </c>
      <c r="B225" s="19" t="str">
        <f>INDEX(SETORES!$B:$B,MATCH(A225,SETORES!$A:$A,0))</f>
        <v>Clientes</v>
      </c>
      <c r="C225" s="11" t="s">
        <v>13</v>
      </c>
      <c r="D225" s="9">
        <f>IF(B225="Clientes",SUMIFS(PARÂMETROS!$D$8:$D$907,PARÂMETROS!$A$8:$A$907,C225,PARÂMETROS!$G$8:$G$907,J225),SUMIFS(PARÂMETROS!$E$8:$E$907,PARÂMETROS!$A$8:$A$907,C225,PARÂMETROS!$G$8:$G$907,J225))</f>
        <v>7.4116083205452599E-2</v>
      </c>
      <c r="E225" s="20">
        <f>SUMIFS(SETORES!$D:$D,SETORES!$A:$A,A225,SETORES!$F:$F,J225)</f>
        <v>143669.76804</v>
      </c>
      <c r="F225" s="20">
        <f t="shared" si="12"/>
        <v>10648.240482160714</v>
      </c>
      <c r="G225" s="9">
        <f>SUMIFS(PARÂMETROS!$F$8:$F$907,PARÂMETROS!$A$8:$A$907,C225,PARÂMETROS!$G$8:$G$907,J225)</f>
        <v>0</v>
      </c>
      <c r="H225" s="20">
        <f t="shared" si="13"/>
        <v>0</v>
      </c>
      <c r="I225" s="20">
        <f t="shared" si="14"/>
        <v>10648.240482160714</v>
      </c>
      <c r="J225" s="11" t="s">
        <v>11</v>
      </c>
    </row>
    <row r="226" spans="1:10" ht="14.25" customHeight="1" x14ac:dyDescent="0.3">
      <c r="A226" s="2" t="s">
        <v>54</v>
      </c>
      <c r="B226" s="2" t="str">
        <f>INDEX(SETORES!$B:$B,MATCH(A226,SETORES!$A:$A,0))</f>
        <v>Clientes</v>
      </c>
      <c r="C226" s="2" t="s">
        <v>14</v>
      </c>
      <c r="D226" s="14">
        <f>IF(B226="Clientes",SUMIFS(PARÂMETROS!$D$8:$D$907,PARÂMETROS!$A$8:$A$907,C226,PARÂMETROS!$G$8:$G$907,J226),SUMIFS(PARÂMETROS!$E$8:$E$907,PARÂMETROS!$A$8:$A$907,C226,PARÂMETROS!$G$8:$G$907,J226))</f>
        <v>1.9010177424901076E-2</v>
      </c>
      <c r="E226" s="21">
        <f>SUMIFS(SETORES!$D:$D,SETORES!$A:$A,A226,SETORES!$F:$F,J226)</f>
        <v>143669.76804</v>
      </c>
      <c r="F226" s="21">
        <f t="shared" si="12"/>
        <v>2731.1877810347819</v>
      </c>
      <c r="G226" s="14">
        <f>SUMIFS(PARÂMETROS!$F$8:$F$907,PARÂMETROS!$A$8:$A$907,C226,PARÂMETROS!$G$8:$G$907,J226)</f>
        <v>0</v>
      </c>
      <c r="H226" s="21">
        <f t="shared" si="13"/>
        <v>0</v>
      </c>
      <c r="I226" s="21">
        <f t="shared" si="14"/>
        <v>2731.1877810347819</v>
      </c>
      <c r="J226" s="2" t="s">
        <v>11</v>
      </c>
    </row>
    <row r="227" spans="1:10" ht="14.25" hidden="1" customHeight="1" x14ac:dyDescent="0.3">
      <c r="A227" s="11" t="s">
        <v>54</v>
      </c>
      <c r="B227" s="19" t="str">
        <f>INDEX(SETORES!$B:$B,MATCH(A227,SETORES!$A:$A,0))</f>
        <v>Clientes</v>
      </c>
      <c r="C227" s="11" t="s">
        <v>15</v>
      </c>
      <c r="D227" s="9">
        <f>IF(B227="Clientes",SUMIFS(PARÂMETROS!$D$8:$D$907,PARÂMETROS!$A$8:$A$907,C227,PARÂMETROS!$G$8:$G$907,J227),SUMIFS(PARÂMETROS!$E$8:$E$907,PARÂMETROS!$A$8:$A$907,C227,PARÂMETROS!$G$8:$G$907,J227))</f>
        <v>3.302145830232546E-2</v>
      </c>
      <c r="E227" s="20">
        <f>SUMIFS(SETORES!$D:$D,SETORES!$A:$A,A227,SETORES!$F:$F,J227)</f>
        <v>143669.76804</v>
      </c>
      <c r="F227" s="20">
        <f t="shared" si="12"/>
        <v>4744.1852546376313</v>
      </c>
      <c r="G227" s="9">
        <f>SUMIFS(PARÂMETROS!$F$8:$F$907,PARÂMETROS!$A$8:$A$907,C227,PARÂMETROS!$G$8:$G$907,J227)</f>
        <v>0</v>
      </c>
      <c r="H227" s="20">
        <f t="shared" si="13"/>
        <v>0</v>
      </c>
      <c r="I227" s="20">
        <f t="shared" si="14"/>
        <v>4744.1852546376313</v>
      </c>
      <c r="J227" s="11" t="s">
        <v>11</v>
      </c>
    </row>
    <row r="228" spans="1:10" ht="14.25" hidden="1" customHeight="1" x14ac:dyDescent="0.3">
      <c r="A228" s="2" t="s">
        <v>54</v>
      </c>
      <c r="B228" s="2" t="str">
        <f>INDEX(SETORES!$B:$B,MATCH(A228,SETORES!$A:$A,0))</f>
        <v>Clientes</v>
      </c>
      <c r="C228" s="2" t="s">
        <v>16</v>
      </c>
      <c r="D228" s="14">
        <f>IF(B228="Clientes",SUMIFS(PARÂMETROS!$D$8:$D$907,PARÂMETROS!$A$8:$A$907,C228,PARÂMETROS!$G$8:$G$907,J228),SUMIFS(PARÂMETROS!$E$8:$E$907,PARÂMETROS!$A$8:$A$907,C228,PARÂMETROS!$G$8:$G$907,J228))</f>
        <v>2.437346992193715E-2</v>
      </c>
      <c r="E228" s="21">
        <f>SUMIFS(SETORES!$D:$D,SETORES!$A:$A,A228,SETORES!$F:$F,J228)</f>
        <v>143669.76804</v>
      </c>
      <c r="F228" s="21">
        <f t="shared" si="12"/>
        <v>3501.7307700146271</v>
      </c>
      <c r="G228" s="14">
        <f>SUMIFS(PARÂMETROS!$F$8:$F$907,PARÂMETROS!$A$8:$A$907,C228,PARÂMETROS!$G$8:$G$907,J228)</f>
        <v>0</v>
      </c>
      <c r="H228" s="21">
        <f t="shared" si="13"/>
        <v>0</v>
      </c>
      <c r="I228" s="21">
        <f t="shared" si="14"/>
        <v>3501.7307700146271</v>
      </c>
      <c r="J228" s="2" t="s">
        <v>11</v>
      </c>
    </row>
    <row r="229" spans="1:10" ht="14.25" hidden="1" customHeight="1" x14ac:dyDescent="0.3">
      <c r="A229" s="11" t="s">
        <v>54</v>
      </c>
      <c r="B229" s="19" t="str">
        <f>INDEX(SETORES!$B:$B,MATCH(A229,SETORES!$A:$A,0))</f>
        <v>Clientes</v>
      </c>
      <c r="C229" s="11" t="s">
        <v>17</v>
      </c>
      <c r="D229" s="9">
        <f>IF(B229="Clientes",SUMIFS(PARÂMETROS!$D$8:$D$907,PARÂMETROS!$A$8:$A$907,C229,PARÂMETROS!$G$8:$G$907,J229),SUMIFS(PARÂMETROS!$E$8:$E$907,PARÂMETROS!$A$8:$A$907,C229,PARÂMETROS!$G$8:$G$907,J229))</f>
        <v>2.460955743855309E-2</v>
      </c>
      <c r="E229" s="20">
        <f>SUMIFS(SETORES!$D:$D,SETORES!$A:$A,A229,SETORES!$F:$F,J229)</f>
        <v>143669.76804</v>
      </c>
      <c r="F229" s="20">
        <f t="shared" si="12"/>
        <v>3535.649408763979</v>
      </c>
      <c r="G229" s="9">
        <f>SUMIFS(PARÂMETROS!$F$8:$F$907,PARÂMETROS!$A$8:$A$907,C229,PARÂMETROS!$G$8:$G$907,J229)</f>
        <v>0</v>
      </c>
      <c r="H229" s="20">
        <f t="shared" si="13"/>
        <v>0</v>
      </c>
      <c r="I229" s="20">
        <f t="shared" si="14"/>
        <v>3535.649408763979</v>
      </c>
      <c r="J229" s="11" t="s">
        <v>11</v>
      </c>
    </row>
    <row r="230" spans="1:10" ht="14.25" hidden="1" customHeight="1" x14ac:dyDescent="0.3">
      <c r="A230" s="2" t="s">
        <v>54</v>
      </c>
      <c r="B230" s="2" t="str">
        <f>INDEX(SETORES!$B:$B,MATCH(A230,SETORES!$A:$A,0))</f>
        <v>Clientes</v>
      </c>
      <c r="C230" s="2" t="s">
        <v>18</v>
      </c>
      <c r="D230" s="14">
        <f>IF(B230="Clientes",SUMIFS(PARÂMETROS!$D$8:$D$907,PARÂMETROS!$A$8:$A$907,C230,PARÂMETROS!$G$8:$G$907,J230),SUMIFS(PARÂMETROS!$E$8:$E$907,PARÂMETROS!$A$8:$A$907,C230,PARÂMETROS!$G$8:$G$907,J230))</f>
        <v>0.72292563756460326</v>
      </c>
      <c r="E230" s="21">
        <f>SUMIFS(SETORES!$D:$D,SETORES!$A:$A,A230,SETORES!$F:$F,J230)</f>
        <v>143669.76804</v>
      </c>
      <c r="F230" s="21">
        <f t="shared" si="12"/>
        <v>103862.55865907566</v>
      </c>
      <c r="G230" s="14">
        <f>SUMIFS(PARÂMETROS!$F$8:$F$907,PARÂMETROS!$A$8:$A$907,C230,PARÂMETROS!$G$8:$G$907,J230)</f>
        <v>0</v>
      </c>
      <c r="H230" s="21">
        <f t="shared" si="13"/>
        <v>0</v>
      </c>
      <c r="I230" s="21">
        <f t="shared" si="14"/>
        <v>103862.55865907566</v>
      </c>
      <c r="J230" s="2" t="s">
        <v>11</v>
      </c>
    </row>
    <row r="231" spans="1:10" ht="14.25" hidden="1" customHeight="1" x14ac:dyDescent="0.3">
      <c r="A231" s="11" t="s">
        <v>55</v>
      </c>
      <c r="B231" s="19" t="str">
        <f>INDEX(SETORES!$B:$B,MATCH(A231,SETORES!$A:$A,0))</f>
        <v>Funcionários</v>
      </c>
      <c r="C231" s="11" t="s">
        <v>10</v>
      </c>
      <c r="D231" s="9">
        <f>IF(B231="Clientes",SUMIFS(PARÂMETROS!$D$8:$D$907,PARÂMETROS!$A$8:$A$907,C231,PARÂMETROS!$G$8:$G$907,J231),SUMIFS(PARÂMETROS!$E$8:$E$907,PARÂMETROS!$A$8:$A$907,C231,PARÂMETROS!$G$8:$G$907,J231))</f>
        <v>3.2411820781696854E-2</v>
      </c>
      <c r="E231" s="20">
        <f>SUMIFS(SETORES!$D:$D,SETORES!$A:$A,A231,SETORES!$F:$F,J231)</f>
        <v>23776.15</v>
      </c>
      <c r="F231" s="20">
        <f t="shared" ref="F231:F294" si="15">IFERROR(D231*E231,0)</f>
        <v>770.62831267874174</v>
      </c>
      <c r="G231" s="9">
        <f>SUMIFS(PARÂMETROS!$F$8:$F$907,PARÂMETROS!$A$8:$A$907,C231,PARÂMETROS!$G$8:$G$907,J231)</f>
        <v>0</v>
      </c>
      <c r="H231" s="20">
        <f t="shared" ref="H231:H294" si="16">IFERROR(F231*G231,0)</f>
        <v>0</v>
      </c>
      <c r="I231" s="20">
        <f t="shared" ref="I231:I294" si="17">F231+H231</f>
        <v>770.62831267874174</v>
      </c>
      <c r="J231" s="11" t="s">
        <v>11</v>
      </c>
    </row>
    <row r="232" spans="1:10" ht="14.25" hidden="1" customHeight="1" x14ac:dyDescent="0.3">
      <c r="A232" s="2" t="s">
        <v>55</v>
      </c>
      <c r="B232" s="2" t="str">
        <f>INDEX(SETORES!$B:$B,MATCH(A232,SETORES!$A:$A,0))</f>
        <v>Funcionários</v>
      </c>
      <c r="C232" s="2" t="s">
        <v>12</v>
      </c>
      <c r="D232" s="14">
        <f>IF(B232="Clientes",SUMIFS(PARÂMETROS!$D$8:$D$907,PARÂMETROS!$A$8:$A$907,C232,PARÂMETROS!$G$8:$G$907,J232),SUMIFS(PARÂMETROS!$E$8:$E$907,PARÂMETROS!$A$8:$A$907,C232,PARÂMETROS!$G$8:$G$907,J232))</f>
        <v>3.0505243088655862E-2</v>
      </c>
      <c r="E232" s="21">
        <f>SUMIFS(SETORES!$D:$D,SETORES!$A:$A,A232,SETORES!$F:$F,J232)</f>
        <v>23776.15</v>
      </c>
      <c r="F232" s="21">
        <f t="shared" si="15"/>
        <v>725.29723546234516</v>
      </c>
      <c r="G232" s="14">
        <f>SUMIFS(PARÂMETROS!$F$8:$F$907,PARÂMETROS!$A$8:$A$907,C232,PARÂMETROS!$G$8:$G$907,J232)</f>
        <v>0</v>
      </c>
      <c r="H232" s="21">
        <f t="shared" si="16"/>
        <v>0</v>
      </c>
      <c r="I232" s="21">
        <f t="shared" si="17"/>
        <v>725.29723546234516</v>
      </c>
      <c r="J232" s="2" t="s">
        <v>11</v>
      </c>
    </row>
    <row r="233" spans="1:10" ht="14.25" hidden="1" customHeight="1" x14ac:dyDescent="0.3">
      <c r="A233" s="11" t="s">
        <v>55</v>
      </c>
      <c r="B233" s="19" t="str">
        <f>INDEX(SETORES!$B:$B,MATCH(A233,SETORES!$A:$A,0))</f>
        <v>Funcionários</v>
      </c>
      <c r="C233" s="11" t="s">
        <v>13</v>
      </c>
      <c r="D233" s="9">
        <f>IF(B233="Clientes",SUMIFS(PARÂMETROS!$D$8:$D$907,PARÂMETROS!$A$8:$A$907,C233,PARÂMETROS!$G$8:$G$907,J233),SUMIFS(PARÂMETROS!$E$8:$E$907,PARÂMETROS!$A$8:$A$907,C233,PARÂMETROS!$G$8:$G$907,J233))</f>
        <v>4.0038131553860823E-2</v>
      </c>
      <c r="E233" s="20">
        <f>SUMIFS(SETORES!$D:$D,SETORES!$A:$A,A233,SETORES!$F:$F,J233)</f>
        <v>23776.15</v>
      </c>
      <c r="F233" s="20">
        <f t="shared" si="15"/>
        <v>951.95262154432805</v>
      </c>
      <c r="G233" s="9">
        <f>SUMIFS(PARÂMETROS!$F$8:$F$907,PARÂMETROS!$A$8:$A$907,C233,PARÂMETROS!$G$8:$G$907,J233)</f>
        <v>0</v>
      </c>
      <c r="H233" s="20">
        <f t="shared" si="16"/>
        <v>0</v>
      </c>
      <c r="I233" s="20">
        <f t="shared" si="17"/>
        <v>951.95262154432805</v>
      </c>
      <c r="J233" s="11" t="s">
        <v>11</v>
      </c>
    </row>
    <row r="234" spans="1:10" ht="14.25" customHeight="1" x14ac:dyDescent="0.3">
      <c r="A234" s="2" t="s">
        <v>55</v>
      </c>
      <c r="B234" s="2" t="str">
        <f>INDEX(SETORES!$B:$B,MATCH(A234,SETORES!$A:$A,0))</f>
        <v>Funcionários</v>
      </c>
      <c r="C234" s="2" t="s">
        <v>14</v>
      </c>
      <c r="D234" s="14">
        <f>IF(B234="Clientes",SUMIFS(PARÂMETROS!$D$8:$D$907,PARÂMETROS!$A$8:$A$907,C234,PARÂMETROS!$G$8:$G$907,J234),SUMIFS(PARÂMETROS!$E$8:$E$907,PARÂMETROS!$A$8:$A$907,C234,PARÂMETROS!$G$8:$G$907,J234))</f>
        <v>1.0486177311725452E-2</v>
      </c>
      <c r="E234" s="21">
        <f>SUMIFS(SETORES!$D:$D,SETORES!$A:$A,A234,SETORES!$F:$F,J234)</f>
        <v>23776.15</v>
      </c>
      <c r="F234" s="21">
        <f t="shared" si="15"/>
        <v>249.32092469018113</v>
      </c>
      <c r="G234" s="14">
        <f>SUMIFS(PARÂMETROS!$F$8:$F$907,PARÂMETROS!$A$8:$A$907,C234,PARÂMETROS!$G$8:$G$907,J234)</f>
        <v>0</v>
      </c>
      <c r="H234" s="21">
        <f t="shared" si="16"/>
        <v>0</v>
      </c>
      <c r="I234" s="21">
        <f t="shared" si="17"/>
        <v>249.32092469018113</v>
      </c>
      <c r="J234" s="2" t="s">
        <v>11</v>
      </c>
    </row>
    <row r="235" spans="1:10" ht="14.25" hidden="1" customHeight="1" x14ac:dyDescent="0.3">
      <c r="A235" s="11" t="s">
        <v>55</v>
      </c>
      <c r="B235" s="19" t="str">
        <f>INDEX(SETORES!$B:$B,MATCH(A235,SETORES!$A:$A,0))</f>
        <v>Funcionários</v>
      </c>
      <c r="C235" s="11" t="s">
        <v>15</v>
      </c>
      <c r="D235" s="9">
        <f>IF(B235="Clientes",SUMIFS(PARÂMETROS!$D$8:$D$907,PARÂMETROS!$A$8:$A$907,C235,PARÂMETROS!$G$8:$G$907,J235),SUMIFS(PARÂMETROS!$E$8:$E$907,PARÂMETROS!$A$8:$A$907,C235,PARÂMETROS!$G$8:$G$907,J235))</f>
        <v>4.0038131553860823E-2</v>
      </c>
      <c r="E235" s="20">
        <f>SUMIFS(SETORES!$D:$D,SETORES!$A:$A,A235,SETORES!$F:$F,J235)</f>
        <v>23776.15</v>
      </c>
      <c r="F235" s="20">
        <f t="shared" si="15"/>
        <v>951.95262154432805</v>
      </c>
      <c r="G235" s="9">
        <f>SUMIFS(PARÂMETROS!$F$8:$F$907,PARÂMETROS!$A$8:$A$907,C235,PARÂMETROS!$G$8:$G$907,J235)</f>
        <v>0</v>
      </c>
      <c r="H235" s="20">
        <f t="shared" si="16"/>
        <v>0</v>
      </c>
      <c r="I235" s="20">
        <f t="shared" si="17"/>
        <v>951.95262154432805</v>
      </c>
      <c r="J235" s="11" t="s">
        <v>11</v>
      </c>
    </row>
    <row r="236" spans="1:10" ht="14.25" hidden="1" customHeight="1" x14ac:dyDescent="0.3">
      <c r="A236" s="2" t="s">
        <v>55</v>
      </c>
      <c r="B236" s="2" t="str">
        <f>INDEX(SETORES!$B:$B,MATCH(A236,SETORES!$A:$A,0))</f>
        <v>Funcionários</v>
      </c>
      <c r="C236" s="2" t="s">
        <v>16</v>
      </c>
      <c r="D236" s="14">
        <f>IF(B236="Clientes",SUMIFS(PARÂMETROS!$D$8:$D$907,PARÂMETROS!$A$8:$A$907,C236,PARÂMETROS!$G$8:$G$907,J236),SUMIFS(PARÂMETROS!$E$8:$E$907,PARÂMETROS!$A$8:$A$907,C236,PARÂMETROS!$G$8:$G$907,J236))</f>
        <v>1.7159199237368923E-2</v>
      </c>
      <c r="E236" s="21">
        <f>SUMIFS(SETORES!$D:$D,SETORES!$A:$A,A236,SETORES!$F:$F,J236)</f>
        <v>23776.15</v>
      </c>
      <c r="F236" s="21">
        <f t="shared" si="15"/>
        <v>407.97969494756916</v>
      </c>
      <c r="G236" s="14">
        <f>SUMIFS(PARÂMETROS!$F$8:$F$907,PARÂMETROS!$A$8:$A$907,C236,PARÂMETROS!$G$8:$G$907,J236)</f>
        <v>0</v>
      </c>
      <c r="H236" s="21">
        <f t="shared" si="16"/>
        <v>0</v>
      </c>
      <c r="I236" s="21">
        <f t="shared" si="17"/>
        <v>407.97969494756916</v>
      </c>
      <c r="J236" s="2" t="s">
        <v>11</v>
      </c>
    </row>
    <row r="237" spans="1:10" ht="14.25" hidden="1" customHeight="1" x14ac:dyDescent="0.3">
      <c r="A237" s="11" t="s">
        <v>55</v>
      </c>
      <c r="B237" s="19" t="str">
        <f>INDEX(SETORES!$B:$B,MATCH(A237,SETORES!$A:$A,0))</f>
        <v>Funcionários</v>
      </c>
      <c r="C237" s="11" t="s">
        <v>17</v>
      </c>
      <c r="D237" s="9">
        <f>IF(B237="Clientes",SUMIFS(PARÂMETROS!$D$8:$D$907,PARÂMETROS!$A$8:$A$907,C237,PARÂMETROS!$G$8:$G$907,J237),SUMIFS(PARÂMETROS!$E$8:$E$907,PARÂMETROS!$A$8:$A$907,C237,PARÂMETROS!$G$8:$G$907,J237))</f>
        <v>1.6205910390848427E-2</v>
      </c>
      <c r="E237" s="20">
        <f>SUMIFS(SETORES!$D:$D,SETORES!$A:$A,A237,SETORES!$F:$F,J237)</f>
        <v>23776.15</v>
      </c>
      <c r="F237" s="20">
        <f t="shared" si="15"/>
        <v>385.31415633937087</v>
      </c>
      <c r="G237" s="9">
        <f>SUMIFS(PARÂMETROS!$F$8:$F$907,PARÂMETROS!$A$8:$A$907,C237,PARÂMETROS!$G$8:$G$907,J237)</f>
        <v>0</v>
      </c>
      <c r="H237" s="20">
        <f t="shared" si="16"/>
        <v>0</v>
      </c>
      <c r="I237" s="20">
        <f t="shared" si="17"/>
        <v>385.31415633937087</v>
      </c>
      <c r="J237" s="11" t="s">
        <v>11</v>
      </c>
    </row>
    <row r="238" spans="1:10" ht="14.25" hidden="1" customHeight="1" x14ac:dyDescent="0.3">
      <c r="A238" s="2" t="s">
        <v>55</v>
      </c>
      <c r="B238" s="2" t="str">
        <f>INDEX(SETORES!$B:$B,MATCH(A238,SETORES!$A:$A,0))</f>
        <v>Funcionários</v>
      </c>
      <c r="C238" s="2" t="s">
        <v>18</v>
      </c>
      <c r="D238" s="14">
        <f>IF(B238="Clientes",SUMIFS(PARÂMETROS!$D$8:$D$907,PARÂMETROS!$A$8:$A$907,C238,PARÂMETROS!$G$8:$G$907,J238),SUMIFS(PARÂMETROS!$E$8:$E$907,PARÂMETROS!$A$8:$A$907,C238,PARÂMETROS!$G$8:$G$907,J238))</f>
        <v>0.81315538608198279</v>
      </c>
      <c r="E238" s="21">
        <f>SUMIFS(SETORES!$D:$D,SETORES!$A:$A,A238,SETORES!$F:$F,J238)</f>
        <v>23776.15</v>
      </c>
      <c r="F238" s="21">
        <f t="shared" si="15"/>
        <v>19333.704432793136</v>
      </c>
      <c r="G238" s="14">
        <f>SUMIFS(PARÂMETROS!$F$8:$F$907,PARÂMETROS!$A$8:$A$907,C238,PARÂMETROS!$G$8:$G$907,J238)</f>
        <v>0</v>
      </c>
      <c r="H238" s="21">
        <f t="shared" si="16"/>
        <v>0</v>
      </c>
      <c r="I238" s="21">
        <f t="shared" si="17"/>
        <v>19333.704432793136</v>
      </c>
      <c r="J238" s="2" t="s">
        <v>11</v>
      </c>
    </row>
    <row r="239" spans="1:10" ht="14.25" hidden="1" customHeight="1" x14ac:dyDescent="0.3">
      <c r="A239" s="11" t="s">
        <v>31</v>
      </c>
      <c r="B239" s="19" t="str">
        <f>INDEX(SETORES!$B:$B,MATCH(A239,SETORES!$A:$A,0))</f>
        <v>Clientes</v>
      </c>
      <c r="C239" s="11" t="s">
        <v>10</v>
      </c>
      <c r="D239" s="9">
        <f>IF(B239="Clientes",SUMIFS(PARÂMETROS!$D$8:$D$907,PARÂMETROS!$A$8:$A$907,C239,PARÂMETROS!$G$8:$G$907,J239),SUMIFS(PARÂMETROS!$E$8:$E$907,PARÂMETROS!$A$8:$A$907,C239,PARÂMETROS!$G$8:$G$907,J239))</f>
        <v>3.2823386139959339E-2</v>
      </c>
      <c r="E239" s="20">
        <f>SUMIFS(SETORES!$D:$D,SETORES!$A:$A,A239,SETORES!$F:$F,J239)</f>
        <v>48782.85319999999</v>
      </c>
      <c r="F239" s="20">
        <f t="shared" si="15"/>
        <v>1601.2184275925508</v>
      </c>
      <c r="G239" s="9">
        <f>SUMIFS(PARÂMETROS!$F$8:$F$907,PARÂMETROS!$A$8:$A$907,C239,PARÂMETROS!$G$8:$G$907,J239)</f>
        <v>0</v>
      </c>
      <c r="H239" s="20">
        <f t="shared" si="16"/>
        <v>0</v>
      </c>
      <c r="I239" s="20">
        <f t="shared" si="17"/>
        <v>1601.2184275925508</v>
      </c>
      <c r="J239" s="11" t="s">
        <v>20</v>
      </c>
    </row>
    <row r="240" spans="1:10" ht="14.25" hidden="1" customHeight="1" x14ac:dyDescent="0.3">
      <c r="A240" s="2" t="s">
        <v>31</v>
      </c>
      <c r="B240" s="2" t="str">
        <f>INDEX(SETORES!$B:$B,MATCH(A240,SETORES!$A:$A,0))</f>
        <v>Clientes</v>
      </c>
      <c r="C240" s="2" t="s">
        <v>12</v>
      </c>
      <c r="D240" s="14">
        <f>IF(B240="Clientes",SUMIFS(PARÂMETROS!$D$8:$D$907,PARÂMETROS!$A$8:$A$907,C240,PARÂMETROS!$G$8:$G$907,J240),SUMIFS(PARÂMETROS!$E$8:$E$907,PARÂMETROS!$A$8:$A$907,C240,PARÂMETROS!$G$8:$G$907,J240))</f>
        <v>7.0047614816518319E-2</v>
      </c>
      <c r="E240" s="21">
        <f>SUMIFS(SETORES!$D:$D,SETORES!$A:$A,A240,SETORES!$F:$F,J240)</f>
        <v>48782.85319999999</v>
      </c>
      <c r="F240" s="21">
        <f t="shared" si="15"/>
        <v>3417.1225106043576</v>
      </c>
      <c r="G240" s="14">
        <f>SUMIFS(PARÂMETROS!$F$8:$F$907,PARÂMETROS!$A$8:$A$907,C240,PARÂMETROS!$G$8:$G$907,J240)</f>
        <v>0</v>
      </c>
      <c r="H240" s="21">
        <f t="shared" si="16"/>
        <v>0</v>
      </c>
      <c r="I240" s="21">
        <f t="shared" si="17"/>
        <v>3417.1225106043576</v>
      </c>
      <c r="J240" s="2" t="s">
        <v>20</v>
      </c>
    </row>
    <row r="241" spans="1:10" ht="14.25" hidden="1" customHeight="1" x14ac:dyDescent="0.3">
      <c r="A241" s="11" t="s">
        <v>31</v>
      </c>
      <c r="B241" s="19" t="str">
        <f>INDEX(SETORES!$B:$B,MATCH(A241,SETORES!$A:$A,0))</f>
        <v>Clientes</v>
      </c>
      <c r="C241" s="11" t="s">
        <v>13</v>
      </c>
      <c r="D241" s="9">
        <f>IF(B241="Clientes",SUMIFS(PARÂMETROS!$D$8:$D$907,PARÂMETROS!$A$8:$A$907,C241,PARÂMETROS!$G$8:$G$907,J241),SUMIFS(PARÂMETROS!$E$8:$E$907,PARÂMETROS!$A$8:$A$907,C241,PARÂMETROS!$G$8:$G$907,J241))</f>
        <v>7.4903176237540961E-2</v>
      </c>
      <c r="E241" s="20">
        <f>SUMIFS(SETORES!$D:$D,SETORES!$A:$A,A241,SETORES!$F:$F,J241)</f>
        <v>48782.85319999999</v>
      </c>
      <c r="F241" s="20">
        <f t="shared" si="15"/>
        <v>3653.9906506096881</v>
      </c>
      <c r="G241" s="9">
        <f>SUMIFS(PARÂMETROS!$F$8:$F$907,PARÂMETROS!$A$8:$A$907,C241,PARÂMETROS!$G$8:$G$907,J241)</f>
        <v>0</v>
      </c>
      <c r="H241" s="20">
        <f t="shared" si="16"/>
        <v>0</v>
      </c>
      <c r="I241" s="20">
        <f t="shared" si="17"/>
        <v>3653.9906506096881</v>
      </c>
      <c r="J241" s="11" t="s">
        <v>20</v>
      </c>
    </row>
    <row r="242" spans="1:10" ht="14.25" customHeight="1" x14ac:dyDescent="0.3">
      <c r="A242" s="2" t="s">
        <v>31</v>
      </c>
      <c r="B242" s="2" t="str">
        <f>INDEX(SETORES!$B:$B,MATCH(A242,SETORES!$A:$A,0))</f>
        <v>Clientes</v>
      </c>
      <c r="C242" s="2" t="s">
        <v>14</v>
      </c>
      <c r="D242" s="14">
        <f>IF(B242="Clientes",SUMIFS(PARÂMETROS!$D$8:$D$907,PARÂMETROS!$A$8:$A$907,C242,PARÂMETROS!$G$8:$G$907,J242),SUMIFS(PARÂMETROS!$E$8:$E$907,PARÂMETROS!$A$8:$A$907,C242,PARÂMETROS!$G$8:$G$907,J242))</f>
        <v>1.907728653039038E-2</v>
      </c>
      <c r="E242" s="21">
        <f>SUMIFS(SETORES!$D:$D,SETORES!$A:$A,A242,SETORES!$F:$F,J242)</f>
        <v>48782.85319999999</v>
      </c>
      <c r="F242" s="21">
        <f t="shared" si="15"/>
        <v>930.64446826637106</v>
      </c>
      <c r="G242" s="14">
        <f>SUMIFS(PARÂMETROS!$F$8:$F$907,PARÂMETROS!$A$8:$A$907,C242,PARÂMETROS!$G$8:$G$907,J242)</f>
        <v>0</v>
      </c>
      <c r="H242" s="21">
        <f t="shared" si="16"/>
        <v>0</v>
      </c>
      <c r="I242" s="21">
        <f t="shared" si="17"/>
        <v>930.64446826637106</v>
      </c>
      <c r="J242" s="2" t="s">
        <v>20</v>
      </c>
    </row>
    <row r="243" spans="1:10" ht="14.25" hidden="1" customHeight="1" x14ac:dyDescent="0.3">
      <c r="A243" s="11" t="s">
        <v>31</v>
      </c>
      <c r="B243" s="19" t="str">
        <f>INDEX(SETORES!$B:$B,MATCH(A243,SETORES!$A:$A,0))</f>
        <v>Clientes</v>
      </c>
      <c r="C243" s="11" t="s">
        <v>15</v>
      </c>
      <c r="D243" s="9">
        <f>IF(B243="Clientes",SUMIFS(PARÂMETROS!$D$8:$D$907,PARÂMETROS!$A$8:$A$907,C243,PARÂMETROS!$G$8:$G$907,J243),SUMIFS(PARÂMETROS!$E$8:$E$907,PARÂMETROS!$A$8:$A$907,C243,PARÂMETROS!$G$8:$G$907,J243))</f>
        <v>3.3429677985856672E-2</v>
      </c>
      <c r="E243" s="20">
        <f>SUMIFS(SETORES!$D:$D,SETORES!$A:$A,A243,SETORES!$F:$F,J243)</f>
        <v>48782.85319999999</v>
      </c>
      <c r="F243" s="20">
        <f t="shared" si="15"/>
        <v>1630.7950737073174</v>
      </c>
      <c r="G243" s="9">
        <f>SUMIFS(PARÂMETROS!$F$8:$F$907,PARÂMETROS!$A$8:$A$907,C243,PARÂMETROS!$G$8:$G$907,J243)</f>
        <v>0</v>
      </c>
      <c r="H243" s="20">
        <f t="shared" si="16"/>
        <v>0</v>
      </c>
      <c r="I243" s="20">
        <f t="shared" si="17"/>
        <v>1630.7950737073174</v>
      </c>
      <c r="J243" s="11" t="s">
        <v>20</v>
      </c>
    </row>
    <row r="244" spans="1:10" ht="14.25" hidden="1" customHeight="1" x14ac:dyDescent="0.3">
      <c r="A244" s="2" t="s">
        <v>31</v>
      </c>
      <c r="B244" s="2" t="str">
        <f>INDEX(SETORES!$B:$B,MATCH(A244,SETORES!$A:$A,0))</f>
        <v>Clientes</v>
      </c>
      <c r="C244" s="2" t="s">
        <v>16</v>
      </c>
      <c r="D244" s="14">
        <f>IF(B244="Clientes",SUMIFS(PARÂMETROS!$D$8:$D$907,PARÂMETROS!$A$8:$A$907,C244,PARÂMETROS!$G$8:$G$907,J244),SUMIFS(PARÂMETROS!$E$8:$E$907,PARÂMETROS!$A$8:$A$907,C244,PARÂMETROS!$G$8:$G$907,J244))</f>
        <v>2.4722072681848353E-2</v>
      </c>
      <c r="E244" s="21">
        <f>SUMIFS(SETORES!$D:$D,SETORES!$A:$A,A244,SETORES!$F:$F,J244)</f>
        <v>48782.85319999999</v>
      </c>
      <c r="F244" s="21">
        <f t="shared" si="15"/>
        <v>1206.0132424383382</v>
      </c>
      <c r="G244" s="14">
        <f>SUMIFS(PARÂMETROS!$F$8:$F$907,PARÂMETROS!$A$8:$A$907,C244,PARÂMETROS!$G$8:$G$907,J244)</f>
        <v>0</v>
      </c>
      <c r="H244" s="21">
        <f t="shared" si="16"/>
        <v>0</v>
      </c>
      <c r="I244" s="21">
        <f t="shared" si="17"/>
        <v>1206.0132424383382</v>
      </c>
      <c r="J244" s="2" t="s">
        <v>20</v>
      </c>
    </row>
    <row r="245" spans="1:10" ht="14.25" hidden="1" customHeight="1" x14ac:dyDescent="0.3">
      <c r="A245" s="11" t="s">
        <v>31</v>
      </c>
      <c r="B245" s="19" t="str">
        <f>INDEX(SETORES!$B:$B,MATCH(A245,SETORES!$A:$A,0))</f>
        <v>Clientes</v>
      </c>
      <c r="C245" s="11" t="s">
        <v>17</v>
      </c>
      <c r="D245" s="9">
        <f>IF(B245="Clientes",SUMIFS(PARÂMETROS!$D$8:$D$907,PARÂMETROS!$A$8:$A$907,C245,PARÂMETROS!$G$8:$G$907,J245),SUMIFS(PARÂMETROS!$E$8:$E$907,PARÂMETROS!$A$8:$A$907,C245,PARÂMETROS!$G$8:$G$907,J245))</f>
        <v>2.4993858681733368E-2</v>
      </c>
      <c r="E245" s="20">
        <f>SUMIFS(SETORES!$D:$D,SETORES!$A:$A,A245,SETORES!$F:$F,J245)</f>
        <v>48782.85319999999</v>
      </c>
      <c r="F245" s="20">
        <f t="shared" si="15"/>
        <v>1219.2717389725442</v>
      </c>
      <c r="G245" s="9">
        <f>SUMIFS(PARÂMETROS!$F$8:$F$907,PARÂMETROS!$A$8:$A$907,C245,PARÂMETROS!$G$8:$G$907,J245)</f>
        <v>0</v>
      </c>
      <c r="H245" s="20">
        <f t="shared" si="16"/>
        <v>0</v>
      </c>
      <c r="I245" s="20">
        <f t="shared" si="17"/>
        <v>1219.2717389725442</v>
      </c>
      <c r="J245" s="11" t="s">
        <v>20</v>
      </c>
    </row>
    <row r="246" spans="1:10" ht="14.25" hidden="1" customHeight="1" x14ac:dyDescent="0.3">
      <c r="A246" s="2" t="s">
        <v>31</v>
      </c>
      <c r="B246" s="2" t="str">
        <f>INDEX(SETORES!$B:$B,MATCH(A246,SETORES!$A:$A,0))</f>
        <v>Clientes</v>
      </c>
      <c r="C246" s="2" t="s">
        <v>18</v>
      </c>
      <c r="D246" s="14">
        <f>IF(B246="Clientes",SUMIFS(PARÂMETROS!$D$8:$D$907,PARÂMETROS!$A$8:$A$907,C246,PARÂMETROS!$G$8:$G$907,J246),SUMIFS(PARÂMETROS!$E$8:$E$907,PARÂMETROS!$A$8:$A$907,C246,PARÂMETROS!$G$8:$G$907,J246))</f>
        <v>0.72000292692615264</v>
      </c>
      <c r="E246" s="21">
        <f>SUMIFS(SETORES!$D:$D,SETORES!$A:$A,A246,SETORES!$F:$F,J246)</f>
        <v>48782.85319999999</v>
      </c>
      <c r="F246" s="21">
        <f t="shared" si="15"/>
        <v>35123.797087808824</v>
      </c>
      <c r="G246" s="14">
        <f>SUMIFS(PARÂMETROS!$F$8:$F$907,PARÂMETROS!$A$8:$A$907,C246,PARÂMETROS!$G$8:$G$907,J246)</f>
        <v>0</v>
      </c>
      <c r="H246" s="21">
        <f t="shared" si="16"/>
        <v>0</v>
      </c>
      <c r="I246" s="21">
        <f t="shared" si="17"/>
        <v>35123.797087808824</v>
      </c>
      <c r="J246" s="2" t="s">
        <v>20</v>
      </c>
    </row>
    <row r="247" spans="1:10" ht="14.25" hidden="1" customHeight="1" x14ac:dyDescent="0.3">
      <c r="A247" s="11" t="s">
        <v>32</v>
      </c>
      <c r="B247" s="19" t="str">
        <f>INDEX(SETORES!$B:$B,MATCH(A247,SETORES!$A:$A,0))</f>
        <v>Funcionários</v>
      </c>
      <c r="C247" s="11" t="s">
        <v>10</v>
      </c>
      <c r="D247" s="9">
        <f>IF(B247="Clientes",SUMIFS(PARÂMETROS!$D$8:$D$907,PARÂMETROS!$A$8:$A$907,C247,PARÂMETROS!$G$8:$G$907,J247),SUMIFS(PARÂMETROS!$E$8:$E$907,PARÂMETROS!$A$8:$A$907,C247,PARÂMETROS!$G$8:$G$907,J247))</f>
        <v>3.3238366571699908E-2</v>
      </c>
      <c r="E247" s="20">
        <f>SUMIFS(SETORES!$D:$D,SETORES!$A:$A,A247,SETORES!$F:$F,J247)</f>
        <v>30023.397644000001</v>
      </c>
      <c r="F247" s="20">
        <f t="shared" si="15"/>
        <v>997.92869661918337</v>
      </c>
      <c r="G247" s="9">
        <f>SUMIFS(PARÂMETROS!$F$8:$F$907,PARÂMETROS!$A$8:$A$907,C247,PARÂMETROS!$G$8:$G$907,J247)</f>
        <v>0</v>
      </c>
      <c r="H247" s="20">
        <f t="shared" si="16"/>
        <v>0</v>
      </c>
      <c r="I247" s="20">
        <f t="shared" si="17"/>
        <v>997.92869661918337</v>
      </c>
      <c r="J247" s="11" t="s">
        <v>20</v>
      </c>
    </row>
    <row r="248" spans="1:10" ht="14.25" hidden="1" customHeight="1" x14ac:dyDescent="0.3">
      <c r="A248" s="2" t="s">
        <v>32</v>
      </c>
      <c r="B248" s="2" t="str">
        <f>INDEX(SETORES!$B:$B,MATCH(A248,SETORES!$A:$A,0))</f>
        <v>Funcionários</v>
      </c>
      <c r="C248" s="2" t="s">
        <v>12</v>
      </c>
      <c r="D248" s="14">
        <f>IF(B248="Clientes",SUMIFS(PARÂMETROS!$D$8:$D$907,PARÂMETROS!$A$8:$A$907,C248,PARÂMETROS!$G$8:$G$907,J248),SUMIFS(PARÂMETROS!$E$8:$E$907,PARÂMETROS!$A$8:$A$907,C248,PARÂMETROS!$G$8:$G$907,J248))</f>
        <v>3.3238366571699908E-2</v>
      </c>
      <c r="E248" s="21">
        <f>SUMIFS(SETORES!$D:$D,SETORES!$A:$A,A248,SETORES!$F:$F,J248)</f>
        <v>30023.397644000001</v>
      </c>
      <c r="F248" s="21">
        <f t="shared" si="15"/>
        <v>997.92869661918337</v>
      </c>
      <c r="G248" s="14">
        <f>SUMIFS(PARÂMETROS!$F$8:$F$907,PARÂMETROS!$A$8:$A$907,C248,PARÂMETROS!$G$8:$G$907,J248)</f>
        <v>0</v>
      </c>
      <c r="H248" s="21">
        <f t="shared" si="16"/>
        <v>0</v>
      </c>
      <c r="I248" s="21">
        <f t="shared" si="17"/>
        <v>997.92869661918337</v>
      </c>
      <c r="J248" s="2" t="s">
        <v>20</v>
      </c>
    </row>
    <row r="249" spans="1:10" ht="14.25" hidden="1" customHeight="1" x14ac:dyDescent="0.3">
      <c r="A249" s="11" t="s">
        <v>32</v>
      </c>
      <c r="B249" s="19" t="str">
        <f>INDEX(SETORES!$B:$B,MATCH(A249,SETORES!$A:$A,0))</f>
        <v>Funcionários</v>
      </c>
      <c r="C249" s="11" t="s">
        <v>13</v>
      </c>
      <c r="D249" s="9">
        <f>IF(B249="Clientes",SUMIFS(PARÂMETROS!$D$8:$D$907,PARÂMETROS!$A$8:$A$907,C249,PARÂMETROS!$G$8:$G$907,J249),SUMIFS(PARÂMETROS!$E$8:$E$907,PARÂMETROS!$A$8:$A$907,C249,PARÂMETROS!$G$8:$G$907,J249))</f>
        <v>3.9886039886039885E-2</v>
      </c>
      <c r="E249" s="20">
        <f>SUMIFS(SETORES!$D:$D,SETORES!$A:$A,A249,SETORES!$F:$F,J249)</f>
        <v>30023.397644000001</v>
      </c>
      <c r="F249" s="20">
        <f t="shared" si="15"/>
        <v>1197.5144359430199</v>
      </c>
      <c r="G249" s="9">
        <f>SUMIFS(PARÂMETROS!$F$8:$F$907,PARÂMETROS!$A$8:$A$907,C249,PARÂMETROS!$G$8:$G$907,J249)</f>
        <v>0</v>
      </c>
      <c r="H249" s="20">
        <f t="shared" si="16"/>
        <v>0</v>
      </c>
      <c r="I249" s="20">
        <f t="shared" si="17"/>
        <v>1197.5144359430199</v>
      </c>
      <c r="J249" s="11" t="s">
        <v>20</v>
      </c>
    </row>
    <row r="250" spans="1:10" ht="14.25" customHeight="1" x14ac:dyDescent="0.3">
      <c r="A250" s="2" t="s">
        <v>32</v>
      </c>
      <c r="B250" s="2" t="str">
        <f>INDEX(SETORES!$B:$B,MATCH(A250,SETORES!$A:$A,0))</f>
        <v>Funcionários</v>
      </c>
      <c r="C250" s="2" t="s">
        <v>14</v>
      </c>
      <c r="D250" s="14">
        <f>IF(B250="Clientes",SUMIFS(PARÂMETROS!$D$8:$D$907,PARÂMETROS!$A$8:$A$907,C250,PARÂMETROS!$G$8:$G$907,J250),SUMIFS(PARÂMETROS!$E$8:$E$907,PARÂMETROS!$A$8:$A$907,C250,PARÂMETROS!$G$8:$G$907,J250))</f>
        <v>1.0446343779677113E-2</v>
      </c>
      <c r="E250" s="21">
        <f>SUMIFS(SETORES!$D:$D,SETORES!$A:$A,A250,SETORES!$F:$F,J250)</f>
        <v>30023.397644000001</v>
      </c>
      <c r="F250" s="21">
        <f t="shared" si="15"/>
        <v>313.63473322317191</v>
      </c>
      <c r="G250" s="14">
        <f>SUMIFS(PARÂMETROS!$F$8:$F$907,PARÂMETROS!$A$8:$A$907,C250,PARÂMETROS!$G$8:$G$907,J250)</f>
        <v>0</v>
      </c>
      <c r="H250" s="21">
        <f t="shared" si="16"/>
        <v>0</v>
      </c>
      <c r="I250" s="21">
        <f t="shared" si="17"/>
        <v>313.63473322317191</v>
      </c>
      <c r="J250" s="2" t="s">
        <v>20</v>
      </c>
    </row>
    <row r="251" spans="1:10" ht="14.25" hidden="1" customHeight="1" x14ac:dyDescent="0.3">
      <c r="A251" s="11" t="s">
        <v>32</v>
      </c>
      <c r="B251" s="19" t="str">
        <f>INDEX(SETORES!$B:$B,MATCH(A251,SETORES!$A:$A,0))</f>
        <v>Funcionários</v>
      </c>
      <c r="C251" s="11" t="s">
        <v>15</v>
      </c>
      <c r="D251" s="9">
        <f>IF(B251="Clientes",SUMIFS(PARÂMETROS!$D$8:$D$907,PARÂMETROS!$A$8:$A$907,C251,PARÂMETROS!$G$8:$G$907,J251),SUMIFS(PARÂMETROS!$E$8:$E$907,PARÂMETROS!$A$8:$A$907,C251,PARÂMETROS!$G$8:$G$907,J251))</f>
        <v>3.9886039886039885E-2</v>
      </c>
      <c r="E251" s="20">
        <f>SUMIFS(SETORES!$D:$D,SETORES!$A:$A,A251,SETORES!$F:$F,J251)</f>
        <v>30023.397644000001</v>
      </c>
      <c r="F251" s="20">
        <f t="shared" si="15"/>
        <v>1197.5144359430199</v>
      </c>
      <c r="G251" s="9">
        <f>SUMIFS(PARÂMETROS!$F$8:$F$907,PARÂMETROS!$A$8:$A$907,C251,PARÂMETROS!$G$8:$G$907,J251)</f>
        <v>0</v>
      </c>
      <c r="H251" s="20">
        <f t="shared" si="16"/>
        <v>0</v>
      </c>
      <c r="I251" s="20">
        <f t="shared" si="17"/>
        <v>1197.5144359430199</v>
      </c>
      <c r="J251" s="11" t="s">
        <v>20</v>
      </c>
    </row>
    <row r="252" spans="1:10" ht="14.25" hidden="1" customHeight="1" x14ac:dyDescent="0.3">
      <c r="A252" s="2" t="s">
        <v>32</v>
      </c>
      <c r="B252" s="2" t="str">
        <f>INDEX(SETORES!$B:$B,MATCH(A252,SETORES!$A:$A,0))</f>
        <v>Funcionários</v>
      </c>
      <c r="C252" s="2" t="s">
        <v>16</v>
      </c>
      <c r="D252" s="14">
        <f>IF(B252="Clientes",SUMIFS(PARÂMETROS!$D$8:$D$907,PARÂMETROS!$A$8:$A$907,C252,PARÂMETROS!$G$8:$G$907,J252),SUMIFS(PARÂMETROS!$E$8:$E$907,PARÂMETROS!$A$8:$A$907,C252,PARÂMETROS!$G$8:$G$907,J252))</f>
        <v>1.7094017094017096E-2</v>
      </c>
      <c r="E252" s="21">
        <f>SUMIFS(SETORES!$D:$D,SETORES!$A:$A,A252,SETORES!$F:$F,J252)</f>
        <v>30023.397644000001</v>
      </c>
      <c r="F252" s="21">
        <f t="shared" si="15"/>
        <v>513.22047254700863</v>
      </c>
      <c r="G252" s="14">
        <f>SUMIFS(PARÂMETROS!$F$8:$F$907,PARÂMETROS!$A$8:$A$907,C252,PARÂMETROS!$G$8:$G$907,J252)</f>
        <v>0</v>
      </c>
      <c r="H252" s="21">
        <f t="shared" si="16"/>
        <v>0</v>
      </c>
      <c r="I252" s="21">
        <f t="shared" si="17"/>
        <v>513.22047254700863</v>
      </c>
      <c r="J252" s="2" t="s">
        <v>20</v>
      </c>
    </row>
    <row r="253" spans="1:10" ht="14.25" hidden="1" customHeight="1" x14ac:dyDescent="0.3">
      <c r="A253" s="11" t="s">
        <v>32</v>
      </c>
      <c r="B253" s="19" t="str">
        <f>INDEX(SETORES!$B:$B,MATCH(A253,SETORES!$A:$A,0))</f>
        <v>Funcionários</v>
      </c>
      <c r="C253" s="11" t="s">
        <v>17</v>
      </c>
      <c r="D253" s="9">
        <f>IF(B253="Clientes",SUMIFS(PARÂMETROS!$D$8:$D$907,PARÂMETROS!$A$8:$A$907,C253,PARÂMETROS!$G$8:$G$907,J253),SUMIFS(PARÂMETROS!$E$8:$E$907,PARÂMETROS!$A$8:$A$907,C253,PARÂMETROS!$G$8:$G$907,J253))</f>
        <v>1.8993352326685659E-2</v>
      </c>
      <c r="E253" s="20">
        <f>SUMIFS(SETORES!$D:$D,SETORES!$A:$A,A253,SETORES!$F:$F,J253)</f>
        <v>30023.397644000001</v>
      </c>
      <c r="F253" s="20">
        <f t="shared" si="15"/>
        <v>570.24496949667616</v>
      </c>
      <c r="G253" s="9">
        <f>SUMIFS(PARÂMETROS!$F$8:$F$907,PARÂMETROS!$A$8:$A$907,C253,PARÂMETROS!$G$8:$G$907,J253)</f>
        <v>0</v>
      </c>
      <c r="H253" s="20">
        <f t="shared" si="16"/>
        <v>0</v>
      </c>
      <c r="I253" s="20">
        <f t="shared" si="17"/>
        <v>570.24496949667616</v>
      </c>
      <c r="J253" s="11" t="s">
        <v>20</v>
      </c>
    </row>
    <row r="254" spans="1:10" ht="14.25" hidden="1" customHeight="1" x14ac:dyDescent="0.3">
      <c r="A254" s="2" t="s">
        <v>32</v>
      </c>
      <c r="B254" s="2" t="str">
        <f>INDEX(SETORES!$B:$B,MATCH(A254,SETORES!$A:$A,0))</f>
        <v>Funcionários</v>
      </c>
      <c r="C254" s="2" t="s">
        <v>18</v>
      </c>
      <c r="D254" s="14">
        <f>IF(B254="Clientes",SUMIFS(PARÂMETROS!$D$8:$D$907,PARÂMETROS!$A$8:$A$907,C254,PARÂMETROS!$G$8:$G$907,J254),SUMIFS(PARÂMETROS!$E$8:$E$907,PARÂMETROS!$A$8:$A$907,C254,PARÂMETROS!$G$8:$G$907,J254))</f>
        <v>0.80721747388414056</v>
      </c>
      <c r="E254" s="21">
        <f>SUMIFS(SETORES!$D:$D,SETORES!$A:$A,A254,SETORES!$F:$F,J254)</f>
        <v>30023.397644000001</v>
      </c>
      <c r="F254" s="21">
        <f t="shared" si="15"/>
        <v>24235.411203608739</v>
      </c>
      <c r="G254" s="14">
        <f>SUMIFS(PARÂMETROS!$F$8:$F$907,PARÂMETROS!$A$8:$A$907,C254,PARÂMETROS!$G$8:$G$907,J254)</f>
        <v>0</v>
      </c>
      <c r="H254" s="21">
        <f t="shared" si="16"/>
        <v>0</v>
      </c>
      <c r="I254" s="21">
        <f t="shared" si="17"/>
        <v>24235.411203608739</v>
      </c>
      <c r="J254" s="2" t="s">
        <v>20</v>
      </c>
    </row>
    <row r="255" spans="1:10" ht="14.25" hidden="1" customHeight="1" x14ac:dyDescent="0.3">
      <c r="A255" s="11" t="s">
        <v>33</v>
      </c>
      <c r="B255" s="19" t="str">
        <f>INDEX(SETORES!$B:$B,MATCH(A255,SETORES!$A:$A,0))</f>
        <v>Funcionários</v>
      </c>
      <c r="C255" s="11" t="s">
        <v>10</v>
      </c>
      <c r="D255" s="9">
        <f>IF(B255="Clientes",SUMIFS(PARÂMETROS!$D$8:$D$907,PARÂMETROS!$A$8:$A$907,C255,PARÂMETROS!$G$8:$G$907,J255),SUMIFS(PARÂMETROS!$E$8:$E$907,PARÂMETROS!$A$8:$A$907,C255,PARÂMETROS!$G$8:$G$907,J255))</f>
        <v>3.3238366571699908E-2</v>
      </c>
      <c r="E255" s="20">
        <f>SUMIFS(SETORES!$D:$D,SETORES!$A:$A,A255,SETORES!$F:$F,J255)</f>
        <v>49826.445899999999</v>
      </c>
      <c r="F255" s="20">
        <f t="shared" si="15"/>
        <v>1656.1496737891739</v>
      </c>
      <c r="G255" s="9">
        <f>SUMIFS(PARÂMETROS!$F$8:$F$907,PARÂMETROS!$A$8:$A$907,C255,PARÂMETROS!$G$8:$G$907,J255)</f>
        <v>0</v>
      </c>
      <c r="H255" s="20">
        <f t="shared" si="16"/>
        <v>0</v>
      </c>
      <c r="I255" s="20">
        <f t="shared" si="17"/>
        <v>1656.1496737891739</v>
      </c>
      <c r="J255" s="11" t="s">
        <v>20</v>
      </c>
    </row>
    <row r="256" spans="1:10" ht="14.25" hidden="1" customHeight="1" x14ac:dyDescent="0.3">
      <c r="A256" s="2" t="s">
        <v>33</v>
      </c>
      <c r="B256" s="2" t="str">
        <f>INDEX(SETORES!$B:$B,MATCH(A256,SETORES!$A:$A,0))</f>
        <v>Funcionários</v>
      </c>
      <c r="C256" s="2" t="s">
        <v>12</v>
      </c>
      <c r="D256" s="14">
        <f>IF(B256="Clientes",SUMIFS(PARÂMETROS!$D$8:$D$907,PARÂMETROS!$A$8:$A$907,C256,PARÂMETROS!$G$8:$G$907,J256),SUMIFS(PARÂMETROS!$E$8:$E$907,PARÂMETROS!$A$8:$A$907,C256,PARÂMETROS!$G$8:$G$907,J256))</f>
        <v>3.3238366571699908E-2</v>
      </c>
      <c r="E256" s="21">
        <f>SUMIFS(SETORES!$D:$D,SETORES!$A:$A,A256,SETORES!$F:$F,J256)</f>
        <v>49826.445899999999</v>
      </c>
      <c r="F256" s="21">
        <f t="shared" si="15"/>
        <v>1656.1496737891739</v>
      </c>
      <c r="G256" s="14">
        <f>SUMIFS(PARÂMETROS!$F$8:$F$907,PARÂMETROS!$A$8:$A$907,C256,PARÂMETROS!$G$8:$G$907,J256)</f>
        <v>0</v>
      </c>
      <c r="H256" s="21">
        <f t="shared" si="16"/>
        <v>0</v>
      </c>
      <c r="I256" s="21">
        <f t="shared" si="17"/>
        <v>1656.1496737891739</v>
      </c>
      <c r="J256" s="2" t="s">
        <v>20</v>
      </c>
    </row>
    <row r="257" spans="1:10" ht="14.25" hidden="1" customHeight="1" x14ac:dyDescent="0.3">
      <c r="A257" s="11" t="s">
        <v>33</v>
      </c>
      <c r="B257" s="19" t="str">
        <f>INDEX(SETORES!$B:$B,MATCH(A257,SETORES!$A:$A,0))</f>
        <v>Funcionários</v>
      </c>
      <c r="C257" s="11" t="s">
        <v>13</v>
      </c>
      <c r="D257" s="9">
        <f>IF(B257="Clientes",SUMIFS(PARÂMETROS!$D$8:$D$907,PARÂMETROS!$A$8:$A$907,C257,PARÂMETROS!$G$8:$G$907,J257),SUMIFS(PARÂMETROS!$E$8:$E$907,PARÂMETROS!$A$8:$A$907,C257,PARÂMETROS!$G$8:$G$907,J257))</f>
        <v>3.9886039886039885E-2</v>
      </c>
      <c r="E257" s="20">
        <f>SUMIFS(SETORES!$D:$D,SETORES!$A:$A,A257,SETORES!$F:$F,J257)</f>
        <v>49826.445899999999</v>
      </c>
      <c r="F257" s="20">
        <f t="shared" si="15"/>
        <v>1987.3796085470085</v>
      </c>
      <c r="G257" s="9">
        <f>SUMIFS(PARÂMETROS!$F$8:$F$907,PARÂMETROS!$A$8:$A$907,C257,PARÂMETROS!$G$8:$G$907,J257)</f>
        <v>0</v>
      </c>
      <c r="H257" s="20">
        <f t="shared" si="16"/>
        <v>0</v>
      </c>
      <c r="I257" s="20">
        <f t="shared" si="17"/>
        <v>1987.3796085470085</v>
      </c>
      <c r="J257" s="11" t="s">
        <v>20</v>
      </c>
    </row>
    <row r="258" spans="1:10" ht="14.25" customHeight="1" x14ac:dyDescent="0.3">
      <c r="A258" s="2" t="s">
        <v>33</v>
      </c>
      <c r="B258" s="2" t="str">
        <f>INDEX(SETORES!$B:$B,MATCH(A258,SETORES!$A:$A,0))</f>
        <v>Funcionários</v>
      </c>
      <c r="C258" s="2" t="s">
        <v>14</v>
      </c>
      <c r="D258" s="14">
        <f>IF(B258="Clientes",SUMIFS(PARÂMETROS!$D$8:$D$907,PARÂMETROS!$A$8:$A$907,C258,PARÂMETROS!$G$8:$G$907,J258),SUMIFS(PARÂMETROS!$E$8:$E$907,PARÂMETROS!$A$8:$A$907,C258,PARÂMETROS!$G$8:$G$907,J258))</f>
        <v>1.0446343779677113E-2</v>
      </c>
      <c r="E258" s="21">
        <f>SUMIFS(SETORES!$D:$D,SETORES!$A:$A,A258,SETORES!$F:$F,J258)</f>
        <v>49826.445899999999</v>
      </c>
      <c r="F258" s="21">
        <f t="shared" si="15"/>
        <v>520.50418319088317</v>
      </c>
      <c r="G258" s="14">
        <f>SUMIFS(PARÂMETROS!$F$8:$F$907,PARÂMETROS!$A$8:$A$907,C258,PARÂMETROS!$G$8:$G$907,J258)</f>
        <v>0</v>
      </c>
      <c r="H258" s="21">
        <f t="shared" si="16"/>
        <v>0</v>
      </c>
      <c r="I258" s="21">
        <f t="shared" si="17"/>
        <v>520.50418319088317</v>
      </c>
      <c r="J258" s="2" t="s">
        <v>20</v>
      </c>
    </row>
    <row r="259" spans="1:10" ht="14.25" hidden="1" customHeight="1" x14ac:dyDescent="0.3">
      <c r="A259" s="11" t="s">
        <v>33</v>
      </c>
      <c r="B259" s="19" t="str">
        <f>INDEX(SETORES!$B:$B,MATCH(A259,SETORES!$A:$A,0))</f>
        <v>Funcionários</v>
      </c>
      <c r="C259" s="11" t="s">
        <v>15</v>
      </c>
      <c r="D259" s="9">
        <f>IF(B259="Clientes",SUMIFS(PARÂMETROS!$D$8:$D$907,PARÂMETROS!$A$8:$A$907,C259,PARÂMETROS!$G$8:$G$907,J259),SUMIFS(PARÂMETROS!$E$8:$E$907,PARÂMETROS!$A$8:$A$907,C259,PARÂMETROS!$G$8:$G$907,J259))</f>
        <v>3.9886039886039885E-2</v>
      </c>
      <c r="E259" s="20">
        <f>SUMIFS(SETORES!$D:$D,SETORES!$A:$A,A259,SETORES!$F:$F,J259)</f>
        <v>49826.445899999999</v>
      </c>
      <c r="F259" s="20">
        <f t="shared" si="15"/>
        <v>1987.3796085470085</v>
      </c>
      <c r="G259" s="9">
        <f>SUMIFS(PARÂMETROS!$F$8:$F$907,PARÂMETROS!$A$8:$A$907,C259,PARÂMETROS!$G$8:$G$907,J259)</f>
        <v>0</v>
      </c>
      <c r="H259" s="20">
        <f t="shared" si="16"/>
        <v>0</v>
      </c>
      <c r="I259" s="20">
        <f t="shared" si="17"/>
        <v>1987.3796085470085</v>
      </c>
      <c r="J259" s="11" t="s">
        <v>20</v>
      </c>
    </row>
    <row r="260" spans="1:10" ht="14.25" hidden="1" customHeight="1" x14ac:dyDescent="0.3">
      <c r="A260" s="2" t="s">
        <v>33</v>
      </c>
      <c r="B260" s="2" t="str">
        <f>INDEX(SETORES!$B:$B,MATCH(A260,SETORES!$A:$A,0))</f>
        <v>Funcionários</v>
      </c>
      <c r="C260" s="2" t="s">
        <v>16</v>
      </c>
      <c r="D260" s="14">
        <f>IF(B260="Clientes",SUMIFS(PARÂMETROS!$D$8:$D$907,PARÂMETROS!$A$8:$A$907,C260,PARÂMETROS!$G$8:$G$907,J260),SUMIFS(PARÂMETROS!$E$8:$E$907,PARÂMETROS!$A$8:$A$907,C260,PARÂMETROS!$G$8:$G$907,J260))</f>
        <v>1.7094017094017096E-2</v>
      </c>
      <c r="E260" s="21">
        <f>SUMIFS(SETORES!$D:$D,SETORES!$A:$A,A260,SETORES!$F:$F,J260)</f>
        <v>49826.445899999999</v>
      </c>
      <c r="F260" s="21">
        <f t="shared" si="15"/>
        <v>851.73411794871799</v>
      </c>
      <c r="G260" s="14">
        <f>SUMIFS(PARÂMETROS!$F$8:$F$907,PARÂMETROS!$A$8:$A$907,C260,PARÂMETROS!$G$8:$G$907,J260)</f>
        <v>0</v>
      </c>
      <c r="H260" s="21">
        <f t="shared" si="16"/>
        <v>0</v>
      </c>
      <c r="I260" s="21">
        <f t="shared" si="17"/>
        <v>851.73411794871799</v>
      </c>
      <c r="J260" s="2" t="s">
        <v>20</v>
      </c>
    </row>
    <row r="261" spans="1:10" ht="14.25" hidden="1" customHeight="1" x14ac:dyDescent="0.3">
      <c r="A261" s="11" t="s">
        <v>33</v>
      </c>
      <c r="B261" s="19" t="str">
        <f>INDEX(SETORES!$B:$B,MATCH(A261,SETORES!$A:$A,0))</f>
        <v>Funcionários</v>
      </c>
      <c r="C261" s="11" t="s">
        <v>17</v>
      </c>
      <c r="D261" s="9">
        <f>IF(B261="Clientes",SUMIFS(PARÂMETROS!$D$8:$D$907,PARÂMETROS!$A$8:$A$907,C261,PARÂMETROS!$G$8:$G$907,J261),SUMIFS(PARÂMETROS!$E$8:$E$907,PARÂMETROS!$A$8:$A$907,C261,PARÂMETROS!$G$8:$G$907,J261))</f>
        <v>1.8993352326685659E-2</v>
      </c>
      <c r="E261" s="20">
        <f>SUMIFS(SETORES!$D:$D,SETORES!$A:$A,A261,SETORES!$F:$F,J261)</f>
        <v>49826.445899999999</v>
      </c>
      <c r="F261" s="20">
        <f t="shared" si="15"/>
        <v>946.37124216524205</v>
      </c>
      <c r="G261" s="9">
        <f>SUMIFS(PARÂMETROS!$F$8:$F$907,PARÂMETROS!$A$8:$A$907,C261,PARÂMETROS!$G$8:$G$907,J261)</f>
        <v>0</v>
      </c>
      <c r="H261" s="20">
        <f t="shared" si="16"/>
        <v>0</v>
      </c>
      <c r="I261" s="20">
        <f t="shared" si="17"/>
        <v>946.37124216524205</v>
      </c>
      <c r="J261" s="11" t="s">
        <v>20</v>
      </c>
    </row>
    <row r="262" spans="1:10" ht="14.25" hidden="1" customHeight="1" x14ac:dyDescent="0.3">
      <c r="A262" s="2" t="s">
        <v>33</v>
      </c>
      <c r="B262" s="2" t="str">
        <f>INDEX(SETORES!$B:$B,MATCH(A262,SETORES!$A:$A,0))</f>
        <v>Funcionários</v>
      </c>
      <c r="C262" s="2" t="s">
        <v>18</v>
      </c>
      <c r="D262" s="14">
        <f>IF(B262="Clientes",SUMIFS(PARÂMETROS!$D$8:$D$907,PARÂMETROS!$A$8:$A$907,C262,PARÂMETROS!$G$8:$G$907,J262),SUMIFS(PARÂMETROS!$E$8:$E$907,PARÂMETROS!$A$8:$A$907,C262,PARÂMETROS!$G$8:$G$907,J262))</f>
        <v>0.80721747388414056</v>
      </c>
      <c r="E262" s="21">
        <f>SUMIFS(SETORES!$D:$D,SETORES!$A:$A,A262,SETORES!$F:$F,J262)</f>
        <v>49826.445899999999</v>
      </c>
      <c r="F262" s="21">
        <f t="shared" si="15"/>
        <v>40220.777792022789</v>
      </c>
      <c r="G262" s="14">
        <f>SUMIFS(PARÂMETROS!$F$8:$F$907,PARÂMETROS!$A$8:$A$907,C262,PARÂMETROS!$G$8:$G$907,J262)</f>
        <v>0</v>
      </c>
      <c r="H262" s="21">
        <f t="shared" si="16"/>
        <v>0</v>
      </c>
      <c r="I262" s="21">
        <f t="shared" si="17"/>
        <v>40220.777792022789</v>
      </c>
      <c r="J262" s="2" t="s">
        <v>20</v>
      </c>
    </row>
    <row r="263" spans="1:10" ht="14.25" hidden="1" customHeight="1" x14ac:dyDescent="0.3">
      <c r="A263" s="11" t="s">
        <v>34</v>
      </c>
      <c r="B263" s="19" t="str">
        <f>INDEX(SETORES!$B:$B,MATCH(A263,SETORES!$A:$A,0))</f>
        <v>Clientes</v>
      </c>
      <c r="C263" s="11" t="s">
        <v>10</v>
      </c>
      <c r="D263" s="9">
        <f>IF(B263="Clientes",SUMIFS(PARÂMETROS!$D$8:$D$907,PARÂMETROS!$A$8:$A$907,C263,PARÂMETROS!$G$8:$G$907,J263),SUMIFS(PARÂMETROS!$E$8:$E$907,PARÂMETROS!$A$8:$A$907,C263,PARÂMETROS!$G$8:$G$907,J263))</f>
        <v>3.2823386139959339E-2</v>
      </c>
      <c r="E263" s="20">
        <f>SUMIFS(SETORES!$D:$D,SETORES!$A:$A,A263,SETORES!$F:$F,J263)</f>
        <v>20198.149555</v>
      </c>
      <c r="F263" s="20">
        <f t="shared" si="15"/>
        <v>662.97166215641289</v>
      </c>
      <c r="G263" s="9">
        <f>SUMIFS(PARÂMETROS!$F$8:$F$907,PARÂMETROS!$A$8:$A$907,C263,PARÂMETROS!$G$8:$G$907,J263)</f>
        <v>0</v>
      </c>
      <c r="H263" s="20">
        <f t="shared" si="16"/>
        <v>0</v>
      </c>
      <c r="I263" s="20">
        <f t="shared" si="17"/>
        <v>662.97166215641289</v>
      </c>
      <c r="J263" s="11" t="s">
        <v>20</v>
      </c>
    </row>
    <row r="264" spans="1:10" ht="14.25" hidden="1" customHeight="1" x14ac:dyDescent="0.3">
      <c r="A264" s="2" t="s">
        <v>34</v>
      </c>
      <c r="B264" s="2" t="str">
        <f>INDEX(SETORES!$B:$B,MATCH(A264,SETORES!$A:$A,0))</f>
        <v>Clientes</v>
      </c>
      <c r="C264" s="2" t="s">
        <v>12</v>
      </c>
      <c r="D264" s="14">
        <f>IF(B264="Clientes",SUMIFS(PARÂMETROS!$D$8:$D$907,PARÂMETROS!$A$8:$A$907,C264,PARÂMETROS!$G$8:$G$907,J264),SUMIFS(PARÂMETROS!$E$8:$E$907,PARÂMETROS!$A$8:$A$907,C264,PARÂMETROS!$G$8:$G$907,J264))</f>
        <v>7.0047614816518319E-2</v>
      </c>
      <c r="E264" s="21">
        <f>SUMIFS(SETORES!$D:$D,SETORES!$A:$A,A264,SETORES!$F:$F,J264)</f>
        <v>20198.149555</v>
      </c>
      <c r="F264" s="21">
        <f t="shared" si="15"/>
        <v>1414.8322000350709</v>
      </c>
      <c r="G264" s="14">
        <f>SUMIFS(PARÂMETROS!$F$8:$F$907,PARÂMETROS!$A$8:$A$907,C264,PARÂMETROS!$G$8:$G$907,J264)</f>
        <v>0</v>
      </c>
      <c r="H264" s="21">
        <f t="shared" si="16"/>
        <v>0</v>
      </c>
      <c r="I264" s="21">
        <f t="shared" si="17"/>
        <v>1414.8322000350709</v>
      </c>
      <c r="J264" s="2" t="s">
        <v>20</v>
      </c>
    </row>
    <row r="265" spans="1:10" ht="14.25" hidden="1" customHeight="1" x14ac:dyDescent="0.3">
      <c r="A265" s="11" t="s">
        <v>34</v>
      </c>
      <c r="B265" s="19" t="str">
        <f>INDEX(SETORES!$B:$B,MATCH(A265,SETORES!$A:$A,0))</f>
        <v>Clientes</v>
      </c>
      <c r="C265" s="11" t="s">
        <v>13</v>
      </c>
      <c r="D265" s="9">
        <f>IF(B265="Clientes",SUMIFS(PARÂMETROS!$D$8:$D$907,PARÂMETROS!$A$8:$A$907,C265,PARÂMETROS!$G$8:$G$907,J265),SUMIFS(PARÂMETROS!$E$8:$E$907,PARÂMETROS!$A$8:$A$907,C265,PARÂMETROS!$G$8:$G$907,J265))</f>
        <v>7.4903176237540961E-2</v>
      </c>
      <c r="E265" s="20">
        <f>SUMIFS(SETORES!$D:$D,SETORES!$A:$A,A265,SETORES!$F:$F,J265)</f>
        <v>20198.149555</v>
      </c>
      <c r="F265" s="20">
        <f t="shared" si="15"/>
        <v>1512.9055557903746</v>
      </c>
      <c r="G265" s="9">
        <f>SUMIFS(PARÂMETROS!$F$8:$F$907,PARÂMETROS!$A$8:$A$907,C265,PARÂMETROS!$G$8:$G$907,J265)</f>
        <v>0</v>
      </c>
      <c r="H265" s="20">
        <f t="shared" si="16"/>
        <v>0</v>
      </c>
      <c r="I265" s="20">
        <f t="shared" si="17"/>
        <v>1512.9055557903746</v>
      </c>
      <c r="J265" s="11" t="s">
        <v>20</v>
      </c>
    </row>
    <row r="266" spans="1:10" ht="14.25" customHeight="1" x14ac:dyDescent="0.3">
      <c r="A266" s="2" t="s">
        <v>34</v>
      </c>
      <c r="B266" s="2" t="str">
        <f>INDEX(SETORES!$B:$B,MATCH(A266,SETORES!$A:$A,0))</f>
        <v>Clientes</v>
      </c>
      <c r="C266" s="2" t="s">
        <v>14</v>
      </c>
      <c r="D266" s="14">
        <f>IF(B266="Clientes",SUMIFS(PARÂMETROS!$D$8:$D$907,PARÂMETROS!$A$8:$A$907,C266,PARÂMETROS!$G$8:$G$907,J266),SUMIFS(PARÂMETROS!$E$8:$E$907,PARÂMETROS!$A$8:$A$907,C266,PARÂMETROS!$G$8:$G$907,J266))</f>
        <v>1.907728653039038E-2</v>
      </c>
      <c r="E266" s="21">
        <f>SUMIFS(SETORES!$D:$D,SETORES!$A:$A,A266,SETORES!$F:$F,J266)</f>
        <v>20198.149555</v>
      </c>
      <c r="F266" s="21">
        <f t="shared" si="15"/>
        <v>385.32588644441194</v>
      </c>
      <c r="G266" s="14">
        <f>SUMIFS(PARÂMETROS!$F$8:$F$907,PARÂMETROS!$A$8:$A$907,C266,PARÂMETROS!$G$8:$G$907,J266)</f>
        <v>0</v>
      </c>
      <c r="H266" s="21">
        <f t="shared" si="16"/>
        <v>0</v>
      </c>
      <c r="I266" s="21">
        <f t="shared" si="17"/>
        <v>385.32588644441194</v>
      </c>
      <c r="J266" s="2" t="s">
        <v>20</v>
      </c>
    </row>
    <row r="267" spans="1:10" ht="14.25" hidden="1" customHeight="1" x14ac:dyDescent="0.3">
      <c r="A267" s="11" t="s">
        <v>34</v>
      </c>
      <c r="B267" s="19" t="str">
        <f>INDEX(SETORES!$B:$B,MATCH(A267,SETORES!$A:$A,0))</f>
        <v>Clientes</v>
      </c>
      <c r="C267" s="11" t="s">
        <v>15</v>
      </c>
      <c r="D267" s="9">
        <f>IF(B267="Clientes",SUMIFS(PARÂMETROS!$D$8:$D$907,PARÂMETROS!$A$8:$A$907,C267,PARÂMETROS!$G$8:$G$907,J267),SUMIFS(PARÂMETROS!$E$8:$E$907,PARÂMETROS!$A$8:$A$907,C267,PARÂMETROS!$G$8:$G$907,J267))</f>
        <v>3.3429677985856672E-2</v>
      </c>
      <c r="E267" s="20">
        <f>SUMIFS(SETORES!$D:$D,SETORES!$A:$A,A267,SETORES!$F:$F,J267)</f>
        <v>20198.149555</v>
      </c>
      <c r="F267" s="20">
        <f t="shared" si="15"/>
        <v>675.21763553382425</v>
      </c>
      <c r="G267" s="9">
        <f>SUMIFS(PARÂMETROS!$F$8:$F$907,PARÂMETROS!$A$8:$A$907,C267,PARÂMETROS!$G$8:$G$907,J267)</f>
        <v>0</v>
      </c>
      <c r="H267" s="20">
        <f t="shared" si="16"/>
        <v>0</v>
      </c>
      <c r="I267" s="20">
        <f t="shared" si="17"/>
        <v>675.21763553382425</v>
      </c>
      <c r="J267" s="11" t="s">
        <v>20</v>
      </c>
    </row>
    <row r="268" spans="1:10" ht="14.25" hidden="1" customHeight="1" x14ac:dyDescent="0.3">
      <c r="A268" s="2" t="s">
        <v>34</v>
      </c>
      <c r="B268" s="2" t="str">
        <f>INDEX(SETORES!$B:$B,MATCH(A268,SETORES!$A:$A,0))</f>
        <v>Clientes</v>
      </c>
      <c r="C268" s="2" t="s">
        <v>16</v>
      </c>
      <c r="D268" s="14">
        <f>IF(B268="Clientes",SUMIFS(PARÂMETROS!$D$8:$D$907,PARÂMETROS!$A$8:$A$907,C268,PARÂMETROS!$G$8:$G$907,J268),SUMIFS(PARÂMETROS!$E$8:$E$907,PARÂMETROS!$A$8:$A$907,C268,PARÂMETROS!$G$8:$G$907,J268))</f>
        <v>2.4722072681848353E-2</v>
      </c>
      <c r="E268" s="21">
        <f>SUMIFS(SETORES!$D:$D,SETORES!$A:$A,A268,SETORES!$F:$F,J268)</f>
        <v>20198.149555</v>
      </c>
      <c r="F268" s="21">
        <f t="shared" si="15"/>
        <v>499.340121337553</v>
      </c>
      <c r="G268" s="14">
        <f>SUMIFS(PARÂMETROS!$F$8:$F$907,PARÂMETROS!$A$8:$A$907,C268,PARÂMETROS!$G$8:$G$907,J268)</f>
        <v>0</v>
      </c>
      <c r="H268" s="21">
        <f t="shared" si="16"/>
        <v>0</v>
      </c>
      <c r="I268" s="21">
        <f t="shared" si="17"/>
        <v>499.340121337553</v>
      </c>
      <c r="J268" s="2" t="s">
        <v>20</v>
      </c>
    </row>
    <row r="269" spans="1:10" ht="14.25" hidden="1" customHeight="1" x14ac:dyDescent="0.3">
      <c r="A269" s="11" t="s">
        <v>34</v>
      </c>
      <c r="B269" s="19" t="str">
        <f>INDEX(SETORES!$B:$B,MATCH(A269,SETORES!$A:$A,0))</f>
        <v>Clientes</v>
      </c>
      <c r="C269" s="11" t="s">
        <v>17</v>
      </c>
      <c r="D269" s="9">
        <f>IF(B269="Clientes",SUMIFS(PARÂMETROS!$D$8:$D$907,PARÂMETROS!$A$8:$A$907,C269,PARÂMETROS!$G$8:$G$907,J269),SUMIFS(PARÂMETROS!$E$8:$E$907,PARÂMETROS!$A$8:$A$907,C269,PARÂMETROS!$G$8:$G$907,J269))</f>
        <v>2.4993858681733368E-2</v>
      </c>
      <c r="E269" s="20">
        <f>SUMIFS(SETORES!$D:$D,SETORES!$A:$A,A269,SETORES!$F:$F,J269)</f>
        <v>20198.149555</v>
      </c>
      <c r="F269" s="20">
        <f t="shared" si="15"/>
        <v>504.82969561018569</v>
      </c>
      <c r="G269" s="9">
        <f>SUMIFS(PARÂMETROS!$F$8:$F$907,PARÂMETROS!$A$8:$A$907,C269,PARÂMETROS!$G$8:$G$907,J269)</f>
        <v>0</v>
      </c>
      <c r="H269" s="20">
        <f t="shared" si="16"/>
        <v>0</v>
      </c>
      <c r="I269" s="20">
        <f t="shared" si="17"/>
        <v>504.82969561018569</v>
      </c>
      <c r="J269" s="11" t="s">
        <v>20</v>
      </c>
    </row>
    <row r="270" spans="1:10" ht="14.25" hidden="1" customHeight="1" x14ac:dyDescent="0.3">
      <c r="A270" s="2" t="s">
        <v>34</v>
      </c>
      <c r="B270" s="2" t="str">
        <f>INDEX(SETORES!$B:$B,MATCH(A270,SETORES!$A:$A,0))</f>
        <v>Clientes</v>
      </c>
      <c r="C270" s="2" t="s">
        <v>18</v>
      </c>
      <c r="D270" s="14">
        <f>IF(B270="Clientes",SUMIFS(PARÂMETROS!$D$8:$D$907,PARÂMETROS!$A$8:$A$907,C270,PARÂMETROS!$G$8:$G$907,J270),SUMIFS(PARÂMETROS!$E$8:$E$907,PARÂMETROS!$A$8:$A$907,C270,PARÂMETROS!$G$8:$G$907,J270))</f>
        <v>0.72000292692615264</v>
      </c>
      <c r="E270" s="21">
        <f>SUMIFS(SETORES!$D:$D,SETORES!$A:$A,A270,SETORES!$F:$F,J270)</f>
        <v>20198.149555</v>
      </c>
      <c r="F270" s="21">
        <f t="shared" si="15"/>
        <v>14542.726798092168</v>
      </c>
      <c r="G270" s="14">
        <f>SUMIFS(PARÂMETROS!$F$8:$F$907,PARÂMETROS!$A$8:$A$907,C270,PARÂMETROS!$G$8:$G$907,J270)</f>
        <v>0</v>
      </c>
      <c r="H270" s="21">
        <f t="shared" si="16"/>
        <v>0</v>
      </c>
      <c r="I270" s="21">
        <f t="shared" si="17"/>
        <v>14542.726798092168</v>
      </c>
      <c r="J270" s="2" t="s">
        <v>20</v>
      </c>
    </row>
    <row r="271" spans="1:10" ht="14.25" hidden="1" customHeight="1" x14ac:dyDescent="0.3">
      <c r="A271" s="11" t="s">
        <v>35</v>
      </c>
      <c r="B271" s="19" t="str">
        <f>INDEX(SETORES!$B:$B,MATCH(A271,SETORES!$A:$A,0))</f>
        <v>Clientes</v>
      </c>
      <c r="C271" s="11" t="s">
        <v>10</v>
      </c>
      <c r="D271" s="9">
        <f>IF(B271="Clientes",SUMIFS(PARÂMETROS!$D$8:$D$907,PARÂMETROS!$A$8:$A$907,C271,PARÂMETROS!$G$8:$G$907,J271),SUMIFS(PARÂMETROS!$E$8:$E$907,PARÂMETROS!$A$8:$A$907,C271,PARÂMETROS!$G$8:$G$907,J271))</f>
        <v>3.2823386139959339E-2</v>
      </c>
      <c r="E271" s="20">
        <f>SUMIFS(SETORES!$D:$D,SETORES!$A:$A,A271,SETORES!$F:$F,J271)</f>
        <v>16366.8932</v>
      </c>
      <c r="F271" s="20">
        <f t="shared" si="15"/>
        <v>537.21685541507475</v>
      </c>
      <c r="G271" s="9">
        <f>SUMIFS(PARÂMETROS!$F$8:$F$907,PARÂMETROS!$A$8:$A$907,C271,PARÂMETROS!$G$8:$G$907,J271)</f>
        <v>0</v>
      </c>
      <c r="H271" s="20">
        <f t="shared" si="16"/>
        <v>0</v>
      </c>
      <c r="I271" s="20">
        <f t="shared" si="17"/>
        <v>537.21685541507475</v>
      </c>
      <c r="J271" s="11" t="s">
        <v>20</v>
      </c>
    </row>
    <row r="272" spans="1:10" ht="14.25" hidden="1" customHeight="1" x14ac:dyDescent="0.3">
      <c r="A272" s="2" t="s">
        <v>35</v>
      </c>
      <c r="B272" s="2" t="str">
        <f>INDEX(SETORES!$B:$B,MATCH(A272,SETORES!$A:$A,0))</f>
        <v>Clientes</v>
      </c>
      <c r="C272" s="2" t="s">
        <v>12</v>
      </c>
      <c r="D272" s="14">
        <f>IF(B272="Clientes",SUMIFS(PARÂMETROS!$D$8:$D$907,PARÂMETROS!$A$8:$A$907,C272,PARÂMETROS!$G$8:$G$907,J272),SUMIFS(PARÂMETROS!$E$8:$E$907,PARÂMETROS!$A$8:$A$907,C272,PARÂMETROS!$G$8:$G$907,J272))</f>
        <v>7.0047614816518319E-2</v>
      </c>
      <c r="E272" s="21">
        <f>SUMIFS(SETORES!$D:$D,SETORES!$A:$A,A272,SETORES!$F:$F,J272)</f>
        <v>16366.8932</v>
      </c>
      <c r="F272" s="21">
        <f t="shared" si="15"/>
        <v>1146.4618306166929</v>
      </c>
      <c r="G272" s="14">
        <f>SUMIFS(PARÂMETROS!$F$8:$F$907,PARÂMETROS!$A$8:$A$907,C272,PARÂMETROS!$G$8:$G$907,J272)</f>
        <v>0</v>
      </c>
      <c r="H272" s="21">
        <f t="shared" si="16"/>
        <v>0</v>
      </c>
      <c r="I272" s="21">
        <f t="shared" si="17"/>
        <v>1146.4618306166929</v>
      </c>
      <c r="J272" s="2" t="s">
        <v>20</v>
      </c>
    </row>
    <row r="273" spans="1:10" ht="14.25" hidden="1" customHeight="1" x14ac:dyDescent="0.3">
      <c r="A273" s="11" t="s">
        <v>35</v>
      </c>
      <c r="B273" s="19" t="str">
        <f>INDEX(SETORES!$B:$B,MATCH(A273,SETORES!$A:$A,0))</f>
        <v>Clientes</v>
      </c>
      <c r="C273" s="11" t="s">
        <v>13</v>
      </c>
      <c r="D273" s="9">
        <f>IF(B273="Clientes",SUMIFS(PARÂMETROS!$D$8:$D$907,PARÂMETROS!$A$8:$A$907,C273,PARÂMETROS!$G$8:$G$907,J273),SUMIFS(PARÂMETROS!$E$8:$E$907,PARÂMETROS!$A$8:$A$907,C273,PARÂMETROS!$G$8:$G$907,J273))</f>
        <v>7.4903176237540961E-2</v>
      </c>
      <c r="E273" s="20">
        <f>SUMIFS(SETORES!$D:$D,SETORES!$A:$A,A273,SETORES!$F:$F,J273)</f>
        <v>16366.8932</v>
      </c>
      <c r="F273" s="20">
        <f t="shared" si="15"/>
        <v>1225.9322858206108</v>
      </c>
      <c r="G273" s="9">
        <f>SUMIFS(PARÂMETROS!$F$8:$F$907,PARÂMETROS!$A$8:$A$907,C273,PARÂMETROS!$G$8:$G$907,J273)</f>
        <v>0</v>
      </c>
      <c r="H273" s="20">
        <f t="shared" si="16"/>
        <v>0</v>
      </c>
      <c r="I273" s="20">
        <f t="shared" si="17"/>
        <v>1225.9322858206108</v>
      </c>
      <c r="J273" s="11" t="s">
        <v>20</v>
      </c>
    </row>
    <row r="274" spans="1:10" ht="14.25" customHeight="1" x14ac:dyDescent="0.3">
      <c r="A274" s="2" t="s">
        <v>35</v>
      </c>
      <c r="B274" s="2" t="str">
        <f>INDEX(SETORES!$B:$B,MATCH(A274,SETORES!$A:$A,0))</f>
        <v>Clientes</v>
      </c>
      <c r="C274" s="2" t="s">
        <v>14</v>
      </c>
      <c r="D274" s="14">
        <f>IF(B274="Clientes",SUMIFS(PARÂMETROS!$D$8:$D$907,PARÂMETROS!$A$8:$A$907,C274,PARÂMETROS!$G$8:$G$907,J274),SUMIFS(PARÂMETROS!$E$8:$E$907,PARÂMETROS!$A$8:$A$907,C274,PARÂMETROS!$G$8:$G$907,J274))</f>
        <v>1.907728653039038E-2</v>
      </c>
      <c r="E274" s="21">
        <f>SUMIFS(SETORES!$D:$D,SETORES!$A:$A,A274,SETORES!$F:$F,J274)</f>
        <v>16366.8932</v>
      </c>
      <c r="F274" s="21">
        <f t="shared" si="15"/>
        <v>312.23591118869791</v>
      </c>
      <c r="G274" s="14">
        <f>SUMIFS(PARÂMETROS!$F$8:$F$907,PARÂMETROS!$A$8:$A$907,C274,PARÂMETROS!$G$8:$G$907,J274)</f>
        <v>0</v>
      </c>
      <c r="H274" s="21">
        <f t="shared" si="16"/>
        <v>0</v>
      </c>
      <c r="I274" s="21">
        <f t="shared" si="17"/>
        <v>312.23591118869791</v>
      </c>
      <c r="J274" s="2" t="s">
        <v>20</v>
      </c>
    </row>
    <row r="275" spans="1:10" ht="14.25" hidden="1" customHeight="1" x14ac:dyDescent="0.3">
      <c r="A275" s="11" t="s">
        <v>35</v>
      </c>
      <c r="B275" s="19" t="str">
        <f>INDEX(SETORES!$B:$B,MATCH(A275,SETORES!$A:$A,0))</f>
        <v>Clientes</v>
      </c>
      <c r="C275" s="11" t="s">
        <v>15</v>
      </c>
      <c r="D275" s="9">
        <f>IF(B275="Clientes",SUMIFS(PARÂMETROS!$D$8:$D$907,PARÂMETROS!$A$8:$A$907,C275,PARÂMETROS!$G$8:$G$907,J275),SUMIFS(PARÂMETROS!$E$8:$E$907,PARÂMETROS!$A$8:$A$907,C275,PARÂMETROS!$G$8:$G$907,J275))</f>
        <v>3.3429677985856672E-2</v>
      </c>
      <c r="E275" s="20">
        <f>SUMIFS(SETORES!$D:$D,SETORES!$A:$A,A275,SETORES!$F:$F,J275)</f>
        <v>16366.8932</v>
      </c>
      <c r="F275" s="20">
        <f t="shared" si="15"/>
        <v>547.13996930490725</v>
      </c>
      <c r="G275" s="9">
        <f>SUMIFS(PARÂMETROS!$F$8:$F$907,PARÂMETROS!$A$8:$A$907,C275,PARÂMETROS!$G$8:$G$907,J275)</f>
        <v>0</v>
      </c>
      <c r="H275" s="20">
        <f t="shared" si="16"/>
        <v>0</v>
      </c>
      <c r="I275" s="20">
        <f t="shared" si="17"/>
        <v>547.13996930490725</v>
      </c>
      <c r="J275" s="11" t="s">
        <v>20</v>
      </c>
    </row>
    <row r="276" spans="1:10" ht="14.25" hidden="1" customHeight="1" x14ac:dyDescent="0.3">
      <c r="A276" s="2" t="s">
        <v>35</v>
      </c>
      <c r="B276" s="2" t="str">
        <f>INDEX(SETORES!$B:$B,MATCH(A276,SETORES!$A:$A,0))</f>
        <v>Clientes</v>
      </c>
      <c r="C276" s="2" t="s">
        <v>16</v>
      </c>
      <c r="D276" s="14">
        <f>IF(B276="Clientes",SUMIFS(PARÂMETROS!$D$8:$D$907,PARÂMETROS!$A$8:$A$907,C276,PARÂMETROS!$G$8:$G$907,J276),SUMIFS(PARÂMETROS!$E$8:$E$907,PARÂMETROS!$A$8:$A$907,C276,PARÂMETROS!$G$8:$G$907,J276))</f>
        <v>2.4722072681848353E-2</v>
      </c>
      <c r="E276" s="21">
        <f>SUMIFS(SETORES!$D:$D,SETORES!$A:$A,A276,SETORES!$F:$F,J276)</f>
        <v>16366.8932</v>
      </c>
      <c r="F276" s="21">
        <f t="shared" si="15"/>
        <v>404.62352326644958</v>
      </c>
      <c r="G276" s="14">
        <f>SUMIFS(PARÂMETROS!$F$8:$F$907,PARÂMETROS!$A$8:$A$907,C276,PARÂMETROS!$G$8:$G$907,J276)</f>
        <v>0</v>
      </c>
      <c r="H276" s="21">
        <f t="shared" si="16"/>
        <v>0</v>
      </c>
      <c r="I276" s="21">
        <f t="shared" si="17"/>
        <v>404.62352326644958</v>
      </c>
      <c r="J276" s="2" t="s">
        <v>20</v>
      </c>
    </row>
    <row r="277" spans="1:10" ht="14.25" hidden="1" customHeight="1" x14ac:dyDescent="0.3">
      <c r="A277" s="11" t="s">
        <v>35</v>
      </c>
      <c r="B277" s="19" t="str">
        <f>INDEX(SETORES!$B:$B,MATCH(A277,SETORES!$A:$A,0))</f>
        <v>Clientes</v>
      </c>
      <c r="C277" s="11" t="s">
        <v>17</v>
      </c>
      <c r="D277" s="9">
        <f>IF(B277="Clientes",SUMIFS(PARÂMETROS!$D$8:$D$907,PARÂMETROS!$A$8:$A$907,C277,PARÂMETROS!$G$8:$G$907,J277),SUMIFS(PARÂMETROS!$E$8:$E$907,PARÂMETROS!$A$8:$A$907,C277,PARÂMETROS!$G$8:$G$907,J277))</f>
        <v>2.4993858681733368E-2</v>
      </c>
      <c r="E277" s="20">
        <f>SUMIFS(SETORES!$D:$D,SETORES!$A:$A,A277,SETORES!$F:$F,J277)</f>
        <v>16366.8932</v>
      </c>
      <c r="F277" s="20">
        <f t="shared" si="15"/>
        <v>409.07181569982282</v>
      </c>
      <c r="G277" s="9">
        <f>SUMIFS(PARÂMETROS!$F$8:$F$907,PARÂMETROS!$A$8:$A$907,C277,PARÂMETROS!$G$8:$G$907,J277)</f>
        <v>0</v>
      </c>
      <c r="H277" s="20">
        <f t="shared" si="16"/>
        <v>0</v>
      </c>
      <c r="I277" s="20">
        <f t="shared" si="17"/>
        <v>409.07181569982282</v>
      </c>
      <c r="J277" s="11" t="s">
        <v>20</v>
      </c>
    </row>
    <row r="278" spans="1:10" ht="14.25" hidden="1" customHeight="1" x14ac:dyDescent="0.3">
      <c r="A278" s="2" t="s">
        <v>35</v>
      </c>
      <c r="B278" s="2" t="str">
        <f>INDEX(SETORES!$B:$B,MATCH(A278,SETORES!$A:$A,0))</f>
        <v>Clientes</v>
      </c>
      <c r="C278" s="2" t="s">
        <v>18</v>
      </c>
      <c r="D278" s="14">
        <f>IF(B278="Clientes",SUMIFS(PARÂMETROS!$D$8:$D$907,PARÂMETROS!$A$8:$A$907,C278,PARÂMETROS!$G$8:$G$907,J278),SUMIFS(PARÂMETROS!$E$8:$E$907,PARÂMETROS!$A$8:$A$907,C278,PARÂMETROS!$G$8:$G$907,J278))</f>
        <v>0.72000292692615264</v>
      </c>
      <c r="E278" s="21">
        <f>SUMIFS(SETORES!$D:$D,SETORES!$A:$A,A278,SETORES!$F:$F,J278)</f>
        <v>16366.8932</v>
      </c>
      <c r="F278" s="21">
        <f t="shared" si="15"/>
        <v>11784.211008687746</v>
      </c>
      <c r="G278" s="14">
        <f>SUMIFS(PARÂMETROS!$F$8:$F$907,PARÂMETROS!$A$8:$A$907,C278,PARÂMETROS!$G$8:$G$907,J278)</f>
        <v>0</v>
      </c>
      <c r="H278" s="21">
        <f t="shared" si="16"/>
        <v>0</v>
      </c>
      <c r="I278" s="21">
        <f t="shared" si="17"/>
        <v>11784.211008687746</v>
      </c>
      <c r="J278" s="2" t="s">
        <v>20</v>
      </c>
    </row>
    <row r="279" spans="1:10" ht="14.25" hidden="1" customHeight="1" x14ac:dyDescent="0.3">
      <c r="A279" s="11" t="s">
        <v>36</v>
      </c>
      <c r="B279" s="19" t="str">
        <f>INDEX(SETORES!$B:$B,MATCH(A279,SETORES!$A:$A,0))</f>
        <v>Clientes</v>
      </c>
      <c r="C279" s="11" t="s">
        <v>10</v>
      </c>
      <c r="D279" s="9">
        <f>IF(B279="Clientes",SUMIFS(PARÂMETROS!$D$8:$D$907,PARÂMETROS!$A$8:$A$907,C279,PARÂMETROS!$G$8:$G$907,J279),SUMIFS(PARÂMETROS!$E$8:$E$907,PARÂMETROS!$A$8:$A$907,C279,PARÂMETROS!$G$8:$G$907,J279))</f>
        <v>3.2823386139959339E-2</v>
      </c>
      <c r="E279" s="20">
        <f>SUMIFS(SETORES!$D:$D,SETORES!$A:$A,A279,SETORES!$F:$F,J279)</f>
        <v>71467.005599999989</v>
      </c>
      <c r="F279" s="20">
        <f t="shared" si="15"/>
        <v>2345.789121075436</v>
      </c>
      <c r="G279" s="9">
        <f>SUMIFS(PARÂMETROS!$F$8:$F$907,PARÂMETROS!$A$8:$A$907,C279,PARÂMETROS!$G$8:$G$907,J279)</f>
        <v>0</v>
      </c>
      <c r="H279" s="20">
        <f t="shared" si="16"/>
        <v>0</v>
      </c>
      <c r="I279" s="20">
        <f t="shared" si="17"/>
        <v>2345.789121075436</v>
      </c>
      <c r="J279" s="11" t="s">
        <v>20</v>
      </c>
    </row>
    <row r="280" spans="1:10" ht="14.25" hidden="1" customHeight="1" x14ac:dyDescent="0.3">
      <c r="A280" s="2" t="s">
        <v>36</v>
      </c>
      <c r="B280" s="2" t="str">
        <f>INDEX(SETORES!$B:$B,MATCH(A280,SETORES!$A:$A,0))</f>
        <v>Clientes</v>
      </c>
      <c r="C280" s="2" t="s">
        <v>12</v>
      </c>
      <c r="D280" s="14">
        <f>IF(B280="Clientes",SUMIFS(PARÂMETROS!$D$8:$D$907,PARÂMETROS!$A$8:$A$907,C280,PARÂMETROS!$G$8:$G$907,J280),SUMIFS(PARÂMETROS!$E$8:$E$907,PARÂMETROS!$A$8:$A$907,C280,PARÂMETROS!$G$8:$G$907,J280))</f>
        <v>7.0047614816518319E-2</v>
      </c>
      <c r="E280" s="21">
        <f>SUMIFS(SETORES!$D:$D,SETORES!$A:$A,A280,SETORES!$F:$F,J280)</f>
        <v>71467.005599999989</v>
      </c>
      <c r="F280" s="21">
        <f t="shared" si="15"/>
        <v>5006.0932803587566</v>
      </c>
      <c r="G280" s="14">
        <f>SUMIFS(PARÂMETROS!$F$8:$F$907,PARÂMETROS!$A$8:$A$907,C280,PARÂMETROS!$G$8:$G$907,J280)</f>
        <v>0</v>
      </c>
      <c r="H280" s="21">
        <f t="shared" si="16"/>
        <v>0</v>
      </c>
      <c r="I280" s="21">
        <f t="shared" si="17"/>
        <v>5006.0932803587566</v>
      </c>
      <c r="J280" s="2" t="s">
        <v>20</v>
      </c>
    </row>
    <row r="281" spans="1:10" ht="14.25" hidden="1" customHeight="1" x14ac:dyDescent="0.3">
      <c r="A281" s="11" t="s">
        <v>36</v>
      </c>
      <c r="B281" s="19" t="str">
        <f>INDEX(SETORES!$B:$B,MATCH(A281,SETORES!$A:$A,0))</f>
        <v>Clientes</v>
      </c>
      <c r="C281" s="11" t="s">
        <v>13</v>
      </c>
      <c r="D281" s="9">
        <f>IF(B281="Clientes",SUMIFS(PARÂMETROS!$D$8:$D$907,PARÂMETROS!$A$8:$A$907,C281,PARÂMETROS!$G$8:$G$907,J281),SUMIFS(PARÂMETROS!$E$8:$E$907,PARÂMETROS!$A$8:$A$907,C281,PARÂMETROS!$G$8:$G$907,J281))</f>
        <v>7.4903176237540961E-2</v>
      </c>
      <c r="E281" s="20">
        <f>SUMIFS(SETORES!$D:$D,SETORES!$A:$A,A281,SETORES!$F:$F,J281)</f>
        <v>71467.005599999989</v>
      </c>
      <c r="F281" s="20">
        <f t="shared" si="15"/>
        <v>5353.1057156261259</v>
      </c>
      <c r="G281" s="9">
        <f>SUMIFS(PARÂMETROS!$F$8:$F$907,PARÂMETROS!$A$8:$A$907,C281,PARÂMETROS!$G$8:$G$907,J281)</f>
        <v>0</v>
      </c>
      <c r="H281" s="20">
        <f t="shared" si="16"/>
        <v>0</v>
      </c>
      <c r="I281" s="20">
        <f t="shared" si="17"/>
        <v>5353.1057156261259</v>
      </c>
      <c r="J281" s="11" t="s">
        <v>20</v>
      </c>
    </row>
    <row r="282" spans="1:10" ht="14.25" customHeight="1" x14ac:dyDescent="0.3">
      <c r="A282" s="2" t="s">
        <v>36</v>
      </c>
      <c r="B282" s="2" t="str">
        <f>INDEX(SETORES!$B:$B,MATCH(A282,SETORES!$A:$A,0))</f>
        <v>Clientes</v>
      </c>
      <c r="C282" s="2" t="s">
        <v>14</v>
      </c>
      <c r="D282" s="14">
        <f>IF(B282="Clientes",SUMIFS(PARÂMETROS!$D$8:$D$907,PARÂMETROS!$A$8:$A$907,C282,PARÂMETROS!$G$8:$G$907,J282),SUMIFS(PARÂMETROS!$E$8:$E$907,PARÂMETROS!$A$8:$A$907,C282,PARÂMETROS!$G$8:$G$907,J282))</f>
        <v>1.907728653039038E-2</v>
      </c>
      <c r="E282" s="21">
        <f>SUMIFS(SETORES!$D:$D,SETORES!$A:$A,A282,SETORES!$F:$F,J282)</f>
        <v>71467.005599999989</v>
      </c>
      <c r="F282" s="21">
        <f t="shared" si="15"/>
        <v>1363.3965433002136</v>
      </c>
      <c r="G282" s="14">
        <f>SUMIFS(PARÂMETROS!$F$8:$F$907,PARÂMETROS!$A$8:$A$907,C282,PARÂMETROS!$G$8:$G$907,J282)</f>
        <v>0</v>
      </c>
      <c r="H282" s="21">
        <f t="shared" si="16"/>
        <v>0</v>
      </c>
      <c r="I282" s="21">
        <f t="shared" si="17"/>
        <v>1363.3965433002136</v>
      </c>
      <c r="J282" s="2" t="s">
        <v>20</v>
      </c>
    </row>
    <row r="283" spans="1:10" ht="14.25" hidden="1" customHeight="1" x14ac:dyDescent="0.3">
      <c r="A283" s="11" t="s">
        <v>36</v>
      </c>
      <c r="B283" s="19" t="str">
        <f>INDEX(SETORES!$B:$B,MATCH(A283,SETORES!$A:$A,0))</f>
        <v>Clientes</v>
      </c>
      <c r="C283" s="11" t="s">
        <v>15</v>
      </c>
      <c r="D283" s="9">
        <f>IF(B283="Clientes",SUMIFS(PARÂMETROS!$D$8:$D$907,PARÂMETROS!$A$8:$A$907,C283,PARÂMETROS!$G$8:$G$907,J283),SUMIFS(PARÂMETROS!$E$8:$E$907,PARÂMETROS!$A$8:$A$907,C283,PARÂMETROS!$G$8:$G$907,J283))</f>
        <v>3.3429677985856672E-2</v>
      </c>
      <c r="E283" s="20">
        <f>SUMIFS(SETORES!$D:$D,SETORES!$A:$A,A283,SETORES!$F:$F,J283)</f>
        <v>71467.005599999989</v>
      </c>
      <c r="F283" s="20">
        <f t="shared" si="15"/>
        <v>2389.118983821415</v>
      </c>
      <c r="G283" s="9">
        <f>SUMIFS(PARÂMETROS!$F$8:$F$907,PARÂMETROS!$A$8:$A$907,C283,PARÂMETROS!$G$8:$G$907,J283)</f>
        <v>0</v>
      </c>
      <c r="H283" s="20">
        <f t="shared" si="16"/>
        <v>0</v>
      </c>
      <c r="I283" s="20">
        <f t="shared" si="17"/>
        <v>2389.118983821415</v>
      </c>
      <c r="J283" s="11" t="s">
        <v>20</v>
      </c>
    </row>
    <row r="284" spans="1:10" ht="14.25" hidden="1" customHeight="1" x14ac:dyDescent="0.3">
      <c r="A284" s="2" t="s">
        <v>36</v>
      </c>
      <c r="B284" s="2" t="str">
        <f>INDEX(SETORES!$B:$B,MATCH(A284,SETORES!$A:$A,0))</f>
        <v>Clientes</v>
      </c>
      <c r="C284" s="2" t="s">
        <v>16</v>
      </c>
      <c r="D284" s="14">
        <f>IF(B284="Clientes",SUMIFS(PARÂMETROS!$D$8:$D$907,PARÂMETROS!$A$8:$A$907,C284,PARÂMETROS!$G$8:$G$907,J284),SUMIFS(PARÂMETROS!$E$8:$E$907,PARÂMETROS!$A$8:$A$907,C284,PARÂMETROS!$G$8:$G$907,J284))</f>
        <v>2.4722072681848353E-2</v>
      </c>
      <c r="E284" s="21">
        <f>SUMIFS(SETORES!$D:$D,SETORES!$A:$A,A284,SETORES!$F:$F,J284)</f>
        <v>71467.005599999989</v>
      </c>
      <c r="F284" s="21">
        <f t="shared" si="15"/>
        <v>1766.812506797263</v>
      </c>
      <c r="G284" s="14">
        <f>SUMIFS(PARÂMETROS!$F$8:$F$907,PARÂMETROS!$A$8:$A$907,C284,PARÂMETROS!$G$8:$G$907,J284)</f>
        <v>0</v>
      </c>
      <c r="H284" s="21">
        <f t="shared" si="16"/>
        <v>0</v>
      </c>
      <c r="I284" s="21">
        <f t="shared" si="17"/>
        <v>1766.812506797263</v>
      </c>
      <c r="J284" s="2" t="s">
        <v>20</v>
      </c>
    </row>
    <row r="285" spans="1:10" ht="14.25" hidden="1" customHeight="1" x14ac:dyDescent="0.3">
      <c r="A285" s="11" t="s">
        <v>36</v>
      </c>
      <c r="B285" s="19" t="str">
        <f>INDEX(SETORES!$B:$B,MATCH(A285,SETORES!$A:$A,0))</f>
        <v>Clientes</v>
      </c>
      <c r="C285" s="11" t="s">
        <v>17</v>
      </c>
      <c r="D285" s="9">
        <f>IF(B285="Clientes",SUMIFS(PARÂMETROS!$D$8:$D$907,PARÂMETROS!$A$8:$A$907,C285,PARÂMETROS!$G$8:$G$907,J285),SUMIFS(PARÂMETROS!$E$8:$E$907,PARÂMETROS!$A$8:$A$907,C285,PARÂMETROS!$G$8:$G$907,J285))</f>
        <v>2.4993858681733368E-2</v>
      </c>
      <c r="E285" s="20">
        <f>SUMIFS(SETORES!$D:$D,SETORES!$A:$A,A285,SETORES!$F:$F,J285)</f>
        <v>71467.005599999989</v>
      </c>
      <c r="F285" s="20">
        <f t="shared" si="15"/>
        <v>1786.2362383730469</v>
      </c>
      <c r="G285" s="9">
        <f>SUMIFS(PARÂMETROS!$F$8:$F$907,PARÂMETROS!$A$8:$A$907,C285,PARÂMETROS!$G$8:$G$907,J285)</f>
        <v>0</v>
      </c>
      <c r="H285" s="20">
        <f t="shared" si="16"/>
        <v>0</v>
      </c>
      <c r="I285" s="20">
        <f t="shared" si="17"/>
        <v>1786.2362383730469</v>
      </c>
      <c r="J285" s="11" t="s">
        <v>20</v>
      </c>
    </row>
    <row r="286" spans="1:10" ht="14.25" hidden="1" customHeight="1" x14ac:dyDescent="0.3">
      <c r="A286" s="2" t="s">
        <v>36</v>
      </c>
      <c r="B286" s="2" t="str">
        <f>INDEX(SETORES!$B:$B,MATCH(A286,SETORES!$A:$A,0))</f>
        <v>Clientes</v>
      </c>
      <c r="C286" s="2" t="s">
        <v>18</v>
      </c>
      <c r="D286" s="14">
        <f>IF(B286="Clientes",SUMIFS(PARÂMETROS!$D$8:$D$907,PARÂMETROS!$A$8:$A$907,C286,PARÂMETROS!$G$8:$G$907,J286),SUMIFS(PARÂMETROS!$E$8:$E$907,PARÂMETROS!$A$8:$A$907,C286,PARÂMETROS!$G$8:$G$907,J286))</f>
        <v>0.72000292692615264</v>
      </c>
      <c r="E286" s="21">
        <f>SUMIFS(SETORES!$D:$D,SETORES!$A:$A,A286,SETORES!$F:$F,J286)</f>
        <v>71467.005599999989</v>
      </c>
      <c r="F286" s="21">
        <f t="shared" si="15"/>
        <v>51456.453210647735</v>
      </c>
      <c r="G286" s="14">
        <f>SUMIFS(PARÂMETROS!$F$8:$F$907,PARÂMETROS!$A$8:$A$907,C286,PARÂMETROS!$G$8:$G$907,J286)</f>
        <v>0</v>
      </c>
      <c r="H286" s="21">
        <f t="shared" si="16"/>
        <v>0</v>
      </c>
      <c r="I286" s="21">
        <f t="shared" si="17"/>
        <v>51456.453210647735</v>
      </c>
      <c r="J286" s="2" t="s">
        <v>20</v>
      </c>
    </row>
    <row r="287" spans="1:10" ht="14.25" hidden="1" customHeight="1" x14ac:dyDescent="0.3">
      <c r="A287" s="11" t="s">
        <v>37</v>
      </c>
      <c r="B287" s="19" t="str">
        <f>INDEX(SETORES!$B:$B,MATCH(A287,SETORES!$A:$A,0))</f>
        <v>Clientes</v>
      </c>
      <c r="C287" s="11" t="s">
        <v>10</v>
      </c>
      <c r="D287" s="9">
        <f>IF(B287="Clientes",SUMIFS(PARÂMETROS!$D$8:$D$907,PARÂMETROS!$A$8:$A$907,C287,PARÂMETROS!$G$8:$G$907,J287),SUMIFS(PARÂMETROS!$E$8:$E$907,PARÂMETROS!$A$8:$A$907,C287,PARÂMETROS!$G$8:$G$907,J287))</f>
        <v>3.2823386139959339E-2</v>
      </c>
      <c r="E287" s="20">
        <f>SUMIFS(SETORES!$D:$D,SETORES!$A:$A,A287,SETORES!$F:$F,J287)</f>
        <v>153380.796264</v>
      </c>
      <c r="F287" s="20">
        <f t="shared" si="15"/>
        <v>5034.4771022277046</v>
      </c>
      <c r="G287" s="9">
        <f>SUMIFS(PARÂMETROS!$F$8:$F$907,PARÂMETROS!$A$8:$A$907,C287,PARÂMETROS!$G$8:$G$907,J287)</f>
        <v>0</v>
      </c>
      <c r="H287" s="20">
        <f t="shared" si="16"/>
        <v>0</v>
      </c>
      <c r="I287" s="20">
        <f t="shared" si="17"/>
        <v>5034.4771022277046</v>
      </c>
      <c r="J287" s="11" t="s">
        <v>20</v>
      </c>
    </row>
    <row r="288" spans="1:10" ht="14.25" hidden="1" customHeight="1" x14ac:dyDescent="0.3">
      <c r="A288" s="2" t="s">
        <v>37</v>
      </c>
      <c r="B288" s="2" t="str">
        <f>INDEX(SETORES!$B:$B,MATCH(A288,SETORES!$A:$A,0))</f>
        <v>Clientes</v>
      </c>
      <c r="C288" s="2" t="s">
        <v>12</v>
      </c>
      <c r="D288" s="14">
        <f>IF(B288="Clientes",SUMIFS(PARÂMETROS!$D$8:$D$907,PARÂMETROS!$A$8:$A$907,C288,PARÂMETROS!$G$8:$G$907,J288),SUMIFS(PARÂMETROS!$E$8:$E$907,PARÂMETROS!$A$8:$A$907,C288,PARÂMETROS!$G$8:$G$907,J288))</f>
        <v>7.0047614816518319E-2</v>
      </c>
      <c r="E288" s="21">
        <f>SUMIFS(SETORES!$D:$D,SETORES!$A:$A,A288,SETORES!$F:$F,J288)</f>
        <v>153380.796264</v>
      </c>
      <c r="F288" s="21">
        <f t="shared" si="15"/>
        <v>10743.958936951545</v>
      </c>
      <c r="G288" s="14">
        <f>SUMIFS(PARÂMETROS!$F$8:$F$907,PARÂMETROS!$A$8:$A$907,C288,PARÂMETROS!$G$8:$G$907,J288)</f>
        <v>0</v>
      </c>
      <c r="H288" s="21">
        <f t="shared" si="16"/>
        <v>0</v>
      </c>
      <c r="I288" s="21">
        <f t="shared" si="17"/>
        <v>10743.958936951545</v>
      </c>
      <c r="J288" s="2" t="s">
        <v>20</v>
      </c>
    </row>
    <row r="289" spans="1:10" ht="14.25" hidden="1" customHeight="1" x14ac:dyDescent="0.3">
      <c r="A289" s="11" t="s">
        <v>37</v>
      </c>
      <c r="B289" s="19" t="str">
        <f>INDEX(SETORES!$B:$B,MATCH(A289,SETORES!$A:$A,0))</f>
        <v>Clientes</v>
      </c>
      <c r="C289" s="11" t="s">
        <v>13</v>
      </c>
      <c r="D289" s="9">
        <f>IF(B289="Clientes",SUMIFS(PARÂMETROS!$D$8:$D$907,PARÂMETROS!$A$8:$A$907,C289,PARÂMETROS!$G$8:$G$907,J289),SUMIFS(PARÂMETROS!$E$8:$E$907,PARÂMETROS!$A$8:$A$907,C289,PARÂMETROS!$G$8:$G$907,J289))</f>
        <v>7.4903176237540961E-2</v>
      </c>
      <c r="E289" s="20">
        <f>SUMIFS(SETORES!$D:$D,SETORES!$A:$A,A289,SETORES!$F:$F,J289)</f>
        <v>153380.796264</v>
      </c>
      <c r="F289" s="20">
        <f t="shared" si="15"/>
        <v>11488.708814016756</v>
      </c>
      <c r="G289" s="9">
        <f>SUMIFS(PARÂMETROS!$F$8:$F$907,PARÂMETROS!$A$8:$A$907,C289,PARÂMETROS!$G$8:$G$907,J289)</f>
        <v>0</v>
      </c>
      <c r="H289" s="20">
        <f t="shared" si="16"/>
        <v>0</v>
      </c>
      <c r="I289" s="20">
        <f t="shared" si="17"/>
        <v>11488.708814016756</v>
      </c>
      <c r="J289" s="11" t="s">
        <v>20</v>
      </c>
    </row>
    <row r="290" spans="1:10" ht="14.25" customHeight="1" x14ac:dyDescent="0.3">
      <c r="A290" s="2" t="s">
        <v>37</v>
      </c>
      <c r="B290" s="2" t="str">
        <f>INDEX(SETORES!$B:$B,MATCH(A290,SETORES!$A:$A,0))</f>
        <v>Clientes</v>
      </c>
      <c r="C290" s="2" t="s">
        <v>14</v>
      </c>
      <c r="D290" s="14">
        <f>IF(B290="Clientes",SUMIFS(PARÂMETROS!$D$8:$D$907,PARÂMETROS!$A$8:$A$907,C290,PARÂMETROS!$G$8:$G$907,J290),SUMIFS(PARÂMETROS!$E$8:$E$907,PARÂMETROS!$A$8:$A$907,C290,PARÂMETROS!$G$8:$G$907,J290))</f>
        <v>1.907728653039038E-2</v>
      </c>
      <c r="E290" s="21">
        <f>SUMIFS(SETORES!$D:$D,SETORES!$A:$A,A290,SETORES!$F:$F,J290)</f>
        <v>153380.796264</v>
      </c>
      <c r="F290" s="21">
        <f t="shared" si="15"/>
        <v>2926.0893985877583</v>
      </c>
      <c r="G290" s="14">
        <f>SUMIFS(PARÂMETROS!$F$8:$F$907,PARÂMETROS!$A$8:$A$907,C290,PARÂMETROS!$G$8:$G$907,J290)</f>
        <v>0</v>
      </c>
      <c r="H290" s="21">
        <f t="shared" si="16"/>
        <v>0</v>
      </c>
      <c r="I290" s="21">
        <f t="shared" si="17"/>
        <v>2926.0893985877583</v>
      </c>
      <c r="J290" s="2" t="s">
        <v>20</v>
      </c>
    </row>
    <row r="291" spans="1:10" ht="14.25" hidden="1" customHeight="1" x14ac:dyDescent="0.3">
      <c r="A291" s="11" t="s">
        <v>37</v>
      </c>
      <c r="B291" s="19" t="str">
        <f>INDEX(SETORES!$B:$B,MATCH(A291,SETORES!$A:$A,0))</f>
        <v>Clientes</v>
      </c>
      <c r="C291" s="11" t="s">
        <v>15</v>
      </c>
      <c r="D291" s="9">
        <f>IF(B291="Clientes",SUMIFS(PARÂMETROS!$D$8:$D$907,PARÂMETROS!$A$8:$A$907,C291,PARÂMETROS!$G$8:$G$907,J291),SUMIFS(PARÂMETROS!$E$8:$E$907,PARÂMETROS!$A$8:$A$907,C291,PARÂMETROS!$G$8:$G$907,J291))</f>
        <v>3.3429677985856672E-2</v>
      </c>
      <c r="E291" s="20">
        <f>SUMIFS(SETORES!$D:$D,SETORES!$A:$A,A291,SETORES!$F:$F,J291)</f>
        <v>153380.796264</v>
      </c>
      <c r="F291" s="20">
        <f t="shared" si="15"/>
        <v>5127.4706283198084</v>
      </c>
      <c r="G291" s="9">
        <f>SUMIFS(PARÂMETROS!$F$8:$F$907,PARÂMETROS!$A$8:$A$907,C291,PARÂMETROS!$G$8:$G$907,J291)</f>
        <v>0</v>
      </c>
      <c r="H291" s="20">
        <f t="shared" si="16"/>
        <v>0</v>
      </c>
      <c r="I291" s="20">
        <f t="shared" si="17"/>
        <v>5127.4706283198084</v>
      </c>
      <c r="J291" s="11" t="s">
        <v>20</v>
      </c>
    </row>
    <row r="292" spans="1:10" ht="14.25" hidden="1" customHeight="1" x14ac:dyDescent="0.3">
      <c r="A292" s="2" t="s">
        <v>37</v>
      </c>
      <c r="B292" s="2" t="str">
        <f>INDEX(SETORES!$B:$B,MATCH(A292,SETORES!$A:$A,0))</f>
        <v>Clientes</v>
      </c>
      <c r="C292" s="2" t="s">
        <v>16</v>
      </c>
      <c r="D292" s="14">
        <f>IF(B292="Clientes",SUMIFS(PARÂMETROS!$D$8:$D$907,PARÂMETROS!$A$8:$A$907,C292,PARÂMETROS!$G$8:$G$907,J292),SUMIFS(PARÂMETROS!$E$8:$E$907,PARÂMETROS!$A$8:$A$907,C292,PARÂMETROS!$G$8:$G$907,J292))</f>
        <v>2.4722072681848353E-2</v>
      </c>
      <c r="E292" s="21">
        <f>SUMIFS(SETORES!$D:$D,SETORES!$A:$A,A292,SETORES!$F:$F,J292)</f>
        <v>153380.796264</v>
      </c>
      <c r="F292" s="21">
        <f t="shared" si="15"/>
        <v>3791.8911932383826</v>
      </c>
      <c r="G292" s="14">
        <f>SUMIFS(PARÂMETROS!$F$8:$F$907,PARÂMETROS!$A$8:$A$907,C292,PARÂMETROS!$G$8:$G$907,J292)</f>
        <v>0</v>
      </c>
      <c r="H292" s="21">
        <f t="shared" si="16"/>
        <v>0</v>
      </c>
      <c r="I292" s="21">
        <f t="shared" si="17"/>
        <v>3791.8911932383826</v>
      </c>
      <c r="J292" s="2" t="s">
        <v>20</v>
      </c>
    </row>
    <row r="293" spans="1:10" ht="14.25" hidden="1" customHeight="1" x14ac:dyDescent="0.3">
      <c r="A293" s="11" t="s">
        <v>37</v>
      </c>
      <c r="B293" s="19" t="str">
        <f>INDEX(SETORES!$B:$B,MATCH(A293,SETORES!$A:$A,0))</f>
        <v>Clientes</v>
      </c>
      <c r="C293" s="11" t="s">
        <v>17</v>
      </c>
      <c r="D293" s="9">
        <f>IF(B293="Clientes",SUMIFS(PARÂMETROS!$D$8:$D$907,PARÂMETROS!$A$8:$A$907,C293,PARÂMETROS!$G$8:$G$907,J293),SUMIFS(PARÂMETROS!$E$8:$E$907,PARÂMETROS!$A$8:$A$907,C293,PARÂMETROS!$G$8:$G$907,J293))</f>
        <v>2.4993858681733368E-2</v>
      </c>
      <c r="E293" s="20">
        <f>SUMIFS(SETORES!$D:$D,SETORES!$A:$A,A293,SETORES!$F:$F,J293)</f>
        <v>153380.796264</v>
      </c>
      <c r="F293" s="20">
        <f t="shared" si="15"/>
        <v>3833.5779463141535</v>
      </c>
      <c r="G293" s="9">
        <f>SUMIFS(PARÂMETROS!$F$8:$F$907,PARÂMETROS!$A$8:$A$907,C293,PARÂMETROS!$G$8:$G$907,J293)</f>
        <v>0</v>
      </c>
      <c r="H293" s="20">
        <f t="shared" si="16"/>
        <v>0</v>
      </c>
      <c r="I293" s="20">
        <f t="shared" si="17"/>
        <v>3833.5779463141535</v>
      </c>
      <c r="J293" s="11" t="s">
        <v>20</v>
      </c>
    </row>
    <row r="294" spans="1:10" ht="14.25" hidden="1" customHeight="1" x14ac:dyDescent="0.3">
      <c r="A294" s="2" t="s">
        <v>37</v>
      </c>
      <c r="B294" s="2" t="str">
        <f>INDEX(SETORES!$B:$B,MATCH(A294,SETORES!$A:$A,0))</f>
        <v>Clientes</v>
      </c>
      <c r="C294" s="2" t="s">
        <v>18</v>
      </c>
      <c r="D294" s="14">
        <f>IF(B294="Clientes",SUMIFS(PARÂMETROS!$D$8:$D$907,PARÂMETROS!$A$8:$A$907,C294,PARÂMETROS!$G$8:$G$907,J294),SUMIFS(PARÂMETROS!$E$8:$E$907,PARÂMETROS!$A$8:$A$907,C294,PARÂMETROS!$G$8:$G$907,J294))</f>
        <v>0.72000292692615264</v>
      </c>
      <c r="E294" s="21">
        <f>SUMIFS(SETORES!$D:$D,SETORES!$A:$A,A294,SETORES!$F:$F,J294)</f>
        <v>153380.796264</v>
      </c>
      <c r="F294" s="21">
        <f t="shared" si="15"/>
        <v>110434.6222443439</v>
      </c>
      <c r="G294" s="14">
        <f>SUMIFS(PARÂMETROS!$F$8:$F$907,PARÂMETROS!$A$8:$A$907,C294,PARÂMETROS!$G$8:$G$907,J294)</f>
        <v>0</v>
      </c>
      <c r="H294" s="21">
        <f t="shared" si="16"/>
        <v>0</v>
      </c>
      <c r="I294" s="21">
        <f t="shared" si="17"/>
        <v>110434.6222443439</v>
      </c>
      <c r="J294" s="2" t="s">
        <v>20</v>
      </c>
    </row>
    <row r="295" spans="1:10" ht="14.25" hidden="1" customHeight="1" x14ac:dyDescent="0.3">
      <c r="A295" s="11" t="s">
        <v>38</v>
      </c>
      <c r="B295" s="19" t="str">
        <f>INDEX(SETORES!$B:$B,MATCH(A295,SETORES!$A:$A,0))</f>
        <v>Clientes</v>
      </c>
      <c r="C295" s="11" t="s">
        <v>10</v>
      </c>
      <c r="D295" s="9">
        <f>IF(B295="Clientes",SUMIFS(PARÂMETROS!$D$8:$D$907,PARÂMETROS!$A$8:$A$907,C295,PARÂMETROS!$G$8:$G$907,J295),SUMIFS(PARÂMETROS!$E$8:$E$907,PARÂMETROS!$A$8:$A$907,C295,PARÂMETROS!$G$8:$G$907,J295))</f>
        <v>3.2823386139959339E-2</v>
      </c>
      <c r="E295" s="20">
        <f>SUMIFS(SETORES!$D:$D,SETORES!$A:$A,A295,SETORES!$F:$F,J295)</f>
        <v>43385.321576999995</v>
      </c>
      <c r="F295" s="20">
        <f t="shared" ref="F295:F358" si="18">IFERROR(D295*E295,0)</f>
        <v>1424.0531629281804</v>
      </c>
      <c r="G295" s="9">
        <f>SUMIFS(PARÂMETROS!$F$8:$F$907,PARÂMETROS!$A$8:$A$907,C295,PARÂMETROS!$G$8:$G$907,J295)</f>
        <v>0</v>
      </c>
      <c r="H295" s="20">
        <f t="shared" ref="H295:H358" si="19">IFERROR(F295*G295,0)</f>
        <v>0</v>
      </c>
      <c r="I295" s="20">
        <f t="shared" ref="I295:I358" si="20">F295+H295</f>
        <v>1424.0531629281804</v>
      </c>
      <c r="J295" s="11" t="s">
        <v>20</v>
      </c>
    </row>
    <row r="296" spans="1:10" ht="14.25" hidden="1" customHeight="1" x14ac:dyDescent="0.3">
      <c r="A296" s="2" t="s">
        <v>38</v>
      </c>
      <c r="B296" s="2" t="str">
        <f>INDEX(SETORES!$B:$B,MATCH(A296,SETORES!$A:$A,0))</f>
        <v>Clientes</v>
      </c>
      <c r="C296" s="2" t="s">
        <v>12</v>
      </c>
      <c r="D296" s="14">
        <f>IF(B296="Clientes",SUMIFS(PARÂMETROS!$D$8:$D$907,PARÂMETROS!$A$8:$A$907,C296,PARÂMETROS!$G$8:$G$907,J296),SUMIFS(PARÂMETROS!$E$8:$E$907,PARÂMETROS!$A$8:$A$907,C296,PARÂMETROS!$G$8:$G$907,J296))</f>
        <v>7.0047614816518319E-2</v>
      </c>
      <c r="E296" s="21">
        <f>SUMIFS(SETORES!$D:$D,SETORES!$A:$A,A296,SETORES!$F:$F,J296)</f>
        <v>43385.321576999995</v>
      </c>
      <c r="F296" s="21">
        <f t="shared" si="18"/>
        <v>3039.038294516477</v>
      </c>
      <c r="G296" s="14">
        <f>SUMIFS(PARÂMETROS!$F$8:$F$907,PARÂMETROS!$A$8:$A$907,C296,PARÂMETROS!$G$8:$G$907,J296)</f>
        <v>0</v>
      </c>
      <c r="H296" s="21">
        <f t="shared" si="19"/>
        <v>0</v>
      </c>
      <c r="I296" s="21">
        <f t="shared" si="20"/>
        <v>3039.038294516477</v>
      </c>
      <c r="J296" s="2" t="s">
        <v>20</v>
      </c>
    </row>
    <row r="297" spans="1:10" ht="14.25" hidden="1" customHeight="1" x14ac:dyDescent="0.3">
      <c r="A297" s="11" t="s">
        <v>38</v>
      </c>
      <c r="B297" s="19" t="str">
        <f>INDEX(SETORES!$B:$B,MATCH(A297,SETORES!$A:$A,0))</f>
        <v>Clientes</v>
      </c>
      <c r="C297" s="11" t="s">
        <v>13</v>
      </c>
      <c r="D297" s="9">
        <f>IF(B297="Clientes",SUMIFS(PARÂMETROS!$D$8:$D$907,PARÂMETROS!$A$8:$A$907,C297,PARÂMETROS!$G$8:$G$907,J297),SUMIFS(PARÂMETROS!$E$8:$E$907,PARÂMETROS!$A$8:$A$907,C297,PARÂMETROS!$G$8:$G$907,J297))</f>
        <v>7.4903176237540961E-2</v>
      </c>
      <c r="E297" s="20">
        <f>SUMIFS(SETORES!$D:$D,SETORES!$A:$A,A297,SETORES!$F:$F,J297)</f>
        <v>43385.321576999995</v>
      </c>
      <c r="F297" s="20">
        <f t="shared" si="18"/>
        <v>3249.6983882044192</v>
      </c>
      <c r="G297" s="9">
        <f>SUMIFS(PARÂMETROS!$F$8:$F$907,PARÂMETROS!$A$8:$A$907,C297,PARÂMETROS!$G$8:$G$907,J297)</f>
        <v>0</v>
      </c>
      <c r="H297" s="20">
        <f t="shared" si="19"/>
        <v>0</v>
      </c>
      <c r="I297" s="20">
        <f t="shared" si="20"/>
        <v>3249.6983882044192</v>
      </c>
      <c r="J297" s="11" t="s">
        <v>20</v>
      </c>
    </row>
    <row r="298" spans="1:10" ht="14.25" customHeight="1" x14ac:dyDescent="0.3">
      <c r="A298" s="2" t="s">
        <v>38</v>
      </c>
      <c r="B298" s="2" t="str">
        <f>INDEX(SETORES!$B:$B,MATCH(A298,SETORES!$A:$A,0))</f>
        <v>Clientes</v>
      </c>
      <c r="C298" s="2" t="s">
        <v>14</v>
      </c>
      <c r="D298" s="14">
        <f>IF(B298="Clientes",SUMIFS(PARÂMETROS!$D$8:$D$907,PARÂMETROS!$A$8:$A$907,C298,PARÂMETROS!$G$8:$G$907,J298),SUMIFS(PARÂMETROS!$E$8:$E$907,PARÂMETROS!$A$8:$A$907,C298,PARÂMETROS!$G$8:$G$907,J298))</f>
        <v>1.907728653039038E-2</v>
      </c>
      <c r="E298" s="21">
        <f>SUMIFS(SETORES!$D:$D,SETORES!$A:$A,A298,SETORES!$F:$F,J298)</f>
        <v>43385.321576999995</v>
      </c>
      <c r="F298" s="21">
        <f t="shared" si="18"/>
        <v>827.67421093755706</v>
      </c>
      <c r="G298" s="14">
        <f>SUMIFS(PARÂMETROS!$F$8:$F$907,PARÂMETROS!$A$8:$A$907,C298,PARÂMETROS!$G$8:$G$907,J298)</f>
        <v>0</v>
      </c>
      <c r="H298" s="21">
        <f t="shared" si="19"/>
        <v>0</v>
      </c>
      <c r="I298" s="21">
        <f t="shared" si="20"/>
        <v>827.67421093755706</v>
      </c>
      <c r="J298" s="2" t="s">
        <v>20</v>
      </c>
    </row>
    <row r="299" spans="1:10" ht="14.25" hidden="1" customHeight="1" x14ac:dyDescent="0.3">
      <c r="A299" s="11" t="s">
        <v>38</v>
      </c>
      <c r="B299" s="19" t="str">
        <f>INDEX(SETORES!$B:$B,MATCH(A299,SETORES!$A:$A,0))</f>
        <v>Clientes</v>
      </c>
      <c r="C299" s="11" t="s">
        <v>15</v>
      </c>
      <c r="D299" s="9">
        <f>IF(B299="Clientes",SUMIFS(PARÂMETROS!$D$8:$D$907,PARÂMETROS!$A$8:$A$907,C299,PARÂMETROS!$G$8:$G$907,J299),SUMIFS(PARÂMETROS!$E$8:$E$907,PARÂMETROS!$A$8:$A$907,C299,PARÂMETROS!$G$8:$G$907,J299))</f>
        <v>3.3429677985856672E-2</v>
      </c>
      <c r="E299" s="20">
        <f>SUMIFS(SETORES!$D:$D,SETORES!$A:$A,A299,SETORES!$F:$F,J299)</f>
        <v>43385.321576999995</v>
      </c>
      <c r="F299" s="20">
        <f t="shared" si="18"/>
        <v>1450.3573296319491</v>
      </c>
      <c r="G299" s="9">
        <f>SUMIFS(PARÂMETROS!$F$8:$F$907,PARÂMETROS!$A$8:$A$907,C299,PARÂMETROS!$G$8:$G$907,J299)</f>
        <v>0</v>
      </c>
      <c r="H299" s="20">
        <f t="shared" si="19"/>
        <v>0</v>
      </c>
      <c r="I299" s="20">
        <f t="shared" si="20"/>
        <v>1450.3573296319491</v>
      </c>
      <c r="J299" s="11" t="s">
        <v>20</v>
      </c>
    </row>
    <row r="300" spans="1:10" ht="14.25" hidden="1" customHeight="1" x14ac:dyDescent="0.3">
      <c r="A300" s="2" t="s">
        <v>38</v>
      </c>
      <c r="B300" s="2" t="str">
        <f>INDEX(SETORES!$B:$B,MATCH(A300,SETORES!$A:$A,0))</f>
        <v>Clientes</v>
      </c>
      <c r="C300" s="2" t="s">
        <v>16</v>
      </c>
      <c r="D300" s="14">
        <f>IF(B300="Clientes",SUMIFS(PARÂMETROS!$D$8:$D$907,PARÂMETROS!$A$8:$A$907,C300,PARÂMETROS!$G$8:$G$907,J300),SUMIFS(PARÂMETROS!$E$8:$E$907,PARÂMETROS!$A$8:$A$907,C300,PARÂMETROS!$G$8:$G$907,J300))</f>
        <v>2.4722072681848353E-2</v>
      </c>
      <c r="E300" s="21">
        <f>SUMIFS(SETORES!$D:$D,SETORES!$A:$A,A300,SETORES!$F:$F,J300)</f>
        <v>43385.321576999995</v>
      </c>
      <c r="F300" s="21">
        <f t="shared" si="18"/>
        <v>1072.5750733519576</v>
      </c>
      <c r="G300" s="14">
        <f>SUMIFS(PARÂMETROS!$F$8:$F$907,PARÂMETROS!$A$8:$A$907,C300,PARÂMETROS!$G$8:$G$907,J300)</f>
        <v>0</v>
      </c>
      <c r="H300" s="21">
        <f t="shared" si="19"/>
        <v>0</v>
      </c>
      <c r="I300" s="21">
        <f t="shared" si="20"/>
        <v>1072.5750733519576</v>
      </c>
      <c r="J300" s="2" t="s">
        <v>20</v>
      </c>
    </row>
    <row r="301" spans="1:10" ht="14.25" hidden="1" customHeight="1" x14ac:dyDescent="0.3">
      <c r="A301" s="11" t="s">
        <v>38</v>
      </c>
      <c r="B301" s="19" t="str">
        <f>INDEX(SETORES!$B:$B,MATCH(A301,SETORES!$A:$A,0))</f>
        <v>Clientes</v>
      </c>
      <c r="C301" s="11" t="s">
        <v>17</v>
      </c>
      <c r="D301" s="9">
        <f>IF(B301="Clientes",SUMIFS(PARÂMETROS!$D$8:$D$907,PARÂMETROS!$A$8:$A$907,C301,PARÂMETROS!$G$8:$G$907,J301),SUMIFS(PARÂMETROS!$E$8:$E$907,PARÂMETROS!$A$8:$A$907,C301,PARÂMETROS!$G$8:$G$907,J301))</f>
        <v>2.4993858681733368E-2</v>
      </c>
      <c r="E301" s="20">
        <f>SUMIFS(SETORES!$D:$D,SETORES!$A:$A,A301,SETORES!$F:$F,J301)</f>
        <v>43385.321576999995</v>
      </c>
      <c r="F301" s="20">
        <f t="shared" si="18"/>
        <v>1084.3665963570954</v>
      </c>
      <c r="G301" s="9">
        <f>SUMIFS(PARÂMETROS!$F$8:$F$907,PARÂMETROS!$A$8:$A$907,C301,PARÂMETROS!$G$8:$G$907,J301)</f>
        <v>0</v>
      </c>
      <c r="H301" s="20">
        <f t="shared" si="19"/>
        <v>0</v>
      </c>
      <c r="I301" s="20">
        <f t="shared" si="20"/>
        <v>1084.3665963570954</v>
      </c>
      <c r="J301" s="11" t="s">
        <v>20</v>
      </c>
    </row>
    <row r="302" spans="1:10" ht="14.25" hidden="1" customHeight="1" x14ac:dyDescent="0.3">
      <c r="A302" s="2" t="s">
        <v>38</v>
      </c>
      <c r="B302" s="2" t="str">
        <f>INDEX(SETORES!$B:$B,MATCH(A302,SETORES!$A:$A,0))</f>
        <v>Clientes</v>
      </c>
      <c r="C302" s="2" t="s">
        <v>18</v>
      </c>
      <c r="D302" s="14">
        <f>IF(B302="Clientes",SUMIFS(PARÂMETROS!$D$8:$D$907,PARÂMETROS!$A$8:$A$907,C302,PARÂMETROS!$G$8:$G$907,J302),SUMIFS(PARÂMETROS!$E$8:$E$907,PARÂMETROS!$A$8:$A$907,C302,PARÂMETROS!$G$8:$G$907,J302))</f>
        <v>0.72000292692615264</v>
      </c>
      <c r="E302" s="21">
        <f>SUMIFS(SETORES!$D:$D,SETORES!$A:$A,A302,SETORES!$F:$F,J302)</f>
        <v>43385.321576999995</v>
      </c>
      <c r="F302" s="21">
        <f t="shared" si="18"/>
        <v>31237.558521072362</v>
      </c>
      <c r="G302" s="14">
        <f>SUMIFS(PARÂMETROS!$F$8:$F$907,PARÂMETROS!$A$8:$A$907,C302,PARÂMETROS!$G$8:$G$907,J302)</f>
        <v>0</v>
      </c>
      <c r="H302" s="21">
        <f t="shared" si="19"/>
        <v>0</v>
      </c>
      <c r="I302" s="21">
        <f t="shared" si="20"/>
        <v>31237.558521072362</v>
      </c>
      <c r="J302" s="2" t="s">
        <v>20</v>
      </c>
    </row>
    <row r="303" spans="1:10" ht="14.25" hidden="1" customHeight="1" x14ac:dyDescent="0.3">
      <c r="A303" s="11" t="s">
        <v>39</v>
      </c>
      <c r="B303" s="19" t="str">
        <f>INDEX(SETORES!$B:$B,MATCH(A303,SETORES!$A:$A,0))</f>
        <v>Clientes</v>
      </c>
      <c r="C303" s="11" t="s">
        <v>10</v>
      </c>
      <c r="D303" s="9">
        <f>IF(B303="Clientes",SUMIFS(PARÂMETROS!$D$8:$D$907,PARÂMETROS!$A$8:$A$907,C303,PARÂMETROS!$G$8:$G$907,J303),SUMIFS(PARÂMETROS!$E$8:$E$907,PARÂMETROS!$A$8:$A$907,C303,PARÂMETROS!$G$8:$G$907,J303))</f>
        <v>3.2823386139959339E-2</v>
      </c>
      <c r="E303" s="20">
        <f>SUMIFS(SETORES!$D:$D,SETORES!$A:$A,A303,SETORES!$F:$F,J303)</f>
        <v>37959.882963999989</v>
      </c>
      <c r="F303" s="20">
        <f t="shared" si="18"/>
        <v>1245.9718963550358</v>
      </c>
      <c r="G303" s="9">
        <f>SUMIFS(PARÂMETROS!$F$8:$F$907,PARÂMETROS!$A$8:$A$907,C303,PARÂMETROS!$G$8:$G$907,J303)</f>
        <v>0</v>
      </c>
      <c r="H303" s="20">
        <f t="shared" si="19"/>
        <v>0</v>
      </c>
      <c r="I303" s="20">
        <f t="shared" si="20"/>
        <v>1245.9718963550358</v>
      </c>
      <c r="J303" s="11" t="s">
        <v>20</v>
      </c>
    </row>
    <row r="304" spans="1:10" ht="14.25" hidden="1" customHeight="1" x14ac:dyDescent="0.3">
      <c r="A304" s="2" t="s">
        <v>39</v>
      </c>
      <c r="B304" s="2" t="str">
        <f>INDEX(SETORES!$B:$B,MATCH(A304,SETORES!$A:$A,0))</f>
        <v>Clientes</v>
      </c>
      <c r="C304" s="2" t="s">
        <v>12</v>
      </c>
      <c r="D304" s="14">
        <f>IF(B304="Clientes",SUMIFS(PARÂMETROS!$D$8:$D$907,PARÂMETROS!$A$8:$A$907,C304,PARÂMETROS!$G$8:$G$907,J304),SUMIFS(PARÂMETROS!$E$8:$E$907,PARÂMETROS!$A$8:$A$907,C304,PARÂMETROS!$G$8:$G$907,J304))</f>
        <v>7.0047614816518319E-2</v>
      </c>
      <c r="E304" s="21">
        <f>SUMIFS(SETORES!$D:$D,SETORES!$A:$A,A304,SETORES!$F:$F,J304)</f>
        <v>37959.882963999989</v>
      </c>
      <c r="F304" s="21">
        <f t="shared" si="18"/>
        <v>2658.9992603423871</v>
      </c>
      <c r="G304" s="14">
        <f>SUMIFS(PARÂMETROS!$F$8:$F$907,PARÂMETROS!$A$8:$A$907,C304,PARÂMETROS!$G$8:$G$907,J304)</f>
        <v>0</v>
      </c>
      <c r="H304" s="21">
        <f t="shared" si="19"/>
        <v>0</v>
      </c>
      <c r="I304" s="21">
        <f t="shared" si="20"/>
        <v>2658.9992603423871</v>
      </c>
      <c r="J304" s="2" t="s">
        <v>20</v>
      </c>
    </row>
    <row r="305" spans="1:10" ht="14.25" hidden="1" customHeight="1" x14ac:dyDescent="0.3">
      <c r="A305" s="11" t="s">
        <v>39</v>
      </c>
      <c r="B305" s="19" t="str">
        <f>INDEX(SETORES!$B:$B,MATCH(A305,SETORES!$A:$A,0))</f>
        <v>Clientes</v>
      </c>
      <c r="C305" s="11" t="s">
        <v>13</v>
      </c>
      <c r="D305" s="9">
        <f>IF(B305="Clientes",SUMIFS(PARÂMETROS!$D$8:$D$907,PARÂMETROS!$A$8:$A$907,C305,PARÂMETROS!$G$8:$G$907,J305),SUMIFS(PARÂMETROS!$E$8:$E$907,PARÂMETROS!$A$8:$A$907,C305,PARÂMETROS!$G$8:$G$907,J305))</f>
        <v>7.4903176237540961E-2</v>
      </c>
      <c r="E305" s="20">
        <f>SUMIFS(SETORES!$D:$D,SETORES!$A:$A,A305,SETORES!$F:$F,J305)</f>
        <v>37959.882963999989</v>
      </c>
      <c r="F305" s="20">
        <f t="shared" si="18"/>
        <v>2843.3158036089199</v>
      </c>
      <c r="G305" s="9">
        <f>SUMIFS(PARÂMETROS!$F$8:$F$907,PARÂMETROS!$A$8:$A$907,C305,PARÂMETROS!$G$8:$G$907,J305)</f>
        <v>0</v>
      </c>
      <c r="H305" s="20">
        <f t="shared" si="19"/>
        <v>0</v>
      </c>
      <c r="I305" s="20">
        <f t="shared" si="20"/>
        <v>2843.3158036089199</v>
      </c>
      <c r="J305" s="11" t="s">
        <v>20</v>
      </c>
    </row>
    <row r="306" spans="1:10" ht="14.25" customHeight="1" x14ac:dyDescent="0.3">
      <c r="A306" s="2" t="s">
        <v>39</v>
      </c>
      <c r="B306" s="2" t="str">
        <f>INDEX(SETORES!$B:$B,MATCH(A306,SETORES!$A:$A,0))</f>
        <v>Clientes</v>
      </c>
      <c r="C306" s="2" t="s">
        <v>14</v>
      </c>
      <c r="D306" s="14">
        <f>IF(B306="Clientes",SUMIFS(PARÂMETROS!$D$8:$D$907,PARÂMETROS!$A$8:$A$907,C306,PARÂMETROS!$G$8:$G$907,J306),SUMIFS(PARÂMETROS!$E$8:$E$907,PARÂMETROS!$A$8:$A$907,C306,PARÂMETROS!$G$8:$G$907,J306))</f>
        <v>1.907728653039038E-2</v>
      </c>
      <c r="E306" s="21">
        <f>SUMIFS(SETORES!$D:$D,SETORES!$A:$A,A306,SETORES!$F:$F,J306)</f>
        <v>37959.882963999989</v>
      </c>
      <c r="F306" s="21">
        <f t="shared" si="18"/>
        <v>724.17156396431221</v>
      </c>
      <c r="G306" s="14">
        <f>SUMIFS(PARÂMETROS!$F$8:$F$907,PARÂMETROS!$A$8:$A$907,C306,PARÂMETROS!$G$8:$G$907,J306)</f>
        <v>0</v>
      </c>
      <c r="H306" s="21">
        <f t="shared" si="19"/>
        <v>0</v>
      </c>
      <c r="I306" s="21">
        <f t="shared" si="20"/>
        <v>724.17156396431221</v>
      </c>
      <c r="J306" s="2" t="s">
        <v>20</v>
      </c>
    </row>
    <row r="307" spans="1:10" ht="14.25" hidden="1" customHeight="1" x14ac:dyDescent="0.3">
      <c r="A307" s="11" t="s">
        <v>39</v>
      </c>
      <c r="B307" s="19" t="str">
        <f>INDEX(SETORES!$B:$B,MATCH(A307,SETORES!$A:$A,0))</f>
        <v>Clientes</v>
      </c>
      <c r="C307" s="11" t="s">
        <v>15</v>
      </c>
      <c r="D307" s="9">
        <f>IF(B307="Clientes",SUMIFS(PARÂMETROS!$D$8:$D$907,PARÂMETROS!$A$8:$A$907,C307,PARÂMETROS!$G$8:$G$907,J307),SUMIFS(PARÂMETROS!$E$8:$E$907,PARÂMETROS!$A$8:$A$907,C307,PARÂMETROS!$G$8:$G$907,J307))</f>
        <v>3.3429677985856672E-2</v>
      </c>
      <c r="E307" s="20">
        <f>SUMIFS(SETORES!$D:$D,SETORES!$A:$A,A307,SETORES!$F:$F,J307)</f>
        <v>37959.882963999989</v>
      </c>
      <c r="F307" s="20">
        <f t="shared" si="18"/>
        <v>1268.9866638673261</v>
      </c>
      <c r="G307" s="9">
        <f>SUMIFS(PARÂMETROS!$F$8:$F$907,PARÂMETROS!$A$8:$A$907,C307,PARÂMETROS!$G$8:$G$907,J307)</f>
        <v>0</v>
      </c>
      <c r="H307" s="20">
        <f t="shared" si="19"/>
        <v>0</v>
      </c>
      <c r="I307" s="20">
        <f t="shared" si="20"/>
        <v>1268.9866638673261</v>
      </c>
      <c r="J307" s="11" t="s">
        <v>20</v>
      </c>
    </row>
    <row r="308" spans="1:10" ht="14.25" hidden="1" customHeight="1" x14ac:dyDescent="0.3">
      <c r="A308" s="2" t="s">
        <v>39</v>
      </c>
      <c r="B308" s="2" t="str">
        <f>INDEX(SETORES!$B:$B,MATCH(A308,SETORES!$A:$A,0))</f>
        <v>Clientes</v>
      </c>
      <c r="C308" s="2" t="s">
        <v>16</v>
      </c>
      <c r="D308" s="14">
        <f>IF(B308="Clientes",SUMIFS(PARÂMETROS!$D$8:$D$907,PARÂMETROS!$A$8:$A$907,C308,PARÂMETROS!$G$8:$G$907,J308),SUMIFS(PARÂMETROS!$E$8:$E$907,PARÂMETROS!$A$8:$A$907,C308,PARÂMETROS!$G$8:$G$907,J308))</f>
        <v>2.4722072681848353E-2</v>
      </c>
      <c r="E308" s="21">
        <f>SUMIFS(SETORES!$D:$D,SETORES!$A:$A,A308,SETORES!$F:$F,J308)</f>
        <v>37959.882963999989</v>
      </c>
      <c r="F308" s="21">
        <f t="shared" si="18"/>
        <v>938.44698563046484</v>
      </c>
      <c r="G308" s="14">
        <f>SUMIFS(PARÂMETROS!$F$8:$F$907,PARÂMETROS!$A$8:$A$907,C308,PARÂMETROS!$G$8:$G$907,J308)</f>
        <v>0</v>
      </c>
      <c r="H308" s="21">
        <f t="shared" si="19"/>
        <v>0</v>
      </c>
      <c r="I308" s="21">
        <f t="shared" si="20"/>
        <v>938.44698563046484</v>
      </c>
      <c r="J308" s="2" t="s">
        <v>20</v>
      </c>
    </row>
    <row r="309" spans="1:10" ht="14.25" hidden="1" customHeight="1" x14ac:dyDescent="0.3">
      <c r="A309" s="11" t="s">
        <v>39</v>
      </c>
      <c r="B309" s="19" t="str">
        <f>INDEX(SETORES!$B:$B,MATCH(A309,SETORES!$A:$A,0))</f>
        <v>Clientes</v>
      </c>
      <c r="C309" s="11" t="s">
        <v>17</v>
      </c>
      <c r="D309" s="9">
        <f>IF(B309="Clientes",SUMIFS(PARÂMETROS!$D$8:$D$907,PARÂMETROS!$A$8:$A$907,C309,PARÂMETROS!$G$8:$G$907,J309),SUMIFS(PARÂMETROS!$E$8:$E$907,PARÂMETROS!$A$8:$A$907,C309,PARÂMETROS!$G$8:$G$907,J309))</f>
        <v>2.4993858681733368E-2</v>
      </c>
      <c r="E309" s="20">
        <f>SUMIFS(SETORES!$D:$D,SETORES!$A:$A,A309,SETORES!$F:$F,J309)</f>
        <v>37959.882963999989</v>
      </c>
      <c r="F309" s="20">
        <f t="shared" si="18"/>
        <v>948.76395037735369</v>
      </c>
      <c r="G309" s="9">
        <f>SUMIFS(PARÂMETROS!$F$8:$F$907,PARÂMETROS!$A$8:$A$907,C309,PARÂMETROS!$G$8:$G$907,J309)</f>
        <v>0</v>
      </c>
      <c r="H309" s="20">
        <f t="shared" si="19"/>
        <v>0</v>
      </c>
      <c r="I309" s="20">
        <f t="shared" si="20"/>
        <v>948.76395037735369</v>
      </c>
      <c r="J309" s="11" t="s">
        <v>20</v>
      </c>
    </row>
    <row r="310" spans="1:10" ht="14.25" hidden="1" customHeight="1" x14ac:dyDescent="0.3">
      <c r="A310" s="2" t="s">
        <v>39</v>
      </c>
      <c r="B310" s="2" t="str">
        <f>INDEX(SETORES!$B:$B,MATCH(A310,SETORES!$A:$A,0))</f>
        <v>Clientes</v>
      </c>
      <c r="C310" s="2" t="s">
        <v>18</v>
      </c>
      <c r="D310" s="14">
        <f>IF(B310="Clientes",SUMIFS(PARÂMETROS!$D$8:$D$907,PARÂMETROS!$A$8:$A$907,C310,PARÂMETROS!$G$8:$G$907,J310),SUMIFS(PARÂMETROS!$E$8:$E$907,PARÂMETROS!$A$8:$A$907,C310,PARÂMETROS!$G$8:$G$907,J310))</f>
        <v>0.72000292692615264</v>
      </c>
      <c r="E310" s="21">
        <f>SUMIFS(SETORES!$D:$D,SETORES!$A:$A,A310,SETORES!$F:$F,J310)</f>
        <v>37959.882963999989</v>
      </c>
      <c r="F310" s="21">
        <f t="shared" si="18"/>
        <v>27331.226839854189</v>
      </c>
      <c r="G310" s="14">
        <f>SUMIFS(PARÂMETROS!$F$8:$F$907,PARÂMETROS!$A$8:$A$907,C310,PARÂMETROS!$G$8:$G$907,J310)</f>
        <v>0</v>
      </c>
      <c r="H310" s="21">
        <f t="shared" si="19"/>
        <v>0</v>
      </c>
      <c r="I310" s="21">
        <f t="shared" si="20"/>
        <v>27331.226839854189</v>
      </c>
      <c r="J310" s="2" t="s">
        <v>20</v>
      </c>
    </row>
    <row r="311" spans="1:10" ht="14.25" hidden="1" customHeight="1" x14ac:dyDescent="0.3">
      <c r="A311" s="11" t="s">
        <v>40</v>
      </c>
      <c r="B311" s="19" t="str">
        <f>INDEX(SETORES!$B:$B,MATCH(A311,SETORES!$A:$A,0))</f>
        <v>Clientes</v>
      </c>
      <c r="C311" s="11" t="s">
        <v>10</v>
      </c>
      <c r="D311" s="9">
        <f>IF(B311="Clientes",SUMIFS(PARÂMETROS!$D$8:$D$907,PARÂMETROS!$A$8:$A$907,C311,PARÂMETROS!$G$8:$G$907,J311),SUMIFS(PARÂMETROS!$E$8:$E$907,PARÂMETROS!$A$8:$A$907,C311,PARÂMETROS!$G$8:$G$907,J311))</f>
        <v>3.2823386139959339E-2</v>
      </c>
      <c r="E311" s="20">
        <f>SUMIFS(SETORES!$D:$D,SETORES!$A:$A,A311,SETORES!$F:$F,J311)</f>
        <v>27353.279554999997</v>
      </c>
      <c r="F311" s="20">
        <f t="shared" si="18"/>
        <v>897.82725702802009</v>
      </c>
      <c r="G311" s="9">
        <f>SUMIFS(PARÂMETROS!$F$8:$F$907,PARÂMETROS!$A$8:$A$907,C311,PARÂMETROS!$G$8:$G$907,J311)</f>
        <v>0</v>
      </c>
      <c r="H311" s="20">
        <f t="shared" si="19"/>
        <v>0</v>
      </c>
      <c r="I311" s="20">
        <f t="shared" si="20"/>
        <v>897.82725702802009</v>
      </c>
      <c r="J311" s="11" t="s">
        <v>20</v>
      </c>
    </row>
    <row r="312" spans="1:10" ht="14.25" hidden="1" customHeight="1" x14ac:dyDescent="0.3">
      <c r="A312" s="2" t="s">
        <v>40</v>
      </c>
      <c r="B312" s="2" t="str">
        <f>INDEX(SETORES!$B:$B,MATCH(A312,SETORES!$A:$A,0))</f>
        <v>Clientes</v>
      </c>
      <c r="C312" s="2" t="s">
        <v>12</v>
      </c>
      <c r="D312" s="14">
        <f>IF(B312="Clientes",SUMIFS(PARÂMETROS!$D$8:$D$907,PARÂMETROS!$A$8:$A$907,C312,PARÂMETROS!$G$8:$G$907,J312),SUMIFS(PARÂMETROS!$E$8:$E$907,PARÂMETROS!$A$8:$A$907,C312,PARÂMETROS!$G$8:$G$907,J312))</f>
        <v>7.0047614816518319E-2</v>
      </c>
      <c r="E312" s="21">
        <f>SUMIFS(SETORES!$D:$D,SETORES!$A:$A,A312,SETORES!$F:$F,J312)</f>
        <v>27353.279554999997</v>
      </c>
      <c r="F312" s="21">
        <f t="shared" si="18"/>
        <v>1916.0319902371855</v>
      </c>
      <c r="G312" s="14">
        <f>SUMIFS(PARÂMETROS!$F$8:$F$907,PARÂMETROS!$A$8:$A$907,C312,PARÂMETROS!$G$8:$G$907,J312)</f>
        <v>0</v>
      </c>
      <c r="H312" s="21">
        <f t="shared" si="19"/>
        <v>0</v>
      </c>
      <c r="I312" s="21">
        <f t="shared" si="20"/>
        <v>1916.0319902371855</v>
      </c>
      <c r="J312" s="2" t="s">
        <v>20</v>
      </c>
    </row>
    <row r="313" spans="1:10" ht="14.25" hidden="1" customHeight="1" x14ac:dyDescent="0.3">
      <c r="A313" s="11" t="s">
        <v>40</v>
      </c>
      <c r="B313" s="19" t="str">
        <f>INDEX(SETORES!$B:$B,MATCH(A313,SETORES!$A:$A,0))</f>
        <v>Clientes</v>
      </c>
      <c r="C313" s="11" t="s">
        <v>13</v>
      </c>
      <c r="D313" s="9">
        <f>IF(B313="Clientes",SUMIFS(PARÂMETROS!$D$8:$D$907,PARÂMETROS!$A$8:$A$907,C313,PARÂMETROS!$G$8:$G$907,J313),SUMIFS(PARÂMETROS!$E$8:$E$907,PARÂMETROS!$A$8:$A$907,C313,PARÂMETROS!$G$8:$G$907,J313))</f>
        <v>7.4903176237540961E-2</v>
      </c>
      <c r="E313" s="20">
        <f>SUMIFS(SETORES!$D:$D,SETORES!$A:$A,A313,SETORES!$F:$F,J313)</f>
        <v>27353.279554999997</v>
      </c>
      <c r="F313" s="20">
        <f t="shared" si="18"/>
        <v>2048.8475191828907</v>
      </c>
      <c r="G313" s="9">
        <f>SUMIFS(PARÂMETROS!$F$8:$F$907,PARÂMETROS!$A$8:$A$907,C313,PARÂMETROS!$G$8:$G$907,J313)</f>
        <v>0</v>
      </c>
      <c r="H313" s="20">
        <f t="shared" si="19"/>
        <v>0</v>
      </c>
      <c r="I313" s="20">
        <f t="shared" si="20"/>
        <v>2048.8475191828907</v>
      </c>
      <c r="J313" s="11" t="s">
        <v>20</v>
      </c>
    </row>
    <row r="314" spans="1:10" ht="14.25" customHeight="1" x14ac:dyDescent="0.3">
      <c r="A314" s="2" t="s">
        <v>40</v>
      </c>
      <c r="B314" s="2" t="str">
        <f>INDEX(SETORES!$B:$B,MATCH(A314,SETORES!$A:$A,0))</f>
        <v>Clientes</v>
      </c>
      <c r="C314" s="2" t="s">
        <v>14</v>
      </c>
      <c r="D314" s="14">
        <f>IF(B314="Clientes",SUMIFS(PARÂMETROS!$D$8:$D$907,PARÂMETROS!$A$8:$A$907,C314,PARÂMETROS!$G$8:$G$907,J314),SUMIFS(PARÂMETROS!$E$8:$E$907,PARÂMETROS!$A$8:$A$907,C314,PARÂMETROS!$G$8:$G$907,J314))</f>
        <v>1.907728653039038E-2</v>
      </c>
      <c r="E314" s="21">
        <f>SUMIFS(SETORES!$D:$D,SETORES!$A:$A,A314,SETORES!$F:$F,J314)</f>
        <v>27353.279554999997</v>
      </c>
      <c r="F314" s="21">
        <f t="shared" si="18"/>
        <v>521.82635161660403</v>
      </c>
      <c r="G314" s="14">
        <f>SUMIFS(PARÂMETROS!$F$8:$F$907,PARÂMETROS!$A$8:$A$907,C314,PARÂMETROS!$G$8:$G$907,J314)</f>
        <v>0</v>
      </c>
      <c r="H314" s="21">
        <f t="shared" si="19"/>
        <v>0</v>
      </c>
      <c r="I314" s="21">
        <f t="shared" si="20"/>
        <v>521.82635161660403</v>
      </c>
      <c r="J314" s="2" t="s">
        <v>20</v>
      </c>
    </row>
    <row r="315" spans="1:10" ht="14.25" hidden="1" customHeight="1" x14ac:dyDescent="0.3">
      <c r="A315" s="11" t="s">
        <v>40</v>
      </c>
      <c r="B315" s="19" t="str">
        <f>INDEX(SETORES!$B:$B,MATCH(A315,SETORES!$A:$A,0))</f>
        <v>Clientes</v>
      </c>
      <c r="C315" s="11" t="s">
        <v>15</v>
      </c>
      <c r="D315" s="9">
        <f>IF(B315="Clientes",SUMIFS(PARÂMETROS!$D$8:$D$907,PARÂMETROS!$A$8:$A$907,C315,PARÂMETROS!$G$8:$G$907,J315),SUMIFS(PARÂMETROS!$E$8:$E$907,PARÂMETROS!$A$8:$A$907,C315,PARÂMETROS!$G$8:$G$907,J315))</f>
        <v>3.3429677985856672E-2</v>
      </c>
      <c r="E315" s="20">
        <f>SUMIFS(SETORES!$D:$D,SETORES!$A:$A,A315,SETORES!$F:$F,J315)</f>
        <v>27353.279554999997</v>
      </c>
      <c r="F315" s="20">
        <f t="shared" si="18"/>
        <v>914.41132738076681</v>
      </c>
      <c r="G315" s="9">
        <f>SUMIFS(PARÂMETROS!$F$8:$F$907,PARÂMETROS!$A$8:$A$907,C315,PARÂMETROS!$G$8:$G$907,J315)</f>
        <v>0</v>
      </c>
      <c r="H315" s="20">
        <f t="shared" si="19"/>
        <v>0</v>
      </c>
      <c r="I315" s="20">
        <f t="shared" si="20"/>
        <v>914.41132738076681</v>
      </c>
      <c r="J315" s="11" t="s">
        <v>20</v>
      </c>
    </row>
    <row r="316" spans="1:10" ht="14.25" hidden="1" customHeight="1" x14ac:dyDescent="0.3">
      <c r="A316" s="2" t="s">
        <v>40</v>
      </c>
      <c r="B316" s="2" t="str">
        <f>INDEX(SETORES!$B:$B,MATCH(A316,SETORES!$A:$A,0))</f>
        <v>Clientes</v>
      </c>
      <c r="C316" s="2" t="s">
        <v>16</v>
      </c>
      <c r="D316" s="14">
        <f>IF(B316="Clientes",SUMIFS(PARÂMETROS!$D$8:$D$907,PARÂMETROS!$A$8:$A$907,C316,PARÂMETROS!$G$8:$G$907,J316),SUMIFS(PARÂMETROS!$E$8:$E$907,PARÂMETROS!$A$8:$A$907,C316,PARÂMETROS!$G$8:$G$907,J316))</f>
        <v>2.4722072681848353E-2</v>
      </c>
      <c r="E316" s="21">
        <f>SUMIFS(SETORES!$D:$D,SETORES!$A:$A,A316,SETORES!$F:$F,J316)</f>
        <v>27353.279554999997</v>
      </c>
      <c r="F316" s="21">
        <f t="shared" si="18"/>
        <v>676.22976524562648</v>
      </c>
      <c r="G316" s="14">
        <f>SUMIFS(PARÂMETROS!$F$8:$F$907,PARÂMETROS!$A$8:$A$907,C316,PARÂMETROS!$G$8:$G$907,J316)</f>
        <v>0</v>
      </c>
      <c r="H316" s="21">
        <f t="shared" si="19"/>
        <v>0</v>
      </c>
      <c r="I316" s="21">
        <f t="shared" si="20"/>
        <v>676.22976524562648</v>
      </c>
      <c r="J316" s="2" t="s">
        <v>20</v>
      </c>
    </row>
    <row r="317" spans="1:10" ht="14.25" hidden="1" customHeight="1" x14ac:dyDescent="0.3">
      <c r="A317" s="11" t="s">
        <v>40</v>
      </c>
      <c r="B317" s="19" t="str">
        <f>INDEX(SETORES!$B:$B,MATCH(A317,SETORES!$A:$A,0))</f>
        <v>Clientes</v>
      </c>
      <c r="C317" s="11" t="s">
        <v>17</v>
      </c>
      <c r="D317" s="9">
        <f>IF(B317="Clientes",SUMIFS(PARÂMETROS!$D$8:$D$907,PARÂMETROS!$A$8:$A$907,C317,PARÂMETROS!$G$8:$G$907,J317),SUMIFS(PARÂMETROS!$E$8:$E$907,PARÂMETROS!$A$8:$A$907,C317,PARÂMETROS!$G$8:$G$907,J317))</f>
        <v>2.4993858681733368E-2</v>
      </c>
      <c r="E317" s="20">
        <f>SUMIFS(SETORES!$D:$D,SETORES!$A:$A,A317,SETORES!$F:$F,J317)</f>
        <v>27353.279554999997</v>
      </c>
      <c r="F317" s="20">
        <f t="shared" si="18"/>
        <v>683.66400367961648</v>
      </c>
      <c r="G317" s="9">
        <f>SUMIFS(PARÂMETROS!$F$8:$F$907,PARÂMETROS!$A$8:$A$907,C317,PARÂMETROS!$G$8:$G$907,J317)</f>
        <v>0</v>
      </c>
      <c r="H317" s="20">
        <f t="shared" si="19"/>
        <v>0</v>
      </c>
      <c r="I317" s="20">
        <f t="shared" si="20"/>
        <v>683.66400367961648</v>
      </c>
      <c r="J317" s="11" t="s">
        <v>20</v>
      </c>
    </row>
    <row r="318" spans="1:10" ht="14.25" hidden="1" customHeight="1" x14ac:dyDescent="0.3">
      <c r="A318" s="2" t="s">
        <v>40</v>
      </c>
      <c r="B318" s="2" t="str">
        <f>INDEX(SETORES!$B:$B,MATCH(A318,SETORES!$A:$A,0))</f>
        <v>Clientes</v>
      </c>
      <c r="C318" s="2" t="s">
        <v>18</v>
      </c>
      <c r="D318" s="14">
        <f>IF(B318="Clientes",SUMIFS(PARÂMETROS!$D$8:$D$907,PARÂMETROS!$A$8:$A$907,C318,PARÂMETROS!$G$8:$G$907,J318),SUMIFS(PARÂMETROS!$E$8:$E$907,PARÂMETROS!$A$8:$A$907,C318,PARÂMETROS!$G$8:$G$907,J318))</f>
        <v>0.72000292692615264</v>
      </c>
      <c r="E318" s="21">
        <f>SUMIFS(SETORES!$D:$D,SETORES!$A:$A,A318,SETORES!$F:$F,J318)</f>
        <v>27353.279554999997</v>
      </c>
      <c r="F318" s="21">
        <f t="shared" si="18"/>
        <v>19694.441340629288</v>
      </c>
      <c r="G318" s="14">
        <f>SUMIFS(PARÂMETROS!$F$8:$F$907,PARÂMETROS!$A$8:$A$907,C318,PARÂMETROS!$G$8:$G$907,J318)</f>
        <v>0</v>
      </c>
      <c r="H318" s="21">
        <f t="shared" si="19"/>
        <v>0</v>
      </c>
      <c r="I318" s="21">
        <f t="shared" si="20"/>
        <v>19694.441340629288</v>
      </c>
      <c r="J318" s="2" t="s">
        <v>20</v>
      </c>
    </row>
    <row r="319" spans="1:10" ht="14.25" hidden="1" customHeight="1" x14ac:dyDescent="0.3">
      <c r="A319" s="11" t="s">
        <v>41</v>
      </c>
      <c r="B319" s="19" t="str">
        <f>INDEX(SETORES!$B:$B,MATCH(A319,SETORES!$A:$A,0))</f>
        <v>Clientes</v>
      </c>
      <c r="C319" s="11" t="s">
        <v>10</v>
      </c>
      <c r="D319" s="9">
        <f>IF(B319="Clientes",SUMIFS(PARÂMETROS!$D$8:$D$907,PARÂMETROS!$A$8:$A$907,C319,PARÂMETROS!$G$8:$G$907,J319),SUMIFS(PARÂMETROS!$E$8:$E$907,PARÂMETROS!$A$8:$A$907,C319,PARÂMETROS!$G$8:$G$907,J319))</f>
        <v>3.2823386139959339E-2</v>
      </c>
      <c r="E319" s="20">
        <f>SUMIFS(SETORES!$D:$D,SETORES!$A:$A,A319,SETORES!$F:$F,J319)</f>
        <v>18180.291910999997</v>
      </c>
      <c r="F319" s="20">
        <f t="shared" si="18"/>
        <v>596.73874153193219</v>
      </c>
      <c r="G319" s="9">
        <f>SUMIFS(PARÂMETROS!$F$8:$F$907,PARÂMETROS!$A$8:$A$907,C319,PARÂMETROS!$G$8:$G$907,J319)</f>
        <v>0</v>
      </c>
      <c r="H319" s="20">
        <f t="shared" si="19"/>
        <v>0</v>
      </c>
      <c r="I319" s="20">
        <f t="shared" si="20"/>
        <v>596.73874153193219</v>
      </c>
      <c r="J319" s="11" t="s">
        <v>20</v>
      </c>
    </row>
    <row r="320" spans="1:10" ht="14.25" hidden="1" customHeight="1" x14ac:dyDescent="0.3">
      <c r="A320" s="2" t="s">
        <v>41</v>
      </c>
      <c r="B320" s="2" t="str">
        <f>INDEX(SETORES!$B:$B,MATCH(A320,SETORES!$A:$A,0))</f>
        <v>Clientes</v>
      </c>
      <c r="C320" s="2" t="s">
        <v>12</v>
      </c>
      <c r="D320" s="14">
        <f>IF(B320="Clientes",SUMIFS(PARÂMETROS!$D$8:$D$907,PARÂMETROS!$A$8:$A$907,C320,PARÂMETROS!$G$8:$G$907,J320),SUMIFS(PARÂMETROS!$E$8:$E$907,PARÂMETROS!$A$8:$A$907,C320,PARÂMETROS!$G$8:$G$907,J320))</f>
        <v>7.0047614816518319E-2</v>
      </c>
      <c r="E320" s="21">
        <f>SUMIFS(SETORES!$D:$D,SETORES!$A:$A,A320,SETORES!$F:$F,J320)</f>
        <v>18180.291910999997</v>
      </c>
      <c r="F320" s="21">
        <f t="shared" si="18"/>
        <v>1273.4860850335915</v>
      </c>
      <c r="G320" s="14">
        <f>SUMIFS(PARÂMETROS!$F$8:$F$907,PARÂMETROS!$A$8:$A$907,C320,PARÂMETROS!$G$8:$G$907,J320)</f>
        <v>0</v>
      </c>
      <c r="H320" s="21">
        <f t="shared" si="19"/>
        <v>0</v>
      </c>
      <c r="I320" s="21">
        <f t="shared" si="20"/>
        <v>1273.4860850335915</v>
      </c>
      <c r="J320" s="2" t="s">
        <v>20</v>
      </c>
    </row>
    <row r="321" spans="1:10" ht="14.25" hidden="1" customHeight="1" x14ac:dyDescent="0.3">
      <c r="A321" s="11" t="s">
        <v>41</v>
      </c>
      <c r="B321" s="19" t="str">
        <f>INDEX(SETORES!$B:$B,MATCH(A321,SETORES!$A:$A,0))</f>
        <v>Clientes</v>
      </c>
      <c r="C321" s="11" t="s">
        <v>13</v>
      </c>
      <c r="D321" s="9">
        <f>IF(B321="Clientes",SUMIFS(PARÂMETROS!$D$8:$D$907,PARÂMETROS!$A$8:$A$907,C321,PARÂMETROS!$G$8:$G$907,J321),SUMIFS(PARÂMETROS!$E$8:$E$907,PARÂMETROS!$A$8:$A$907,C321,PARÂMETROS!$G$8:$G$907,J321))</f>
        <v>7.4903176237540961E-2</v>
      </c>
      <c r="E321" s="20">
        <f>SUMIFS(SETORES!$D:$D,SETORES!$A:$A,A321,SETORES!$F:$F,J321)</f>
        <v>18180.291910999997</v>
      </c>
      <c r="F321" s="20">
        <f t="shared" si="18"/>
        <v>1361.7616090595732</v>
      </c>
      <c r="G321" s="9">
        <f>SUMIFS(PARÂMETROS!$F$8:$F$907,PARÂMETROS!$A$8:$A$907,C321,PARÂMETROS!$G$8:$G$907,J321)</f>
        <v>0</v>
      </c>
      <c r="H321" s="20">
        <f t="shared" si="19"/>
        <v>0</v>
      </c>
      <c r="I321" s="20">
        <f t="shared" si="20"/>
        <v>1361.7616090595732</v>
      </c>
      <c r="J321" s="11" t="s">
        <v>20</v>
      </c>
    </row>
    <row r="322" spans="1:10" ht="14.25" customHeight="1" x14ac:dyDescent="0.3">
      <c r="A322" s="2" t="s">
        <v>41</v>
      </c>
      <c r="B322" s="2" t="str">
        <f>INDEX(SETORES!$B:$B,MATCH(A322,SETORES!$A:$A,0))</f>
        <v>Clientes</v>
      </c>
      <c r="C322" s="2" t="s">
        <v>14</v>
      </c>
      <c r="D322" s="14">
        <f>IF(B322="Clientes",SUMIFS(PARÂMETROS!$D$8:$D$907,PARÂMETROS!$A$8:$A$907,C322,PARÂMETROS!$G$8:$G$907,J322),SUMIFS(PARÂMETROS!$E$8:$E$907,PARÂMETROS!$A$8:$A$907,C322,PARÂMETROS!$G$8:$G$907,J322))</f>
        <v>1.907728653039038E-2</v>
      </c>
      <c r="E322" s="21">
        <f>SUMIFS(SETORES!$D:$D,SETORES!$A:$A,A322,SETORES!$F:$F,J322)</f>
        <v>18180.291910999997</v>
      </c>
      <c r="F322" s="21">
        <f t="shared" si="18"/>
        <v>346.8306379922854</v>
      </c>
      <c r="G322" s="14">
        <f>SUMIFS(PARÂMETROS!$F$8:$F$907,PARÂMETROS!$A$8:$A$907,C322,PARÂMETROS!$G$8:$G$907,J322)</f>
        <v>0</v>
      </c>
      <c r="H322" s="21">
        <f t="shared" si="19"/>
        <v>0</v>
      </c>
      <c r="I322" s="21">
        <f t="shared" si="20"/>
        <v>346.8306379922854</v>
      </c>
      <c r="J322" s="2" t="s">
        <v>20</v>
      </c>
    </row>
    <row r="323" spans="1:10" ht="14.25" hidden="1" customHeight="1" x14ac:dyDescent="0.3">
      <c r="A323" s="11" t="s">
        <v>41</v>
      </c>
      <c r="B323" s="19" t="str">
        <f>INDEX(SETORES!$B:$B,MATCH(A323,SETORES!$A:$A,0))</f>
        <v>Clientes</v>
      </c>
      <c r="C323" s="11" t="s">
        <v>15</v>
      </c>
      <c r="D323" s="9">
        <f>IF(B323="Clientes",SUMIFS(PARÂMETROS!$D$8:$D$907,PARÂMETROS!$A$8:$A$907,C323,PARÂMETROS!$G$8:$G$907,J323),SUMIFS(PARÂMETROS!$E$8:$E$907,PARÂMETROS!$A$8:$A$907,C323,PARÂMETROS!$G$8:$G$907,J323))</f>
        <v>3.3429677985856672E-2</v>
      </c>
      <c r="E323" s="20">
        <f>SUMIFS(SETORES!$D:$D,SETORES!$A:$A,A323,SETORES!$F:$F,J323)</f>
        <v>18180.291910999997</v>
      </c>
      <c r="F323" s="20">
        <f t="shared" si="18"/>
        <v>607.76130427360476</v>
      </c>
      <c r="G323" s="9">
        <f>SUMIFS(PARÂMETROS!$F$8:$F$907,PARÂMETROS!$A$8:$A$907,C323,PARÂMETROS!$G$8:$G$907,J323)</f>
        <v>0</v>
      </c>
      <c r="H323" s="20">
        <f t="shared" si="19"/>
        <v>0</v>
      </c>
      <c r="I323" s="20">
        <f t="shared" si="20"/>
        <v>607.76130427360476</v>
      </c>
      <c r="J323" s="11" t="s">
        <v>20</v>
      </c>
    </row>
    <row r="324" spans="1:10" ht="14.25" hidden="1" customHeight="1" x14ac:dyDescent="0.3">
      <c r="A324" s="2" t="s">
        <v>41</v>
      </c>
      <c r="B324" s="2" t="str">
        <f>INDEX(SETORES!$B:$B,MATCH(A324,SETORES!$A:$A,0))</f>
        <v>Clientes</v>
      </c>
      <c r="C324" s="2" t="s">
        <v>16</v>
      </c>
      <c r="D324" s="14">
        <f>IF(B324="Clientes",SUMIFS(PARÂMETROS!$D$8:$D$907,PARÂMETROS!$A$8:$A$907,C324,PARÂMETROS!$G$8:$G$907,J324),SUMIFS(PARÂMETROS!$E$8:$E$907,PARÂMETROS!$A$8:$A$907,C324,PARÂMETROS!$G$8:$G$907,J324))</f>
        <v>2.4722072681848353E-2</v>
      </c>
      <c r="E324" s="21">
        <f>SUMIFS(SETORES!$D:$D,SETORES!$A:$A,A324,SETORES!$F:$F,J324)</f>
        <v>18180.291910999997</v>
      </c>
      <c r="F324" s="21">
        <f t="shared" si="18"/>
        <v>449.45449800096162</v>
      </c>
      <c r="G324" s="14">
        <f>SUMIFS(PARÂMETROS!$F$8:$F$907,PARÂMETROS!$A$8:$A$907,C324,PARÂMETROS!$G$8:$G$907,J324)</f>
        <v>0</v>
      </c>
      <c r="H324" s="21">
        <f t="shared" si="19"/>
        <v>0</v>
      </c>
      <c r="I324" s="21">
        <f t="shared" si="20"/>
        <v>449.45449800096162</v>
      </c>
      <c r="J324" s="2" t="s">
        <v>20</v>
      </c>
    </row>
    <row r="325" spans="1:10" ht="14.25" hidden="1" customHeight="1" x14ac:dyDescent="0.3">
      <c r="A325" s="11" t="s">
        <v>41</v>
      </c>
      <c r="B325" s="19" t="str">
        <f>INDEX(SETORES!$B:$B,MATCH(A325,SETORES!$A:$A,0))</f>
        <v>Clientes</v>
      </c>
      <c r="C325" s="11" t="s">
        <v>17</v>
      </c>
      <c r="D325" s="9">
        <f>IF(B325="Clientes",SUMIFS(PARÂMETROS!$D$8:$D$907,PARÂMETROS!$A$8:$A$907,C325,PARÂMETROS!$G$8:$G$907,J325),SUMIFS(PARÂMETROS!$E$8:$E$907,PARÂMETROS!$A$8:$A$907,C325,PARÂMETROS!$G$8:$G$907,J325))</f>
        <v>2.4993858681733368E-2</v>
      </c>
      <c r="E325" s="20">
        <f>SUMIFS(SETORES!$D:$D,SETORES!$A:$A,A325,SETORES!$F:$F,J325)</f>
        <v>18180.291910999997</v>
      </c>
      <c r="F325" s="20">
        <f t="shared" si="18"/>
        <v>454.39564681619419</v>
      </c>
      <c r="G325" s="9">
        <f>SUMIFS(PARÂMETROS!$F$8:$F$907,PARÂMETROS!$A$8:$A$907,C325,PARÂMETROS!$G$8:$G$907,J325)</f>
        <v>0</v>
      </c>
      <c r="H325" s="20">
        <f t="shared" si="19"/>
        <v>0</v>
      </c>
      <c r="I325" s="20">
        <f t="shared" si="20"/>
        <v>454.39564681619419</v>
      </c>
      <c r="J325" s="11" t="s">
        <v>20</v>
      </c>
    </row>
    <row r="326" spans="1:10" ht="14.25" hidden="1" customHeight="1" x14ac:dyDescent="0.3">
      <c r="A326" s="2" t="s">
        <v>41</v>
      </c>
      <c r="B326" s="2" t="str">
        <f>INDEX(SETORES!$B:$B,MATCH(A326,SETORES!$A:$A,0))</f>
        <v>Clientes</v>
      </c>
      <c r="C326" s="2" t="s">
        <v>18</v>
      </c>
      <c r="D326" s="14">
        <f>IF(B326="Clientes",SUMIFS(PARÂMETROS!$D$8:$D$907,PARÂMETROS!$A$8:$A$907,C326,PARÂMETROS!$G$8:$G$907,J326),SUMIFS(PARÂMETROS!$E$8:$E$907,PARÂMETROS!$A$8:$A$907,C326,PARÂMETROS!$G$8:$G$907,J326))</f>
        <v>0.72000292692615264</v>
      </c>
      <c r="E326" s="21">
        <f>SUMIFS(SETORES!$D:$D,SETORES!$A:$A,A326,SETORES!$F:$F,J326)</f>
        <v>18180.291910999997</v>
      </c>
      <c r="F326" s="21">
        <f t="shared" si="18"/>
        <v>13089.863388291855</v>
      </c>
      <c r="G326" s="14">
        <f>SUMIFS(PARÂMETROS!$F$8:$F$907,PARÂMETROS!$A$8:$A$907,C326,PARÂMETROS!$G$8:$G$907,J326)</f>
        <v>0</v>
      </c>
      <c r="H326" s="21">
        <f t="shared" si="19"/>
        <v>0</v>
      </c>
      <c r="I326" s="21">
        <f t="shared" si="20"/>
        <v>13089.863388291855</v>
      </c>
      <c r="J326" s="2" t="s">
        <v>20</v>
      </c>
    </row>
    <row r="327" spans="1:10" ht="14.25" hidden="1" customHeight="1" x14ac:dyDescent="0.3">
      <c r="A327" s="11" t="s">
        <v>42</v>
      </c>
      <c r="B327" s="19" t="str">
        <f>INDEX(SETORES!$B:$B,MATCH(A327,SETORES!$A:$A,0))</f>
        <v>Clientes</v>
      </c>
      <c r="C327" s="11" t="s">
        <v>10</v>
      </c>
      <c r="D327" s="9">
        <f>IF(B327="Clientes",SUMIFS(PARÂMETROS!$D$8:$D$907,PARÂMETROS!$A$8:$A$907,C327,PARÂMETROS!$G$8:$G$907,J327),SUMIFS(PARÂMETROS!$E$8:$E$907,PARÂMETROS!$A$8:$A$907,C327,PARÂMETROS!$G$8:$G$907,J327))</f>
        <v>3.2823386139959339E-2</v>
      </c>
      <c r="E327" s="20">
        <f>SUMIFS(SETORES!$D:$D,SETORES!$A:$A,A327,SETORES!$F:$F,J327)</f>
        <v>27798.627199777799</v>
      </c>
      <c r="F327" s="20">
        <f t="shared" si="18"/>
        <v>912.44507473908322</v>
      </c>
      <c r="G327" s="9">
        <f>SUMIFS(PARÂMETROS!$F$8:$F$907,PARÂMETROS!$A$8:$A$907,C327,PARÂMETROS!$G$8:$G$907,J327)</f>
        <v>0</v>
      </c>
      <c r="H327" s="20">
        <f t="shared" si="19"/>
        <v>0</v>
      </c>
      <c r="I327" s="20">
        <f t="shared" si="20"/>
        <v>912.44507473908322</v>
      </c>
      <c r="J327" s="11" t="s">
        <v>20</v>
      </c>
    </row>
    <row r="328" spans="1:10" ht="14.25" hidden="1" customHeight="1" x14ac:dyDescent="0.3">
      <c r="A328" s="2" t="s">
        <v>42</v>
      </c>
      <c r="B328" s="2" t="str">
        <f>INDEX(SETORES!$B:$B,MATCH(A328,SETORES!$A:$A,0))</f>
        <v>Clientes</v>
      </c>
      <c r="C328" s="2" t="s">
        <v>12</v>
      </c>
      <c r="D328" s="14">
        <f>IF(B328="Clientes",SUMIFS(PARÂMETROS!$D$8:$D$907,PARÂMETROS!$A$8:$A$907,C328,PARÂMETROS!$G$8:$G$907,J328),SUMIFS(PARÂMETROS!$E$8:$E$907,PARÂMETROS!$A$8:$A$907,C328,PARÂMETROS!$G$8:$G$907,J328))</f>
        <v>7.0047614816518319E-2</v>
      </c>
      <c r="E328" s="21">
        <f>SUMIFS(SETORES!$D:$D,SETORES!$A:$A,A328,SETORES!$F:$F,J328)</f>
        <v>27798.627199777799</v>
      </c>
      <c r="F328" s="21">
        <f t="shared" si="18"/>
        <v>1947.2275305180244</v>
      </c>
      <c r="G328" s="14">
        <f>SUMIFS(PARÂMETROS!$F$8:$F$907,PARÂMETROS!$A$8:$A$907,C328,PARÂMETROS!$G$8:$G$907,J328)</f>
        <v>0</v>
      </c>
      <c r="H328" s="21">
        <f t="shared" si="19"/>
        <v>0</v>
      </c>
      <c r="I328" s="21">
        <f t="shared" si="20"/>
        <v>1947.2275305180244</v>
      </c>
      <c r="J328" s="2" t="s">
        <v>20</v>
      </c>
    </row>
    <row r="329" spans="1:10" ht="14.25" hidden="1" customHeight="1" x14ac:dyDescent="0.3">
      <c r="A329" s="11" t="s">
        <v>42</v>
      </c>
      <c r="B329" s="19" t="str">
        <f>INDEX(SETORES!$B:$B,MATCH(A329,SETORES!$A:$A,0))</f>
        <v>Clientes</v>
      </c>
      <c r="C329" s="11" t="s">
        <v>13</v>
      </c>
      <c r="D329" s="9">
        <f>IF(B329="Clientes",SUMIFS(PARÂMETROS!$D$8:$D$907,PARÂMETROS!$A$8:$A$907,C329,PARÂMETROS!$G$8:$G$907,J329),SUMIFS(PARÂMETROS!$E$8:$E$907,PARÂMETROS!$A$8:$A$907,C329,PARÂMETROS!$G$8:$G$907,J329))</f>
        <v>7.4903176237540961E-2</v>
      </c>
      <c r="E329" s="20">
        <f>SUMIFS(SETORES!$D:$D,SETORES!$A:$A,A329,SETORES!$F:$F,J329)</f>
        <v>27798.627199777799</v>
      </c>
      <c r="F329" s="20">
        <f t="shared" si="18"/>
        <v>2082.2054723066562</v>
      </c>
      <c r="G329" s="9">
        <f>SUMIFS(PARÂMETROS!$F$8:$F$907,PARÂMETROS!$A$8:$A$907,C329,PARÂMETROS!$G$8:$G$907,J329)</f>
        <v>0</v>
      </c>
      <c r="H329" s="20">
        <f t="shared" si="19"/>
        <v>0</v>
      </c>
      <c r="I329" s="20">
        <f t="shared" si="20"/>
        <v>2082.2054723066562</v>
      </c>
      <c r="J329" s="11" t="s">
        <v>20</v>
      </c>
    </row>
    <row r="330" spans="1:10" ht="14.25" customHeight="1" x14ac:dyDescent="0.3">
      <c r="A330" s="2" t="s">
        <v>42</v>
      </c>
      <c r="B330" s="2" t="str">
        <f>INDEX(SETORES!$B:$B,MATCH(A330,SETORES!$A:$A,0))</f>
        <v>Clientes</v>
      </c>
      <c r="C330" s="2" t="s">
        <v>14</v>
      </c>
      <c r="D330" s="14">
        <f>IF(B330="Clientes",SUMIFS(PARÂMETROS!$D$8:$D$907,PARÂMETROS!$A$8:$A$907,C330,PARÂMETROS!$G$8:$G$907,J330),SUMIFS(PARÂMETROS!$E$8:$E$907,PARÂMETROS!$A$8:$A$907,C330,PARÂMETROS!$G$8:$G$907,J330))</f>
        <v>1.907728653039038E-2</v>
      </c>
      <c r="E330" s="21">
        <f>SUMIFS(SETORES!$D:$D,SETORES!$A:$A,A330,SETORES!$F:$F,J330)</f>
        <v>27798.627199777799</v>
      </c>
      <c r="F330" s="21">
        <f t="shared" si="18"/>
        <v>530.32237624166464</v>
      </c>
      <c r="G330" s="14">
        <f>SUMIFS(PARÂMETROS!$F$8:$F$907,PARÂMETROS!$A$8:$A$907,C330,PARÂMETROS!$G$8:$G$907,J330)</f>
        <v>0</v>
      </c>
      <c r="H330" s="21">
        <f t="shared" si="19"/>
        <v>0</v>
      </c>
      <c r="I330" s="21">
        <f t="shared" si="20"/>
        <v>530.32237624166464</v>
      </c>
      <c r="J330" s="2" t="s">
        <v>20</v>
      </c>
    </row>
    <row r="331" spans="1:10" ht="14.25" hidden="1" customHeight="1" x14ac:dyDescent="0.3">
      <c r="A331" s="11" t="s">
        <v>42</v>
      </c>
      <c r="B331" s="19" t="str">
        <f>INDEX(SETORES!$B:$B,MATCH(A331,SETORES!$A:$A,0))</f>
        <v>Clientes</v>
      </c>
      <c r="C331" s="11" t="s">
        <v>15</v>
      </c>
      <c r="D331" s="9">
        <f>IF(B331="Clientes",SUMIFS(PARÂMETROS!$D$8:$D$907,PARÂMETROS!$A$8:$A$907,C331,PARÂMETROS!$G$8:$G$907,J331),SUMIFS(PARÂMETROS!$E$8:$E$907,PARÂMETROS!$A$8:$A$907,C331,PARÂMETROS!$G$8:$G$907,J331))</f>
        <v>3.3429677985856672E-2</v>
      </c>
      <c r="E331" s="20">
        <f>SUMIFS(SETORES!$D:$D,SETORES!$A:$A,A331,SETORES!$F:$F,J331)</f>
        <v>27798.627199777799</v>
      </c>
      <c r="F331" s="20">
        <f t="shared" si="18"/>
        <v>929.29915573744836</v>
      </c>
      <c r="G331" s="9">
        <f>SUMIFS(PARÂMETROS!$F$8:$F$907,PARÂMETROS!$A$8:$A$907,C331,PARÂMETROS!$G$8:$G$907,J331)</f>
        <v>0</v>
      </c>
      <c r="H331" s="20">
        <f t="shared" si="19"/>
        <v>0</v>
      </c>
      <c r="I331" s="20">
        <f t="shared" si="20"/>
        <v>929.29915573744836</v>
      </c>
      <c r="J331" s="11" t="s">
        <v>20</v>
      </c>
    </row>
    <row r="332" spans="1:10" ht="14.25" hidden="1" customHeight="1" x14ac:dyDescent="0.3">
      <c r="A332" s="2" t="s">
        <v>42</v>
      </c>
      <c r="B332" s="2" t="str">
        <f>INDEX(SETORES!$B:$B,MATCH(A332,SETORES!$A:$A,0))</f>
        <v>Clientes</v>
      </c>
      <c r="C332" s="2" t="s">
        <v>16</v>
      </c>
      <c r="D332" s="14">
        <f>IF(B332="Clientes",SUMIFS(PARÂMETROS!$D$8:$D$907,PARÂMETROS!$A$8:$A$907,C332,PARÂMETROS!$G$8:$G$907,J332),SUMIFS(PARÂMETROS!$E$8:$E$907,PARÂMETROS!$A$8:$A$907,C332,PARÂMETROS!$G$8:$G$907,J332))</f>
        <v>2.4722072681848353E-2</v>
      </c>
      <c r="E332" s="21">
        <f>SUMIFS(SETORES!$D:$D,SETORES!$A:$A,A332,SETORES!$F:$F,J332)</f>
        <v>27798.627199777799</v>
      </c>
      <c r="F332" s="21">
        <f t="shared" si="18"/>
        <v>687.23968208851329</v>
      </c>
      <c r="G332" s="14">
        <f>SUMIFS(PARÂMETROS!$F$8:$F$907,PARÂMETROS!$A$8:$A$907,C332,PARÂMETROS!$G$8:$G$907,J332)</f>
        <v>0</v>
      </c>
      <c r="H332" s="21">
        <f t="shared" si="19"/>
        <v>0</v>
      </c>
      <c r="I332" s="21">
        <f t="shared" si="20"/>
        <v>687.23968208851329</v>
      </c>
      <c r="J332" s="2" t="s">
        <v>20</v>
      </c>
    </row>
    <row r="333" spans="1:10" ht="14.25" hidden="1" customHeight="1" x14ac:dyDescent="0.3">
      <c r="A333" s="11" t="s">
        <v>42</v>
      </c>
      <c r="B333" s="19" t="str">
        <f>INDEX(SETORES!$B:$B,MATCH(A333,SETORES!$A:$A,0))</f>
        <v>Clientes</v>
      </c>
      <c r="C333" s="11" t="s">
        <v>17</v>
      </c>
      <c r="D333" s="9">
        <f>IF(B333="Clientes",SUMIFS(PARÂMETROS!$D$8:$D$907,PARÂMETROS!$A$8:$A$907,C333,PARÂMETROS!$G$8:$G$907,J333),SUMIFS(PARÂMETROS!$E$8:$E$907,PARÂMETROS!$A$8:$A$907,C333,PARÂMETROS!$G$8:$G$907,J333))</f>
        <v>2.4993858681733368E-2</v>
      </c>
      <c r="E333" s="20">
        <f>SUMIFS(SETORES!$D:$D,SETORES!$A:$A,A333,SETORES!$F:$F,J333)</f>
        <v>27798.627199777799</v>
      </c>
      <c r="F333" s="20">
        <f t="shared" si="18"/>
        <v>694.79495977743568</v>
      </c>
      <c r="G333" s="9">
        <f>SUMIFS(PARÂMETROS!$F$8:$F$907,PARÂMETROS!$A$8:$A$907,C333,PARÂMETROS!$G$8:$G$907,J333)</f>
        <v>0</v>
      </c>
      <c r="H333" s="20">
        <f t="shared" si="19"/>
        <v>0</v>
      </c>
      <c r="I333" s="20">
        <f t="shared" si="20"/>
        <v>694.79495977743568</v>
      </c>
      <c r="J333" s="11" t="s">
        <v>20</v>
      </c>
    </row>
    <row r="334" spans="1:10" ht="14.25" hidden="1" customHeight="1" x14ac:dyDescent="0.3">
      <c r="A334" s="2" t="s">
        <v>42</v>
      </c>
      <c r="B334" s="2" t="str">
        <f>INDEX(SETORES!$B:$B,MATCH(A334,SETORES!$A:$A,0))</f>
        <v>Clientes</v>
      </c>
      <c r="C334" s="2" t="s">
        <v>18</v>
      </c>
      <c r="D334" s="14">
        <f>IF(B334="Clientes",SUMIFS(PARÂMETROS!$D$8:$D$907,PARÂMETROS!$A$8:$A$907,C334,PARÂMETROS!$G$8:$G$907,J334),SUMIFS(PARÂMETROS!$E$8:$E$907,PARÂMETROS!$A$8:$A$907,C334,PARÂMETROS!$G$8:$G$907,J334))</f>
        <v>0.72000292692615264</v>
      </c>
      <c r="E334" s="21">
        <f>SUMIFS(SETORES!$D:$D,SETORES!$A:$A,A334,SETORES!$F:$F,J334)</f>
        <v>27798.627199777799</v>
      </c>
      <c r="F334" s="21">
        <f t="shared" si="18"/>
        <v>20015.092948368972</v>
      </c>
      <c r="G334" s="14">
        <f>SUMIFS(PARÂMETROS!$F$8:$F$907,PARÂMETROS!$A$8:$A$907,C334,PARÂMETROS!$G$8:$G$907,J334)</f>
        <v>0</v>
      </c>
      <c r="H334" s="21">
        <f t="shared" si="19"/>
        <v>0</v>
      </c>
      <c r="I334" s="21">
        <f t="shared" si="20"/>
        <v>20015.092948368972</v>
      </c>
      <c r="J334" s="2" t="s">
        <v>20</v>
      </c>
    </row>
    <row r="335" spans="1:10" ht="14.25" hidden="1" customHeight="1" x14ac:dyDescent="0.3">
      <c r="A335" s="11" t="s">
        <v>43</v>
      </c>
      <c r="B335" s="19" t="str">
        <f>INDEX(SETORES!$B:$B,MATCH(A335,SETORES!$A:$A,0))</f>
        <v>Clientes</v>
      </c>
      <c r="C335" s="11" t="s">
        <v>10</v>
      </c>
      <c r="D335" s="9">
        <f>IF(B335="Clientes",SUMIFS(PARÂMETROS!$D$8:$D$907,PARÂMETROS!$A$8:$A$907,C335,PARÂMETROS!$G$8:$G$907,J335),SUMIFS(PARÂMETROS!$E$8:$E$907,PARÂMETROS!$A$8:$A$907,C335,PARÂMETROS!$G$8:$G$907,J335))</f>
        <v>3.2823386139959339E-2</v>
      </c>
      <c r="E335" s="20">
        <f>SUMIFS(SETORES!$D:$D,SETORES!$A:$A,A335,SETORES!$F:$F,J335)</f>
        <v>21989.822400000001</v>
      </c>
      <c r="F335" s="20">
        <f t="shared" si="18"/>
        <v>721.78043178432745</v>
      </c>
      <c r="G335" s="9">
        <f>SUMIFS(PARÂMETROS!$F$8:$F$907,PARÂMETROS!$A$8:$A$907,C335,PARÂMETROS!$G$8:$G$907,J335)</f>
        <v>0</v>
      </c>
      <c r="H335" s="20">
        <f t="shared" si="19"/>
        <v>0</v>
      </c>
      <c r="I335" s="20">
        <f t="shared" si="20"/>
        <v>721.78043178432745</v>
      </c>
      <c r="J335" s="11" t="s">
        <v>20</v>
      </c>
    </row>
    <row r="336" spans="1:10" ht="14.25" hidden="1" customHeight="1" x14ac:dyDescent="0.3">
      <c r="A336" s="2" t="s">
        <v>43</v>
      </c>
      <c r="B336" s="2" t="str">
        <f>INDEX(SETORES!$B:$B,MATCH(A336,SETORES!$A:$A,0))</f>
        <v>Clientes</v>
      </c>
      <c r="C336" s="2" t="s">
        <v>12</v>
      </c>
      <c r="D336" s="14">
        <f>IF(B336="Clientes",SUMIFS(PARÂMETROS!$D$8:$D$907,PARÂMETROS!$A$8:$A$907,C336,PARÂMETROS!$G$8:$G$907,J336),SUMIFS(PARÂMETROS!$E$8:$E$907,PARÂMETROS!$A$8:$A$907,C336,PARÂMETROS!$G$8:$G$907,J336))</f>
        <v>7.0047614816518319E-2</v>
      </c>
      <c r="E336" s="21">
        <f>SUMIFS(SETORES!$D:$D,SETORES!$A:$A,A336,SETORES!$F:$F,J336)</f>
        <v>21989.822400000001</v>
      </c>
      <c r="F336" s="21">
        <f t="shared" si="18"/>
        <v>1540.3346093588466</v>
      </c>
      <c r="G336" s="14">
        <f>SUMIFS(PARÂMETROS!$F$8:$F$907,PARÂMETROS!$A$8:$A$907,C336,PARÂMETROS!$G$8:$G$907,J336)</f>
        <v>0</v>
      </c>
      <c r="H336" s="21">
        <f t="shared" si="19"/>
        <v>0</v>
      </c>
      <c r="I336" s="21">
        <f t="shared" si="20"/>
        <v>1540.3346093588466</v>
      </c>
      <c r="J336" s="2" t="s">
        <v>20</v>
      </c>
    </row>
    <row r="337" spans="1:10" ht="14.25" hidden="1" customHeight="1" x14ac:dyDescent="0.3">
      <c r="A337" s="11" t="s">
        <v>43</v>
      </c>
      <c r="B337" s="19" t="str">
        <f>INDEX(SETORES!$B:$B,MATCH(A337,SETORES!$A:$A,0))</f>
        <v>Clientes</v>
      </c>
      <c r="C337" s="11" t="s">
        <v>13</v>
      </c>
      <c r="D337" s="9">
        <f>IF(B337="Clientes",SUMIFS(PARÂMETROS!$D$8:$D$907,PARÂMETROS!$A$8:$A$907,C337,PARÂMETROS!$G$8:$G$907,J337),SUMIFS(PARÂMETROS!$E$8:$E$907,PARÂMETROS!$A$8:$A$907,C337,PARÂMETROS!$G$8:$G$907,J337))</f>
        <v>7.4903176237540961E-2</v>
      </c>
      <c r="E337" s="20">
        <f>SUMIFS(SETORES!$D:$D,SETORES!$A:$A,A337,SETORES!$F:$F,J337)</f>
        <v>21989.822400000001</v>
      </c>
      <c r="F337" s="20">
        <f t="shared" si="18"/>
        <v>1647.1075426594259</v>
      </c>
      <c r="G337" s="9">
        <f>SUMIFS(PARÂMETROS!$F$8:$F$907,PARÂMETROS!$A$8:$A$907,C337,PARÂMETROS!$G$8:$G$907,J337)</f>
        <v>0</v>
      </c>
      <c r="H337" s="20">
        <f t="shared" si="19"/>
        <v>0</v>
      </c>
      <c r="I337" s="20">
        <f t="shared" si="20"/>
        <v>1647.1075426594259</v>
      </c>
      <c r="J337" s="11" t="s">
        <v>20</v>
      </c>
    </row>
    <row r="338" spans="1:10" ht="14.25" customHeight="1" x14ac:dyDescent="0.3">
      <c r="A338" s="2" t="s">
        <v>43</v>
      </c>
      <c r="B338" s="2" t="str">
        <f>INDEX(SETORES!$B:$B,MATCH(A338,SETORES!$A:$A,0))</f>
        <v>Clientes</v>
      </c>
      <c r="C338" s="2" t="s">
        <v>14</v>
      </c>
      <c r="D338" s="14">
        <f>IF(B338="Clientes",SUMIFS(PARÂMETROS!$D$8:$D$907,PARÂMETROS!$A$8:$A$907,C338,PARÂMETROS!$G$8:$G$907,J338),SUMIFS(PARÂMETROS!$E$8:$E$907,PARÂMETROS!$A$8:$A$907,C338,PARÂMETROS!$G$8:$G$907,J338))</f>
        <v>1.907728653039038E-2</v>
      </c>
      <c r="E338" s="21">
        <f>SUMIFS(SETORES!$D:$D,SETORES!$A:$A,A338,SETORES!$F:$F,J338)</f>
        <v>21989.822400000001</v>
      </c>
      <c r="F338" s="21">
        <f t="shared" si="18"/>
        <v>419.50614267719669</v>
      </c>
      <c r="G338" s="14">
        <f>SUMIFS(PARÂMETROS!$F$8:$F$907,PARÂMETROS!$A$8:$A$907,C338,PARÂMETROS!$G$8:$G$907,J338)</f>
        <v>0</v>
      </c>
      <c r="H338" s="21">
        <f t="shared" si="19"/>
        <v>0</v>
      </c>
      <c r="I338" s="21">
        <f t="shared" si="20"/>
        <v>419.50614267719669</v>
      </c>
      <c r="J338" s="2" t="s">
        <v>20</v>
      </c>
    </row>
    <row r="339" spans="1:10" ht="14.25" hidden="1" customHeight="1" x14ac:dyDescent="0.3">
      <c r="A339" s="11" t="s">
        <v>43</v>
      </c>
      <c r="B339" s="19" t="str">
        <f>INDEX(SETORES!$B:$B,MATCH(A339,SETORES!$A:$A,0))</f>
        <v>Clientes</v>
      </c>
      <c r="C339" s="11" t="s">
        <v>15</v>
      </c>
      <c r="D339" s="9">
        <f>IF(B339="Clientes",SUMIFS(PARÂMETROS!$D$8:$D$907,PARÂMETROS!$A$8:$A$907,C339,PARÂMETROS!$G$8:$G$907,J339),SUMIFS(PARÂMETROS!$E$8:$E$907,PARÂMETROS!$A$8:$A$907,C339,PARÂMETROS!$G$8:$G$907,J339))</f>
        <v>3.3429677985856672E-2</v>
      </c>
      <c r="E339" s="20">
        <f>SUMIFS(SETORES!$D:$D,SETORES!$A:$A,A339,SETORES!$F:$F,J339)</f>
        <v>21989.822400000001</v>
      </c>
      <c r="F339" s="20">
        <f t="shared" si="18"/>
        <v>735.11268179817796</v>
      </c>
      <c r="G339" s="9">
        <f>SUMIFS(PARÂMETROS!$F$8:$F$907,PARÂMETROS!$A$8:$A$907,C339,PARÂMETROS!$G$8:$G$907,J339)</f>
        <v>0</v>
      </c>
      <c r="H339" s="20">
        <f t="shared" si="19"/>
        <v>0</v>
      </c>
      <c r="I339" s="20">
        <f t="shared" si="20"/>
        <v>735.11268179817796</v>
      </c>
      <c r="J339" s="11" t="s">
        <v>20</v>
      </c>
    </row>
    <row r="340" spans="1:10" ht="14.25" hidden="1" customHeight="1" x14ac:dyDescent="0.3">
      <c r="A340" s="2" t="s">
        <v>43</v>
      </c>
      <c r="B340" s="2" t="str">
        <f>INDEX(SETORES!$B:$B,MATCH(A340,SETORES!$A:$A,0))</f>
        <v>Clientes</v>
      </c>
      <c r="C340" s="2" t="s">
        <v>16</v>
      </c>
      <c r="D340" s="14">
        <f>IF(B340="Clientes",SUMIFS(PARÂMETROS!$D$8:$D$907,PARÂMETROS!$A$8:$A$907,C340,PARÂMETROS!$G$8:$G$907,J340),SUMIFS(PARÂMETROS!$E$8:$E$907,PARÂMETROS!$A$8:$A$907,C340,PARÂMETROS!$G$8:$G$907,J340))</f>
        <v>2.4722072681848353E-2</v>
      </c>
      <c r="E340" s="21">
        <f>SUMIFS(SETORES!$D:$D,SETORES!$A:$A,A340,SETORES!$F:$F,J340)</f>
        <v>21989.822400000001</v>
      </c>
      <c r="F340" s="21">
        <f t="shared" si="18"/>
        <v>543.63398763373698</v>
      </c>
      <c r="G340" s="14">
        <f>SUMIFS(PARÂMETROS!$F$8:$F$907,PARÂMETROS!$A$8:$A$907,C340,PARÂMETROS!$G$8:$G$907,J340)</f>
        <v>0</v>
      </c>
      <c r="H340" s="21">
        <f t="shared" si="19"/>
        <v>0</v>
      </c>
      <c r="I340" s="21">
        <f t="shared" si="20"/>
        <v>543.63398763373698</v>
      </c>
      <c r="J340" s="2" t="s">
        <v>20</v>
      </c>
    </row>
    <row r="341" spans="1:10" ht="14.25" hidden="1" customHeight="1" x14ac:dyDescent="0.3">
      <c r="A341" s="11" t="s">
        <v>43</v>
      </c>
      <c r="B341" s="19" t="str">
        <f>INDEX(SETORES!$B:$B,MATCH(A341,SETORES!$A:$A,0))</f>
        <v>Clientes</v>
      </c>
      <c r="C341" s="11" t="s">
        <v>17</v>
      </c>
      <c r="D341" s="9">
        <f>IF(B341="Clientes",SUMIFS(PARÂMETROS!$D$8:$D$907,PARÂMETROS!$A$8:$A$907,C341,PARÂMETROS!$G$8:$G$907,J341),SUMIFS(PARÂMETROS!$E$8:$E$907,PARÂMETROS!$A$8:$A$907,C341,PARÂMETROS!$G$8:$G$907,J341))</f>
        <v>2.4993858681733368E-2</v>
      </c>
      <c r="E341" s="20">
        <f>SUMIFS(SETORES!$D:$D,SETORES!$A:$A,A341,SETORES!$F:$F,J341)</f>
        <v>21989.822400000001</v>
      </c>
      <c r="F341" s="20">
        <f t="shared" si="18"/>
        <v>549.6105135020149</v>
      </c>
      <c r="G341" s="9">
        <f>SUMIFS(PARÂMETROS!$F$8:$F$907,PARÂMETROS!$A$8:$A$907,C341,PARÂMETROS!$G$8:$G$907,J341)</f>
        <v>0</v>
      </c>
      <c r="H341" s="20">
        <f t="shared" si="19"/>
        <v>0</v>
      </c>
      <c r="I341" s="20">
        <f t="shared" si="20"/>
        <v>549.6105135020149</v>
      </c>
      <c r="J341" s="11" t="s">
        <v>20</v>
      </c>
    </row>
    <row r="342" spans="1:10" ht="14.25" hidden="1" customHeight="1" x14ac:dyDescent="0.3">
      <c r="A342" s="2" t="s">
        <v>43</v>
      </c>
      <c r="B342" s="2" t="str">
        <f>INDEX(SETORES!$B:$B,MATCH(A342,SETORES!$A:$A,0))</f>
        <v>Clientes</v>
      </c>
      <c r="C342" s="2" t="s">
        <v>18</v>
      </c>
      <c r="D342" s="14">
        <f>IF(B342="Clientes",SUMIFS(PARÂMETROS!$D$8:$D$907,PARÂMETROS!$A$8:$A$907,C342,PARÂMETROS!$G$8:$G$907,J342),SUMIFS(PARÂMETROS!$E$8:$E$907,PARÂMETROS!$A$8:$A$907,C342,PARÂMETROS!$G$8:$G$907,J342))</f>
        <v>0.72000292692615264</v>
      </c>
      <c r="E342" s="21">
        <f>SUMIFS(SETORES!$D:$D,SETORES!$A:$A,A342,SETORES!$F:$F,J342)</f>
        <v>21989.822400000001</v>
      </c>
      <c r="F342" s="21">
        <f t="shared" si="18"/>
        <v>15832.736490586276</v>
      </c>
      <c r="G342" s="14">
        <f>SUMIFS(PARÂMETROS!$F$8:$F$907,PARÂMETROS!$A$8:$A$907,C342,PARÂMETROS!$G$8:$G$907,J342)</f>
        <v>0</v>
      </c>
      <c r="H342" s="21">
        <f t="shared" si="19"/>
        <v>0</v>
      </c>
      <c r="I342" s="21">
        <f t="shared" si="20"/>
        <v>15832.736490586276</v>
      </c>
      <c r="J342" s="2" t="s">
        <v>20</v>
      </c>
    </row>
    <row r="343" spans="1:10" ht="14.25" hidden="1" customHeight="1" x14ac:dyDescent="0.3">
      <c r="A343" s="11" t="s">
        <v>44</v>
      </c>
      <c r="B343" s="19" t="str">
        <f>INDEX(SETORES!$B:$B,MATCH(A343,SETORES!$A:$A,0))</f>
        <v>Funcionários</v>
      </c>
      <c r="C343" s="11" t="s">
        <v>10</v>
      </c>
      <c r="D343" s="9">
        <f>IF(B343="Clientes",SUMIFS(PARÂMETROS!$D$8:$D$907,PARÂMETROS!$A$8:$A$907,C343,PARÂMETROS!$G$8:$G$907,J343),SUMIFS(PARÂMETROS!$E$8:$E$907,PARÂMETROS!$A$8:$A$907,C343,PARÂMETROS!$G$8:$G$907,J343))</f>
        <v>3.3238366571699908E-2</v>
      </c>
      <c r="E343" s="20">
        <f>SUMIFS(SETORES!$D:$D,SETORES!$A:$A,A343,SETORES!$F:$F,J343)</f>
        <v>52314.603600000009</v>
      </c>
      <c r="F343" s="20">
        <f t="shared" si="18"/>
        <v>1738.8519715099719</v>
      </c>
      <c r="G343" s="9">
        <f>SUMIFS(PARÂMETROS!$F$8:$F$907,PARÂMETROS!$A$8:$A$907,C343,PARÂMETROS!$G$8:$G$907,J343)</f>
        <v>0</v>
      </c>
      <c r="H343" s="20">
        <f t="shared" si="19"/>
        <v>0</v>
      </c>
      <c r="I343" s="20">
        <f t="shared" si="20"/>
        <v>1738.8519715099719</v>
      </c>
      <c r="J343" s="11" t="s">
        <v>20</v>
      </c>
    </row>
    <row r="344" spans="1:10" ht="14.25" hidden="1" customHeight="1" x14ac:dyDescent="0.3">
      <c r="A344" s="2" t="s">
        <v>44</v>
      </c>
      <c r="B344" s="2" t="str">
        <f>INDEX(SETORES!$B:$B,MATCH(A344,SETORES!$A:$A,0))</f>
        <v>Funcionários</v>
      </c>
      <c r="C344" s="2" t="s">
        <v>12</v>
      </c>
      <c r="D344" s="14">
        <f>IF(B344="Clientes",SUMIFS(PARÂMETROS!$D$8:$D$907,PARÂMETROS!$A$8:$A$907,C344,PARÂMETROS!$G$8:$G$907,J344),SUMIFS(PARÂMETROS!$E$8:$E$907,PARÂMETROS!$A$8:$A$907,C344,PARÂMETROS!$G$8:$G$907,J344))</f>
        <v>3.3238366571699908E-2</v>
      </c>
      <c r="E344" s="21">
        <f>SUMIFS(SETORES!$D:$D,SETORES!$A:$A,A344,SETORES!$F:$F,J344)</f>
        <v>52314.603600000009</v>
      </c>
      <c r="F344" s="21">
        <f t="shared" si="18"/>
        <v>1738.8519715099719</v>
      </c>
      <c r="G344" s="14">
        <f>SUMIFS(PARÂMETROS!$F$8:$F$907,PARÂMETROS!$A$8:$A$907,C344,PARÂMETROS!$G$8:$G$907,J344)</f>
        <v>0</v>
      </c>
      <c r="H344" s="21">
        <f t="shared" si="19"/>
        <v>0</v>
      </c>
      <c r="I344" s="21">
        <f t="shared" si="20"/>
        <v>1738.8519715099719</v>
      </c>
      <c r="J344" s="2" t="s">
        <v>20</v>
      </c>
    </row>
    <row r="345" spans="1:10" ht="14.25" hidden="1" customHeight="1" x14ac:dyDescent="0.3">
      <c r="A345" s="11" t="s">
        <v>44</v>
      </c>
      <c r="B345" s="19" t="str">
        <f>INDEX(SETORES!$B:$B,MATCH(A345,SETORES!$A:$A,0))</f>
        <v>Funcionários</v>
      </c>
      <c r="C345" s="11" t="s">
        <v>13</v>
      </c>
      <c r="D345" s="9">
        <f>IF(B345="Clientes",SUMIFS(PARÂMETROS!$D$8:$D$907,PARÂMETROS!$A$8:$A$907,C345,PARÂMETROS!$G$8:$G$907,J345),SUMIFS(PARÂMETROS!$E$8:$E$907,PARÂMETROS!$A$8:$A$907,C345,PARÂMETROS!$G$8:$G$907,J345))</f>
        <v>3.9886039886039885E-2</v>
      </c>
      <c r="E345" s="20">
        <f>SUMIFS(SETORES!$D:$D,SETORES!$A:$A,A345,SETORES!$F:$F,J345)</f>
        <v>52314.603600000009</v>
      </c>
      <c r="F345" s="20">
        <f t="shared" si="18"/>
        <v>2086.6223658119661</v>
      </c>
      <c r="G345" s="9">
        <f>SUMIFS(PARÂMETROS!$F$8:$F$907,PARÂMETROS!$A$8:$A$907,C345,PARÂMETROS!$G$8:$G$907,J345)</f>
        <v>0</v>
      </c>
      <c r="H345" s="20">
        <f t="shared" si="19"/>
        <v>0</v>
      </c>
      <c r="I345" s="20">
        <f t="shared" si="20"/>
        <v>2086.6223658119661</v>
      </c>
      <c r="J345" s="11" t="s">
        <v>20</v>
      </c>
    </row>
    <row r="346" spans="1:10" ht="14.25" customHeight="1" x14ac:dyDescent="0.3">
      <c r="A346" s="2" t="s">
        <v>44</v>
      </c>
      <c r="B346" s="2" t="str">
        <f>INDEX(SETORES!$B:$B,MATCH(A346,SETORES!$A:$A,0))</f>
        <v>Funcionários</v>
      </c>
      <c r="C346" s="2" t="s">
        <v>14</v>
      </c>
      <c r="D346" s="14">
        <f>IF(B346="Clientes",SUMIFS(PARÂMETROS!$D$8:$D$907,PARÂMETROS!$A$8:$A$907,C346,PARÂMETROS!$G$8:$G$907,J346),SUMIFS(PARÂMETROS!$E$8:$E$907,PARÂMETROS!$A$8:$A$907,C346,PARÂMETROS!$G$8:$G$907,J346))</f>
        <v>1.0446343779677113E-2</v>
      </c>
      <c r="E346" s="21">
        <f>SUMIFS(SETORES!$D:$D,SETORES!$A:$A,A346,SETORES!$F:$F,J346)</f>
        <v>52314.603600000009</v>
      </c>
      <c r="F346" s="21">
        <f t="shared" si="18"/>
        <v>546.49633390313397</v>
      </c>
      <c r="G346" s="14">
        <f>SUMIFS(PARÂMETROS!$F$8:$F$907,PARÂMETROS!$A$8:$A$907,C346,PARÂMETROS!$G$8:$G$907,J346)</f>
        <v>0</v>
      </c>
      <c r="H346" s="21">
        <f t="shared" si="19"/>
        <v>0</v>
      </c>
      <c r="I346" s="21">
        <f t="shared" si="20"/>
        <v>546.49633390313397</v>
      </c>
      <c r="J346" s="2" t="s">
        <v>20</v>
      </c>
    </row>
    <row r="347" spans="1:10" ht="14.25" hidden="1" customHeight="1" x14ac:dyDescent="0.3">
      <c r="A347" s="11" t="s">
        <v>44</v>
      </c>
      <c r="B347" s="19" t="str">
        <f>INDEX(SETORES!$B:$B,MATCH(A347,SETORES!$A:$A,0))</f>
        <v>Funcionários</v>
      </c>
      <c r="C347" s="11" t="s">
        <v>15</v>
      </c>
      <c r="D347" s="9">
        <f>IF(B347="Clientes",SUMIFS(PARÂMETROS!$D$8:$D$907,PARÂMETROS!$A$8:$A$907,C347,PARÂMETROS!$G$8:$G$907,J347),SUMIFS(PARÂMETROS!$E$8:$E$907,PARÂMETROS!$A$8:$A$907,C347,PARÂMETROS!$G$8:$G$907,J347))</f>
        <v>3.9886039886039885E-2</v>
      </c>
      <c r="E347" s="20">
        <f>SUMIFS(SETORES!$D:$D,SETORES!$A:$A,A347,SETORES!$F:$F,J347)</f>
        <v>52314.603600000009</v>
      </c>
      <c r="F347" s="20">
        <f t="shared" si="18"/>
        <v>2086.6223658119661</v>
      </c>
      <c r="G347" s="9">
        <f>SUMIFS(PARÂMETROS!$F$8:$F$907,PARÂMETROS!$A$8:$A$907,C347,PARÂMETROS!$G$8:$G$907,J347)</f>
        <v>0</v>
      </c>
      <c r="H347" s="20">
        <f t="shared" si="19"/>
        <v>0</v>
      </c>
      <c r="I347" s="20">
        <f t="shared" si="20"/>
        <v>2086.6223658119661</v>
      </c>
      <c r="J347" s="11" t="s">
        <v>20</v>
      </c>
    </row>
    <row r="348" spans="1:10" ht="14.25" hidden="1" customHeight="1" x14ac:dyDescent="0.3">
      <c r="A348" s="2" t="s">
        <v>44</v>
      </c>
      <c r="B348" s="2" t="str">
        <f>INDEX(SETORES!$B:$B,MATCH(A348,SETORES!$A:$A,0))</f>
        <v>Funcionários</v>
      </c>
      <c r="C348" s="2" t="s">
        <v>16</v>
      </c>
      <c r="D348" s="14">
        <f>IF(B348="Clientes",SUMIFS(PARÂMETROS!$D$8:$D$907,PARÂMETROS!$A$8:$A$907,C348,PARÂMETROS!$G$8:$G$907,J348),SUMIFS(PARÂMETROS!$E$8:$E$907,PARÂMETROS!$A$8:$A$907,C348,PARÂMETROS!$G$8:$G$907,J348))</f>
        <v>1.7094017094017096E-2</v>
      </c>
      <c r="E348" s="21">
        <f>SUMIFS(SETORES!$D:$D,SETORES!$A:$A,A348,SETORES!$F:$F,J348)</f>
        <v>52314.603600000009</v>
      </c>
      <c r="F348" s="21">
        <f t="shared" si="18"/>
        <v>894.2667282051284</v>
      </c>
      <c r="G348" s="14">
        <f>SUMIFS(PARÂMETROS!$F$8:$F$907,PARÂMETROS!$A$8:$A$907,C348,PARÂMETROS!$G$8:$G$907,J348)</f>
        <v>0</v>
      </c>
      <c r="H348" s="21">
        <f t="shared" si="19"/>
        <v>0</v>
      </c>
      <c r="I348" s="21">
        <f t="shared" si="20"/>
        <v>894.2667282051284</v>
      </c>
      <c r="J348" s="2" t="s">
        <v>20</v>
      </c>
    </row>
    <row r="349" spans="1:10" ht="14.25" hidden="1" customHeight="1" x14ac:dyDescent="0.3">
      <c r="A349" s="11" t="s">
        <v>44</v>
      </c>
      <c r="B349" s="19" t="str">
        <f>INDEX(SETORES!$B:$B,MATCH(A349,SETORES!$A:$A,0))</f>
        <v>Funcionários</v>
      </c>
      <c r="C349" s="11" t="s">
        <v>17</v>
      </c>
      <c r="D349" s="9">
        <f>IF(B349="Clientes",SUMIFS(PARÂMETROS!$D$8:$D$907,PARÂMETROS!$A$8:$A$907,C349,PARÂMETROS!$G$8:$G$907,J349),SUMIFS(PARÂMETROS!$E$8:$E$907,PARÂMETROS!$A$8:$A$907,C349,PARÂMETROS!$G$8:$G$907,J349))</f>
        <v>1.8993352326685659E-2</v>
      </c>
      <c r="E349" s="20">
        <f>SUMIFS(SETORES!$D:$D,SETORES!$A:$A,A349,SETORES!$F:$F,J349)</f>
        <v>52314.603600000009</v>
      </c>
      <c r="F349" s="20">
        <f t="shared" si="18"/>
        <v>993.62969800569817</v>
      </c>
      <c r="G349" s="9">
        <f>SUMIFS(PARÂMETROS!$F$8:$F$907,PARÂMETROS!$A$8:$A$907,C349,PARÂMETROS!$G$8:$G$907,J349)</f>
        <v>0</v>
      </c>
      <c r="H349" s="20">
        <f t="shared" si="19"/>
        <v>0</v>
      </c>
      <c r="I349" s="20">
        <f t="shared" si="20"/>
        <v>993.62969800569817</v>
      </c>
      <c r="J349" s="11" t="s">
        <v>20</v>
      </c>
    </row>
    <row r="350" spans="1:10" ht="14.25" hidden="1" customHeight="1" x14ac:dyDescent="0.3">
      <c r="A350" s="2" t="s">
        <v>44</v>
      </c>
      <c r="B350" s="2" t="str">
        <f>INDEX(SETORES!$B:$B,MATCH(A350,SETORES!$A:$A,0))</f>
        <v>Funcionários</v>
      </c>
      <c r="C350" s="2" t="s">
        <v>18</v>
      </c>
      <c r="D350" s="14">
        <f>IF(B350="Clientes",SUMIFS(PARÂMETROS!$D$8:$D$907,PARÂMETROS!$A$8:$A$907,C350,PARÂMETROS!$G$8:$G$907,J350),SUMIFS(PARÂMETROS!$E$8:$E$907,PARÂMETROS!$A$8:$A$907,C350,PARÂMETROS!$G$8:$G$907,J350))</f>
        <v>0.80721747388414056</v>
      </c>
      <c r="E350" s="21">
        <f>SUMIFS(SETORES!$D:$D,SETORES!$A:$A,A350,SETORES!$F:$F,J350)</f>
        <v>52314.603600000009</v>
      </c>
      <c r="F350" s="21">
        <f t="shared" si="18"/>
        <v>42229.262165242173</v>
      </c>
      <c r="G350" s="14">
        <f>SUMIFS(PARÂMETROS!$F$8:$F$907,PARÂMETROS!$A$8:$A$907,C350,PARÂMETROS!$G$8:$G$907,J350)</f>
        <v>0</v>
      </c>
      <c r="H350" s="21">
        <f t="shared" si="19"/>
        <v>0</v>
      </c>
      <c r="I350" s="21">
        <f t="shared" si="20"/>
        <v>42229.262165242173</v>
      </c>
      <c r="J350" s="2" t="s">
        <v>20</v>
      </c>
    </row>
    <row r="351" spans="1:10" ht="14.25" hidden="1" customHeight="1" x14ac:dyDescent="0.3">
      <c r="A351" s="11" t="s">
        <v>45</v>
      </c>
      <c r="B351" s="19" t="str">
        <f>INDEX(SETORES!$B:$B,MATCH(A351,SETORES!$A:$A,0))</f>
        <v>Clientes</v>
      </c>
      <c r="C351" s="11" t="s">
        <v>10</v>
      </c>
      <c r="D351" s="9">
        <f>IF(B351="Clientes",SUMIFS(PARÂMETROS!$D$8:$D$907,PARÂMETROS!$A$8:$A$907,C351,PARÂMETROS!$G$8:$G$907,J351),SUMIFS(PARÂMETROS!$E$8:$E$907,PARÂMETROS!$A$8:$A$907,C351,PARÂMETROS!$G$8:$G$907,J351))</f>
        <v>3.2823386139959339E-2</v>
      </c>
      <c r="E351" s="20">
        <f>SUMIFS(SETORES!$D:$D,SETORES!$A:$A,A351,SETORES!$F:$F,J351)</f>
        <v>72365.309200000018</v>
      </c>
      <c r="F351" s="20">
        <f t="shared" si="18"/>
        <v>2375.2744870091528</v>
      </c>
      <c r="G351" s="9">
        <f>SUMIFS(PARÂMETROS!$F$8:$F$907,PARÂMETROS!$A$8:$A$907,C351,PARÂMETROS!$G$8:$G$907,J351)</f>
        <v>0</v>
      </c>
      <c r="H351" s="20">
        <f t="shared" si="19"/>
        <v>0</v>
      </c>
      <c r="I351" s="20">
        <f t="shared" si="20"/>
        <v>2375.2744870091528</v>
      </c>
      <c r="J351" s="11" t="s">
        <v>20</v>
      </c>
    </row>
    <row r="352" spans="1:10" ht="14.25" hidden="1" customHeight="1" x14ac:dyDescent="0.3">
      <c r="A352" s="2" t="s">
        <v>45</v>
      </c>
      <c r="B352" s="2" t="str">
        <f>INDEX(SETORES!$B:$B,MATCH(A352,SETORES!$A:$A,0))</f>
        <v>Clientes</v>
      </c>
      <c r="C352" s="2" t="s">
        <v>12</v>
      </c>
      <c r="D352" s="14">
        <f>IF(B352="Clientes",SUMIFS(PARÂMETROS!$D$8:$D$907,PARÂMETROS!$A$8:$A$907,C352,PARÂMETROS!$G$8:$G$907,J352),SUMIFS(PARÂMETROS!$E$8:$E$907,PARÂMETROS!$A$8:$A$907,C352,PARÂMETROS!$G$8:$G$907,J352))</f>
        <v>7.0047614816518319E-2</v>
      </c>
      <c r="E352" s="21">
        <f>SUMIFS(SETORES!$D:$D,SETORES!$A:$A,A352,SETORES!$F:$F,J352)</f>
        <v>72365.309200000018</v>
      </c>
      <c r="F352" s="21">
        <f t="shared" si="18"/>
        <v>5069.0173049198511</v>
      </c>
      <c r="G352" s="14">
        <f>SUMIFS(PARÂMETROS!$F$8:$F$907,PARÂMETROS!$A$8:$A$907,C352,PARÂMETROS!$G$8:$G$907,J352)</f>
        <v>0</v>
      </c>
      <c r="H352" s="21">
        <f t="shared" si="19"/>
        <v>0</v>
      </c>
      <c r="I352" s="21">
        <f t="shared" si="20"/>
        <v>5069.0173049198511</v>
      </c>
      <c r="J352" s="2" t="s">
        <v>20</v>
      </c>
    </row>
    <row r="353" spans="1:10" ht="14.25" hidden="1" customHeight="1" x14ac:dyDescent="0.3">
      <c r="A353" s="11" t="s">
        <v>45</v>
      </c>
      <c r="B353" s="19" t="str">
        <f>INDEX(SETORES!$B:$B,MATCH(A353,SETORES!$A:$A,0))</f>
        <v>Clientes</v>
      </c>
      <c r="C353" s="11" t="s">
        <v>13</v>
      </c>
      <c r="D353" s="9">
        <f>IF(B353="Clientes",SUMIFS(PARÂMETROS!$D$8:$D$907,PARÂMETROS!$A$8:$A$907,C353,PARÂMETROS!$G$8:$G$907,J353),SUMIFS(PARÂMETROS!$E$8:$E$907,PARÂMETROS!$A$8:$A$907,C353,PARÂMETROS!$G$8:$G$907,J353))</f>
        <v>7.4903176237540961E-2</v>
      </c>
      <c r="E353" s="20">
        <f>SUMIFS(SETORES!$D:$D,SETORES!$A:$A,A353,SETORES!$F:$F,J353)</f>
        <v>72365.309200000018</v>
      </c>
      <c r="F353" s="20">
        <f t="shared" si="18"/>
        <v>5420.3915084917453</v>
      </c>
      <c r="G353" s="9">
        <f>SUMIFS(PARÂMETROS!$F$8:$F$907,PARÂMETROS!$A$8:$A$907,C353,PARÂMETROS!$G$8:$G$907,J353)</f>
        <v>0</v>
      </c>
      <c r="H353" s="20">
        <f t="shared" si="19"/>
        <v>0</v>
      </c>
      <c r="I353" s="20">
        <f t="shared" si="20"/>
        <v>5420.3915084917453</v>
      </c>
      <c r="J353" s="11" t="s">
        <v>20</v>
      </c>
    </row>
    <row r="354" spans="1:10" ht="14.25" customHeight="1" x14ac:dyDescent="0.3">
      <c r="A354" s="2" t="s">
        <v>45</v>
      </c>
      <c r="B354" s="2" t="str">
        <f>INDEX(SETORES!$B:$B,MATCH(A354,SETORES!$A:$A,0))</f>
        <v>Clientes</v>
      </c>
      <c r="C354" s="2" t="s">
        <v>14</v>
      </c>
      <c r="D354" s="14">
        <f>IF(B354="Clientes",SUMIFS(PARÂMETROS!$D$8:$D$907,PARÂMETROS!$A$8:$A$907,C354,PARÂMETROS!$G$8:$G$907,J354),SUMIFS(PARÂMETROS!$E$8:$E$907,PARÂMETROS!$A$8:$A$907,C354,PARÂMETROS!$G$8:$G$907,J354))</f>
        <v>1.907728653039038E-2</v>
      </c>
      <c r="E354" s="21">
        <f>SUMIFS(SETORES!$D:$D,SETORES!$A:$A,A354,SETORES!$F:$F,J354)</f>
        <v>72365.309200000018</v>
      </c>
      <c r="F354" s="21">
        <f t="shared" si="18"/>
        <v>1380.5337384686954</v>
      </c>
      <c r="G354" s="14">
        <f>SUMIFS(PARÂMETROS!$F$8:$F$907,PARÂMETROS!$A$8:$A$907,C354,PARÂMETROS!$G$8:$G$907,J354)</f>
        <v>0</v>
      </c>
      <c r="H354" s="21">
        <f t="shared" si="19"/>
        <v>0</v>
      </c>
      <c r="I354" s="21">
        <f t="shared" si="20"/>
        <v>1380.5337384686954</v>
      </c>
      <c r="J354" s="2" t="s">
        <v>20</v>
      </c>
    </row>
    <row r="355" spans="1:10" ht="14.25" hidden="1" customHeight="1" x14ac:dyDescent="0.3">
      <c r="A355" s="11" t="s">
        <v>45</v>
      </c>
      <c r="B355" s="19" t="str">
        <f>INDEX(SETORES!$B:$B,MATCH(A355,SETORES!$A:$A,0))</f>
        <v>Clientes</v>
      </c>
      <c r="C355" s="11" t="s">
        <v>15</v>
      </c>
      <c r="D355" s="9">
        <f>IF(B355="Clientes",SUMIFS(PARÂMETROS!$D$8:$D$907,PARÂMETROS!$A$8:$A$907,C355,PARÂMETROS!$G$8:$G$907,J355),SUMIFS(PARÂMETROS!$E$8:$E$907,PARÂMETROS!$A$8:$A$907,C355,PARÂMETROS!$G$8:$G$907,J355))</f>
        <v>3.3429677985856672E-2</v>
      </c>
      <c r="E355" s="20">
        <f>SUMIFS(SETORES!$D:$D,SETORES!$A:$A,A355,SETORES!$F:$F,J355)</f>
        <v>72365.309200000018</v>
      </c>
      <c r="F355" s="20">
        <f t="shared" si="18"/>
        <v>2419.1489839029518</v>
      </c>
      <c r="G355" s="9">
        <f>SUMIFS(PARÂMETROS!$F$8:$F$907,PARÂMETROS!$A$8:$A$907,C355,PARÂMETROS!$G$8:$G$907,J355)</f>
        <v>0</v>
      </c>
      <c r="H355" s="20">
        <f t="shared" si="19"/>
        <v>0</v>
      </c>
      <c r="I355" s="20">
        <f t="shared" si="20"/>
        <v>2419.1489839029518</v>
      </c>
      <c r="J355" s="11" t="s">
        <v>20</v>
      </c>
    </row>
    <row r="356" spans="1:10" ht="14.25" hidden="1" customHeight="1" x14ac:dyDescent="0.3">
      <c r="A356" s="2" t="s">
        <v>45</v>
      </c>
      <c r="B356" s="2" t="str">
        <f>INDEX(SETORES!$B:$B,MATCH(A356,SETORES!$A:$A,0))</f>
        <v>Clientes</v>
      </c>
      <c r="C356" s="2" t="s">
        <v>16</v>
      </c>
      <c r="D356" s="14">
        <f>IF(B356="Clientes",SUMIFS(PARÂMETROS!$D$8:$D$907,PARÂMETROS!$A$8:$A$907,C356,PARÂMETROS!$G$8:$G$907,J356),SUMIFS(PARÂMETROS!$E$8:$E$907,PARÂMETROS!$A$8:$A$907,C356,PARÂMETROS!$G$8:$G$907,J356))</f>
        <v>2.4722072681848353E-2</v>
      </c>
      <c r="E356" s="21">
        <f>SUMIFS(SETORES!$D:$D,SETORES!$A:$A,A356,SETORES!$F:$F,J356)</f>
        <v>72365.309200000018</v>
      </c>
      <c r="F356" s="21">
        <f t="shared" si="18"/>
        <v>1789.0204336868298</v>
      </c>
      <c r="G356" s="14">
        <f>SUMIFS(PARÂMETROS!$F$8:$F$907,PARÂMETROS!$A$8:$A$907,C356,PARÂMETROS!$G$8:$G$907,J356)</f>
        <v>0</v>
      </c>
      <c r="H356" s="21">
        <f t="shared" si="19"/>
        <v>0</v>
      </c>
      <c r="I356" s="21">
        <f t="shared" si="20"/>
        <v>1789.0204336868298</v>
      </c>
      <c r="J356" s="2" t="s">
        <v>20</v>
      </c>
    </row>
    <row r="357" spans="1:10" ht="14.25" hidden="1" customHeight="1" x14ac:dyDescent="0.3">
      <c r="A357" s="11" t="s">
        <v>45</v>
      </c>
      <c r="B357" s="19" t="str">
        <f>INDEX(SETORES!$B:$B,MATCH(A357,SETORES!$A:$A,0))</f>
        <v>Clientes</v>
      </c>
      <c r="C357" s="11" t="s">
        <v>17</v>
      </c>
      <c r="D357" s="9">
        <f>IF(B357="Clientes",SUMIFS(PARÂMETROS!$D$8:$D$907,PARÂMETROS!$A$8:$A$907,C357,PARÂMETROS!$G$8:$G$907,J357),SUMIFS(PARÂMETROS!$E$8:$E$907,PARÂMETROS!$A$8:$A$907,C357,PARÂMETROS!$G$8:$G$907,J357))</f>
        <v>2.4993858681733368E-2</v>
      </c>
      <c r="E357" s="20">
        <f>SUMIFS(SETORES!$D:$D,SETORES!$A:$A,A357,SETORES!$F:$F,J357)</f>
        <v>72365.309200000018</v>
      </c>
      <c r="F357" s="20">
        <f t="shared" si="18"/>
        <v>1808.68831160474</v>
      </c>
      <c r="G357" s="9">
        <f>SUMIFS(PARÂMETROS!$F$8:$F$907,PARÂMETROS!$A$8:$A$907,C357,PARÂMETROS!$G$8:$G$907,J357)</f>
        <v>0</v>
      </c>
      <c r="H357" s="20">
        <f t="shared" si="19"/>
        <v>0</v>
      </c>
      <c r="I357" s="20">
        <f t="shared" si="20"/>
        <v>1808.68831160474</v>
      </c>
      <c r="J357" s="11" t="s">
        <v>20</v>
      </c>
    </row>
    <row r="358" spans="1:10" ht="14.25" hidden="1" customHeight="1" x14ac:dyDescent="0.3">
      <c r="A358" s="2" t="s">
        <v>45</v>
      </c>
      <c r="B358" s="2" t="str">
        <f>INDEX(SETORES!$B:$B,MATCH(A358,SETORES!$A:$A,0))</f>
        <v>Clientes</v>
      </c>
      <c r="C358" s="2" t="s">
        <v>18</v>
      </c>
      <c r="D358" s="14">
        <f>IF(B358="Clientes",SUMIFS(PARÂMETROS!$D$8:$D$907,PARÂMETROS!$A$8:$A$907,C358,PARÂMETROS!$G$8:$G$907,J358),SUMIFS(PARÂMETROS!$E$8:$E$907,PARÂMETROS!$A$8:$A$907,C358,PARÂMETROS!$G$8:$G$907,J358))</f>
        <v>0.72000292692615264</v>
      </c>
      <c r="E358" s="21">
        <f>SUMIFS(SETORES!$D:$D,SETORES!$A:$A,A358,SETORES!$F:$F,J358)</f>
        <v>72365.309200000018</v>
      </c>
      <c r="F358" s="21">
        <f t="shared" si="18"/>
        <v>52103.234431916055</v>
      </c>
      <c r="G358" s="14">
        <f>SUMIFS(PARÂMETROS!$F$8:$F$907,PARÂMETROS!$A$8:$A$907,C358,PARÂMETROS!$G$8:$G$907,J358)</f>
        <v>0</v>
      </c>
      <c r="H358" s="21">
        <f t="shared" si="19"/>
        <v>0</v>
      </c>
      <c r="I358" s="21">
        <f t="shared" si="20"/>
        <v>52103.234431916055</v>
      </c>
      <c r="J358" s="2" t="s">
        <v>20</v>
      </c>
    </row>
    <row r="359" spans="1:10" ht="14.25" hidden="1" customHeight="1" x14ac:dyDescent="0.3">
      <c r="A359" s="11" t="s">
        <v>46</v>
      </c>
      <c r="B359" s="19" t="str">
        <f>INDEX(SETORES!$B:$B,MATCH(A359,SETORES!$A:$A,0))</f>
        <v>Clientes</v>
      </c>
      <c r="C359" s="11" t="s">
        <v>10</v>
      </c>
      <c r="D359" s="9">
        <f>IF(B359="Clientes",SUMIFS(PARÂMETROS!$D$8:$D$907,PARÂMETROS!$A$8:$A$907,C359,PARÂMETROS!$G$8:$G$907,J359),SUMIFS(PARÂMETROS!$E$8:$E$907,PARÂMETROS!$A$8:$A$907,C359,PARÂMETROS!$G$8:$G$907,J359))</f>
        <v>3.2823386139959339E-2</v>
      </c>
      <c r="E359" s="20">
        <f>SUMIFS(SETORES!$D:$D,SETORES!$A:$A,A359,SETORES!$F:$F,J359)</f>
        <v>184735.24999999997</v>
      </c>
      <c r="F359" s="20">
        <f t="shared" ref="F359:F422" si="21">IFERROR(D359*E359,0)</f>
        <v>6063.6364444119226</v>
      </c>
      <c r="G359" s="9">
        <f>SUMIFS(PARÂMETROS!$F$8:$F$907,PARÂMETROS!$A$8:$A$907,C359,PARÂMETROS!$G$8:$G$907,J359)</f>
        <v>0</v>
      </c>
      <c r="H359" s="20">
        <f t="shared" ref="H359:H422" si="22">IFERROR(F359*G359,0)</f>
        <v>0</v>
      </c>
      <c r="I359" s="20">
        <f t="shared" ref="I359:I422" si="23">F359+H359</f>
        <v>6063.6364444119226</v>
      </c>
      <c r="J359" s="11" t="s">
        <v>20</v>
      </c>
    </row>
    <row r="360" spans="1:10" ht="14.25" hidden="1" customHeight="1" x14ac:dyDescent="0.3">
      <c r="A360" s="2" t="s">
        <v>46</v>
      </c>
      <c r="B360" s="2" t="str">
        <f>INDEX(SETORES!$B:$B,MATCH(A360,SETORES!$A:$A,0))</f>
        <v>Clientes</v>
      </c>
      <c r="C360" s="2" t="s">
        <v>12</v>
      </c>
      <c r="D360" s="14">
        <f>IF(B360="Clientes",SUMIFS(PARÂMETROS!$D$8:$D$907,PARÂMETROS!$A$8:$A$907,C360,PARÂMETROS!$G$8:$G$907,J360),SUMIFS(PARÂMETROS!$E$8:$E$907,PARÂMETROS!$A$8:$A$907,C360,PARÂMETROS!$G$8:$G$907,J360))</f>
        <v>7.0047614816518319E-2</v>
      </c>
      <c r="E360" s="21">
        <f>SUMIFS(SETORES!$D:$D,SETORES!$A:$A,A360,SETORES!$F:$F,J360)</f>
        <v>184735.24999999997</v>
      </c>
      <c r="F360" s="21">
        <f t="shared" si="21"/>
        <v>12940.263635033214</v>
      </c>
      <c r="G360" s="14">
        <f>SUMIFS(PARÂMETROS!$F$8:$F$907,PARÂMETROS!$A$8:$A$907,C360,PARÂMETROS!$G$8:$G$907,J360)</f>
        <v>0</v>
      </c>
      <c r="H360" s="21">
        <f t="shared" si="22"/>
        <v>0</v>
      </c>
      <c r="I360" s="21">
        <f t="shared" si="23"/>
        <v>12940.263635033214</v>
      </c>
      <c r="J360" s="2" t="s">
        <v>20</v>
      </c>
    </row>
    <row r="361" spans="1:10" ht="14.25" hidden="1" customHeight="1" x14ac:dyDescent="0.3">
      <c r="A361" s="11" t="s">
        <v>46</v>
      </c>
      <c r="B361" s="19" t="str">
        <f>INDEX(SETORES!$B:$B,MATCH(A361,SETORES!$A:$A,0))</f>
        <v>Clientes</v>
      </c>
      <c r="C361" s="11" t="s">
        <v>13</v>
      </c>
      <c r="D361" s="9">
        <f>IF(B361="Clientes",SUMIFS(PARÂMETROS!$D$8:$D$907,PARÂMETROS!$A$8:$A$907,C361,PARÂMETROS!$G$8:$G$907,J361),SUMIFS(PARÂMETROS!$E$8:$E$907,PARÂMETROS!$A$8:$A$907,C361,PARÂMETROS!$G$8:$G$907,J361))</f>
        <v>7.4903176237540961E-2</v>
      </c>
      <c r="E361" s="20">
        <f>SUMIFS(SETORES!$D:$D,SETORES!$A:$A,A361,SETORES!$F:$F,J361)</f>
        <v>184735.24999999997</v>
      </c>
      <c r="F361" s="20">
        <f t="shared" si="21"/>
        <v>13837.256988036186</v>
      </c>
      <c r="G361" s="9">
        <f>SUMIFS(PARÂMETROS!$F$8:$F$907,PARÂMETROS!$A$8:$A$907,C361,PARÂMETROS!$G$8:$G$907,J361)</f>
        <v>0</v>
      </c>
      <c r="H361" s="20">
        <f t="shared" si="22"/>
        <v>0</v>
      </c>
      <c r="I361" s="20">
        <f t="shared" si="23"/>
        <v>13837.256988036186</v>
      </c>
      <c r="J361" s="11" t="s">
        <v>20</v>
      </c>
    </row>
    <row r="362" spans="1:10" ht="14.25" customHeight="1" x14ac:dyDescent="0.3">
      <c r="A362" s="2" t="s">
        <v>46</v>
      </c>
      <c r="B362" s="2" t="str">
        <f>INDEX(SETORES!$B:$B,MATCH(A362,SETORES!$A:$A,0))</f>
        <v>Clientes</v>
      </c>
      <c r="C362" s="2" t="s">
        <v>14</v>
      </c>
      <c r="D362" s="14">
        <f>IF(B362="Clientes",SUMIFS(PARÂMETROS!$D$8:$D$907,PARÂMETROS!$A$8:$A$907,C362,PARÂMETROS!$G$8:$G$907,J362),SUMIFS(PARÂMETROS!$E$8:$E$907,PARÂMETROS!$A$8:$A$907,C362,PARÂMETROS!$G$8:$G$907,J362))</f>
        <v>1.907728653039038E-2</v>
      </c>
      <c r="E362" s="21">
        <f>SUMIFS(SETORES!$D:$D,SETORES!$A:$A,A362,SETORES!$F:$F,J362)</f>
        <v>184735.24999999997</v>
      </c>
      <c r="F362" s="21">
        <f t="shared" si="21"/>
        <v>3524.2472965132988</v>
      </c>
      <c r="G362" s="14">
        <f>SUMIFS(PARÂMETROS!$F$8:$F$907,PARÂMETROS!$A$8:$A$907,C362,PARÂMETROS!$G$8:$G$907,J362)</f>
        <v>0</v>
      </c>
      <c r="H362" s="21">
        <f t="shared" si="22"/>
        <v>0</v>
      </c>
      <c r="I362" s="21">
        <f t="shared" si="23"/>
        <v>3524.2472965132988</v>
      </c>
      <c r="J362" s="2" t="s">
        <v>20</v>
      </c>
    </row>
    <row r="363" spans="1:10" ht="14.25" hidden="1" customHeight="1" x14ac:dyDescent="0.3">
      <c r="A363" s="11" t="s">
        <v>46</v>
      </c>
      <c r="B363" s="19" t="str">
        <f>INDEX(SETORES!$B:$B,MATCH(A363,SETORES!$A:$A,0))</f>
        <v>Clientes</v>
      </c>
      <c r="C363" s="11" t="s">
        <v>15</v>
      </c>
      <c r="D363" s="9">
        <f>IF(B363="Clientes",SUMIFS(PARÂMETROS!$D$8:$D$907,PARÂMETROS!$A$8:$A$907,C363,PARÂMETROS!$G$8:$G$907,J363),SUMIFS(PARÂMETROS!$E$8:$E$907,PARÂMETROS!$A$8:$A$907,C363,PARÂMETROS!$G$8:$G$907,J363))</f>
        <v>3.3429677985856672E-2</v>
      </c>
      <c r="E363" s="20">
        <f>SUMIFS(SETORES!$D:$D,SETORES!$A:$A,A363,SETORES!$F:$F,J363)</f>
        <v>184735.24999999997</v>
      </c>
      <c r="F363" s="20">
        <f t="shared" si="21"/>
        <v>6175.6399201367276</v>
      </c>
      <c r="G363" s="9">
        <f>SUMIFS(PARÂMETROS!$F$8:$F$907,PARÂMETROS!$A$8:$A$907,C363,PARÂMETROS!$G$8:$G$907,J363)</f>
        <v>0</v>
      </c>
      <c r="H363" s="20">
        <f t="shared" si="22"/>
        <v>0</v>
      </c>
      <c r="I363" s="20">
        <f t="shared" si="23"/>
        <v>6175.6399201367276</v>
      </c>
      <c r="J363" s="11" t="s">
        <v>20</v>
      </c>
    </row>
    <row r="364" spans="1:10" ht="14.25" hidden="1" customHeight="1" x14ac:dyDescent="0.3">
      <c r="A364" s="2" t="s">
        <v>46</v>
      </c>
      <c r="B364" s="2" t="str">
        <f>INDEX(SETORES!$B:$B,MATCH(A364,SETORES!$A:$A,0))</f>
        <v>Clientes</v>
      </c>
      <c r="C364" s="2" t="s">
        <v>16</v>
      </c>
      <c r="D364" s="14">
        <f>IF(B364="Clientes",SUMIFS(PARÂMETROS!$D$8:$D$907,PARÂMETROS!$A$8:$A$907,C364,PARÂMETROS!$G$8:$G$907,J364),SUMIFS(PARÂMETROS!$E$8:$E$907,PARÂMETROS!$A$8:$A$907,C364,PARÂMETROS!$G$8:$G$907,J364))</f>
        <v>2.4722072681848353E-2</v>
      </c>
      <c r="E364" s="21">
        <f>SUMIFS(SETORES!$D:$D,SETORES!$A:$A,A364,SETORES!$F:$F,J364)</f>
        <v>184735.24999999997</v>
      </c>
      <c r="F364" s="21">
        <f t="shared" si="21"/>
        <v>4567.0382773994252</v>
      </c>
      <c r="G364" s="14">
        <f>SUMIFS(PARÂMETROS!$F$8:$F$907,PARÂMETROS!$A$8:$A$907,C364,PARÂMETROS!$G$8:$G$907,J364)</f>
        <v>0</v>
      </c>
      <c r="H364" s="21">
        <f t="shared" si="22"/>
        <v>0</v>
      </c>
      <c r="I364" s="21">
        <f t="shared" si="23"/>
        <v>4567.0382773994252</v>
      </c>
      <c r="J364" s="2" t="s">
        <v>20</v>
      </c>
    </row>
    <row r="365" spans="1:10" ht="14.25" hidden="1" customHeight="1" x14ac:dyDescent="0.3">
      <c r="A365" s="11" t="s">
        <v>46</v>
      </c>
      <c r="B365" s="19" t="str">
        <f>INDEX(SETORES!$B:$B,MATCH(A365,SETORES!$A:$A,0))</f>
        <v>Clientes</v>
      </c>
      <c r="C365" s="11" t="s">
        <v>17</v>
      </c>
      <c r="D365" s="9">
        <f>IF(B365="Clientes",SUMIFS(PARÂMETROS!$D$8:$D$907,PARÂMETROS!$A$8:$A$907,C365,PARÂMETROS!$G$8:$G$907,J365),SUMIFS(PARÂMETROS!$E$8:$E$907,PARÂMETROS!$A$8:$A$907,C365,PARÂMETROS!$G$8:$G$907,J365))</f>
        <v>2.4993858681733368E-2</v>
      </c>
      <c r="E365" s="20">
        <f>SUMIFS(SETORES!$D:$D,SETORES!$A:$A,A365,SETORES!$F:$F,J365)</f>
        <v>184735.24999999997</v>
      </c>
      <c r="F365" s="20">
        <f t="shared" si="21"/>
        <v>4617.2467320346832</v>
      </c>
      <c r="G365" s="9">
        <f>SUMIFS(PARÂMETROS!$F$8:$F$907,PARÂMETROS!$A$8:$A$907,C365,PARÂMETROS!$G$8:$G$907,J365)</f>
        <v>0</v>
      </c>
      <c r="H365" s="20">
        <f t="shared" si="22"/>
        <v>0</v>
      </c>
      <c r="I365" s="20">
        <f t="shared" si="23"/>
        <v>4617.2467320346832</v>
      </c>
      <c r="J365" s="11" t="s">
        <v>20</v>
      </c>
    </row>
    <row r="366" spans="1:10" ht="14.25" hidden="1" customHeight="1" x14ac:dyDescent="0.3">
      <c r="A366" s="2" t="s">
        <v>46</v>
      </c>
      <c r="B366" s="2" t="str">
        <f>INDEX(SETORES!$B:$B,MATCH(A366,SETORES!$A:$A,0))</f>
        <v>Clientes</v>
      </c>
      <c r="C366" s="2" t="s">
        <v>18</v>
      </c>
      <c r="D366" s="14">
        <f>IF(B366="Clientes",SUMIFS(PARÂMETROS!$D$8:$D$907,PARÂMETROS!$A$8:$A$907,C366,PARÂMETROS!$G$8:$G$907,J366),SUMIFS(PARÂMETROS!$E$8:$E$907,PARÂMETROS!$A$8:$A$907,C366,PARÂMETROS!$G$8:$G$907,J366))</f>
        <v>0.72000292692615264</v>
      </c>
      <c r="E366" s="21">
        <f>SUMIFS(SETORES!$D:$D,SETORES!$A:$A,A366,SETORES!$F:$F,J366)</f>
        <v>184735.24999999997</v>
      </c>
      <c r="F366" s="21">
        <f t="shared" si="21"/>
        <v>133009.92070643452</v>
      </c>
      <c r="G366" s="14">
        <f>SUMIFS(PARÂMETROS!$F$8:$F$907,PARÂMETROS!$A$8:$A$907,C366,PARÂMETROS!$G$8:$G$907,J366)</f>
        <v>0</v>
      </c>
      <c r="H366" s="21">
        <f t="shared" si="22"/>
        <v>0</v>
      </c>
      <c r="I366" s="21">
        <f t="shared" si="23"/>
        <v>133009.92070643452</v>
      </c>
      <c r="J366" s="2" t="s">
        <v>20</v>
      </c>
    </row>
    <row r="367" spans="1:10" ht="14.25" hidden="1" customHeight="1" x14ac:dyDescent="0.3">
      <c r="A367" s="11" t="s">
        <v>47</v>
      </c>
      <c r="B367" s="19" t="str">
        <f>INDEX(SETORES!$B:$B,MATCH(A367,SETORES!$A:$A,0))</f>
        <v>Clientes</v>
      </c>
      <c r="C367" s="11" t="s">
        <v>10</v>
      </c>
      <c r="D367" s="9">
        <f>IF(B367="Clientes",SUMIFS(PARÂMETROS!$D$8:$D$907,PARÂMETROS!$A$8:$A$907,C367,PARÂMETROS!$G$8:$G$907,J367),SUMIFS(PARÂMETROS!$E$8:$E$907,PARÂMETROS!$A$8:$A$907,C367,PARÂMETROS!$G$8:$G$907,J367))</f>
        <v>3.2823386139959339E-2</v>
      </c>
      <c r="E367" s="20">
        <f>SUMIFS(SETORES!$D:$D,SETORES!$A:$A,A367,SETORES!$F:$F,J367)</f>
        <v>137420.51999999999</v>
      </c>
      <c r="F367" s="20">
        <f t="shared" si="21"/>
        <v>4510.6067915140047</v>
      </c>
      <c r="G367" s="9">
        <f>SUMIFS(PARÂMETROS!$F$8:$F$907,PARÂMETROS!$A$8:$A$907,C367,PARÂMETROS!$G$8:$G$907,J367)</f>
        <v>0</v>
      </c>
      <c r="H367" s="20">
        <f t="shared" si="22"/>
        <v>0</v>
      </c>
      <c r="I367" s="20">
        <f t="shared" si="23"/>
        <v>4510.6067915140047</v>
      </c>
      <c r="J367" s="11" t="s">
        <v>20</v>
      </c>
    </row>
    <row r="368" spans="1:10" ht="14.25" hidden="1" customHeight="1" x14ac:dyDescent="0.3">
      <c r="A368" s="2" t="s">
        <v>47</v>
      </c>
      <c r="B368" s="2" t="str">
        <f>INDEX(SETORES!$B:$B,MATCH(A368,SETORES!$A:$A,0))</f>
        <v>Clientes</v>
      </c>
      <c r="C368" s="2" t="s">
        <v>12</v>
      </c>
      <c r="D368" s="14">
        <f>IF(B368="Clientes",SUMIFS(PARÂMETROS!$D$8:$D$907,PARÂMETROS!$A$8:$A$907,C368,PARÂMETROS!$G$8:$G$907,J368),SUMIFS(PARÂMETROS!$E$8:$E$907,PARÂMETROS!$A$8:$A$907,C368,PARÂMETROS!$G$8:$G$907,J368))</f>
        <v>7.0047614816518319E-2</v>
      </c>
      <c r="E368" s="21">
        <f>SUMIFS(SETORES!$D:$D,SETORES!$A:$A,A368,SETORES!$F:$F,J368)</f>
        <v>137420.51999999999</v>
      </c>
      <c r="F368" s="21">
        <f t="shared" si="21"/>
        <v>9625.9796528456518</v>
      </c>
      <c r="G368" s="14">
        <f>SUMIFS(PARÂMETROS!$F$8:$F$907,PARÂMETROS!$A$8:$A$907,C368,PARÂMETROS!$G$8:$G$907,J368)</f>
        <v>0</v>
      </c>
      <c r="H368" s="21">
        <f t="shared" si="22"/>
        <v>0</v>
      </c>
      <c r="I368" s="21">
        <f t="shared" si="23"/>
        <v>9625.9796528456518</v>
      </c>
      <c r="J368" s="2" t="s">
        <v>20</v>
      </c>
    </row>
    <row r="369" spans="1:10" ht="14.25" hidden="1" customHeight="1" x14ac:dyDescent="0.3">
      <c r="A369" s="11" t="s">
        <v>47</v>
      </c>
      <c r="B369" s="19" t="str">
        <f>INDEX(SETORES!$B:$B,MATCH(A369,SETORES!$A:$A,0))</f>
        <v>Clientes</v>
      </c>
      <c r="C369" s="11" t="s">
        <v>13</v>
      </c>
      <c r="D369" s="9">
        <f>IF(B369="Clientes",SUMIFS(PARÂMETROS!$D$8:$D$907,PARÂMETROS!$A$8:$A$907,C369,PARÂMETROS!$G$8:$G$907,J369),SUMIFS(PARÂMETROS!$E$8:$E$907,PARÂMETROS!$A$8:$A$907,C369,PARÂMETROS!$G$8:$G$907,J369))</f>
        <v>7.4903176237540961E-2</v>
      </c>
      <c r="E369" s="20">
        <f>SUMIFS(SETORES!$D:$D,SETORES!$A:$A,A369,SETORES!$F:$F,J369)</f>
        <v>137420.51999999999</v>
      </c>
      <c r="F369" s="20">
        <f t="shared" si="21"/>
        <v>10293.233428214522</v>
      </c>
      <c r="G369" s="9">
        <f>SUMIFS(PARÂMETROS!$F$8:$F$907,PARÂMETROS!$A$8:$A$907,C369,PARÂMETROS!$G$8:$G$907,J369)</f>
        <v>0</v>
      </c>
      <c r="H369" s="20">
        <f t="shared" si="22"/>
        <v>0</v>
      </c>
      <c r="I369" s="20">
        <f t="shared" si="23"/>
        <v>10293.233428214522</v>
      </c>
      <c r="J369" s="11" t="s">
        <v>20</v>
      </c>
    </row>
    <row r="370" spans="1:10" ht="14.25" customHeight="1" x14ac:dyDescent="0.3">
      <c r="A370" s="2" t="s">
        <v>47</v>
      </c>
      <c r="B370" s="2" t="str">
        <f>INDEX(SETORES!$B:$B,MATCH(A370,SETORES!$A:$A,0))</f>
        <v>Clientes</v>
      </c>
      <c r="C370" s="2" t="s">
        <v>14</v>
      </c>
      <c r="D370" s="14">
        <f>IF(B370="Clientes",SUMIFS(PARÂMETROS!$D$8:$D$907,PARÂMETROS!$A$8:$A$907,C370,PARÂMETROS!$G$8:$G$907,J370),SUMIFS(PARÂMETROS!$E$8:$E$907,PARÂMETROS!$A$8:$A$907,C370,PARÂMETROS!$G$8:$G$907,J370))</f>
        <v>1.907728653039038E-2</v>
      </c>
      <c r="E370" s="21">
        <f>SUMIFS(SETORES!$D:$D,SETORES!$A:$A,A370,SETORES!$F:$F,J370)</f>
        <v>137420.51999999999</v>
      </c>
      <c r="F370" s="21">
        <f t="shared" si="21"/>
        <v>2621.6106351952417</v>
      </c>
      <c r="G370" s="14">
        <f>SUMIFS(PARÂMETROS!$F$8:$F$907,PARÂMETROS!$A$8:$A$907,C370,PARÂMETROS!$G$8:$G$907,J370)</f>
        <v>0</v>
      </c>
      <c r="H370" s="21">
        <f t="shared" si="22"/>
        <v>0</v>
      </c>
      <c r="I370" s="21">
        <f t="shared" si="23"/>
        <v>2621.6106351952417</v>
      </c>
      <c r="J370" s="2" t="s">
        <v>20</v>
      </c>
    </row>
    <row r="371" spans="1:10" ht="14.25" hidden="1" customHeight="1" x14ac:dyDescent="0.3">
      <c r="A371" s="11" t="s">
        <v>47</v>
      </c>
      <c r="B371" s="19" t="str">
        <f>INDEX(SETORES!$B:$B,MATCH(A371,SETORES!$A:$A,0))</f>
        <v>Clientes</v>
      </c>
      <c r="C371" s="11" t="s">
        <v>15</v>
      </c>
      <c r="D371" s="9">
        <f>IF(B371="Clientes",SUMIFS(PARÂMETROS!$D$8:$D$907,PARÂMETROS!$A$8:$A$907,C371,PARÂMETROS!$G$8:$G$907,J371),SUMIFS(PARÂMETROS!$E$8:$E$907,PARÂMETROS!$A$8:$A$907,C371,PARÂMETROS!$G$8:$G$907,J371))</f>
        <v>3.3429677985856672E-2</v>
      </c>
      <c r="E371" s="20">
        <f>SUMIFS(SETORES!$D:$D,SETORES!$A:$A,A371,SETORES!$F:$F,J371)</f>
        <v>137420.51999999999</v>
      </c>
      <c r="F371" s="20">
        <f t="shared" si="21"/>
        <v>4593.9237322489762</v>
      </c>
      <c r="G371" s="9">
        <f>SUMIFS(PARÂMETROS!$F$8:$F$907,PARÂMETROS!$A$8:$A$907,C371,PARÂMETROS!$G$8:$G$907,J371)</f>
        <v>0</v>
      </c>
      <c r="H371" s="20">
        <f t="shared" si="22"/>
        <v>0</v>
      </c>
      <c r="I371" s="20">
        <f t="shared" si="23"/>
        <v>4593.9237322489762</v>
      </c>
      <c r="J371" s="11" t="s">
        <v>20</v>
      </c>
    </row>
    <row r="372" spans="1:10" ht="14.25" hidden="1" customHeight="1" x14ac:dyDescent="0.3">
      <c r="A372" s="2" t="s">
        <v>47</v>
      </c>
      <c r="B372" s="2" t="str">
        <f>INDEX(SETORES!$B:$B,MATCH(A372,SETORES!$A:$A,0))</f>
        <v>Clientes</v>
      </c>
      <c r="C372" s="2" t="s">
        <v>16</v>
      </c>
      <c r="D372" s="14">
        <f>IF(B372="Clientes",SUMIFS(PARÂMETROS!$D$8:$D$907,PARÂMETROS!$A$8:$A$907,C372,PARÂMETROS!$G$8:$G$907,J372),SUMIFS(PARÂMETROS!$E$8:$E$907,PARÂMETROS!$A$8:$A$907,C372,PARÂMETROS!$G$8:$G$907,J372))</f>
        <v>2.4722072681848353E-2</v>
      </c>
      <c r="E372" s="21">
        <f>SUMIFS(SETORES!$D:$D,SETORES!$A:$A,A372,SETORES!$F:$F,J372)</f>
        <v>137420.51999999999</v>
      </c>
      <c r="F372" s="21">
        <f t="shared" si="21"/>
        <v>3397.3200834173949</v>
      </c>
      <c r="G372" s="14">
        <f>SUMIFS(PARÂMETROS!$F$8:$F$907,PARÂMETROS!$A$8:$A$907,C372,PARÂMETROS!$G$8:$G$907,J372)</f>
        <v>0</v>
      </c>
      <c r="H372" s="21">
        <f t="shared" si="22"/>
        <v>0</v>
      </c>
      <c r="I372" s="21">
        <f t="shared" si="23"/>
        <v>3397.3200834173949</v>
      </c>
      <c r="J372" s="2" t="s">
        <v>20</v>
      </c>
    </row>
    <row r="373" spans="1:10" ht="14.25" hidden="1" customHeight="1" x14ac:dyDescent="0.3">
      <c r="A373" s="11" t="s">
        <v>47</v>
      </c>
      <c r="B373" s="19" t="str">
        <f>INDEX(SETORES!$B:$B,MATCH(A373,SETORES!$A:$A,0))</f>
        <v>Clientes</v>
      </c>
      <c r="C373" s="11" t="s">
        <v>17</v>
      </c>
      <c r="D373" s="9">
        <f>IF(B373="Clientes",SUMIFS(PARÂMETROS!$D$8:$D$907,PARÂMETROS!$A$8:$A$907,C373,PARÂMETROS!$G$8:$G$907,J373),SUMIFS(PARÂMETROS!$E$8:$E$907,PARÂMETROS!$A$8:$A$907,C373,PARÂMETROS!$G$8:$G$907,J373))</f>
        <v>2.4993858681733368E-2</v>
      </c>
      <c r="E373" s="20">
        <f>SUMIFS(SETORES!$D:$D,SETORES!$A:$A,A373,SETORES!$F:$F,J373)</f>
        <v>137420.51999999999</v>
      </c>
      <c r="F373" s="20">
        <f t="shared" si="21"/>
        <v>3434.6690568503136</v>
      </c>
      <c r="G373" s="9">
        <f>SUMIFS(PARÂMETROS!$F$8:$F$907,PARÂMETROS!$A$8:$A$907,C373,PARÂMETROS!$G$8:$G$907,J373)</f>
        <v>0</v>
      </c>
      <c r="H373" s="20">
        <f t="shared" si="22"/>
        <v>0</v>
      </c>
      <c r="I373" s="20">
        <f t="shared" si="23"/>
        <v>3434.6690568503136</v>
      </c>
      <c r="J373" s="11" t="s">
        <v>20</v>
      </c>
    </row>
    <row r="374" spans="1:10" ht="14.25" hidden="1" customHeight="1" x14ac:dyDescent="0.3">
      <c r="A374" s="2" t="s">
        <v>47</v>
      </c>
      <c r="B374" s="2" t="str">
        <f>INDEX(SETORES!$B:$B,MATCH(A374,SETORES!$A:$A,0))</f>
        <v>Clientes</v>
      </c>
      <c r="C374" s="2" t="s">
        <v>18</v>
      </c>
      <c r="D374" s="14">
        <f>IF(B374="Clientes",SUMIFS(PARÂMETROS!$D$8:$D$907,PARÂMETROS!$A$8:$A$907,C374,PARÂMETROS!$G$8:$G$907,J374),SUMIFS(PARÂMETROS!$E$8:$E$907,PARÂMETROS!$A$8:$A$907,C374,PARÂMETROS!$G$8:$G$907,J374))</f>
        <v>0.72000292692615264</v>
      </c>
      <c r="E374" s="21">
        <f>SUMIFS(SETORES!$D:$D,SETORES!$A:$A,A374,SETORES!$F:$F,J374)</f>
        <v>137420.51999999999</v>
      </c>
      <c r="F374" s="21">
        <f t="shared" si="21"/>
        <v>98943.176619713893</v>
      </c>
      <c r="G374" s="14">
        <f>SUMIFS(PARÂMETROS!$F$8:$F$907,PARÂMETROS!$A$8:$A$907,C374,PARÂMETROS!$G$8:$G$907,J374)</f>
        <v>0</v>
      </c>
      <c r="H374" s="21">
        <f t="shared" si="22"/>
        <v>0</v>
      </c>
      <c r="I374" s="21">
        <f t="shared" si="23"/>
        <v>98943.176619713893</v>
      </c>
      <c r="J374" s="2" t="s">
        <v>20</v>
      </c>
    </row>
    <row r="375" spans="1:10" ht="14.25" hidden="1" customHeight="1" x14ac:dyDescent="0.3">
      <c r="A375" s="11" t="s">
        <v>48</v>
      </c>
      <c r="B375" s="19" t="str">
        <f>INDEX(SETORES!$B:$B,MATCH(A375,SETORES!$A:$A,0))</f>
        <v>Clientes</v>
      </c>
      <c r="C375" s="11" t="s">
        <v>10</v>
      </c>
      <c r="D375" s="9">
        <f>IF(B375="Clientes",SUMIFS(PARÂMETROS!$D$8:$D$907,PARÂMETROS!$A$8:$A$907,C375,PARÂMETROS!$G$8:$G$907,J375),SUMIFS(PARÂMETROS!$E$8:$E$907,PARÂMETROS!$A$8:$A$907,C375,PARÂMETROS!$G$8:$G$907,J375))</f>
        <v>3.2823386139959339E-2</v>
      </c>
      <c r="E375" s="20">
        <f>SUMIFS(SETORES!$D:$D,SETORES!$A:$A,A375,SETORES!$F:$F,J375)</f>
        <v>119840.847989</v>
      </c>
      <c r="F375" s="20">
        <f t="shared" si="21"/>
        <v>3933.5824288831168</v>
      </c>
      <c r="G375" s="9">
        <f>SUMIFS(PARÂMETROS!$F$8:$F$907,PARÂMETROS!$A$8:$A$907,C375,PARÂMETROS!$G$8:$G$907,J375)</f>
        <v>0</v>
      </c>
      <c r="H375" s="20">
        <f t="shared" si="22"/>
        <v>0</v>
      </c>
      <c r="I375" s="20">
        <f t="shared" si="23"/>
        <v>3933.5824288831168</v>
      </c>
      <c r="J375" s="11" t="s">
        <v>20</v>
      </c>
    </row>
    <row r="376" spans="1:10" ht="14.25" hidden="1" customHeight="1" x14ac:dyDescent="0.3">
      <c r="A376" s="2" t="s">
        <v>48</v>
      </c>
      <c r="B376" s="2" t="str">
        <f>INDEX(SETORES!$B:$B,MATCH(A376,SETORES!$A:$A,0))</f>
        <v>Clientes</v>
      </c>
      <c r="C376" s="2" t="s">
        <v>12</v>
      </c>
      <c r="D376" s="14">
        <f>IF(B376="Clientes",SUMIFS(PARÂMETROS!$D$8:$D$907,PARÂMETROS!$A$8:$A$907,C376,PARÂMETROS!$G$8:$G$907,J376),SUMIFS(PARÂMETROS!$E$8:$E$907,PARÂMETROS!$A$8:$A$907,C376,PARÂMETROS!$G$8:$G$907,J376))</f>
        <v>7.0047614816518319E-2</v>
      </c>
      <c r="E376" s="21">
        <f>SUMIFS(SETORES!$D:$D,SETORES!$A:$A,A376,SETORES!$F:$F,J376)</f>
        <v>119840.847989</v>
      </c>
      <c r="F376" s="21">
        <f t="shared" si="21"/>
        <v>8394.5655592183957</v>
      </c>
      <c r="G376" s="14">
        <f>SUMIFS(PARÂMETROS!$F$8:$F$907,PARÂMETROS!$A$8:$A$907,C376,PARÂMETROS!$G$8:$G$907,J376)</f>
        <v>0</v>
      </c>
      <c r="H376" s="21">
        <f t="shared" si="22"/>
        <v>0</v>
      </c>
      <c r="I376" s="21">
        <f t="shared" si="23"/>
        <v>8394.5655592183957</v>
      </c>
      <c r="J376" s="2" t="s">
        <v>20</v>
      </c>
    </row>
    <row r="377" spans="1:10" ht="14.25" hidden="1" customHeight="1" x14ac:dyDescent="0.3">
      <c r="A377" s="11" t="s">
        <v>48</v>
      </c>
      <c r="B377" s="19" t="str">
        <f>INDEX(SETORES!$B:$B,MATCH(A377,SETORES!$A:$A,0))</f>
        <v>Clientes</v>
      </c>
      <c r="C377" s="11" t="s">
        <v>13</v>
      </c>
      <c r="D377" s="9">
        <f>IF(B377="Clientes",SUMIFS(PARÂMETROS!$D$8:$D$907,PARÂMETROS!$A$8:$A$907,C377,PARÂMETROS!$G$8:$G$907,J377),SUMIFS(PARÂMETROS!$E$8:$E$907,PARÂMETROS!$A$8:$A$907,C377,PARÂMETROS!$G$8:$G$907,J377))</f>
        <v>7.4903176237540961E-2</v>
      </c>
      <c r="E377" s="20">
        <f>SUMIFS(SETORES!$D:$D,SETORES!$A:$A,A377,SETORES!$F:$F,J377)</f>
        <v>119840.847989</v>
      </c>
      <c r="F377" s="20">
        <f t="shared" si="21"/>
        <v>8976.460157376423</v>
      </c>
      <c r="G377" s="9">
        <f>SUMIFS(PARÂMETROS!$F$8:$F$907,PARÂMETROS!$A$8:$A$907,C377,PARÂMETROS!$G$8:$G$907,J377)</f>
        <v>0</v>
      </c>
      <c r="H377" s="20">
        <f t="shared" si="22"/>
        <v>0</v>
      </c>
      <c r="I377" s="20">
        <f t="shared" si="23"/>
        <v>8976.460157376423</v>
      </c>
      <c r="J377" s="11" t="s">
        <v>20</v>
      </c>
    </row>
    <row r="378" spans="1:10" ht="14.25" customHeight="1" x14ac:dyDescent="0.3">
      <c r="A378" s="2" t="s">
        <v>48</v>
      </c>
      <c r="B378" s="2" t="str">
        <f>INDEX(SETORES!$B:$B,MATCH(A378,SETORES!$A:$A,0))</f>
        <v>Clientes</v>
      </c>
      <c r="C378" s="2" t="s">
        <v>14</v>
      </c>
      <c r="D378" s="14">
        <f>IF(B378="Clientes",SUMIFS(PARÂMETROS!$D$8:$D$907,PARÂMETROS!$A$8:$A$907,C378,PARÂMETROS!$G$8:$G$907,J378),SUMIFS(PARÂMETROS!$E$8:$E$907,PARÂMETROS!$A$8:$A$907,C378,PARÂMETROS!$G$8:$G$907,J378))</f>
        <v>1.907728653039038E-2</v>
      </c>
      <c r="E378" s="21">
        <f>SUMIFS(SETORES!$D:$D,SETORES!$A:$A,A378,SETORES!$F:$F,J378)</f>
        <v>119840.847989</v>
      </c>
      <c r="F378" s="21">
        <f t="shared" si="21"/>
        <v>2286.2381951311108</v>
      </c>
      <c r="G378" s="14">
        <f>SUMIFS(PARÂMETROS!$F$8:$F$907,PARÂMETROS!$A$8:$A$907,C378,PARÂMETROS!$G$8:$G$907,J378)</f>
        <v>0</v>
      </c>
      <c r="H378" s="21">
        <f t="shared" si="22"/>
        <v>0</v>
      </c>
      <c r="I378" s="21">
        <f t="shared" si="23"/>
        <v>2286.2381951311108</v>
      </c>
      <c r="J378" s="2" t="s">
        <v>20</v>
      </c>
    </row>
    <row r="379" spans="1:10" ht="14.25" hidden="1" customHeight="1" x14ac:dyDescent="0.3">
      <c r="A379" s="11" t="s">
        <v>48</v>
      </c>
      <c r="B379" s="19" t="str">
        <f>INDEX(SETORES!$B:$B,MATCH(A379,SETORES!$A:$A,0))</f>
        <v>Clientes</v>
      </c>
      <c r="C379" s="11" t="s">
        <v>15</v>
      </c>
      <c r="D379" s="9">
        <f>IF(B379="Clientes",SUMIFS(PARÂMETROS!$D$8:$D$907,PARÂMETROS!$A$8:$A$907,C379,PARÂMETROS!$G$8:$G$907,J379),SUMIFS(PARÂMETROS!$E$8:$E$907,PARÂMETROS!$A$8:$A$907,C379,PARÂMETROS!$G$8:$G$907,J379))</f>
        <v>3.3429677985856672E-2</v>
      </c>
      <c r="E379" s="20">
        <f>SUMIFS(SETORES!$D:$D,SETORES!$A:$A,A379,SETORES!$F:$F,J379)</f>
        <v>119840.847989</v>
      </c>
      <c r="F379" s="20">
        <f t="shared" si="21"/>
        <v>4006.2409578242691</v>
      </c>
      <c r="G379" s="9">
        <f>SUMIFS(PARÂMETROS!$F$8:$F$907,PARÂMETROS!$A$8:$A$907,C379,PARÂMETROS!$G$8:$G$907,J379)</f>
        <v>0</v>
      </c>
      <c r="H379" s="20">
        <f t="shared" si="22"/>
        <v>0</v>
      </c>
      <c r="I379" s="20">
        <f t="shared" si="23"/>
        <v>4006.2409578242691</v>
      </c>
      <c r="J379" s="11" t="s">
        <v>20</v>
      </c>
    </row>
    <row r="380" spans="1:10" ht="14.25" hidden="1" customHeight="1" x14ac:dyDescent="0.3">
      <c r="A380" s="2" t="s">
        <v>48</v>
      </c>
      <c r="B380" s="2" t="str">
        <f>INDEX(SETORES!$B:$B,MATCH(A380,SETORES!$A:$A,0))</f>
        <v>Clientes</v>
      </c>
      <c r="C380" s="2" t="s">
        <v>16</v>
      </c>
      <c r="D380" s="14">
        <f>IF(B380="Clientes",SUMIFS(PARÂMETROS!$D$8:$D$907,PARÂMETROS!$A$8:$A$907,C380,PARÂMETROS!$G$8:$G$907,J380),SUMIFS(PARÂMETROS!$E$8:$E$907,PARÂMETROS!$A$8:$A$907,C380,PARÂMETROS!$G$8:$G$907,J380))</f>
        <v>2.4722072681848353E-2</v>
      </c>
      <c r="E380" s="21">
        <f>SUMIFS(SETORES!$D:$D,SETORES!$A:$A,A380,SETORES!$F:$F,J380)</f>
        <v>119840.847989</v>
      </c>
      <c r="F380" s="21">
        <f t="shared" si="21"/>
        <v>2962.7141542383979</v>
      </c>
      <c r="G380" s="14">
        <f>SUMIFS(PARÂMETROS!$F$8:$F$907,PARÂMETROS!$A$8:$A$907,C380,PARÂMETROS!$G$8:$G$907,J380)</f>
        <v>0</v>
      </c>
      <c r="H380" s="21">
        <f t="shared" si="22"/>
        <v>0</v>
      </c>
      <c r="I380" s="21">
        <f t="shared" si="23"/>
        <v>2962.7141542383979</v>
      </c>
      <c r="J380" s="2" t="s">
        <v>20</v>
      </c>
    </row>
    <row r="381" spans="1:10" ht="14.25" hidden="1" customHeight="1" x14ac:dyDescent="0.3">
      <c r="A381" s="11" t="s">
        <v>48</v>
      </c>
      <c r="B381" s="19" t="str">
        <f>INDEX(SETORES!$B:$B,MATCH(A381,SETORES!$A:$A,0))</f>
        <v>Clientes</v>
      </c>
      <c r="C381" s="11" t="s">
        <v>17</v>
      </c>
      <c r="D381" s="9">
        <f>IF(B381="Clientes",SUMIFS(PARÂMETROS!$D$8:$D$907,PARÂMETROS!$A$8:$A$907,C381,PARÂMETROS!$G$8:$G$907,J381),SUMIFS(PARÂMETROS!$E$8:$E$907,PARÂMETROS!$A$8:$A$907,C381,PARÂMETROS!$G$8:$G$907,J381))</f>
        <v>2.4993858681733368E-2</v>
      </c>
      <c r="E381" s="20">
        <f>SUMIFS(SETORES!$D:$D,SETORES!$A:$A,A381,SETORES!$F:$F,J381)</f>
        <v>119840.847989</v>
      </c>
      <c r="F381" s="20">
        <f t="shared" si="21"/>
        <v>2995.2852189361565</v>
      </c>
      <c r="G381" s="9">
        <f>SUMIFS(PARÂMETROS!$F$8:$F$907,PARÂMETROS!$A$8:$A$907,C381,PARÂMETROS!$G$8:$G$907,J381)</f>
        <v>0</v>
      </c>
      <c r="H381" s="20">
        <f t="shared" si="22"/>
        <v>0</v>
      </c>
      <c r="I381" s="20">
        <f t="shared" si="23"/>
        <v>2995.2852189361565</v>
      </c>
      <c r="J381" s="11" t="s">
        <v>20</v>
      </c>
    </row>
    <row r="382" spans="1:10" ht="14.25" hidden="1" customHeight="1" x14ac:dyDescent="0.3">
      <c r="A382" s="2" t="s">
        <v>48</v>
      </c>
      <c r="B382" s="2" t="str">
        <f>INDEX(SETORES!$B:$B,MATCH(A382,SETORES!$A:$A,0))</f>
        <v>Clientes</v>
      </c>
      <c r="C382" s="2" t="s">
        <v>18</v>
      </c>
      <c r="D382" s="14">
        <f>IF(B382="Clientes",SUMIFS(PARÂMETROS!$D$8:$D$907,PARÂMETROS!$A$8:$A$907,C382,PARÂMETROS!$G$8:$G$907,J382),SUMIFS(PARÂMETROS!$E$8:$E$907,PARÂMETROS!$A$8:$A$907,C382,PARÂMETROS!$G$8:$G$907,J382))</f>
        <v>0.72000292692615264</v>
      </c>
      <c r="E382" s="21">
        <f>SUMIFS(SETORES!$D:$D,SETORES!$A:$A,A382,SETORES!$F:$F,J382)</f>
        <v>119840.847989</v>
      </c>
      <c r="F382" s="21">
        <f t="shared" si="21"/>
        <v>86285.761317392142</v>
      </c>
      <c r="G382" s="14">
        <f>SUMIFS(PARÂMETROS!$F$8:$F$907,PARÂMETROS!$A$8:$A$907,C382,PARÂMETROS!$G$8:$G$907,J382)</f>
        <v>0</v>
      </c>
      <c r="H382" s="21">
        <f t="shared" si="22"/>
        <v>0</v>
      </c>
      <c r="I382" s="21">
        <f t="shared" si="23"/>
        <v>86285.761317392142</v>
      </c>
      <c r="J382" s="2" t="s">
        <v>20</v>
      </c>
    </row>
    <row r="383" spans="1:10" ht="14.25" hidden="1" customHeight="1" x14ac:dyDescent="0.3">
      <c r="A383" s="11" t="s">
        <v>49</v>
      </c>
      <c r="B383" s="19" t="str">
        <f>INDEX(SETORES!$B:$B,MATCH(A383,SETORES!$A:$A,0))</f>
        <v>Clientes</v>
      </c>
      <c r="C383" s="11" t="s">
        <v>10</v>
      </c>
      <c r="D383" s="9">
        <f>IF(B383="Clientes",SUMIFS(PARÂMETROS!$D$8:$D$907,PARÂMETROS!$A$8:$A$907,C383,PARÂMETROS!$G$8:$G$907,J383),SUMIFS(PARÂMETROS!$E$8:$E$907,PARÂMETROS!$A$8:$A$907,C383,PARÂMETROS!$G$8:$G$907,J383))</f>
        <v>3.2823386139959339E-2</v>
      </c>
      <c r="E383" s="20">
        <f>SUMIFS(SETORES!$D:$D,SETORES!$A:$A,A383,SETORES!$F:$F,J383)</f>
        <v>29682.141610999999</v>
      </c>
      <c r="F383" s="20">
        <f t="shared" si="21"/>
        <v>974.2683955588077</v>
      </c>
      <c r="G383" s="9">
        <f>SUMIFS(PARÂMETROS!$F$8:$F$907,PARÂMETROS!$A$8:$A$907,C383,PARÂMETROS!$G$8:$G$907,J383)</f>
        <v>0</v>
      </c>
      <c r="H383" s="20">
        <f t="shared" si="22"/>
        <v>0</v>
      </c>
      <c r="I383" s="20">
        <f t="shared" si="23"/>
        <v>974.2683955588077</v>
      </c>
      <c r="J383" s="11" t="s">
        <v>20</v>
      </c>
    </row>
    <row r="384" spans="1:10" ht="14.25" hidden="1" customHeight="1" x14ac:dyDescent="0.3">
      <c r="A384" s="2" t="s">
        <v>49</v>
      </c>
      <c r="B384" s="2" t="str">
        <f>INDEX(SETORES!$B:$B,MATCH(A384,SETORES!$A:$A,0))</f>
        <v>Clientes</v>
      </c>
      <c r="C384" s="2" t="s">
        <v>12</v>
      </c>
      <c r="D384" s="14">
        <f>IF(B384="Clientes",SUMIFS(PARÂMETROS!$D$8:$D$907,PARÂMETROS!$A$8:$A$907,C384,PARÂMETROS!$G$8:$G$907,J384),SUMIFS(PARÂMETROS!$E$8:$E$907,PARÂMETROS!$A$8:$A$907,C384,PARÂMETROS!$G$8:$G$907,J384))</f>
        <v>7.0047614816518319E-2</v>
      </c>
      <c r="E384" s="21">
        <f>SUMIFS(SETORES!$D:$D,SETORES!$A:$A,A384,SETORES!$F:$F,J384)</f>
        <v>29682.141610999999</v>
      </c>
      <c r="F384" s="21">
        <f t="shared" si="21"/>
        <v>2079.1632224966784</v>
      </c>
      <c r="G384" s="14">
        <f>SUMIFS(PARÂMETROS!$F$8:$F$907,PARÂMETROS!$A$8:$A$907,C384,PARÂMETROS!$G$8:$G$907,J384)</f>
        <v>0</v>
      </c>
      <c r="H384" s="21">
        <f t="shared" si="22"/>
        <v>0</v>
      </c>
      <c r="I384" s="21">
        <f t="shared" si="23"/>
        <v>2079.1632224966784</v>
      </c>
      <c r="J384" s="2" t="s">
        <v>20</v>
      </c>
    </row>
    <row r="385" spans="1:10" ht="14.25" hidden="1" customHeight="1" x14ac:dyDescent="0.3">
      <c r="A385" s="11" t="s">
        <v>49</v>
      </c>
      <c r="B385" s="19" t="str">
        <f>INDEX(SETORES!$B:$B,MATCH(A385,SETORES!$A:$A,0))</f>
        <v>Clientes</v>
      </c>
      <c r="C385" s="11" t="s">
        <v>13</v>
      </c>
      <c r="D385" s="9">
        <f>IF(B385="Clientes",SUMIFS(PARÂMETROS!$D$8:$D$907,PARÂMETROS!$A$8:$A$907,C385,PARÂMETROS!$G$8:$G$907,J385),SUMIFS(PARÂMETROS!$E$8:$E$907,PARÂMETROS!$A$8:$A$907,C385,PARÂMETROS!$G$8:$G$907,J385))</f>
        <v>7.4903176237540961E-2</v>
      </c>
      <c r="E385" s="20">
        <f>SUMIFS(SETORES!$D:$D,SETORES!$A:$A,A385,SETORES!$F:$F,J385)</f>
        <v>29682.141610999999</v>
      </c>
      <c r="F385" s="20">
        <f t="shared" si="21"/>
        <v>2223.286684196381</v>
      </c>
      <c r="G385" s="9">
        <f>SUMIFS(PARÂMETROS!$F$8:$F$907,PARÂMETROS!$A$8:$A$907,C385,PARÂMETROS!$G$8:$G$907,J385)</f>
        <v>0</v>
      </c>
      <c r="H385" s="20">
        <f t="shared" si="22"/>
        <v>0</v>
      </c>
      <c r="I385" s="20">
        <f t="shared" si="23"/>
        <v>2223.286684196381</v>
      </c>
      <c r="J385" s="11" t="s">
        <v>20</v>
      </c>
    </row>
    <row r="386" spans="1:10" ht="14.25" customHeight="1" x14ac:dyDescent="0.3">
      <c r="A386" s="2" t="s">
        <v>49</v>
      </c>
      <c r="B386" s="2" t="str">
        <f>INDEX(SETORES!$B:$B,MATCH(A386,SETORES!$A:$A,0))</f>
        <v>Clientes</v>
      </c>
      <c r="C386" s="2" t="s">
        <v>14</v>
      </c>
      <c r="D386" s="14">
        <f>IF(B386="Clientes",SUMIFS(PARÂMETROS!$D$8:$D$907,PARÂMETROS!$A$8:$A$907,C386,PARÂMETROS!$G$8:$G$907,J386),SUMIFS(PARÂMETROS!$E$8:$E$907,PARÂMETROS!$A$8:$A$907,C386,PARÂMETROS!$G$8:$G$907,J386))</f>
        <v>1.907728653039038E-2</v>
      </c>
      <c r="E386" s="21">
        <f>SUMIFS(SETORES!$D:$D,SETORES!$A:$A,A386,SETORES!$F:$F,J386)</f>
        <v>29682.141610999999</v>
      </c>
      <c r="F386" s="21">
        <f t="shared" si="21"/>
        <v>566.25472034867005</v>
      </c>
      <c r="G386" s="14">
        <f>SUMIFS(PARÂMETROS!$F$8:$F$907,PARÂMETROS!$A$8:$A$907,C386,PARÂMETROS!$G$8:$G$907,J386)</f>
        <v>0</v>
      </c>
      <c r="H386" s="21">
        <f t="shared" si="22"/>
        <v>0</v>
      </c>
      <c r="I386" s="21">
        <f t="shared" si="23"/>
        <v>566.25472034867005</v>
      </c>
      <c r="J386" s="2" t="s">
        <v>20</v>
      </c>
    </row>
    <row r="387" spans="1:10" ht="14.25" hidden="1" customHeight="1" x14ac:dyDescent="0.3">
      <c r="A387" s="11" t="s">
        <v>49</v>
      </c>
      <c r="B387" s="19" t="str">
        <f>INDEX(SETORES!$B:$B,MATCH(A387,SETORES!$A:$A,0))</f>
        <v>Clientes</v>
      </c>
      <c r="C387" s="11" t="s">
        <v>15</v>
      </c>
      <c r="D387" s="9">
        <f>IF(B387="Clientes",SUMIFS(PARÂMETROS!$D$8:$D$907,PARÂMETROS!$A$8:$A$907,C387,PARÂMETROS!$G$8:$G$907,J387),SUMIFS(PARÂMETROS!$E$8:$E$907,PARÂMETROS!$A$8:$A$907,C387,PARÂMETROS!$G$8:$G$907,J387))</f>
        <v>3.3429677985856672E-2</v>
      </c>
      <c r="E387" s="20">
        <f>SUMIFS(SETORES!$D:$D,SETORES!$A:$A,A387,SETORES!$F:$F,J387)</f>
        <v>29682.141610999999</v>
      </c>
      <c r="F387" s="20">
        <f t="shared" si="21"/>
        <v>992.26443598632693</v>
      </c>
      <c r="G387" s="9">
        <f>SUMIFS(PARÂMETROS!$F$8:$F$907,PARÂMETROS!$A$8:$A$907,C387,PARÂMETROS!$G$8:$G$907,J387)</f>
        <v>0</v>
      </c>
      <c r="H387" s="20">
        <f t="shared" si="22"/>
        <v>0</v>
      </c>
      <c r="I387" s="20">
        <f t="shared" si="23"/>
        <v>992.26443598632693</v>
      </c>
      <c r="J387" s="11" t="s">
        <v>20</v>
      </c>
    </row>
    <row r="388" spans="1:10" ht="14.25" hidden="1" customHeight="1" x14ac:dyDescent="0.3">
      <c r="A388" s="2" t="s">
        <v>49</v>
      </c>
      <c r="B388" s="2" t="str">
        <f>INDEX(SETORES!$B:$B,MATCH(A388,SETORES!$A:$A,0))</f>
        <v>Clientes</v>
      </c>
      <c r="C388" s="2" t="s">
        <v>16</v>
      </c>
      <c r="D388" s="14">
        <f>IF(B388="Clientes",SUMIFS(PARÂMETROS!$D$8:$D$907,PARÂMETROS!$A$8:$A$907,C388,PARÂMETROS!$G$8:$G$907,J388),SUMIFS(PARÂMETROS!$E$8:$E$907,PARÂMETROS!$A$8:$A$907,C388,PARÂMETROS!$G$8:$G$907,J388))</f>
        <v>2.4722072681848353E-2</v>
      </c>
      <c r="E388" s="21">
        <f>SUMIFS(SETORES!$D:$D,SETORES!$A:$A,A388,SETORES!$F:$F,J388)</f>
        <v>29682.141610999999</v>
      </c>
      <c r="F388" s="21">
        <f t="shared" si="21"/>
        <v>733.80406226005732</v>
      </c>
      <c r="G388" s="14">
        <f>SUMIFS(PARÂMETROS!$F$8:$F$907,PARÂMETROS!$A$8:$A$907,C388,PARÂMETROS!$G$8:$G$907,J388)</f>
        <v>0</v>
      </c>
      <c r="H388" s="21">
        <f t="shared" si="22"/>
        <v>0</v>
      </c>
      <c r="I388" s="21">
        <f t="shared" si="23"/>
        <v>733.80406226005732</v>
      </c>
      <c r="J388" s="2" t="s">
        <v>20</v>
      </c>
    </row>
    <row r="389" spans="1:10" ht="14.25" hidden="1" customHeight="1" x14ac:dyDescent="0.3">
      <c r="A389" s="11" t="s">
        <v>49</v>
      </c>
      <c r="B389" s="19" t="str">
        <f>INDEX(SETORES!$B:$B,MATCH(A389,SETORES!$A:$A,0))</f>
        <v>Clientes</v>
      </c>
      <c r="C389" s="11" t="s">
        <v>17</v>
      </c>
      <c r="D389" s="9">
        <f>IF(B389="Clientes",SUMIFS(PARÂMETROS!$D$8:$D$907,PARÂMETROS!$A$8:$A$907,C389,PARÂMETROS!$G$8:$G$907,J389),SUMIFS(PARÂMETROS!$E$8:$E$907,PARÂMETROS!$A$8:$A$907,C389,PARÂMETROS!$G$8:$G$907,J389))</f>
        <v>2.4993858681733368E-2</v>
      </c>
      <c r="E389" s="20">
        <f>SUMIFS(SETORES!$D:$D,SETORES!$A:$A,A389,SETORES!$F:$F,J389)</f>
        <v>29682.141610999999</v>
      </c>
      <c r="F389" s="20">
        <f t="shared" si="21"/>
        <v>741.87125279653162</v>
      </c>
      <c r="G389" s="9">
        <f>SUMIFS(PARÂMETROS!$F$8:$F$907,PARÂMETROS!$A$8:$A$907,C389,PARÂMETROS!$G$8:$G$907,J389)</f>
        <v>0</v>
      </c>
      <c r="H389" s="20">
        <f t="shared" si="22"/>
        <v>0</v>
      </c>
      <c r="I389" s="20">
        <f t="shared" si="23"/>
        <v>741.87125279653162</v>
      </c>
      <c r="J389" s="11" t="s">
        <v>20</v>
      </c>
    </row>
    <row r="390" spans="1:10" ht="14.25" hidden="1" customHeight="1" x14ac:dyDescent="0.3">
      <c r="A390" s="2" t="s">
        <v>49</v>
      </c>
      <c r="B390" s="2" t="str">
        <f>INDEX(SETORES!$B:$B,MATCH(A390,SETORES!$A:$A,0))</f>
        <v>Clientes</v>
      </c>
      <c r="C390" s="2" t="s">
        <v>18</v>
      </c>
      <c r="D390" s="14">
        <f>IF(B390="Clientes",SUMIFS(PARÂMETROS!$D$8:$D$907,PARÂMETROS!$A$8:$A$907,C390,PARÂMETROS!$G$8:$G$907,J390),SUMIFS(PARÂMETROS!$E$8:$E$907,PARÂMETROS!$A$8:$A$907,C390,PARÂMETROS!$G$8:$G$907,J390))</f>
        <v>0.72000292692615264</v>
      </c>
      <c r="E390" s="21">
        <f>SUMIFS(SETORES!$D:$D,SETORES!$A:$A,A390,SETORES!$F:$F,J390)</f>
        <v>29682.141610999999</v>
      </c>
      <c r="F390" s="21">
        <f t="shared" si="21"/>
        <v>21371.228837356546</v>
      </c>
      <c r="G390" s="14">
        <f>SUMIFS(PARÂMETROS!$F$8:$F$907,PARÂMETROS!$A$8:$A$907,C390,PARÂMETROS!$G$8:$G$907,J390)</f>
        <v>0</v>
      </c>
      <c r="H390" s="21">
        <f t="shared" si="22"/>
        <v>0</v>
      </c>
      <c r="I390" s="21">
        <f t="shared" si="23"/>
        <v>21371.228837356546</v>
      </c>
      <c r="J390" s="2" t="s">
        <v>20</v>
      </c>
    </row>
    <row r="391" spans="1:10" ht="14.25" hidden="1" customHeight="1" x14ac:dyDescent="0.3">
      <c r="A391" s="11" t="s">
        <v>50</v>
      </c>
      <c r="B391" s="19" t="str">
        <f>INDEX(SETORES!$B:$B,MATCH(A391,SETORES!$A:$A,0))</f>
        <v>Clientes</v>
      </c>
      <c r="C391" s="11" t="s">
        <v>10</v>
      </c>
      <c r="D391" s="9">
        <f>IF(B391="Clientes",SUMIFS(PARÂMETROS!$D$8:$D$907,PARÂMETROS!$A$8:$A$907,C391,PARÂMETROS!$G$8:$G$907,J391),SUMIFS(PARÂMETROS!$E$8:$E$907,PARÂMETROS!$A$8:$A$907,C391,PARÂMETROS!$G$8:$G$907,J391))</f>
        <v>3.2823386139959339E-2</v>
      </c>
      <c r="E391" s="20">
        <f>SUMIFS(SETORES!$D:$D,SETORES!$A:$A,A391,SETORES!$F:$F,J391)</f>
        <v>58416.377200000003</v>
      </c>
      <c r="F391" s="20">
        <f t="shared" si="21"/>
        <v>1917.4233057331169</v>
      </c>
      <c r="G391" s="9">
        <f>SUMIFS(PARÂMETROS!$F$8:$F$907,PARÂMETROS!$A$8:$A$907,C391,PARÂMETROS!$G$8:$G$907,J391)</f>
        <v>0</v>
      </c>
      <c r="H391" s="20">
        <f t="shared" si="22"/>
        <v>0</v>
      </c>
      <c r="I391" s="20">
        <f t="shared" si="23"/>
        <v>1917.4233057331169</v>
      </c>
      <c r="J391" s="11" t="s">
        <v>20</v>
      </c>
    </row>
    <row r="392" spans="1:10" ht="14.25" hidden="1" customHeight="1" x14ac:dyDescent="0.3">
      <c r="A392" s="2" t="s">
        <v>50</v>
      </c>
      <c r="B392" s="2" t="str">
        <f>INDEX(SETORES!$B:$B,MATCH(A392,SETORES!$A:$A,0))</f>
        <v>Clientes</v>
      </c>
      <c r="C392" s="2" t="s">
        <v>12</v>
      </c>
      <c r="D392" s="14">
        <f>IF(B392="Clientes",SUMIFS(PARÂMETROS!$D$8:$D$907,PARÂMETROS!$A$8:$A$907,C392,PARÂMETROS!$G$8:$G$907,J392),SUMIFS(PARÂMETROS!$E$8:$E$907,PARÂMETROS!$A$8:$A$907,C392,PARÂMETROS!$G$8:$G$907,J392))</f>
        <v>7.0047614816518319E-2</v>
      </c>
      <c r="E392" s="21">
        <f>SUMIFS(SETORES!$D:$D,SETORES!$A:$A,A392,SETORES!$F:$F,J392)</f>
        <v>58416.377200000003</v>
      </c>
      <c r="F392" s="21">
        <f t="shared" si="21"/>
        <v>4091.9278890820433</v>
      </c>
      <c r="G392" s="14">
        <f>SUMIFS(PARÂMETROS!$F$8:$F$907,PARÂMETROS!$A$8:$A$907,C392,PARÂMETROS!$G$8:$G$907,J392)</f>
        <v>0</v>
      </c>
      <c r="H392" s="21">
        <f t="shared" si="22"/>
        <v>0</v>
      </c>
      <c r="I392" s="21">
        <f t="shared" si="23"/>
        <v>4091.9278890820433</v>
      </c>
      <c r="J392" s="2" t="s">
        <v>20</v>
      </c>
    </row>
    <row r="393" spans="1:10" ht="14.25" hidden="1" customHeight="1" x14ac:dyDescent="0.3">
      <c r="A393" s="11" t="s">
        <v>50</v>
      </c>
      <c r="B393" s="19" t="str">
        <f>INDEX(SETORES!$B:$B,MATCH(A393,SETORES!$A:$A,0))</f>
        <v>Clientes</v>
      </c>
      <c r="C393" s="11" t="s">
        <v>13</v>
      </c>
      <c r="D393" s="9">
        <f>IF(B393="Clientes",SUMIFS(PARÂMETROS!$D$8:$D$907,PARÂMETROS!$A$8:$A$907,C393,PARÂMETROS!$G$8:$G$907,J393),SUMIFS(PARÂMETROS!$E$8:$E$907,PARÂMETROS!$A$8:$A$907,C393,PARÂMETROS!$G$8:$G$907,J393))</f>
        <v>7.4903176237540961E-2</v>
      </c>
      <c r="E393" s="20">
        <f>SUMIFS(SETORES!$D:$D,SETORES!$A:$A,A393,SETORES!$F:$F,J393)</f>
        <v>58416.377200000003</v>
      </c>
      <c r="F393" s="20">
        <f t="shared" si="21"/>
        <v>4375.5721965702696</v>
      </c>
      <c r="G393" s="9">
        <f>SUMIFS(PARÂMETROS!$F$8:$F$907,PARÂMETROS!$A$8:$A$907,C393,PARÂMETROS!$G$8:$G$907,J393)</f>
        <v>0</v>
      </c>
      <c r="H393" s="20">
        <f t="shared" si="22"/>
        <v>0</v>
      </c>
      <c r="I393" s="20">
        <f t="shared" si="23"/>
        <v>4375.5721965702696</v>
      </c>
      <c r="J393" s="11" t="s">
        <v>20</v>
      </c>
    </row>
    <row r="394" spans="1:10" ht="14.25" customHeight="1" x14ac:dyDescent="0.3">
      <c r="A394" s="2" t="s">
        <v>50</v>
      </c>
      <c r="B394" s="2" t="str">
        <f>INDEX(SETORES!$B:$B,MATCH(A394,SETORES!$A:$A,0))</f>
        <v>Clientes</v>
      </c>
      <c r="C394" s="2" t="s">
        <v>14</v>
      </c>
      <c r="D394" s="14">
        <f>IF(B394="Clientes",SUMIFS(PARÂMETROS!$D$8:$D$907,PARÂMETROS!$A$8:$A$907,C394,PARÂMETROS!$G$8:$G$907,J394),SUMIFS(PARÂMETROS!$E$8:$E$907,PARÂMETROS!$A$8:$A$907,C394,PARÂMETROS!$G$8:$G$907,J394))</f>
        <v>1.907728653039038E-2</v>
      </c>
      <c r="E394" s="21">
        <f>SUMIFS(SETORES!$D:$D,SETORES!$A:$A,A394,SETORES!$F:$F,J394)</f>
        <v>58416.377200000003</v>
      </c>
      <c r="F394" s="21">
        <f t="shared" si="21"/>
        <v>1114.4259659117638</v>
      </c>
      <c r="G394" s="14">
        <f>SUMIFS(PARÂMETROS!$F$8:$F$907,PARÂMETROS!$A$8:$A$907,C394,PARÂMETROS!$G$8:$G$907,J394)</f>
        <v>0</v>
      </c>
      <c r="H394" s="21">
        <f t="shared" si="22"/>
        <v>0</v>
      </c>
      <c r="I394" s="21">
        <f t="shared" si="23"/>
        <v>1114.4259659117638</v>
      </c>
      <c r="J394" s="2" t="s">
        <v>20</v>
      </c>
    </row>
    <row r="395" spans="1:10" ht="14.25" hidden="1" customHeight="1" x14ac:dyDescent="0.3">
      <c r="A395" s="11" t="s">
        <v>50</v>
      </c>
      <c r="B395" s="19" t="str">
        <f>INDEX(SETORES!$B:$B,MATCH(A395,SETORES!$A:$A,0))</f>
        <v>Clientes</v>
      </c>
      <c r="C395" s="11" t="s">
        <v>15</v>
      </c>
      <c r="D395" s="9">
        <f>IF(B395="Clientes",SUMIFS(PARÂMETROS!$D$8:$D$907,PARÂMETROS!$A$8:$A$907,C395,PARÂMETROS!$G$8:$G$907,J395),SUMIFS(PARÂMETROS!$E$8:$E$907,PARÂMETROS!$A$8:$A$907,C395,PARÂMETROS!$G$8:$G$907,J395))</f>
        <v>3.3429677985856672E-2</v>
      </c>
      <c r="E395" s="20">
        <f>SUMIFS(SETORES!$D:$D,SETORES!$A:$A,A395,SETORES!$F:$F,J395)</f>
        <v>58416.377200000003</v>
      </c>
      <c r="F395" s="20">
        <f t="shared" si="21"/>
        <v>1952.8406788963398</v>
      </c>
      <c r="G395" s="9">
        <f>SUMIFS(PARÂMETROS!$F$8:$F$907,PARÂMETROS!$A$8:$A$907,C395,PARÂMETROS!$G$8:$G$907,J395)</f>
        <v>0</v>
      </c>
      <c r="H395" s="20">
        <f t="shared" si="22"/>
        <v>0</v>
      </c>
      <c r="I395" s="20">
        <f t="shared" si="23"/>
        <v>1952.8406788963398</v>
      </c>
      <c r="J395" s="11" t="s">
        <v>20</v>
      </c>
    </row>
    <row r="396" spans="1:10" ht="14.25" hidden="1" customHeight="1" x14ac:dyDescent="0.3">
      <c r="A396" s="2" t="s">
        <v>50</v>
      </c>
      <c r="B396" s="2" t="str">
        <f>INDEX(SETORES!$B:$B,MATCH(A396,SETORES!$A:$A,0))</f>
        <v>Clientes</v>
      </c>
      <c r="C396" s="2" t="s">
        <v>16</v>
      </c>
      <c r="D396" s="14">
        <f>IF(B396="Clientes",SUMIFS(PARÂMETROS!$D$8:$D$907,PARÂMETROS!$A$8:$A$907,C396,PARÂMETROS!$G$8:$G$907,J396),SUMIFS(PARÂMETROS!$E$8:$E$907,PARÂMETROS!$A$8:$A$907,C396,PARÂMETROS!$G$8:$G$907,J396))</f>
        <v>2.4722072681848353E-2</v>
      </c>
      <c r="E396" s="21">
        <f>SUMIFS(SETORES!$D:$D,SETORES!$A:$A,A396,SETORES!$F:$F,J396)</f>
        <v>58416.377200000003</v>
      </c>
      <c r="F396" s="21">
        <f t="shared" si="21"/>
        <v>1444.1739229486691</v>
      </c>
      <c r="G396" s="14">
        <f>SUMIFS(PARÂMETROS!$F$8:$F$907,PARÂMETROS!$A$8:$A$907,C396,PARÂMETROS!$G$8:$G$907,J396)</f>
        <v>0</v>
      </c>
      <c r="H396" s="21">
        <f t="shared" si="22"/>
        <v>0</v>
      </c>
      <c r="I396" s="21">
        <f t="shared" si="23"/>
        <v>1444.1739229486691</v>
      </c>
      <c r="J396" s="2" t="s">
        <v>20</v>
      </c>
    </row>
    <row r="397" spans="1:10" ht="14.25" hidden="1" customHeight="1" x14ac:dyDescent="0.3">
      <c r="A397" s="11" t="s">
        <v>50</v>
      </c>
      <c r="B397" s="19" t="str">
        <f>INDEX(SETORES!$B:$B,MATCH(A397,SETORES!$A:$A,0))</f>
        <v>Clientes</v>
      </c>
      <c r="C397" s="11" t="s">
        <v>17</v>
      </c>
      <c r="D397" s="9">
        <f>IF(B397="Clientes",SUMIFS(PARÂMETROS!$D$8:$D$907,PARÂMETROS!$A$8:$A$907,C397,PARÂMETROS!$G$8:$G$907,J397),SUMIFS(PARÂMETROS!$E$8:$E$907,PARÂMETROS!$A$8:$A$907,C397,PARÂMETROS!$G$8:$G$907,J397))</f>
        <v>2.4993858681733368E-2</v>
      </c>
      <c r="E397" s="20">
        <f>SUMIFS(SETORES!$D:$D,SETORES!$A:$A,A397,SETORES!$F:$F,J397)</f>
        <v>58416.377200000003</v>
      </c>
      <c r="F397" s="20">
        <f t="shared" si="21"/>
        <v>1460.0506764356312</v>
      </c>
      <c r="G397" s="9">
        <f>SUMIFS(PARÂMETROS!$F$8:$F$907,PARÂMETROS!$A$8:$A$907,C397,PARÂMETROS!$G$8:$G$907,J397)</f>
        <v>0</v>
      </c>
      <c r="H397" s="20">
        <f t="shared" si="22"/>
        <v>0</v>
      </c>
      <c r="I397" s="20">
        <f t="shared" si="23"/>
        <v>1460.0506764356312</v>
      </c>
      <c r="J397" s="11" t="s">
        <v>20</v>
      </c>
    </row>
    <row r="398" spans="1:10" ht="14.25" hidden="1" customHeight="1" x14ac:dyDescent="0.3">
      <c r="A398" s="2" t="s">
        <v>50</v>
      </c>
      <c r="B398" s="2" t="str">
        <f>INDEX(SETORES!$B:$B,MATCH(A398,SETORES!$A:$A,0))</f>
        <v>Clientes</v>
      </c>
      <c r="C398" s="2" t="s">
        <v>18</v>
      </c>
      <c r="D398" s="14">
        <f>IF(B398="Clientes",SUMIFS(PARÂMETROS!$D$8:$D$907,PARÂMETROS!$A$8:$A$907,C398,PARÂMETROS!$G$8:$G$907,J398),SUMIFS(PARÂMETROS!$E$8:$E$907,PARÂMETROS!$A$8:$A$907,C398,PARÂMETROS!$G$8:$G$907,J398))</f>
        <v>0.72000292692615264</v>
      </c>
      <c r="E398" s="21">
        <f>SUMIFS(SETORES!$D:$D,SETORES!$A:$A,A398,SETORES!$F:$F,J398)</f>
        <v>58416.377200000003</v>
      </c>
      <c r="F398" s="21">
        <f t="shared" si="21"/>
        <v>42059.962564422174</v>
      </c>
      <c r="G398" s="14">
        <f>SUMIFS(PARÂMETROS!$F$8:$F$907,PARÂMETROS!$A$8:$A$907,C398,PARÂMETROS!$G$8:$G$907,J398)</f>
        <v>0</v>
      </c>
      <c r="H398" s="21">
        <f t="shared" si="22"/>
        <v>0</v>
      </c>
      <c r="I398" s="21">
        <f t="shared" si="23"/>
        <v>42059.962564422174</v>
      </c>
      <c r="J398" s="2" t="s">
        <v>20</v>
      </c>
    </row>
    <row r="399" spans="1:10" ht="14.25" hidden="1" customHeight="1" x14ac:dyDescent="0.3">
      <c r="A399" s="11" t="s">
        <v>51</v>
      </c>
      <c r="B399" s="19" t="str">
        <f>INDEX(SETORES!$B:$B,MATCH(A399,SETORES!$A:$A,0))</f>
        <v>Clientes</v>
      </c>
      <c r="C399" s="11" t="s">
        <v>10</v>
      </c>
      <c r="D399" s="9">
        <f>IF(B399="Clientes",SUMIFS(PARÂMETROS!$D$8:$D$907,PARÂMETROS!$A$8:$A$907,C399,PARÂMETROS!$G$8:$G$907,J399),SUMIFS(PARÂMETROS!$E$8:$E$907,PARÂMETROS!$A$8:$A$907,C399,PARÂMETROS!$G$8:$G$907,J399))</f>
        <v>3.2823386139959339E-2</v>
      </c>
      <c r="E399" s="20">
        <f>SUMIFS(SETORES!$D:$D,SETORES!$A:$A,A399,SETORES!$F:$F,J399)</f>
        <v>63760.755839555612</v>
      </c>
      <c r="F399" s="20">
        <f t="shared" si="21"/>
        <v>2092.843909497401</v>
      </c>
      <c r="G399" s="9">
        <f>SUMIFS(PARÂMETROS!$F$8:$F$907,PARÂMETROS!$A$8:$A$907,C399,PARÂMETROS!$G$8:$G$907,J399)</f>
        <v>0</v>
      </c>
      <c r="H399" s="20">
        <f t="shared" si="22"/>
        <v>0</v>
      </c>
      <c r="I399" s="20">
        <f t="shared" si="23"/>
        <v>2092.843909497401</v>
      </c>
      <c r="J399" s="11" t="s">
        <v>20</v>
      </c>
    </row>
    <row r="400" spans="1:10" ht="14.25" hidden="1" customHeight="1" x14ac:dyDescent="0.3">
      <c r="A400" s="2" t="s">
        <v>51</v>
      </c>
      <c r="B400" s="2" t="str">
        <f>INDEX(SETORES!$B:$B,MATCH(A400,SETORES!$A:$A,0))</f>
        <v>Clientes</v>
      </c>
      <c r="C400" s="2" t="s">
        <v>12</v>
      </c>
      <c r="D400" s="14">
        <f>IF(B400="Clientes",SUMIFS(PARÂMETROS!$D$8:$D$907,PARÂMETROS!$A$8:$A$907,C400,PARÂMETROS!$G$8:$G$907,J400),SUMIFS(PARÂMETROS!$E$8:$E$907,PARÂMETROS!$A$8:$A$907,C400,PARÂMETROS!$G$8:$G$907,J400))</f>
        <v>7.0047614816518319E-2</v>
      </c>
      <c r="E400" s="21">
        <f>SUMIFS(SETORES!$D:$D,SETORES!$A:$A,A400,SETORES!$F:$F,J400)</f>
        <v>63760.755839555612</v>
      </c>
      <c r="F400" s="21">
        <f t="shared" si="21"/>
        <v>4466.2888654592625</v>
      </c>
      <c r="G400" s="14">
        <f>SUMIFS(PARÂMETROS!$F$8:$F$907,PARÂMETROS!$A$8:$A$907,C400,PARÂMETROS!$G$8:$G$907,J400)</f>
        <v>0</v>
      </c>
      <c r="H400" s="21">
        <f t="shared" si="22"/>
        <v>0</v>
      </c>
      <c r="I400" s="21">
        <f t="shared" si="23"/>
        <v>4466.2888654592625</v>
      </c>
      <c r="J400" s="2" t="s">
        <v>20</v>
      </c>
    </row>
    <row r="401" spans="1:10" ht="14.25" hidden="1" customHeight="1" x14ac:dyDescent="0.3">
      <c r="A401" s="11" t="s">
        <v>51</v>
      </c>
      <c r="B401" s="19" t="str">
        <f>INDEX(SETORES!$B:$B,MATCH(A401,SETORES!$A:$A,0))</f>
        <v>Clientes</v>
      </c>
      <c r="C401" s="11" t="s">
        <v>13</v>
      </c>
      <c r="D401" s="9">
        <f>IF(B401="Clientes",SUMIFS(PARÂMETROS!$D$8:$D$907,PARÂMETROS!$A$8:$A$907,C401,PARÂMETROS!$G$8:$G$907,J401),SUMIFS(PARÂMETROS!$E$8:$E$907,PARÂMETROS!$A$8:$A$907,C401,PARÂMETROS!$G$8:$G$907,J401))</f>
        <v>7.4903176237540961E-2</v>
      </c>
      <c r="E401" s="20">
        <f>SUMIFS(SETORES!$D:$D,SETORES!$A:$A,A401,SETORES!$F:$F,J401)</f>
        <v>63760.755839555612</v>
      </c>
      <c r="F401" s="20">
        <f t="shared" si="21"/>
        <v>4775.8831316890528</v>
      </c>
      <c r="G401" s="9">
        <f>SUMIFS(PARÂMETROS!$F$8:$F$907,PARÂMETROS!$A$8:$A$907,C401,PARÂMETROS!$G$8:$G$907,J401)</f>
        <v>0</v>
      </c>
      <c r="H401" s="20">
        <f t="shared" si="22"/>
        <v>0</v>
      </c>
      <c r="I401" s="20">
        <f t="shared" si="23"/>
        <v>4775.8831316890528</v>
      </c>
      <c r="J401" s="11" t="s">
        <v>20</v>
      </c>
    </row>
    <row r="402" spans="1:10" ht="14.25" customHeight="1" x14ac:dyDescent="0.3">
      <c r="A402" s="2" t="s">
        <v>51</v>
      </c>
      <c r="B402" s="2" t="str">
        <f>INDEX(SETORES!$B:$B,MATCH(A402,SETORES!$A:$A,0))</f>
        <v>Clientes</v>
      </c>
      <c r="C402" s="2" t="s">
        <v>14</v>
      </c>
      <c r="D402" s="14">
        <f>IF(B402="Clientes",SUMIFS(PARÂMETROS!$D$8:$D$907,PARÂMETROS!$A$8:$A$907,C402,PARÂMETROS!$G$8:$G$907,J402),SUMIFS(PARÂMETROS!$E$8:$E$907,PARÂMETROS!$A$8:$A$907,C402,PARÂMETROS!$G$8:$G$907,J402))</f>
        <v>1.907728653039038E-2</v>
      </c>
      <c r="E402" s="21">
        <f>SUMIFS(SETORES!$D:$D,SETORES!$A:$A,A402,SETORES!$F:$F,J402)</f>
        <v>63760.755839555612</v>
      </c>
      <c r="F402" s="21">
        <f t="shared" si="21"/>
        <v>1216.382208545464</v>
      </c>
      <c r="G402" s="14">
        <f>SUMIFS(PARÂMETROS!$F$8:$F$907,PARÂMETROS!$A$8:$A$907,C402,PARÂMETROS!$G$8:$G$907,J402)</f>
        <v>0</v>
      </c>
      <c r="H402" s="21">
        <f t="shared" si="22"/>
        <v>0</v>
      </c>
      <c r="I402" s="21">
        <f t="shared" si="23"/>
        <v>1216.382208545464</v>
      </c>
      <c r="J402" s="2" t="s">
        <v>20</v>
      </c>
    </row>
    <row r="403" spans="1:10" ht="14.25" hidden="1" customHeight="1" x14ac:dyDescent="0.3">
      <c r="A403" s="11" t="s">
        <v>51</v>
      </c>
      <c r="B403" s="19" t="str">
        <f>INDEX(SETORES!$B:$B,MATCH(A403,SETORES!$A:$A,0))</f>
        <v>Clientes</v>
      </c>
      <c r="C403" s="11" t="s">
        <v>15</v>
      </c>
      <c r="D403" s="9">
        <f>IF(B403="Clientes",SUMIFS(PARÂMETROS!$D$8:$D$907,PARÂMETROS!$A$8:$A$907,C403,PARÂMETROS!$G$8:$G$907,J403),SUMIFS(PARÂMETROS!$E$8:$E$907,PARÂMETROS!$A$8:$A$907,C403,PARÂMETROS!$G$8:$G$907,J403))</f>
        <v>3.3429677985856672E-2</v>
      </c>
      <c r="E403" s="20">
        <f>SUMIFS(SETORES!$D:$D,SETORES!$A:$A,A403,SETORES!$F:$F,J403)</f>
        <v>63760.755839555612</v>
      </c>
      <c r="F403" s="20">
        <f t="shared" si="21"/>
        <v>2131.5015358511746</v>
      </c>
      <c r="G403" s="9">
        <f>SUMIFS(PARÂMETROS!$F$8:$F$907,PARÂMETROS!$A$8:$A$907,C403,PARÂMETROS!$G$8:$G$907,J403)</f>
        <v>0</v>
      </c>
      <c r="H403" s="20">
        <f t="shared" si="22"/>
        <v>0</v>
      </c>
      <c r="I403" s="20">
        <f t="shared" si="23"/>
        <v>2131.5015358511746</v>
      </c>
      <c r="J403" s="11" t="s">
        <v>20</v>
      </c>
    </row>
    <row r="404" spans="1:10" ht="14.25" hidden="1" customHeight="1" x14ac:dyDescent="0.3">
      <c r="A404" s="2" t="s">
        <v>51</v>
      </c>
      <c r="B404" s="2" t="str">
        <f>INDEX(SETORES!$B:$B,MATCH(A404,SETORES!$A:$A,0))</f>
        <v>Clientes</v>
      </c>
      <c r="C404" s="2" t="s">
        <v>16</v>
      </c>
      <c r="D404" s="14">
        <f>IF(B404="Clientes",SUMIFS(PARÂMETROS!$D$8:$D$907,PARÂMETROS!$A$8:$A$907,C404,PARÂMETROS!$G$8:$G$907,J404),SUMIFS(PARÂMETROS!$E$8:$E$907,PARÂMETROS!$A$8:$A$907,C404,PARÂMETROS!$G$8:$G$907,J404))</f>
        <v>2.4722072681848353E-2</v>
      </c>
      <c r="E404" s="21">
        <f>SUMIFS(SETORES!$D:$D,SETORES!$A:$A,A404,SETORES!$F:$F,J404)</f>
        <v>63760.755839555612</v>
      </c>
      <c r="F404" s="21">
        <f t="shared" si="21"/>
        <v>1576.2980401150805</v>
      </c>
      <c r="G404" s="14">
        <f>SUMIFS(PARÂMETROS!$F$8:$F$907,PARÂMETROS!$A$8:$A$907,C404,PARÂMETROS!$G$8:$G$907,J404)</f>
        <v>0</v>
      </c>
      <c r="H404" s="21">
        <f t="shared" si="22"/>
        <v>0</v>
      </c>
      <c r="I404" s="21">
        <f t="shared" si="23"/>
        <v>1576.2980401150805</v>
      </c>
      <c r="J404" s="2" t="s">
        <v>20</v>
      </c>
    </row>
    <row r="405" spans="1:10" ht="14.25" hidden="1" customHeight="1" x14ac:dyDescent="0.3">
      <c r="A405" s="11" t="s">
        <v>51</v>
      </c>
      <c r="B405" s="19" t="str">
        <f>INDEX(SETORES!$B:$B,MATCH(A405,SETORES!$A:$A,0))</f>
        <v>Clientes</v>
      </c>
      <c r="C405" s="11" t="s">
        <v>17</v>
      </c>
      <c r="D405" s="9">
        <f>IF(B405="Clientes",SUMIFS(PARÂMETROS!$D$8:$D$907,PARÂMETROS!$A$8:$A$907,C405,PARÂMETROS!$G$8:$G$907,J405),SUMIFS(PARÂMETROS!$E$8:$E$907,PARÂMETROS!$A$8:$A$907,C405,PARÂMETROS!$G$8:$G$907,J405))</f>
        <v>2.4993858681733368E-2</v>
      </c>
      <c r="E405" s="20">
        <f>SUMIFS(SETORES!$D:$D,SETORES!$A:$A,A405,SETORES!$F:$F,J405)</f>
        <v>63760.755839555612</v>
      </c>
      <c r="F405" s="20">
        <f t="shared" si="21"/>
        <v>1593.6273208943585</v>
      </c>
      <c r="G405" s="9">
        <f>SUMIFS(PARÂMETROS!$F$8:$F$907,PARÂMETROS!$A$8:$A$907,C405,PARÂMETROS!$G$8:$G$907,J405)</f>
        <v>0</v>
      </c>
      <c r="H405" s="20">
        <f t="shared" si="22"/>
        <v>0</v>
      </c>
      <c r="I405" s="20">
        <f t="shared" si="23"/>
        <v>1593.6273208943585</v>
      </c>
      <c r="J405" s="11" t="s">
        <v>20</v>
      </c>
    </row>
    <row r="406" spans="1:10" ht="14.25" hidden="1" customHeight="1" x14ac:dyDescent="0.3">
      <c r="A406" s="2" t="s">
        <v>51</v>
      </c>
      <c r="B406" s="2" t="str">
        <f>INDEX(SETORES!$B:$B,MATCH(A406,SETORES!$A:$A,0))</f>
        <v>Clientes</v>
      </c>
      <c r="C406" s="2" t="s">
        <v>18</v>
      </c>
      <c r="D406" s="14">
        <f>IF(B406="Clientes",SUMIFS(PARÂMETROS!$D$8:$D$907,PARÂMETROS!$A$8:$A$907,C406,PARÂMETROS!$G$8:$G$907,J406),SUMIFS(PARÂMETROS!$E$8:$E$907,PARÂMETROS!$A$8:$A$907,C406,PARÂMETROS!$G$8:$G$907,J406))</f>
        <v>0.72000292692615264</v>
      </c>
      <c r="E406" s="21">
        <f>SUMIFS(SETORES!$D:$D,SETORES!$A:$A,A406,SETORES!$F:$F,J406)</f>
        <v>63760.755839555612</v>
      </c>
      <c r="F406" s="21">
        <f t="shared" si="21"/>
        <v>45907.93082750382</v>
      </c>
      <c r="G406" s="14">
        <f>SUMIFS(PARÂMETROS!$F$8:$F$907,PARÂMETROS!$A$8:$A$907,C406,PARÂMETROS!$G$8:$G$907,J406)</f>
        <v>0</v>
      </c>
      <c r="H406" s="21">
        <f t="shared" si="22"/>
        <v>0</v>
      </c>
      <c r="I406" s="21">
        <f t="shared" si="23"/>
        <v>45907.93082750382</v>
      </c>
      <c r="J406" s="2" t="s">
        <v>20</v>
      </c>
    </row>
    <row r="407" spans="1:10" ht="14.25" hidden="1" customHeight="1" x14ac:dyDescent="0.3">
      <c r="A407" s="11" t="s">
        <v>52</v>
      </c>
      <c r="B407" s="19" t="str">
        <f>INDEX(SETORES!$B:$B,MATCH(A407,SETORES!$A:$A,0))</f>
        <v>Clientes</v>
      </c>
      <c r="C407" s="11" t="s">
        <v>10</v>
      </c>
      <c r="D407" s="9">
        <f>IF(B407="Clientes",SUMIFS(PARÂMETROS!$D$8:$D$907,PARÂMETROS!$A$8:$A$907,C407,PARÂMETROS!$G$8:$G$907,J407),SUMIFS(PARÂMETROS!$E$8:$E$907,PARÂMETROS!$A$8:$A$907,C407,PARÂMETROS!$G$8:$G$907,J407))</f>
        <v>3.2823386139959339E-2</v>
      </c>
      <c r="E407" s="20">
        <f>SUMIFS(SETORES!$D:$D,SETORES!$A:$A,A407,SETORES!$F:$F,J407)</f>
        <v>35788.658657999993</v>
      </c>
      <c r="F407" s="20">
        <f t="shared" si="21"/>
        <v>1174.7049625627328</v>
      </c>
      <c r="G407" s="9">
        <f>SUMIFS(PARÂMETROS!$F$8:$F$907,PARÂMETROS!$A$8:$A$907,C407,PARÂMETROS!$G$8:$G$907,J407)</f>
        <v>0</v>
      </c>
      <c r="H407" s="20">
        <f t="shared" si="22"/>
        <v>0</v>
      </c>
      <c r="I407" s="20">
        <f t="shared" si="23"/>
        <v>1174.7049625627328</v>
      </c>
      <c r="J407" s="11" t="s">
        <v>20</v>
      </c>
    </row>
    <row r="408" spans="1:10" ht="14.25" hidden="1" customHeight="1" x14ac:dyDescent="0.3">
      <c r="A408" s="2" t="s">
        <v>52</v>
      </c>
      <c r="B408" s="2" t="str">
        <f>INDEX(SETORES!$B:$B,MATCH(A408,SETORES!$A:$A,0))</f>
        <v>Clientes</v>
      </c>
      <c r="C408" s="2" t="s">
        <v>12</v>
      </c>
      <c r="D408" s="14">
        <f>IF(B408="Clientes",SUMIFS(PARÂMETROS!$D$8:$D$907,PARÂMETROS!$A$8:$A$907,C408,PARÂMETROS!$G$8:$G$907,J408),SUMIFS(PARÂMETROS!$E$8:$E$907,PARÂMETROS!$A$8:$A$907,C408,PARÂMETROS!$G$8:$G$907,J408))</f>
        <v>7.0047614816518319E-2</v>
      </c>
      <c r="E408" s="21">
        <f>SUMIFS(SETORES!$D:$D,SETORES!$A:$A,A408,SETORES!$F:$F,J408)</f>
        <v>35788.658657999993</v>
      </c>
      <c r="F408" s="21">
        <f t="shared" si="21"/>
        <v>2506.9101764754369</v>
      </c>
      <c r="G408" s="14">
        <f>SUMIFS(PARÂMETROS!$F$8:$F$907,PARÂMETROS!$A$8:$A$907,C408,PARÂMETROS!$G$8:$G$907,J408)</f>
        <v>0</v>
      </c>
      <c r="H408" s="21">
        <f t="shared" si="22"/>
        <v>0</v>
      </c>
      <c r="I408" s="21">
        <f t="shared" si="23"/>
        <v>2506.9101764754369</v>
      </c>
      <c r="J408" s="2" t="s">
        <v>20</v>
      </c>
    </row>
    <row r="409" spans="1:10" ht="14.25" hidden="1" customHeight="1" x14ac:dyDescent="0.3">
      <c r="A409" s="11" t="s">
        <v>52</v>
      </c>
      <c r="B409" s="19" t="str">
        <f>INDEX(SETORES!$B:$B,MATCH(A409,SETORES!$A:$A,0))</f>
        <v>Clientes</v>
      </c>
      <c r="C409" s="11" t="s">
        <v>13</v>
      </c>
      <c r="D409" s="9">
        <f>IF(B409="Clientes",SUMIFS(PARÂMETROS!$D$8:$D$907,PARÂMETROS!$A$8:$A$907,C409,PARÂMETROS!$G$8:$G$907,J409),SUMIFS(PARÂMETROS!$E$8:$E$907,PARÂMETROS!$A$8:$A$907,C409,PARÂMETROS!$G$8:$G$907,J409))</f>
        <v>7.4903176237540961E-2</v>
      </c>
      <c r="E409" s="20">
        <f>SUMIFS(SETORES!$D:$D,SETORES!$A:$A,A409,SETORES!$F:$F,J409)</f>
        <v>35788.658657999993</v>
      </c>
      <c r="F409" s="20">
        <f t="shared" si="21"/>
        <v>2680.6842067653697</v>
      </c>
      <c r="G409" s="9">
        <f>SUMIFS(PARÂMETROS!$F$8:$F$907,PARÂMETROS!$A$8:$A$907,C409,PARÂMETROS!$G$8:$G$907,J409)</f>
        <v>0</v>
      </c>
      <c r="H409" s="20">
        <f t="shared" si="22"/>
        <v>0</v>
      </c>
      <c r="I409" s="20">
        <f t="shared" si="23"/>
        <v>2680.6842067653697</v>
      </c>
      <c r="J409" s="11" t="s">
        <v>20</v>
      </c>
    </row>
    <row r="410" spans="1:10" ht="14.25" customHeight="1" x14ac:dyDescent="0.3">
      <c r="A410" s="2" t="s">
        <v>52</v>
      </c>
      <c r="B410" s="2" t="str">
        <f>INDEX(SETORES!$B:$B,MATCH(A410,SETORES!$A:$A,0))</f>
        <v>Clientes</v>
      </c>
      <c r="C410" s="2" t="s">
        <v>14</v>
      </c>
      <c r="D410" s="14">
        <f>IF(B410="Clientes",SUMIFS(PARÂMETROS!$D$8:$D$907,PARÂMETROS!$A$8:$A$907,C410,PARÂMETROS!$G$8:$G$907,J410),SUMIFS(PARÂMETROS!$E$8:$E$907,PARÂMETROS!$A$8:$A$907,C410,PARÂMETROS!$G$8:$G$907,J410))</f>
        <v>1.907728653039038E-2</v>
      </c>
      <c r="E410" s="21">
        <f>SUMIFS(SETORES!$D:$D,SETORES!$A:$A,A410,SETORES!$F:$F,J410)</f>
        <v>35788.658657999993</v>
      </c>
      <c r="F410" s="21">
        <f t="shared" si="21"/>
        <v>682.75049575700234</v>
      </c>
      <c r="G410" s="14">
        <f>SUMIFS(PARÂMETROS!$F$8:$F$907,PARÂMETROS!$A$8:$A$907,C410,PARÂMETROS!$G$8:$G$907,J410)</f>
        <v>0</v>
      </c>
      <c r="H410" s="21">
        <f t="shared" si="22"/>
        <v>0</v>
      </c>
      <c r="I410" s="21">
        <f t="shared" si="23"/>
        <v>682.75049575700234</v>
      </c>
      <c r="J410" s="2" t="s">
        <v>20</v>
      </c>
    </row>
    <row r="411" spans="1:10" ht="14.25" hidden="1" customHeight="1" x14ac:dyDescent="0.3">
      <c r="A411" s="11" t="s">
        <v>52</v>
      </c>
      <c r="B411" s="19" t="str">
        <f>INDEX(SETORES!$B:$B,MATCH(A411,SETORES!$A:$A,0))</f>
        <v>Clientes</v>
      </c>
      <c r="C411" s="11" t="s">
        <v>15</v>
      </c>
      <c r="D411" s="9">
        <f>IF(B411="Clientes",SUMIFS(PARÂMETROS!$D$8:$D$907,PARÂMETROS!$A$8:$A$907,C411,PARÂMETROS!$G$8:$G$907,J411),SUMIFS(PARÂMETROS!$E$8:$E$907,PARÂMETROS!$A$8:$A$907,C411,PARÂMETROS!$G$8:$G$907,J411))</f>
        <v>3.3429677985856672E-2</v>
      </c>
      <c r="E411" s="20">
        <f>SUMIFS(SETORES!$D:$D,SETORES!$A:$A,A411,SETORES!$F:$F,J411)</f>
        <v>35788.658657999993</v>
      </c>
      <c r="F411" s="20">
        <f t="shared" si="21"/>
        <v>1196.4033344826812</v>
      </c>
      <c r="G411" s="9">
        <f>SUMIFS(PARÂMETROS!$F$8:$F$907,PARÂMETROS!$A$8:$A$907,C411,PARÂMETROS!$G$8:$G$907,J411)</f>
        <v>0</v>
      </c>
      <c r="H411" s="20">
        <f t="shared" si="22"/>
        <v>0</v>
      </c>
      <c r="I411" s="20">
        <f t="shared" si="23"/>
        <v>1196.4033344826812</v>
      </c>
      <c r="J411" s="11" t="s">
        <v>20</v>
      </c>
    </row>
    <row r="412" spans="1:10" ht="14.25" hidden="1" customHeight="1" x14ac:dyDescent="0.3">
      <c r="A412" s="2" t="s">
        <v>52</v>
      </c>
      <c r="B412" s="2" t="str">
        <f>INDEX(SETORES!$B:$B,MATCH(A412,SETORES!$A:$A,0))</f>
        <v>Clientes</v>
      </c>
      <c r="C412" s="2" t="s">
        <v>16</v>
      </c>
      <c r="D412" s="14">
        <f>IF(B412="Clientes",SUMIFS(PARÂMETROS!$D$8:$D$907,PARÂMETROS!$A$8:$A$907,C412,PARÂMETROS!$G$8:$G$907,J412),SUMIFS(PARÂMETROS!$E$8:$E$907,PARÂMETROS!$A$8:$A$907,C412,PARÂMETROS!$G$8:$G$907,J412))</f>
        <v>2.4722072681848353E-2</v>
      </c>
      <c r="E412" s="21">
        <f>SUMIFS(SETORES!$D:$D,SETORES!$A:$A,A412,SETORES!$F:$F,J412)</f>
        <v>35788.658657999993</v>
      </c>
      <c r="F412" s="21">
        <f t="shared" si="21"/>
        <v>884.7698205289372</v>
      </c>
      <c r="G412" s="14">
        <f>SUMIFS(PARÂMETROS!$F$8:$F$907,PARÂMETROS!$A$8:$A$907,C412,PARÂMETROS!$G$8:$G$907,J412)</f>
        <v>0</v>
      </c>
      <c r="H412" s="21">
        <f t="shared" si="22"/>
        <v>0</v>
      </c>
      <c r="I412" s="21">
        <f t="shared" si="23"/>
        <v>884.7698205289372</v>
      </c>
      <c r="J412" s="2" t="s">
        <v>20</v>
      </c>
    </row>
    <row r="413" spans="1:10" ht="14.25" hidden="1" customHeight="1" x14ac:dyDescent="0.3">
      <c r="A413" s="11" t="s">
        <v>52</v>
      </c>
      <c r="B413" s="19" t="str">
        <f>INDEX(SETORES!$B:$B,MATCH(A413,SETORES!$A:$A,0))</f>
        <v>Clientes</v>
      </c>
      <c r="C413" s="11" t="s">
        <v>17</v>
      </c>
      <c r="D413" s="9">
        <f>IF(B413="Clientes",SUMIFS(PARÂMETROS!$D$8:$D$907,PARÂMETROS!$A$8:$A$907,C413,PARÂMETROS!$G$8:$G$907,J413),SUMIFS(PARÂMETROS!$E$8:$E$907,PARÂMETROS!$A$8:$A$907,C413,PARÂMETROS!$G$8:$G$907,J413))</f>
        <v>2.4993858681733368E-2</v>
      </c>
      <c r="E413" s="20">
        <f>SUMIFS(SETORES!$D:$D,SETORES!$A:$A,A413,SETORES!$F:$F,J413)</f>
        <v>35788.658657999993</v>
      </c>
      <c r="F413" s="20">
        <f t="shared" si="21"/>
        <v>894.49667690684521</v>
      </c>
      <c r="G413" s="9">
        <f>SUMIFS(PARÂMETROS!$F$8:$F$907,PARÂMETROS!$A$8:$A$907,C413,PARÂMETROS!$G$8:$G$907,J413)</f>
        <v>0</v>
      </c>
      <c r="H413" s="20">
        <f t="shared" si="22"/>
        <v>0</v>
      </c>
      <c r="I413" s="20">
        <f t="shared" si="23"/>
        <v>894.49667690684521</v>
      </c>
      <c r="J413" s="11" t="s">
        <v>20</v>
      </c>
    </row>
    <row r="414" spans="1:10" ht="14.25" hidden="1" customHeight="1" x14ac:dyDescent="0.3">
      <c r="A414" s="2" t="s">
        <v>52</v>
      </c>
      <c r="B414" s="2" t="str">
        <f>INDEX(SETORES!$B:$B,MATCH(A414,SETORES!$A:$A,0))</f>
        <v>Clientes</v>
      </c>
      <c r="C414" s="2" t="s">
        <v>18</v>
      </c>
      <c r="D414" s="14">
        <f>IF(B414="Clientes",SUMIFS(PARÂMETROS!$D$8:$D$907,PARÂMETROS!$A$8:$A$907,C414,PARÂMETROS!$G$8:$G$907,J414),SUMIFS(PARÂMETROS!$E$8:$E$907,PARÂMETROS!$A$8:$A$907,C414,PARÂMETROS!$G$8:$G$907,J414))</f>
        <v>0.72000292692615264</v>
      </c>
      <c r="E414" s="21">
        <f>SUMIFS(SETORES!$D:$D,SETORES!$A:$A,A414,SETORES!$F:$F,J414)</f>
        <v>35788.658657999993</v>
      </c>
      <c r="F414" s="21">
        <f t="shared" si="21"/>
        <v>25767.938984520988</v>
      </c>
      <c r="G414" s="14">
        <f>SUMIFS(PARÂMETROS!$F$8:$F$907,PARÂMETROS!$A$8:$A$907,C414,PARÂMETROS!$G$8:$G$907,J414)</f>
        <v>0</v>
      </c>
      <c r="H414" s="21">
        <f t="shared" si="22"/>
        <v>0</v>
      </c>
      <c r="I414" s="21">
        <f t="shared" si="23"/>
        <v>25767.938984520988</v>
      </c>
      <c r="J414" s="2" t="s">
        <v>20</v>
      </c>
    </row>
    <row r="415" spans="1:10" ht="14.25" hidden="1" customHeight="1" x14ac:dyDescent="0.3">
      <c r="A415" s="11" t="s">
        <v>53</v>
      </c>
      <c r="B415" s="19" t="str">
        <f>INDEX(SETORES!$B:$B,MATCH(A415,SETORES!$A:$A,0))</f>
        <v>Clientes</v>
      </c>
      <c r="C415" s="11" t="s">
        <v>10</v>
      </c>
      <c r="D415" s="9">
        <f>IF(B415="Clientes",SUMIFS(PARÂMETROS!$D$8:$D$907,PARÂMETROS!$A$8:$A$907,C415,PARÂMETROS!$G$8:$G$907,J415),SUMIFS(PARÂMETROS!$E$8:$E$907,PARÂMETROS!$A$8:$A$907,C415,PARÂMETROS!$G$8:$G$907,J415))</f>
        <v>3.2823386139959339E-2</v>
      </c>
      <c r="E415" s="20">
        <f>SUMIFS(SETORES!$D:$D,SETORES!$A:$A,A415,SETORES!$F:$F,J415)</f>
        <v>116439.91329999999</v>
      </c>
      <c r="F415" s="20">
        <f t="shared" si="21"/>
        <v>3821.9522363492865</v>
      </c>
      <c r="G415" s="9">
        <f>SUMIFS(PARÂMETROS!$F$8:$F$907,PARÂMETROS!$A$8:$A$907,C415,PARÂMETROS!$G$8:$G$907,J415)</f>
        <v>0</v>
      </c>
      <c r="H415" s="20">
        <f t="shared" si="22"/>
        <v>0</v>
      </c>
      <c r="I415" s="20">
        <f t="shared" si="23"/>
        <v>3821.9522363492865</v>
      </c>
      <c r="J415" s="11" t="s">
        <v>20</v>
      </c>
    </row>
    <row r="416" spans="1:10" ht="14.25" hidden="1" customHeight="1" x14ac:dyDescent="0.3">
      <c r="A416" s="2" t="s">
        <v>53</v>
      </c>
      <c r="B416" s="2" t="str">
        <f>INDEX(SETORES!$B:$B,MATCH(A416,SETORES!$A:$A,0))</f>
        <v>Clientes</v>
      </c>
      <c r="C416" s="2" t="s">
        <v>12</v>
      </c>
      <c r="D416" s="14">
        <f>IF(B416="Clientes",SUMIFS(PARÂMETROS!$D$8:$D$907,PARÂMETROS!$A$8:$A$907,C416,PARÂMETROS!$G$8:$G$907,J416),SUMIFS(PARÂMETROS!$E$8:$E$907,PARÂMETROS!$A$8:$A$907,C416,PARÂMETROS!$G$8:$G$907,J416))</f>
        <v>7.0047614816518319E-2</v>
      </c>
      <c r="E416" s="21">
        <f>SUMIFS(SETORES!$D:$D,SETORES!$A:$A,A416,SETORES!$F:$F,J416)</f>
        <v>116439.91329999999</v>
      </c>
      <c r="F416" s="21">
        <f t="shared" si="21"/>
        <v>8156.3381961071873</v>
      </c>
      <c r="G416" s="14">
        <f>SUMIFS(PARÂMETROS!$F$8:$F$907,PARÂMETROS!$A$8:$A$907,C416,PARÂMETROS!$G$8:$G$907,J416)</f>
        <v>0</v>
      </c>
      <c r="H416" s="21">
        <f t="shared" si="22"/>
        <v>0</v>
      </c>
      <c r="I416" s="21">
        <f t="shared" si="23"/>
        <v>8156.3381961071873</v>
      </c>
      <c r="J416" s="2" t="s">
        <v>20</v>
      </c>
    </row>
    <row r="417" spans="1:10" ht="14.25" hidden="1" customHeight="1" x14ac:dyDescent="0.3">
      <c r="A417" s="11" t="s">
        <v>53</v>
      </c>
      <c r="B417" s="19" t="str">
        <f>INDEX(SETORES!$B:$B,MATCH(A417,SETORES!$A:$A,0))</f>
        <v>Clientes</v>
      </c>
      <c r="C417" s="11" t="s">
        <v>13</v>
      </c>
      <c r="D417" s="9">
        <f>IF(B417="Clientes",SUMIFS(PARÂMETROS!$D$8:$D$907,PARÂMETROS!$A$8:$A$907,C417,PARÂMETROS!$G$8:$G$907,J417),SUMIFS(PARÂMETROS!$E$8:$E$907,PARÂMETROS!$A$8:$A$907,C417,PARÂMETROS!$G$8:$G$907,J417))</f>
        <v>7.4903176237540961E-2</v>
      </c>
      <c r="E417" s="20">
        <f>SUMIFS(SETORES!$D:$D,SETORES!$A:$A,A417,SETORES!$F:$F,J417)</f>
        <v>116439.91329999999</v>
      </c>
      <c r="F417" s="20">
        <f t="shared" si="21"/>
        <v>8721.7193469938884</v>
      </c>
      <c r="G417" s="9">
        <f>SUMIFS(PARÂMETROS!$F$8:$F$907,PARÂMETROS!$A$8:$A$907,C417,PARÂMETROS!$G$8:$G$907,J417)</f>
        <v>0</v>
      </c>
      <c r="H417" s="20">
        <f t="shared" si="22"/>
        <v>0</v>
      </c>
      <c r="I417" s="20">
        <f t="shared" si="23"/>
        <v>8721.7193469938884</v>
      </c>
      <c r="J417" s="11" t="s">
        <v>20</v>
      </c>
    </row>
    <row r="418" spans="1:10" ht="14.25" customHeight="1" x14ac:dyDescent="0.3">
      <c r="A418" s="2" t="s">
        <v>53</v>
      </c>
      <c r="B418" s="2" t="str">
        <f>INDEX(SETORES!$B:$B,MATCH(A418,SETORES!$A:$A,0))</f>
        <v>Clientes</v>
      </c>
      <c r="C418" s="2" t="s">
        <v>14</v>
      </c>
      <c r="D418" s="14">
        <f>IF(B418="Clientes",SUMIFS(PARÂMETROS!$D$8:$D$907,PARÂMETROS!$A$8:$A$907,C418,PARÂMETROS!$G$8:$G$907,J418),SUMIFS(PARÂMETROS!$E$8:$E$907,PARÂMETROS!$A$8:$A$907,C418,PARÂMETROS!$G$8:$G$907,J418))</f>
        <v>1.907728653039038E-2</v>
      </c>
      <c r="E418" s="21">
        <f>SUMIFS(SETORES!$D:$D,SETORES!$A:$A,A418,SETORES!$F:$F,J418)</f>
        <v>116439.91329999999</v>
      </c>
      <c r="F418" s="21">
        <f t="shared" si="21"/>
        <v>2221.3575895979134</v>
      </c>
      <c r="G418" s="14">
        <f>SUMIFS(PARÂMETROS!$F$8:$F$907,PARÂMETROS!$A$8:$A$907,C418,PARÂMETROS!$G$8:$G$907,J418)</f>
        <v>0</v>
      </c>
      <c r="H418" s="21">
        <f t="shared" si="22"/>
        <v>0</v>
      </c>
      <c r="I418" s="21">
        <f t="shared" si="23"/>
        <v>2221.3575895979134</v>
      </c>
      <c r="J418" s="2" t="s">
        <v>20</v>
      </c>
    </row>
    <row r="419" spans="1:10" ht="14.25" hidden="1" customHeight="1" x14ac:dyDescent="0.3">
      <c r="A419" s="11" t="s">
        <v>53</v>
      </c>
      <c r="B419" s="19" t="str">
        <f>INDEX(SETORES!$B:$B,MATCH(A419,SETORES!$A:$A,0))</f>
        <v>Clientes</v>
      </c>
      <c r="C419" s="11" t="s">
        <v>15</v>
      </c>
      <c r="D419" s="9">
        <f>IF(B419="Clientes",SUMIFS(PARÂMETROS!$D$8:$D$907,PARÂMETROS!$A$8:$A$907,C419,PARÂMETROS!$G$8:$G$907,J419),SUMIFS(PARÂMETROS!$E$8:$E$907,PARÂMETROS!$A$8:$A$907,C419,PARÂMETROS!$G$8:$G$907,J419))</f>
        <v>3.3429677985856672E-2</v>
      </c>
      <c r="E419" s="20">
        <f>SUMIFS(SETORES!$D:$D,SETORES!$A:$A,A419,SETORES!$F:$F,J419)</f>
        <v>116439.91329999999</v>
      </c>
      <c r="F419" s="20">
        <f t="shared" si="21"/>
        <v>3892.5488063200692</v>
      </c>
      <c r="G419" s="9">
        <f>SUMIFS(PARÂMETROS!$F$8:$F$907,PARÂMETROS!$A$8:$A$907,C419,PARÂMETROS!$G$8:$G$907,J419)</f>
        <v>0</v>
      </c>
      <c r="H419" s="20">
        <f t="shared" si="22"/>
        <v>0</v>
      </c>
      <c r="I419" s="20">
        <f t="shared" si="23"/>
        <v>3892.5488063200692</v>
      </c>
      <c r="J419" s="11" t="s">
        <v>20</v>
      </c>
    </row>
    <row r="420" spans="1:10" ht="14.25" hidden="1" customHeight="1" x14ac:dyDescent="0.3">
      <c r="A420" s="2" t="s">
        <v>53</v>
      </c>
      <c r="B420" s="2" t="str">
        <f>INDEX(SETORES!$B:$B,MATCH(A420,SETORES!$A:$A,0))</f>
        <v>Clientes</v>
      </c>
      <c r="C420" s="2" t="s">
        <v>16</v>
      </c>
      <c r="D420" s="14">
        <f>IF(B420="Clientes",SUMIFS(PARÂMETROS!$D$8:$D$907,PARÂMETROS!$A$8:$A$907,C420,PARÂMETROS!$G$8:$G$907,J420),SUMIFS(PARÂMETROS!$E$8:$E$907,PARÂMETROS!$A$8:$A$907,C420,PARÂMETROS!$G$8:$G$907,J420))</f>
        <v>2.4722072681848353E-2</v>
      </c>
      <c r="E420" s="21">
        <f>SUMIFS(SETORES!$D:$D,SETORES!$A:$A,A420,SETORES!$F:$F,J420)</f>
        <v>116439.91329999999</v>
      </c>
      <c r="F420" s="21">
        <f t="shared" si="21"/>
        <v>2878.6359996707206</v>
      </c>
      <c r="G420" s="14">
        <f>SUMIFS(PARÂMETROS!$F$8:$F$907,PARÂMETROS!$A$8:$A$907,C420,PARÂMETROS!$G$8:$G$907,J420)</f>
        <v>0</v>
      </c>
      <c r="H420" s="21">
        <f t="shared" si="22"/>
        <v>0</v>
      </c>
      <c r="I420" s="21">
        <f t="shared" si="23"/>
        <v>2878.6359996707206</v>
      </c>
      <c r="J420" s="2" t="s">
        <v>20</v>
      </c>
    </row>
    <row r="421" spans="1:10" ht="14.25" hidden="1" customHeight="1" x14ac:dyDescent="0.3">
      <c r="A421" s="11" t="s">
        <v>53</v>
      </c>
      <c r="B421" s="19" t="str">
        <f>INDEX(SETORES!$B:$B,MATCH(A421,SETORES!$A:$A,0))</f>
        <v>Clientes</v>
      </c>
      <c r="C421" s="11" t="s">
        <v>17</v>
      </c>
      <c r="D421" s="9">
        <f>IF(B421="Clientes",SUMIFS(PARÂMETROS!$D$8:$D$907,PARÂMETROS!$A$8:$A$907,C421,PARÂMETROS!$G$8:$G$907,J421),SUMIFS(PARÂMETROS!$E$8:$E$907,PARÂMETROS!$A$8:$A$907,C421,PARÂMETROS!$G$8:$G$907,J421))</f>
        <v>2.4993858681733368E-2</v>
      </c>
      <c r="E421" s="20">
        <f>SUMIFS(SETORES!$D:$D,SETORES!$A:$A,A421,SETORES!$F:$F,J421)</f>
        <v>116439.91329999999</v>
      </c>
      <c r="F421" s="20">
        <f t="shared" si="21"/>
        <v>2910.2827379334854</v>
      </c>
      <c r="G421" s="9">
        <f>SUMIFS(PARÂMETROS!$F$8:$F$907,PARÂMETROS!$A$8:$A$907,C421,PARÂMETROS!$G$8:$G$907,J421)</f>
        <v>0</v>
      </c>
      <c r="H421" s="20">
        <f t="shared" si="22"/>
        <v>0</v>
      </c>
      <c r="I421" s="20">
        <f t="shared" si="23"/>
        <v>2910.2827379334854</v>
      </c>
      <c r="J421" s="11" t="s">
        <v>20</v>
      </c>
    </row>
    <row r="422" spans="1:10" ht="14.25" hidden="1" customHeight="1" x14ac:dyDescent="0.3">
      <c r="A422" s="2" t="s">
        <v>53</v>
      </c>
      <c r="B422" s="2" t="str">
        <f>INDEX(SETORES!$B:$B,MATCH(A422,SETORES!$A:$A,0))</f>
        <v>Clientes</v>
      </c>
      <c r="C422" s="2" t="s">
        <v>18</v>
      </c>
      <c r="D422" s="14">
        <f>IF(B422="Clientes",SUMIFS(PARÂMETROS!$D$8:$D$907,PARÂMETROS!$A$8:$A$907,C422,PARÂMETROS!$G$8:$G$907,J422),SUMIFS(PARÂMETROS!$E$8:$E$907,PARÂMETROS!$A$8:$A$907,C422,PARÂMETROS!$G$8:$G$907,J422))</f>
        <v>0.72000292692615264</v>
      </c>
      <c r="E422" s="21">
        <f>SUMIFS(SETORES!$D:$D,SETORES!$A:$A,A422,SETORES!$F:$F,J422)</f>
        <v>116439.91329999999</v>
      </c>
      <c r="F422" s="21">
        <f t="shared" si="21"/>
        <v>83837.078387027432</v>
      </c>
      <c r="G422" s="14">
        <f>SUMIFS(PARÂMETROS!$F$8:$F$907,PARÂMETROS!$A$8:$A$907,C422,PARÂMETROS!$G$8:$G$907,J422)</f>
        <v>0</v>
      </c>
      <c r="H422" s="21">
        <f t="shared" si="22"/>
        <v>0</v>
      </c>
      <c r="I422" s="21">
        <f t="shared" si="23"/>
        <v>83837.078387027432</v>
      </c>
      <c r="J422" s="2" t="s">
        <v>20</v>
      </c>
    </row>
    <row r="423" spans="1:10" ht="14.25" hidden="1" customHeight="1" x14ac:dyDescent="0.3">
      <c r="A423" s="11" t="s">
        <v>54</v>
      </c>
      <c r="B423" s="19" t="str">
        <f>INDEX(SETORES!$B:$B,MATCH(A423,SETORES!$A:$A,0))</f>
        <v>Clientes</v>
      </c>
      <c r="C423" s="11" t="s">
        <v>10</v>
      </c>
      <c r="D423" s="9">
        <f>IF(B423="Clientes",SUMIFS(PARÂMETROS!$D$8:$D$907,PARÂMETROS!$A$8:$A$907,C423,PARÂMETROS!$G$8:$G$907,J423),SUMIFS(PARÂMETROS!$E$8:$E$907,PARÂMETROS!$A$8:$A$907,C423,PARÂMETROS!$G$8:$G$907,J423))</f>
        <v>3.2823386139959339E-2</v>
      </c>
      <c r="E423" s="20">
        <f>SUMIFS(SETORES!$D:$D,SETORES!$A:$A,A423,SETORES!$F:$F,J423)</f>
        <v>115104.63980999999</v>
      </c>
      <c r="F423" s="20">
        <f t="shared" ref="F423:F486" si="24">IFERROR(D423*E423,0)</f>
        <v>3778.1240389845657</v>
      </c>
      <c r="G423" s="9">
        <f>SUMIFS(PARÂMETROS!$F$8:$F$907,PARÂMETROS!$A$8:$A$907,C423,PARÂMETROS!$G$8:$G$907,J423)</f>
        <v>0</v>
      </c>
      <c r="H423" s="20">
        <f t="shared" ref="H423:H486" si="25">IFERROR(F423*G423,0)</f>
        <v>0</v>
      </c>
      <c r="I423" s="20">
        <f t="shared" ref="I423:I486" si="26">F423+H423</f>
        <v>3778.1240389845657</v>
      </c>
      <c r="J423" s="11" t="s">
        <v>20</v>
      </c>
    </row>
    <row r="424" spans="1:10" ht="14.25" hidden="1" customHeight="1" x14ac:dyDescent="0.3">
      <c r="A424" s="2" t="s">
        <v>54</v>
      </c>
      <c r="B424" s="2" t="str">
        <f>INDEX(SETORES!$B:$B,MATCH(A424,SETORES!$A:$A,0))</f>
        <v>Clientes</v>
      </c>
      <c r="C424" s="2" t="s">
        <v>12</v>
      </c>
      <c r="D424" s="14">
        <f>IF(B424="Clientes",SUMIFS(PARÂMETROS!$D$8:$D$907,PARÂMETROS!$A$8:$A$907,C424,PARÂMETROS!$G$8:$G$907,J424),SUMIFS(PARÂMETROS!$E$8:$E$907,PARÂMETROS!$A$8:$A$907,C424,PARÂMETROS!$G$8:$G$907,J424))</f>
        <v>7.0047614816518319E-2</v>
      </c>
      <c r="E424" s="21">
        <f>SUMIFS(SETORES!$D:$D,SETORES!$A:$A,A424,SETORES!$F:$F,J424)</f>
        <v>115104.63980999999</v>
      </c>
      <c r="F424" s="21">
        <f t="shared" si="24"/>
        <v>8062.8054730049598</v>
      </c>
      <c r="G424" s="14">
        <f>SUMIFS(PARÂMETROS!$F$8:$F$907,PARÂMETROS!$A$8:$A$907,C424,PARÂMETROS!$G$8:$G$907,J424)</f>
        <v>0</v>
      </c>
      <c r="H424" s="21">
        <f t="shared" si="25"/>
        <v>0</v>
      </c>
      <c r="I424" s="21">
        <f t="shared" si="26"/>
        <v>8062.8054730049598</v>
      </c>
      <c r="J424" s="2" t="s">
        <v>20</v>
      </c>
    </row>
    <row r="425" spans="1:10" ht="14.25" hidden="1" customHeight="1" x14ac:dyDescent="0.3">
      <c r="A425" s="11" t="s">
        <v>54</v>
      </c>
      <c r="B425" s="19" t="str">
        <f>INDEX(SETORES!$B:$B,MATCH(A425,SETORES!$A:$A,0))</f>
        <v>Clientes</v>
      </c>
      <c r="C425" s="11" t="s">
        <v>13</v>
      </c>
      <c r="D425" s="9">
        <f>IF(B425="Clientes",SUMIFS(PARÂMETROS!$D$8:$D$907,PARÂMETROS!$A$8:$A$907,C425,PARÂMETROS!$G$8:$G$907,J425),SUMIFS(PARÂMETROS!$E$8:$E$907,PARÂMETROS!$A$8:$A$907,C425,PARÂMETROS!$G$8:$G$907,J425))</f>
        <v>7.4903176237540961E-2</v>
      </c>
      <c r="E425" s="20">
        <f>SUMIFS(SETORES!$D:$D,SETORES!$A:$A,A425,SETORES!$F:$F,J425)</f>
        <v>115104.63980999999</v>
      </c>
      <c r="F425" s="20">
        <f t="shared" si="24"/>
        <v>8621.7031214471026</v>
      </c>
      <c r="G425" s="9">
        <f>SUMIFS(PARÂMETROS!$F$8:$F$907,PARÂMETROS!$A$8:$A$907,C425,PARÂMETROS!$G$8:$G$907,J425)</f>
        <v>0</v>
      </c>
      <c r="H425" s="20">
        <f t="shared" si="25"/>
        <v>0</v>
      </c>
      <c r="I425" s="20">
        <f t="shared" si="26"/>
        <v>8621.7031214471026</v>
      </c>
      <c r="J425" s="11" t="s">
        <v>20</v>
      </c>
    </row>
    <row r="426" spans="1:10" ht="14.25" customHeight="1" x14ac:dyDescent="0.3">
      <c r="A426" s="2" t="s">
        <v>54</v>
      </c>
      <c r="B426" s="2" t="str">
        <f>INDEX(SETORES!$B:$B,MATCH(A426,SETORES!$A:$A,0))</f>
        <v>Clientes</v>
      </c>
      <c r="C426" s="2" t="s">
        <v>14</v>
      </c>
      <c r="D426" s="14">
        <f>IF(B426="Clientes",SUMIFS(PARÂMETROS!$D$8:$D$907,PARÂMETROS!$A$8:$A$907,C426,PARÂMETROS!$G$8:$G$907,J426),SUMIFS(PARÂMETROS!$E$8:$E$907,PARÂMETROS!$A$8:$A$907,C426,PARÂMETROS!$G$8:$G$907,J426))</f>
        <v>1.907728653039038E-2</v>
      </c>
      <c r="E426" s="21">
        <f>SUMIFS(SETORES!$D:$D,SETORES!$A:$A,A426,SETORES!$F:$F,J426)</f>
        <v>115104.63980999999</v>
      </c>
      <c r="F426" s="21">
        <f t="shared" si="24"/>
        <v>2195.8841946327493</v>
      </c>
      <c r="G426" s="14">
        <f>SUMIFS(PARÂMETROS!$F$8:$F$907,PARÂMETROS!$A$8:$A$907,C426,PARÂMETROS!$G$8:$G$907,J426)</f>
        <v>0</v>
      </c>
      <c r="H426" s="21">
        <f t="shared" si="25"/>
        <v>0</v>
      </c>
      <c r="I426" s="21">
        <f t="shared" si="26"/>
        <v>2195.8841946327493</v>
      </c>
      <c r="J426" s="2" t="s">
        <v>20</v>
      </c>
    </row>
    <row r="427" spans="1:10" ht="14.25" hidden="1" customHeight="1" x14ac:dyDescent="0.3">
      <c r="A427" s="11" t="s">
        <v>54</v>
      </c>
      <c r="B427" s="19" t="str">
        <f>INDEX(SETORES!$B:$B,MATCH(A427,SETORES!$A:$A,0))</f>
        <v>Clientes</v>
      </c>
      <c r="C427" s="11" t="s">
        <v>15</v>
      </c>
      <c r="D427" s="9">
        <f>IF(B427="Clientes",SUMIFS(PARÂMETROS!$D$8:$D$907,PARÂMETROS!$A$8:$A$907,C427,PARÂMETROS!$G$8:$G$907,J427),SUMIFS(PARÂMETROS!$E$8:$E$907,PARÂMETROS!$A$8:$A$907,C427,PARÂMETROS!$G$8:$G$907,J427))</f>
        <v>3.3429677985856672E-2</v>
      </c>
      <c r="E427" s="20">
        <f>SUMIFS(SETORES!$D:$D,SETORES!$A:$A,A427,SETORES!$F:$F,J427)</f>
        <v>115104.63980999999</v>
      </c>
      <c r="F427" s="20">
        <f t="shared" si="24"/>
        <v>3847.9110435263183</v>
      </c>
      <c r="G427" s="9">
        <f>SUMIFS(PARÂMETROS!$F$8:$F$907,PARÂMETROS!$A$8:$A$907,C427,PARÂMETROS!$G$8:$G$907,J427)</f>
        <v>0</v>
      </c>
      <c r="H427" s="20">
        <f t="shared" si="25"/>
        <v>0</v>
      </c>
      <c r="I427" s="20">
        <f t="shared" si="26"/>
        <v>3847.9110435263183</v>
      </c>
      <c r="J427" s="11" t="s">
        <v>20</v>
      </c>
    </row>
    <row r="428" spans="1:10" ht="14.25" hidden="1" customHeight="1" x14ac:dyDescent="0.3">
      <c r="A428" s="2" t="s">
        <v>54</v>
      </c>
      <c r="B428" s="2" t="str">
        <f>INDEX(SETORES!$B:$B,MATCH(A428,SETORES!$A:$A,0))</f>
        <v>Clientes</v>
      </c>
      <c r="C428" s="2" t="s">
        <v>16</v>
      </c>
      <c r="D428" s="14">
        <f>IF(B428="Clientes",SUMIFS(PARÂMETROS!$D$8:$D$907,PARÂMETROS!$A$8:$A$907,C428,PARÂMETROS!$G$8:$G$907,J428),SUMIFS(PARÂMETROS!$E$8:$E$907,PARÂMETROS!$A$8:$A$907,C428,PARÂMETROS!$G$8:$G$907,J428))</f>
        <v>2.4722072681848353E-2</v>
      </c>
      <c r="E428" s="21">
        <f>SUMIFS(SETORES!$D:$D,SETORES!$A:$A,A428,SETORES!$F:$F,J428)</f>
        <v>115104.63980999999</v>
      </c>
      <c r="F428" s="21">
        <f t="shared" si="24"/>
        <v>2845.6252714007951</v>
      </c>
      <c r="G428" s="14">
        <f>SUMIFS(PARÂMETROS!$F$8:$F$907,PARÂMETROS!$A$8:$A$907,C428,PARÂMETROS!$G$8:$G$907,J428)</f>
        <v>0</v>
      </c>
      <c r="H428" s="21">
        <f t="shared" si="25"/>
        <v>0</v>
      </c>
      <c r="I428" s="21">
        <f t="shared" si="26"/>
        <v>2845.6252714007951</v>
      </c>
      <c r="J428" s="2" t="s">
        <v>20</v>
      </c>
    </row>
    <row r="429" spans="1:10" ht="14.25" hidden="1" customHeight="1" x14ac:dyDescent="0.3">
      <c r="A429" s="11" t="s">
        <v>54</v>
      </c>
      <c r="B429" s="19" t="str">
        <f>INDEX(SETORES!$B:$B,MATCH(A429,SETORES!$A:$A,0))</f>
        <v>Clientes</v>
      </c>
      <c r="C429" s="11" t="s">
        <v>17</v>
      </c>
      <c r="D429" s="9">
        <f>IF(B429="Clientes",SUMIFS(PARÂMETROS!$D$8:$D$907,PARÂMETROS!$A$8:$A$907,C429,PARÂMETROS!$G$8:$G$907,J429),SUMIFS(PARÂMETROS!$E$8:$E$907,PARÂMETROS!$A$8:$A$907,C429,PARÂMETROS!$G$8:$G$907,J429))</f>
        <v>2.4993858681733368E-2</v>
      </c>
      <c r="E429" s="20">
        <f>SUMIFS(SETORES!$D:$D,SETORES!$A:$A,A429,SETORES!$F:$F,J429)</f>
        <v>115104.63980999999</v>
      </c>
      <c r="F429" s="20">
        <f t="shared" si="24"/>
        <v>2876.9091010229608</v>
      </c>
      <c r="G429" s="9">
        <f>SUMIFS(PARÂMETROS!$F$8:$F$907,PARÂMETROS!$A$8:$A$907,C429,PARÂMETROS!$G$8:$G$907,J429)</f>
        <v>0</v>
      </c>
      <c r="H429" s="20">
        <f t="shared" si="25"/>
        <v>0</v>
      </c>
      <c r="I429" s="20">
        <f t="shared" si="26"/>
        <v>2876.9091010229608</v>
      </c>
      <c r="J429" s="11" t="s">
        <v>20</v>
      </c>
    </row>
    <row r="430" spans="1:10" ht="15" hidden="1" customHeight="1" x14ac:dyDescent="0.3">
      <c r="A430" s="2" t="s">
        <v>54</v>
      </c>
      <c r="B430" s="2" t="str">
        <f>INDEX(SETORES!$B:$B,MATCH(A430,SETORES!$A:$A,0))</f>
        <v>Clientes</v>
      </c>
      <c r="C430" s="2" t="s">
        <v>18</v>
      </c>
      <c r="D430" s="14">
        <f>IF(B430="Clientes",SUMIFS(PARÂMETROS!$D$8:$D$907,PARÂMETROS!$A$8:$A$907,C430,PARÂMETROS!$G$8:$G$907,J430),SUMIFS(PARÂMETROS!$E$8:$E$907,PARÂMETROS!$A$8:$A$907,C430,PARÂMETROS!$G$8:$G$907,J430))</f>
        <v>0.72000292692615264</v>
      </c>
      <c r="E430" s="21">
        <f>SUMIFS(SETORES!$D:$D,SETORES!$A:$A,A430,SETORES!$F:$F,J430)</f>
        <v>115104.63980999999</v>
      </c>
      <c r="F430" s="21">
        <f t="shared" si="24"/>
        <v>82875.677565980543</v>
      </c>
      <c r="G430" s="14">
        <f>SUMIFS(PARÂMETROS!$F$8:$F$907,PARÂMETROS!$A$8:$A$907,C430,PARÂMETROS!$G$8:$G$907,J430)</f>
        <v>0</v>
      </c>
      <c r="H430" s="21">
        <f t="shared" si="25"/>
        <v>0</v>
      </c>
      <c r="I430" s="21">
        <f t="shared" si="26"/>
        <v>82875.677565980543</v>
      </c>
      <c r="J430" s="2" t="s">
        <v>20</v>
      </c>
    </row>
    <row r="431" spans="1:10" ht="15" hidden="1" customHeight="1" x14ac:dyDescent="0.3">
      <c r="A431" s="11" t="s">
        <v>55</v>
      </c>
      <c r="B431" s="19" t="str">
        <f>INDEX(SETORES!$B:$B,MATCH(A431,SETORES!$A:$A,0))</f>
        <v>Funcionários</v>
      </c>
      <c r="C431" s="11" t="s">
        <v>10</v>
      </c>
      <c r="D431" s="9">
        <f>IF(B431="Clientes",SUMIFS(PARÂMETROS!$D$8:$D$907,PARÂMETROS!$A$8:$A$907,C431,PARÂMETROS!$G$8:$G$907,J431),SUMIFS(PARÂMETROS!$E$8:$E$907,PARÂMETROS!$A$8:$A$907,C431,PARÂMETROS!$G$8:$G$907,J431))</f>
        <v>3.3238366571699908E-2</v>
      </c>
      <c r="E431" s="20">
        <f>SUMIFS(SETORES!$D:$D,SETORES!$A:$A,A431,SETORES!$F:$F,J431)</f>
        <v>23776.15</v>
      </c>
      <c r="F431" s="20">
        <f t="shared" si="24"/>
        <v>790.28038936372286</v>
      </c>
      <c r="G431" s="9">
        <f>SUMIFS(PARÂMETROS!$F$8:$F$907,PARÂMETROS!$A$8:$A$907,C431,PARÂMETROS!$G$8:$G$907,J431)</f>
        <v>0</v>
      </c>
      <c r="H431" s="20">
        <f t="shared" si="25"/>
        <v>0</v>
      </c>
      <c r="I431" s="20">
        <f t="shared" si="26"/>
        <v>790.28038936372286</v>
      </c>
      <c r="J431" s="11" t="s">
        <v>20</v>
      </c>
    </row>
    <row r="432" spans="1:10" ht="15" hidden="1" customHeight="1" x14ac:dyDescent="0.3">
      <c r="A432" s="2" t="s">
        <v>55</v>
      </c>
      <c r="B432" s="2" t="str">
        <f>INDEX(SETORES!$B:$B,MATCH(A432,SETORES!$A:$A,0))</f>
        <v>Funcionários</v>
      </c>
      <c r="C432" s="2" t="s">
        <v>12</v>
      </c>
      <c r="D432" s="14">
        <f>IF(B432="Clientes",SUMIFS(PARÂMETROS!$D$8:$D$907,PARÂMETROS!$A$8:$A$907,C432,PARÂMETROS!$G$8:$G$907,J432),SUMIFS(PARÂMETROS!$E$8:$E$907,PARÂMETROS!$A$8:$A$907,C432,PARÂMETROS!$G$8:$G$907,J432))</f>
        <v>3.3238366571699908E-2</v>
      </c>
      <c r="E432" s="21">
        <f>SUMIFS(SETORES!$D:$D,SETORES!$A:$A,A432,SETORES!$F:$F,J432)</f>
        <v>23776.15</v>
      </c>
      <c r="F432" s="21">
        <f t="shared" si="24"/>
        <v>790.28038936372286</v>
      </c>
      <c r="G432" s="14">
        <f>SUMIFS(PARÂMETROS!$F$8:$F$907,PARÂMETROS!$A$8:$A$907,C432,PARÂMETROS!$G$8:$G$907,J432)</f>
        <v>0</v>
      </c>
      <c r="H432" s="21">
        <f t="shared" si="25"/>
        <v>0</v>
      </c>
      <c r="I432" s="21">
        <f t="shared" si="26"/>
        <v>790.28038936372286</v>
      </c>
      <c r="J432" s="2" t="s">
        <v>20</v>
      </c>
    </row>
    <row r="433" spans="1:10" ht="15" hidden="1" customHeight="1" x14ac:dyDescent="0.3">
      <c r="A433" s="11" t="s">
        <v>55</v>
      </c>
      <c r="B433" s="19" t="str">
        <f>INDEX(SETORES!$B:$B,MATCH(A433,SETORES!$A:$A,0))</f>
        <v>Funcionários</v>
      </c>
      <c r="C433" s="11" t="s">
        <v>13</v>
      </c>
      <c r="D433" s="9">
        <f>IF(B433="Clientes",SUMIFS(PARÂMETROS!$D$8:$D$907,PARÂMETROS!$A$8:$A$907,C433,PARÂMETROS!$G$8:$G$907,J433),SUMIFS(PARÂMETROS!$E$8:$E$907,PARÂMETROS!$A$8:$A$907,C433,PARÂMETROS!$G$8:$G$907,J433))</f>
        <v>3.9886039886039885E-2</v>
      </c>
      <c r="E433" s="20">
        <f>SUMIFS(SETORES!$D:$D,SETORES!$A:$A,A433,SETORES!$F:$F,J433)</f>
        <v>23776.15</v>
      </c>
      <c r="F433" s="20">
        <f t="shared" si="24"/>
        <v>948.33646723646723</v>
      </c>
      <c r="G433" s="9">
        <f>SUMIFS(PARÂMETROS!$F$8:$F$907,PARÂMETROS!$A$8:$A$907,C433,PARÂMETROS!$G$8:$G$907,J433)</f>
        <v>0</v>
      </c>
      <c r="H433" s="20">
        <f t="shared" si="25"/>
        <v>0</v>
      </c>
      <c r="I433" s="20">
        <f t="shared" si="26"/>
        <v>948.33646723646723</v>
      </c>
      <c r="J433" s="11" t="s">
        <v>20</v>
      </c>
    </row>
    <row r="434" spans="1:10" ht="15" customHeight="1" x14ac:dyDescent="0.3">
      <c r="A434" s="2" t="s">
        <v>55</v>
      </c>
      <c r="B434" s="2" t="str">
        <f>INDEX(SETORES!$B:$B,MATCH(A434,SETORES!$A:$A,0))</f>
        <v>Funcionários</v>
      </c>
      <c r="C434" s="2" t="s">
        <v>14</v>
      </c>
      <c r="D434" s="14">
        <f>IF(B434="Clientes",SUMIFS(PARÂMETROS!$D$8:$D$907,PARÂMETROS!$A$8:$A$907,C434,PARÂMETROS!$G$8:$G$907,J434),SUMIFS(PARÂMETROS!$E$8:$E$907,PARÂMETROS!$A$8:$A$907,C434,PARÂMETROS!$G$8:$G$907,J434))</f>
        <v>1.0446343779677113E-2</v>
      </c>
      <c r="E434" s="21">
        <f>SUMIFS(SETORES!$D:$D,SETORES!$A:$A,A434,SETORES!$F:$F,J434)</f>
        <v>23776.15</v>
      </c>
      <c r="F434" s="21">
        <f t="shared" si="24"/>
        <v>248.37383665717002</v>
      </c>
      <c r="G434" s="14">
        <f>SUMIFS(PARÂMETROS!$F$8:$F$907,PARÂMETROS!$A$8:$A$907,C434,PARÂMETROS!$G$8:$G$907,J434)</f>
        <v>0</v>
      </c>
      <c r="H434" s="21">
        <f t="shared" si="25"/>
        <v>0</v>
      </c>
      <c r="I434" s="21">
        <f t="shared" si="26"/>
        <v>248.37383665717002</v>
      </c>
      <c r="J434" s="2" t="s">
        <v>20</v>
      </c>
    </row>
    <row r="435" spans="1:10" ht="15" hidden="1" customHeight="1" x14ac:dyDescent="0.3">
      <c r="A435" s="11" t="s">
        <v>55</v>
      </c>
      <c r="B435" s="19" t="str">
        <f>INDEX(SETORES!$B:$B,MATCH(A435,SETORES!$A:$A,0))</f>
        <v>Funcionários</v>
      </c>
      <c r="C435" s="11" t="s">
        <v>15</v>
      </c>
      <c r="D435" s="9">
        <f>IF(B435="Clientes",SUMIFS(PARÂMETROS!$D$8:$D$907,PARÂMETROS!$A$8:$A$907,C435,PARÂMETROS!$G$8:$G$907,J435),SUMIFS(PARÂMETROS!$E$8:$E$907,PARÂMETROS!$A$8:$A$907,C435,PARÂMETROS!$G$8:$G$907,J435))</f>
        <v>3.9886039886039885E-2</v>
      </c>
      <c r="E435" s="20">
        <f>SUMIFS(SETORES!$D:$D,SETORES!$A:$A,A435,SETORES!$F:$F,J435)</f>
        <v>23776.15</v>
      </c>
      <c r="F435" s="20">
        <f t="shared" si="24"/>
        <v>948.33646723646723</v>
      </c>
      <c r="G435" s="9">
        <f>SUMIFS(PARÂMETROS!$F$8:$F$907,PARÂMETROS!$A$8:$A$907,C435,PARÂMETROS!$G$8:$G$907,J435)</f>
        <v>0</v>
      </c>
      <c r="H435" s="20">
        <f t="shared" si="25"/>
        <v>0</v>
      </c>
      <c r="I435" s="20">
        <f t="shared" si="26"/>
        <v>948.33646723646723</v>
      </c>
      <c r="J435" s="11" t="s">
        <v>20</v>
      </c>
    </row>
    <row r="436" spans="1:10" ht="14.25" hidden="1" customHeight="1" x14ac:dyDescent="0.3">
      <c r="A436" s="2" t="s">
        <v>55</v>
      </c>
      <c r="B436" s="2" t="str">
        <f>INDEX(SETORES!$B:$B,MATCH(A436,SETORES!$A:$A,0))</f>
        <v>Funcionários</v>
      </c>
      <c r="C436" s="2" t="s">
        <v>16</v>
      </c>
      <c r="D436" s="14">
        <f>IF(B436="Clientes",SUMIFS(PARÂMETROS!$D$8:$D$907,PARÂMETROS!$A$8:$A$907,C436,PARÂMETROS!$G$8:$G$907,J436),SUMIFS(PARÂMETROS!$E$8:$E$907,PARÂMETROS!$A$8:$A$907,C436,PARÂMETROS!$G$8:$G$907,J436))</f>
        <v>1.7094017094017096E-2</v>
      </c>
      <c r="E436" s="21">
        <f>SUMIFS(SETORES!$D:$D,SETORES!$A:$A,A436,SETORES!$F:$F,J436)</f>
        <v>23776.15</v>
      </c>
      <c r="F436" s="21">
        <f t="shared" si="24"/>
        <v>406.42991452991458</v>
      </c>
      <c r="G436" s="14">
        <f>SUMIFS(PARÂMETROS!$F$8:$F$907,PARÂMETROS!$A$8:$A$907,C436,PARÂMETROS!$G$8:$G$907,J436)</f>
        <v>0</v>
      </c>
      <c r="H436" s="21">
        <f t="shared" si="25"/>
        <v>0</v>
      </c>
      <c r="I436" s="21">
        <f t="shared" si="26"/>
        <v>406.42991452991458</v>
      </c>
      <c r="J436" s="2" t="s">
        <v>20</v>
      </c>
    </row>
    <row r="437" spans="1:10" ht="14.25" hidden="1" customHeight="1" x14ac:dyDescent="0.3">
      <c r="A437" s="11" t="s">
        <v>55</v>
      </c>
      <c r="B437" s="19" t="str">
        <f>INDEX(SETORES!$B:$B,MATCH(A437,SETORES!$A:$A,0))</f>
        <v>Funcionários</v>
      </c>
      <c r="C437" s="11" t="s">
        <v>17</v>
      </c>
      <c r="D437" s="9">
        <f>IF(B437="Clientes",SUMIFS(PARÂMETROS!$D$8:$D$907,PARÂMETROS!$A$8:$A$907,C437,PARÂMETROS!$G$8:$G$907,J437),SUMIFS(PARÂMETROS!$E$8:$E$907,PARÂMETROS!$A$8:$A$907,C437,PARÂMETROS!$G$8:$G$907,J437))</f>
        <v>1.8993352326685659E-2</v>
      </c>
      <c r="E437" s="20">
        <f>SUMIFS(SETORES!$D:$D,SETORES!$A:$A,A437,SETORES!$F:$F,J437)</f>
        <v>23776.15</v>
      </c>
      <c r="F437" s="20">
        <f t="shared" si="24"/>
        <v>451.58879392212725</v>
      </c>
      <c r="G437" s="9">
        <f>SUMIFS(PARÂMETROS!$F$8:$F$907,PARÂMETROS!$A$8:$A$907,C437,PARÂMETROS!$G$8:$G$907,J437)</f>
        <v>0</v>
      </c>
      <c r="H437" s="20">
        <f t="shared" si="25"/>
        <v>0</v>
      </c>
      <c r="I437" s="20">
        <f t="shared" si="26"/>
        <v>451.58879392212725</v>
      </c>
      <c r="J437" s="11" t="s">
        <v>20</v>
      </c>
    </row>
    <row r="438" spans="1:10" ht="14.25" hidden="1" customHeight="1" x14ac:dyDescent="0.3">
      <c r="A438" s="2" t="s">
        <v>55</v>
      </c>
      <c r="B438" s="2" t="str">
        <f>INDEX(SETORES!$B:$B,MATCH(A438,SETORES!$A:$A,0))</f>
        <v>Funcionários</v>
      </c>
      <c r="C438" s="2" t="s">
        <v>18</v>
      </c>
      <c r="D438" s="14">
        <f>IF(B438="Clientes",SUMIFS(PARÂMETROS!$D$8:$D$907,PARÂMETROS!$A$8:$A$907,C438,PARÂMETROS!$G$8:$G$907,J438),SUMIFS(PARÂMETROS!$E$8:$E$907,PARÂMETROS!$A$8:$A$907,C438,PARÂMETROS!$G$8:$G$907,J438))</f>
        <v>0.80721747388414056</v>
      </c>
      <c r="E438" s="21">
        <f>SUMIFS(SETORES!$D:$D,SETORES!$A:$A,A438,SETORES!$F:$F,J438)</f>
        <v>23776.15</v>
      </c>
      <c r="F438" s="21">
        <f t="shared" si="24"/>
        <v>19192.523741690409</v>
      </c>
      <c r="G438" s="14">
        <f>SUMIFS(PARÂMETROS!$F$8:$F$907,PARÂMETROS!$A$8:$A$907,C438,PARÂMETROS!$G$8:$G$907,J438)</f>
        <v>0</v>
      </c>
      <c r="H438" s="21">
        <f t="shared" si="25"/>
        <v>0</v>
      </c>
      <c r="I438" s="21">
        <f t="shared" si="26"/>
        <v>19192.523741690409</v>
      </c>
      <c r="J438" s="2" t="s">
        <v>20</v>
      </c>
    </row>
    <row r="439" spans="1:10" ht="14.25" hidden="1" customHeight="1" x14ac:dyDescent="0.3">
      <c r="A439" s="11" t="s">
        <v>31</v>
      </c>
      <c r="B439" s="19" t="str">
        <f>INDEX(SETORES!$B:$B,MATCH(A439,SETORES!$A:$A,0))</f>
        <v>Clientes</v>
      </c>
      <c r="C439" s="11" t="s">
        <v>10</v>
      </c>
      <c r="D439" s="9">
        <f>IF(B439="Clientes",SUMIFS(PARÂMETROS!$D$8:$D$907,PARÂMETROS!$A$8:$A$907,C439,PARÂMETROS!$G$8:$G$907,J439),SUMIFS(PARÂMETROS!$E$8:$E$907,PARÂMETROS!$A$8:$A$907,C439,PARÂMETROS!$G$8:$G$907,J439))</f>
        <v>3.2696249460273663E-2</v>
      </c>
      <c r="E439" s="20">
        <f>SUMIFS(SETORES!$D:$D,SETORES!$A:$A,A439,SETORES!$F:$F,J439)</f>
        <v>74925.256200000003</v>
      </c>
      <c r="F439" s="20">
        <f t="shared" si="24"/>
        <v>2449.7748675901162</v>
      </c>
      <c r="G439" s="9">
        <f>SUMIFS(PARÂMETROS!$F$8:$F$907,PARÂMETROS!$A$8:$A$907,C439,PARÂMETROS!$G$8:$G$907,J439)</f>
        <v>0</v>
      </c>
      <c r="H439" s="20">
        <f t="shared" si="25"/>
        <v>0</v>
      </c>
      <c r="I439" s="20">
        <f t="shared" si="26"/>
        <v>2449.7748675901162</v>
      </c>
      <c r="J439" s="11" t="s">
        <v>21</v>
      </c>
    </row>
    <row r="440" spans="1:10" ht="14.25" hidden="1" customHeight="1" x14ac:dyDescent="0.3">
      <c r="A440" s="2" t="s">
        <v>31</v>
      </c>
      <c r="B440" s="2" t="str">
        <f>INDEX(SETORES!$B:$B,MATCH(A440,SETORES!$A:$A,0))</f>
        <v>Clientes</v>
      </c>
      <c r="C440" s="2" t="s">
        <v>12</v>
      </c>
      <c r="D440" s="14">
        <f>IF(B440="Clientes",SUMIFS(PARÂMETROS!$D$8:$D$907,PARÂMETROS!$A$8:$A$907,C440,PARÂMETROS!$G$8:$G$907,J440),SUMIFS(PARÂMETROS!$E$8:$E$907,PARÂMETROS!$A$8:$A$907,C440,PARÂMETROS!$G$8:$G$907,J440))</f>
        <v>6.7149401213950008E-2</v>
      </c>
      <c r="E440" s="21">
        <f>SUMIFS(SETORES!$D:$D,SETORES!$A:$A,A440,SETORES!$F:$F,J440)</f>
        <v>74925.256200000003</v>
      </c>
      <c r="F440" s="21">
        <f t="shared" si="24"/>
        <v>5031.1860896317958</v>
      </c>
      <c r="G440" s="14">
        <f>SUMIFS(PARÂMETROS!$F$8:$F$907,PARÂMETROS!$A$8:$A$907,C440,PARÂMETROS!$G$8:$G$907,J440)</f>
        <v>0</v>
      </c>
      <c r="H440" s="21">
        <f t="shared" si="25"/>
        <v>0</v>
      </c>
      <c r="I440" s="21">
        <f t="shared" si="26"/>
        <v>5031.1860896317958</v>
      </c>
      <c r="J440" s="2" t="s">
        <v>21</v>
      </c>
    </row>
    <row r="441" spans="1:10" ht="14.25" hidden="1" customHeight="1" x14ac:dyDescent="0.3">
      <c r="A441" s="11" t="s">
        <v>31</v>
      </c>
      <c r="B441" s="19" t="str">
        <f>INDEX(SETORES!$B:$B,MATCH(A441,SETORES!$A:$A,0))</f>
        <v>Clientes</v>
      </c>
      <c r="C441" s="11" t="s">
        <v>13</v>
      </c>
      <c r="D441" s="9">
        <f>IF(B441="Clientes",SUMIFS(PARÂMETROS!$D$8:$D$907,PARÂMETROS!$A$8:$A$907,C441,PARÂMETROS!$G$8:$G$907,J441),SUMIFS(PARÂMETROS!$E$8:$E$907,PARÂMETROS!$A$8:$A$907,C441,PARÂMETROS!$G$8:$G$907,J441))</f>
        <v>7.2901519174553703E-2</v>
      </c>
      <c r="E441" s="20">
        <f>SUMIFS(SETORES!$D:$D,SETORES!$A:$A,A441,SETORES!$F:$F,J441)</f>
        <v>74925.256200000003</v>
      </c>
      <c r="F441" s="20">
        <f t="shared" si="24"/>
        <v>5462.1650015226487</v>
      </c>
      <c r="G441" s="9">
        <f>SUMIFS(PARÂMETROS!$F$8:$F$907,PARÂMETROS!$A$8:$A$907,C441,PARÂMETROS!$G$8:$G$907,J441)</f>
        <v>0</v>
      </c>
      <c r="H441" s="20">
        <f t="shared" si="25"/>
        <v>0</v>
      </c>
      <c r="I441" s="20">
        <f t="shared" si="26"/>
        <v>5462.1650015226487</v>
      </c>
      <c r="J441" s="11" t="s">
        <v>21</v>
      </c>
    </row>
    <row r="442" spans="1:10" ht="14.25" customHeight="1" x14ac:dyDescent="0.3">
      <c r="A442" s="2" t="s">
        <v>31</v>
      </c>
      <c r="B442" s="2" t="str">
        <f>INDEX(SETORES!$B:$B,MATCH(A442,SETORES!$A:$A,0))</f>
        <v>Clientes</v>
      </c>
      <c r="C442" s="2" t="s">
        <v>14</v>
      </c>
      <c r="D442" s="14">
        <f>IF(B442="Clientes",SUMIFS(PARÂMETROS!$D$8:$D$907,PARÂMETROS!$A$8:$A$907,C442,PARÂMETROS!$G$8:$G$907,J442),SUMIFS(PARÂMETROS!$E$8:$E$907,PARÂMETROS!$A$8:$A$907,C442,PARÂMETROS!$G$8:$G$907,J442))</f>
        <v>1.8685698120511587E-2</v>
      </c>
      <c r="E442" s="21">
        <f>SUMIFS(SETORES!$D:$D,SETORES!$A:$A,A442,SETORES!$F:$F,J442)</f>
        <v>74925.256200000003</v>
      </c>
      <c r="F442" s="21">
        <f t="shared" si="24"/>
        <v>1400.0307189551893</v>
      </c>
      <c r="G442" s="14">
        <f>SUMIFS(PARÂMETROS!$F$8:$F$907,PARÂMETROS!$A$8:$A$907,C442,PARÂMETROS!$G$8:$G$907,J442)</f>
        <v>0</v>
      </c>
      <c r="H442" s="21">
        <f t="shared" si="25"/>
        <v>0</v>
      </c>
      <c r="I442" s="21">
        <f t="shared" si="26"/>
        <v>1400.0307189551893</v>
      </c>
      <c r="J442" s="2" t="s">
        <v>21</v>
      </c>
    </row>
    <row r="443" spans="1:10" ht="14.25" hidden="1" customHeight="1" x14ac:dyDescent="0.3">
      <c r="A443" s="11" t="s">
        <v>31</v>
      </c>
      <c r="B443" s="19" t="str">
        <f>INDEX(SETORES!$B:$B,MATCH(A443,SETORES!$A:$A,0))</f>
        <v>Clientes</v>
      </c>
      <c r="C443" s="11" t="s">
        <v>15</v>
      </c>
      <c r="D443" s="9">
        <f>IF(B443="Clientes",SUMIFS(PARÂMETROS!$D$8:$D$907,PARÂMETROS!$A$8:$A$907,C443,PARÂMETROS!$G$8:$G$907,J443),SUMIFS(PARÂMETROS!$E$8:$E$907,PARÂMETROS!$A$8:$A$907,C443,PARÂMETROS!$G$8:$G$907,J443))</f>
        <v>3.2596989443697238E-2</v>
      </c>
      <c r="E443" s="20">
        <f>SUMIFS(SETORES!$D:$D,SETORES!$A:$A,A443,SETORES!$F:$F,J443)</f>
        <v>74925.256200000003</v>
      </c>
      <c r="F443" s="20">
        <f t="shared" si="24"/>
        <v>2442.3377854177111</v>
      </c>
      <c r="G443" s="9">
        <f>SUMIFS(PARÂMETROS!$F$8:$F$907,PARÂMETROS!$A$8:$A$907,C443,PARÂMETROS!$G$8:$G$907,J443)</f>
        <v>0</v>
      </c>
      <c r="H443" s="20">
        <f t="shared" si="25"/>
        <v>0</v>
      </c>
      <c r="I443" s="20">
        <f t="shared" si="26"/>
        <v>2442.3377854177111</v>
      </c>
      <c r="J443" s="11" t="s">
        <v>21</v>
      </c>
    </row>
    <row r="444" spans="1:10" ht="14.25" hidden="1" customHeight="1" x14ac:dyDescent="0.3">
      <c r="A444" s="2" t="s">
        <v>31</v>
      </c>
      <c r="B444" s="2" t="str">
        <f>INDEX(SETORES!$B:$B,MATCH(A444,SETORES!$A:$A,0))</f>
        <v>Clientes</v>
      </c>
      <c r="C444" s="2" t="s">
        <v>16</v>
      </c>
      <c r="D444" s="14">
        <f>IF(B444="Clientes",SUMIFS(PARÂMETROS!$D$8:$D$907,PARÂMETROS!$A$8:$A$907,C444,PARÂMETROS!$G$8:$G$907,J444),SUMIFS(PARÂMETROS!$E$8:$E$907,PARÂMETROS!$A$8:$A$907,C444,PARÂMETROS!$G$8:$G$907,J444))</f>
        <v>2.3847218982485568E-2</v>
      </c>
      <c r="E444" s="21">
        <f>SUMIFS(SETORES!$D:$D,SETORES!$A:$A,A444,SETORES!$F:$F,J444)</f>
        <v>74925.256200000003</v>
      </c>
      <c r="F444" s="21">
        <f t="shared" si="24"/>
        <v>1786.7589919202346</v>
      </c>
      <c r="G444" s="14">
        <f>SUMIFS(PARÂMETROS!$F$8:$F$907,PARÂMETROS!$A$8:$A$907,C444,PARÂMETROS!$G$8:$G$907,J444)</f>
        <v>0</v>
      </c>
      <c r="H444" s="21">
        <f t="shared" si="25"/>
        <v>0</v>
      </c>
      <c r="I444" s="21">
        <f t="shared" si="26"/>
        <v>1786.7589919202346</v>
      </c>
      <c r="J444" s="2" t="s">
        <v>21</v>
      </c>
    </row>
    <row r="445" spans="1:10" ht="14.25" hidden="1" customHeight="1" x14ac:dyDescent="0.3">
      <c r="A445" s="11" t="s">
        <v>31</v>
      </c>
      <c r="B445" s="19" t="str">
        <f>INDEX(SETORES!$B:$B,MATCH(A445,SETORES!$A:$A,0))</f>
        <v>Clientes</v>
      </c>
      <c r="C445" s="11" t="s">
        <v>17</v>
      </c>
      <c r="D445" s="9">
        <f>IF(B445="Clientes",SUMIFS(PARÂMETROS!$D$8:$D$907,PARÂMETROS!$A$8:$A$907,C445,PARÂMETROS!$G$8:$G$907,J445),SUMIFS(PARÂMETROS!$E$8:$E$907,PARÂMETROS!$A$8:$A$907,C445,PARÂMETROS!$G$8:$G$907,J445))</f>
        <v>2.3852181983314392E-2</v>
      </c>
      <c r="E445" s="20">
        <f>SUMIFS(SETORES!$D:$D,SETORES!$A:$A,A445,SETORES!$F:$F,J445)</f>
        <v>74925.256200000003</v>
      </c>
      <c r="F445" s="20">
        <f t="shared" si="24"/>
        <v>1787.1308460288551</v>
      </c>
      <c r="G445" s="9">
        <f>SUMIFS(PARÂMETROS!$F$8:$F$907,PARÂMETROS!$A$8:$A$907,C445,PARÂMETROS!$G$8:$G$907,J445)</f>
        <v>0</v>
      </c>
      <c r="H445" s="20">
        <f t="shared" si="25"/>
        <v>0</v>
      </c>
      <c r="I445" s="20">
        <f t="shared" si="26"/>
        <v>1787.1308460288551</v>
      </c>
      <c r="J445" s="11" t="s">
        <v>21</v>
      </c>
    </row>
    <row r="446" spans="1:10" ht="14.25" hidden="1" customHeight="1" x14ac:dyDescent="0.3">
      <c r="A446" s="2" t="s">
        <v>31</v>
      </c>
      <c r="B446" s="2" t="str">
        <f>INDEX(SETORES!$B:$B,MATCH(A446,SETORES!$A:$A,0))</f>
        <v>Clientes</v>
      </c>
      <c r="C446" s="2" t="s">
        <v>18</v>
      </c>
      <c r="D446" s="14">
        <f>IF(B446="Clientes",SUMIFS(PARÂMETROS!$D$8:$D$907,PARÂMETROS!$A$8:$A$907,C446,PARÂMETROS!$G$8:$G$907,J446),SUMIFS(PARÂMETROS!$E$8:$E$907,PARÂMETROS!$A$8:$A$907,C446,PARÂMETROS!$G$8:$G$907,J446))</f>
        <v>0.72827074162121386</v>
      </c>
      <c r="E446" s="21">
        <f>SUMIFS(SETORES!$D:$D,SETORES!$A:$A,A446,SETORES!$F:$F,J446)</f>
        <v>74925.256200000003</v>
      </c>
      <c r="F446" s="21">
        <f t="shared" si="24"/>
        <v>54565.871898933452</v>
      </c>
      <c r="G446" s="14">
        <f>SUMIFS(PARÂMETROS!$F$8:$F$907,PARÂMETROS!$A$8:$A$907,C446,PARÂMETROS!$G$8:$G$907,J446)</f>
        <v>0</v>
      </c>
      <c r="H446" s="21">
        <f t="shared" si="25"/>
        <v>0</v>
      </c>
      <c r="I446" s="21">
        <f t="shared" si="26"/>
        <v>54565.871898933452</v>
      </c>
      <c r="J446" s="2" t="s">
        <v>21</v>
      </c>
    </row>
    <row r="447" spans="1:10" ht="14.25" hidden="1" customHeight="1" x14ac:dyDescent="0.3">
      <c r="A447" s="11" t="s">
        <v>32</v>
      </c>
      <c r="B447" s="19" t="str">
        <f>INDEX(SETORES!$B:$B,MATCH(A447,SETORES!$A:$A,0))</f>
        <v>Funcionários</v>
      </c>
      <c r="C447" s="11" t="s">
        <v>10</v>
      </c>
      <c r="D447" s="9">
        <f>IF(B447="Clientes",SUMIFS(PARÂMETROS!$D$8:$D$907,PARÂMETROS!$A$8:$A$907,C447,PARÂMETROS!$G$8:$G$907,J447),SUMIFS(PARÂMETROS!$E$8:$E$907,PARÂMETROS!$A$8:$A$907,C447,PARÂMETROS!$G$8:$G$907,J447))</f>
        <v>3.1192660550458717E-2</v>
      </c>
      <c r="E447" s="20">
        <f>SUMIFS(SETORES!$D:$D,SETORES!$A:$A,A447,SETORES!$F:$F,J447)</f>
        <v>38844.825852000009</v>
      </c>
      <c r="F447" s="20">
        <f t="shared" si="24"/>
        <v>1211.6734669431196</v>
      </c>
      <c r="G447" s="9">
        <f>SUMIFS(PARÂMETROS!$F$8:$F$907,PARÂMETROS!$A$8:$A$907,C447,PARÂMETROS!$G$8:$G$907,J447)</f>
        <v>0</v>
      </c>
      <c r="H447" s="20">
        <f t="shared" si="25"/>
        <v>0</v>
      </c>
      <c r="I447" s="20">
        <f t="shared" si="26"/>
        <v>1211.6734669431196</v>
      </c>
      <c r="J447" s="11" t="s">
        <v>21</v>
      </c>
    </row>
    <row r="448" spans="1:10" ht="14.25" hidden="1" customHeight="1" x14ac:dyDescent="0.3">
      <c r="A448" s="2" t="s">
        <v>32</v>
      </c>
      <c r="B448" s="2" t="str">
        <f>INDEX(SETORES!$B:$B,MATCH(A448,SETORES!$A:$A,0))</f>
        <v>Funcionários</v>
      </c>
      <c r="C448" s="2" t="s">
        <v>12</v>
      </c>
      <c r="D448" s="14">
        <f>IF(B448="Clientes",SUMIFS(PARÂMETROS!$D$8:$D$907,PARÂMETROS!$A$8:$A$907,C448,PARÂMETROS!$G$8:$G$907,J448),SUMIFS(PARÂMETROS!$E$8:$E$907,PARÂMETROS!$A$8:$A$907,C448,PARÂMETROS!$G$8:$G$907,J448))</f>
        <v>0</v>
      </c>
      <c r="E448" s="21">
        <f>SUMIFS(SETORES!$D:$D,SETORES!$A:$A,A448,SETORES!$F:$F,J448)</f>
        <v>38844.825852000009</v>
      </c>
      <c r="F448" s="21">
        <f t="shared" si="24"/>
        <v>0</v>
      </c>
      <c r="G448" s="14">
        <f>SUMIFS(PARÂMETROS!$F$8:$F$907,PARÂMETROS!$A$8:$A$907,C448,PARÂMETROS!$G$8:$G$907,J448)</f>
        <v>0</v>
      </c>
      <c r="H448" s="21">
        <f t="shared" si="25"/>
        <v>0</v>
      </c>
      <c r="I448" s="21">
        <f t="shared" si="26"/>
        <v>0</v>
      </c>
      <c r="J448" s="2" t="s">
        <v>21</v>
      </c>
    </row>
    <row r="449" spans="1:10" ht="14.25" hidden="1" customHeight="1" x14ac:dyDescent="0.3">
      <c r="A449" s="11" t="s">
        <v>32</v>
      </c>
      <c r="B449" s="19" t="str">
        <f>INDEX(SETORES!$B:$B,MATCH(A449,SETORES!$A:$A,0))</f>
        <v>Funcionários</v>
      </c>
      <c r="C449" s="11" t="s">
        <v>13</v>
      </c>
      <c r="D449" s="9">
        <f>IF(B449="Clientes",SUMIFS(PARÂMETROS!$D$8:$D$907,PARÂMETROS!$A$8:$A$907,C449,PARÂMETROS!$G$8:$G$907,J449),SUMIFS(PARÂMETROS!$E$8:$E$907,PARÂMETROS!$A$8:$A$907,C449,PARÂMETROS!$G$8:$G$907,J449))</f>
        <v>4.3119266055045874E-2</v>
      </c>
      <c r="E449" s="20">
        <f>SUMIFS(SETORES!$D:$D,SETORES!$A:$A,A449,SETORES!$F:$F,J449)</f>
        <v>38844.825852000009</v>
      </c>
      <c r="F449" s="20">
        <f t="shared" si="24"/>
        <v>1674.9603807743124</v>
      </c>
      <c r="G449" s="9">
        <f>SUMIFS(PARÂMETROS!$F$8:$F$907,PARÂMETROS!$A$8:$A$907,C449,PARÂMETROS!$G$8:$G$907,J449)</f>
        <v>0</v>
      </c>
      <c r="H449" s="20">
        <f t="shared" si="25"/>
        <v>0</v>
      </c>
      <c r="I449" s="20">
        <f t="shared" si="26"/>
        <v>1674.9603807743124</v>
      </c>
      <c r="J449" s="11" t="s">
        <v>21</v>
      </c>
    </row>
    <row r="450" spans="1:10" ht="14.25" customHeight="1" x14ac:dyDescent="0.3">
      <c r="A450" s="2" t="s">
        <v>32</v>
      </c>
      <c r="B450" s="2" t="str">
        <f>INDEX(SETORES!$B:$B,MATCH(A450,SETORES!$A:$A,0))</f>
        <v>Funcionários</v>
      </c>
      <c r="C450" s="2" t="s">
        <v>14</v>
      </c>
      <c r="D450" s="14">
        <f>IF(B450="Clientes",SUMIFS(PARÂMETROS!$D$8:$D$907,PARÂMETROS!$A$8:$A$907,C450,PARÂMETROS!$G$8:$G$907,J450),SUMIFS(PARÂMETROS!$E$8:$E$907,PARÂMETROS!$A$8:$A$907,C450,PARÂMETROS!$G$8:$G$907,J450))</f>
        <v>1.0091743119266056E-2</v>
      </c>
      <c r="E450" s="21">
        <f>SUMIFS(SETORES!$D:$D,SETORES!$A:$A,A450,SETORES!$F:$F,J450)</f>
        <v>38844.825852000009</v>
      </c>
      <c r="F450" s="21">
        <f t="shared" si="24"/>
        <v>392.01200401100931</v>
      </c>
      <c r="G450" s="14">
        <f>SUMIFS(PARÂMETROS!$F$8:$F$907,PARÂMETROS!$A$8:$A$907,C450,PARÂMETROS!$G$8:$G$907,J450)</f>
        <v>0</v>
      </c>
      <c r="H450" s="21">
        <f t="shared" si="25"/>
        <v>0</v>
      </c>
      <c r="I450" s="21">
        <f t="shared" si="26"/>
        <v>392.01200401100931</v>
      </c>
      <c r="J450" s="2" t="s">
        <v>21</v>
      </c>
    </row>
    <row r="451" spans="1:10" ht="14.25" hidden="1" customHeight="1" x14ac:dyDescent="0.3">
      <c r="A451" s="11" t="s">
        <v>32</v>
      </c>
      <c r="B451" s="19" t="str">
        <f>INDEX(SETORES!$B:$B,MATCH(A451,SETORES!$A:$A,0))</f>
        <v>Funcionários</v>
      </c>
      <c r="C451" s="11" t="s">
        <v>15</v>
      </c>
      <c r="D451" s="9">
        <f>IF(B451="Clientes",SUMIFS(PARÂMETROS!$D$8:$D$907,PARÂMETROS!$A$8:$A$907,C451,PARÂMETROS!$G$8:$G$907,J451),SUMIFS(PARÂMETROS!$E$8:$E$907,PARÂMETROS!$A$8:$A$907,C451,PARÂMETROS!$G$8:$G$907,J451))</f>
        <v>4.5871559633027525E-2</v>
      </c>
      <c r="E451" s="20">
        <f>SUMIFS(SETORES!$D:$D,SETORES!$A:$A,A451,SETORES!$F:$F,J451)</f>
        <v>38844.825852000009</v>
      </c>
      <c r="F451" s="20">
        <f t="shared" si="24"/>
        <v>1781.8727455045876</v>
      </c>
      <c r="G451" s="9">
        <f>SUMIFS(PARÂMETROS!$F$8:$F$907,PARÂMETROS!$A$8:$A$907,C451,PARÂMETROS!$G$8:$G$907,J451)</f>
        <v>0</v>
      </c>
      <c r="H451" s="20">
        <f t="shared" si="25"/>
        <v>0</v>
      </c>
      <c r="I451" s="20">
        <f t="shared" si="26"/>
        <v>1781.8727455045876</v>
      </c>
      <c r="J451" s="11" t="s">
        <v>21</v>
      </c>
    </row>
    <row r="452" spans="1:10" ht="14.25" hidden="1" customHeight="1" x14ac:dyDescent="0.3">
      <c r="A452" s="2" t="s">
        <v>32</v>
      </c>
      <c r="B452" s="2" t="str">
        <f>INDEX(SETORES!$B:$B,MATCH(A452,SETORES!$A:$A,0))</f>
        <v>Funcionários</v>
      </c>
      <c r="C452" s="2" t="s">
        <v>16</v>
      </c>
      <c r="D452" s="14">
        <f>IF(B452="Clientes",SUMIFS(PARÂMETROS!$D$8:$D$907,PARÂMETROS!$A$8:$A$907,C452,PARÂMETROS!$G$8:$G$907,J452),SUMIFS(PARÂMETROS!$E$8:$E$907,PARÂMETROS!$A$8:$A$907,C452,PARÂMETROS!$G$8:$G$907,J452))</f>
        <v>1.6513761467889909E-2</v>
      </c>
      <c r="E452" s="21">
        <f>SUMIFS(SETORES!$D:$D,SETORES!$A:$A,A452,SETORES!$F:$F,J452)</f>
        <v>38844.825852000009</v>
      </c>
      <c r="F452" s="21">
        <f t="shared" si="24"/>
        <v>641.47418838165152</v>
      </c>
      <c r="G452" s="14">
        <f>SUMIFS(PARÂMETROS!$F$8:$F$907,PARÂMETROS!$A$8:$A$907,C452,PARÂMETROS!$G$8:$G$907,J452)</f>
        <v>0</v>
      </c>
      <c r="H452" s="21">
        <f t="shared" si="25"/>
        <v>0</v>
      </c>
      <c r="I452" s="21">
        <f t="shared" si="26"/>
        <v>641.47418838165152</v>
      </c>
      <c r="J452" s="2" t="s">
        <v>21</v>
      </c>
    </row>
    <row r="453" spans="1:10" ht="14.25" hidden="1" customHeight="1" x14ac:dyDescent="0.3">
      <c r="A453" s="11" t="s">
        <v>32</v>
      </c>
      <c r="B453" s="19" t="str">
        <f>INDEX(SETORES!$B:$B,MATCH(A453,SETORES!$A:$A,0))</f>
        <v>Funcionários</v>
      </c>
      <c r="C453" s="11" t="s">
        <v>17</v>
      </c>
      <c r="D453" s="9">
        <f>IF(B453="Clientes",SUMIFS(PARÂMETROS!$D$8:$D$907,PARÂMETROS!$A$8:$A$907,C453,PARÂMETROS!$G$8:$G$907,J453),SUMIFS(PARÂMETROS!$E$8:$E$907,PARÂMETROS!$A$8:$A$907,C453,PARÂMETROS!$G$8:$G$907,J453))</f>
        <v>2.2018348623853212E-2</v>
      </c>
      <c r="E453" s="20">
        <f>SUMIFS(SETORES!$D:$D,SETORES!$A:$A,A453,SETORES!$F:$F,J453)</f>
        <v>38844.825852000009</v>
      </c>
      <c r="F453" s="20">
        <f t="shared" si="24"/>
        <v>855.29891784220206</v>
      </c>
      <c r="G453" s="9">
        <f>SUMIFS(PARÂMETROS!$F$8:$F$907,PARÂMETROS!$A$8:$A$907,C453,PARÂMETROS!$G$8:$G$907,J453)</f>
        <v>0</v>
      </c>
      <c r="H453" s="20">
        <f t="shared" si="25"/>
        <v>0</v>
      </c>
      <c r="I453" s="20">
        <f t="shared" si="26"/>
        <v>855.29891784220206</v>
      </c>
      <c r="J453" s="11" t="s">
        <v>21</v>
      </c>
    </row>
    <row r="454" spans="1:10" ht="14.25" hidden="1" customHeight="1" x14ac:dyDescent="0.3">
      <c r="A454" s="2" t="s">
        <v>32</v>
      </c>
      <c r="B454" s="2" t="str">
        <f>INDEX(SETORES!$B:$B,MATCH(A454,SETORES!$A:$A,0))</f>
        <v>Funcionários</v>
      </c>
      <c r="C454" s="2" t="s">
        <v>18</v>
      </c>
      <c r="D454" s="14">
        <f>IF(B454="Clientes",SUMIFS(PARÂMETROS!$D$8:$D$907,PARÂMETROS!$A$8:$A$907,C454,PARÂMETROS!$G$8:$G$907,J454),SUMIFS(PARÂMETROS!$E$8:$E$907,PARÂMETROS!$A$8:$A$907,C454,PARÂMETROS!$G$8:$G$907,J454))</f>
        <v>0.83119266055045871</v>
      </c>
      <c r="E454" s="21">
        <f>SUMIFS(SETORES!$D:$D,SETORES!$A:$A,A454,SETORES!$F:$F,J454)</f>
        <v>38844.825852000009</v>
      </c>
      <c r="F454" s="21">
        <f t="shared" si="24"/>
        <v>32287.534148543127</v>
      </c>
      <c r="G454" s="14">
        <f>SUMIFS(PARÂMETROS!$F$8:$F$907,PARÂMETROS!$A$8:$A$907,C454,PARÂMETROS!$G$8:$G$907,J454)</f>
        <v>0</v>
      </c>
      <c r="H454" s="21">
        <f t="shared" si="25"/>
        <v>0</v>
      </c>
      <c r="I454" s="21">
        <f t="shared" si="26"/>
        <v>32287.534148543127</v>
      </c>
      <c r="J454" s="2" t="s">
        <v>21</v>
      </c>
    </row>
    <row r="455" spans="1:10" ht="14.25" hidden="1" customHeight="1" x14ac:dyDescent="0.3">
      <c r="A455" s="11" t="s">
        <v>33</v>
      </c>
      <c r="B455" s="19" t="str">
        <f>INDEX(SETORES!$B:$B,MATCH(A455,SETORES!$A:$A,0))</f>
        <v>Funcionários</v>
      </c>
      <c r="C455" s="11" t="s">
        <v>10</v>
      </c>
      <c r="D455" s="9">
        <f>IF(B455="Clientes",SUMIFS(PARÂMETROS!$D$8:$D$907,PARÂMETROS!$A$8:$A$907,C455,PARÂMETROS!$G$8:$G$907,J455),SUMIFS(PARÂMETROS!$E$8:$E$907,PARÂMETROS!$A$8:$A$907,C455,PARÂMETROS!$G$8:$G$907,J455))</f>
        <v>3.1192660550458717E-2</v>
      </c>
      <c r="E455" s="20">
        <f>SUMIFS(SETORES!$D:$D,SETORES!$A:$A,A455,SETORES!$F:$F,J455)</f>
        <v>57153.85070000001</v>
      </c>
      <c r="F455" s="20">
        <f t="shared" si="24"/>
        <v>1782.7806640366975</v>
      </c>
      <c r="G455" s="9">
        <f>SUMIFS(PARÂMETROS!$F$8:$F$907,PARÂMETROS!$A$8:$A$907,C455,PARÂMETROS!$G$8:$G$907,J455)</f>
        <v>0</v>
      </c>
      <c r="H455" s="20">
        <f t="shared" si="25"/>
        <v>0</v>
      </c>
      <c r="I455" s="20">
        <f t="shared" si="26"/>
        <v>1782.7806640366975</v>
      </c>
      <c r="J455" s="11" t="s">
        <v>21</v>
      </c>
    </row>
    <row r="456" spans="1:10" ht="14.25" hidden="1" customHeight="1" x14ac:dyDescent="0.3">
      <c r="A456" s="2" t="s">
        <v>33</v>
      </c>
      <c r="B456" s="2" t="str">
        <f>INDEX(SETORES!$B:$B,MATCH(A456,SETORES!$A:$A,0))</f>
        <v>Funcionários</v>
      </c>
      <c r="C456" s="2" t="s">
        <v>12</v>
      </c>
      <c r="D456" s="14">
        <f>IF(B456="Clientes",SUMIFS(PARÂMETROS!$D$8:$D$907,PARÂMETROS!$A$8:$A$907,C456,PARÂMETROS!$G$8:$G$907,J456),SUMIFS(PARÂMETROS!$E$8:$E$907,PARÂMETROS!$A$8:$A$907,C456,PARÂMETROS!$G$8:$G$907,J456))</f>
        <v>0</v>
      </c>
      <c r="E456" s="21">
        <f>SUMIFS(SETORES!$D:$D,SETORES!$A:$A,A456,SETORES!$F:$F,J456)</f>
        <v>57153.85070000001</v>
      </c>
      <c r="F456" s="21">
        <f t="shared" si="24"/>
        <v>0</v>
      </c>
      <c r="G456" s="14">
        <f>SUMIFS(PARÂMETROS!$F$8:$F$907,PARÂMETROS!$A$8:$A$907,C456,PARÂMETROS!$G$8:$G$907,J456)</f>
        <v>0</v>
      </c>
      <c r="H456" s="21">
        <f t="shared" si="25"/>
        <v>0</v>
      </c>
      <c r="I456" s="21">
        <f t="shared" si="26"/>
        <v>0</v>
      </c>
      <c r="J456" s="2" t="s">
        <v>21</v>
      </c>
    </row>
    <row r="457" spans="1:10" ht="14.25" hidden="1" customHeight="1" x14ac:dyDescent="0.3">
      <c r="A457" s="11" t="s">
        <v>33</v>
      </c>
      <c r="B457" s="19" t="str">
        <f>INDEX(SETORES!$B:$B,MATCH(A457,SETORES!$A:$A,0))</f>
        <v>Funcionários</v>
      </c>
      <c r="C457" s="11" t="s">
        <v>13</v>
      </c>
      <c r="D457" s="9">
        <f>IF(B457="Clientes",SUMIFS(PARÂMETROS!$D$8:$D$907,PARÂMETROS!$A$8:$A$907,C457,PARÂMETROS!$G$8:$G$907,J457),SUMIFS(PARÂMETROS!$E$8:$E$907,PARÂMETROS!$A$8:$A$907,C457,PARÂMETROS!$G$8:$G$907,J457))</f>
        <v>4.3119266055045874E-2</v>
      </c>
      <c r="E457" s="20">
        <f>SUMIFS(SETORES!$D:$D,SETORES!$A:$A,A457,SETORES!$F:$F,J457)</f>
        <v>57153.85070000001</v>
      </c>
      <c r="F457" s="20">
        <f t="shared" si="24"/>
        <v>2464.4320944036704</v>
      </c>
      <c r="G457" s="9">
        <f>SUMIFS(PARÂMETROS!$F$8:$F$907,PARÂMETROS!$A$8:$A$907,C457,PARÂMETROS!$G$8:$G$907,J457)</f>
        <v>0</v>
      </c>
      <c r="H457" s="20">
        <f t="shared" si="25"/>
        <v>0</v>
      </c>
      <c r="I457" s="20">
        <f t="shared" si="26"/>
        <v>2464.4320944036704</v>
      </c>
      <c r="J457" s="11" t="s">
        <v>21</v>
      </c>
    </row>
    <row r="458" spans="1:10" ht="14.25" customHeight="1" x14ac:dyDescent="0.3">
      <c r="A458" s="2" t="s">
        <v>33</v>
      </c>
      <c r="B458" s="2" t="str">
        <f>INDEX(SETORES!$B:$B,MATCH(A458,SETORES!$A:$A,0))</f>
        <v>Funcionários</v>
      </c>
      <c r="C458" s="2" t="s">
        <v>14</v>
      </c>
      <c r="D458" s="14">
        <f>IF(B458="Clientes",SUMIFS(PARÂMETROS!$D$8:$D$907,PARÂMETROS!$A$8:$A$907,C458,PARÂMETROS!$G$8:$G$907,J458),SUMIFS(PARÂMETROS!$E$8:$E$907,PARÂMETROS!$A$8:$A$907,C458,PARÂMETROS!$G$8:$G$907,J458))</f>
        <v>1.0091743119266056E-2</v>
      </c>
      <c r="E458" s="21">
        <f>SUMIFS(SETORES!$D:$D,SETORES!$A:$A,A458,SETORES!$F:$F,J458)</f>
        <v>57153.85070000001</v>
      </c>
      <c r="F458" s="21">
        <f t="shared" si="24"/>
        <v>576.7819795412845</v>
      </c>
      <c r="G458" s="14">
        <f>SUMIFS(PARÂMETROS!$F$8:$F$907,PARÂMETROS!$A$8:$A$907,C458,PARÂMETROS!$G$8:$G$907,J458)</f>
        <v>0</v>
      </c>
      <c r="H458" s="21">
        <f t="shared" si="25"/>
        <v>0</v>
      </c>
      <c r="I458" s="21">
        <f t="shared" si="26"/>
        <v>576.7819795412845</v>
      </c>
      <c r="J458" s="2" t="s">
        <v>21</v>
      </c>
    </row>
    <row r="459" spans="1:10" ht="14.25" hidden="1" customHeight="1" x14ac:dyDescent="0.3">
      <c r="A459" s="11" t="s">
        <v>33</v>
      </c>
      <c r="B459" s="19" t="str">
        <f>INDEX(SETORES!$B:$B,MATCH(A459,SETORES!$A:$A,0))</f>
        <v>Funcionários</v>
      </c>
      <c r="C459" s="11" t="s">
        <v>15</v>
      </c>
      <c r="D459" s="9">
        <f>IF(B459="Clientes",SUMIFS(PARÂMETROS!$D$8:$D$907,PARÂMETROS!$A$8:$A$907,C459,PARÂMETROS!$G$8:$G$907,J459),SUMIFS(PARÂMETROS!$E$8:$E$907,PARÂMETROS!$A$8:$A$907,C459,PARÂMETROS!$G$8:$G$907,J459))</f>
        <v>4.5871559633027525E-2</v>
      </c>
      <c r="E459" s="20">
        <f>SUMIFS(SETORES!$D:$D,SETORES!$A:$A,A459,SETORES!$F:$F,J459)</f>
        <v>57153.85070000001</v>
      </c>
      <c r="F459" s="20">
        <f t="shared" si="24"/>
        <v>2621.7362706422023</v>
      </c>
      <c r="G459" s="9">
        <f>SUMIFS(PARÂMETROS!$F$8:$F$907,PARÂMETROS!$A$8:$A$907,C459,PARÂMETROS!$G$8:$G$907,J459)</f>
        <v>0</v>
      </c>
      <c r="H459" s="20">
        <f t="shared" si="25"/>
        <v>0</v>
      </c>
      <c r="I459" s="20">
        <f t="shared" si="26"/>
        <v>2621.7362706422023</v>
      </c>
      <c r="J459" s="11" t="s">
        <v>21</v>
      </c>
    </row>
    <row r="460" spans="1:10" ht="14.25" hidden="1" customHeight="1" x14ac:dyDescent="0.3">
      <c r="A460" s="2" t="s">
        <v>33</v>
      </c>
      <c r="B460" s="2" t="str">
        <f>INDEX(SETORES!$B:$B,MATCH(A460,SETORES!$A:$A,0))</f>
        <v>Funcionários</v>
      </c>
      <c r="C460" s="2" t="s">
        <v>16</v>
      </c>
      <c r="D460" s="14">
        <f>IF(B460="Clientes",SUMIFS(PARÂMETROS!$D$8:$D$907,PARÂMETROS!$A$8:$A$907,C460,PARÂMETROS!$G$8:$G$907,J460),SUMIFS(PARÂMETROS!$E$8:$E$907,PARÂMETROS!$A$8:$A$907,C460,PARÂMETROS!$G$8:$G$907,J460))</f>
        <v>1.6513761467889909E-2</v>
      </c>
      <c r="E460" s="21">
        <f>SUMIFS(SETORES!$D:$D,SETORES!$A:$A,A460,SETORES!$F:$F,J460)</f>
        <v>57153.85070000001</v>
      </c>
      <c r="F460" s="21">
        <f t="shared" si="24"/>
        <v>943.82505743119293</v>
      </c>
      <c r="G460" s="14">
        <f>SUMIFS(PARÂMETROS!$F$8:$F$907,PARÂMETROS!$A$8:$A$907,C460,PARÂMETROS!$G$8:$G$907,J460)</f>
        <v>0</v>
      </c>
      <c r="H460" s="21">
        <f t="shared" si="25"/>
        <v>0</v>
      </c>
      <c r="I460" s="21">
        <f t="shared" si="26"/>
        <v>943.82505743119293</v>
      </c>
      <c r="J460" s="2" t="s">
        <v>21</v>
      </c>
    </row>
    <row r="461" spans="1:10" ht="14.25" hidden="1" customHeight="1" x14ac:dyDescent="0.3">
      <c r="A461" s="11" t="s">
        <v>33</v>
      </c>
      <c r="B461" s="19" t="str">
        <f>INDEX(SETORES!$B:$B,MATCH(A461,SETORES!$A:$A,0))</f>
        <v>Funcionários</v>
      </c>
      <c r="C461" s="11" t="s">
        <v>17</v>
      </c>
      <c r="D461" s="9">
        <f>IF(B461="Clientes",SUMIFS(PARÂMETROS!$D$8:$D$907,PARÂMETROS!$A$8:$A$907,C461,PARÂMETROS!$G$8:$G$907,J461),SUMIFS(PARÂMETROS!$E$8:$E$907,PARÂMETROS!$A$8:$A$907,C461,PARÂMETROS!$G$8:$G$907,J461))</f>
        <v>2.2018348623853212E-2</v>
      </c>
      <c r="E461" s="20">
        <f>SUMIFS(SETORES!$D:$D,SETORES!$A:$A,A461,SETORES!$F:$F,J461)</f>
        <v>57153.85070000001</v>
      </c>
      <c r="F461" s="20">
        <f t="shared" si="24"/>
        <v>1258.4334099082571</v>
      </c>
      <c r="G461" s="9">
        <f>SUMIFS(PARÂMETROS!$F$8:$F$907,PARÂMETROS!$A$8:$A$907,C461,PARÂMETROS!$G$8:$G$907,J461)</f>
        <v>0</v>
      </c>
      <c r="H461" s="20">
        <f t="shared" si="25"/>
        <v>0</v>
      </c>
      <c r="I461" s="20">
        <f t="shared" si="26"/>
        <v>1258.4334099082571</v>
      </c>
      <c r="J461" s="11" t="s">
        <v>21</v>
      </c>
    </row>
    <row r="462" spans="1:10" ht="14.25" hidden="1" customHeight="1" x14ac:dyDescent="0.3">
      <c r="A462" s="2" t="s">
        <v>33</v>
      </c>
      <c r="B462" s="2" t="str">
        <f>INDEX(SETORES!$B:$B,MATCH(A462,SETORES!$A:$A,0))</f>
        <v>Funcionários</v>
      </c>
      <c r="C462" s="2" t="s">
        <v>18</v>
      </c>
      <c r="D462" s="14">
        <f>IF(B462="Clientes",SUMIFS(PARÂMETROS!$D$8:$D$907,PARÂMETROS!$A$8:$A$907,C462,PARÂMETROS!$G$8:$G$907,J462),SUMIFS(PARÂMETROS!$E$8:$E$907,PARÂMETROS!$A$8:$A$907,C462,PARÂMETROS!$G$8:$G$907,J462))</f>
        <v>0.83119266055045871</v>
      </c>
      <c r="E462" s="21">
        <f>SUMIFS(SETORES!$D:$D,SETORES!$A:$A,A462,SETORES!$F:$F,J462)</f>
        <v>57153.85070000001</v>
      </c>
      <c r="F462" s="21">
        <f t="shared" si="24"/>
        <v>47505.861224036707</v>
      </c>
      <c r="G462" s="14">
        <f>SUMIFS(PARÂMETROS!$F$8:$F$907,PARÂMETROS!$A$8:$A$907,C462,PARÂMETROS!$G$8:$G$907,J462)</f>
        <v>0</v>
      </c>
      <c r="H462" s="21">
        <f t="shared" si="25"/>
        <v>0</v>
      </c>
      <c r="I462" s="21">
        <f t="shared" si="26"/>
        <v>47505.861224036707</v>
      </c>
      <c r="J462" s="2" t="s">
        <v>21</v>
      </c>
    </row>
    <row r="463" spans="1:10" ht="14.25" hidden="1" customHeight="1" x14ac:dyDescent="0.3">
      <c r="A463" s="11" t="s">
        <v>34</v>
      </c>
      <c r="B463" s="19" t="str">
        <f>INDEX(SETORES!$B:$B,MATCH(A463,SETORES!$A:$A,0))</f>
        <v>Clientes</v>
      </c>
      <c r="C463" s="11" t="s">
        <v>10</v>
      </c>
      <c r="D463" s="9">
        <f>IF(B463="Clientes",SUMIFS(PARÂMETROS!$D$8:$D$907,PARÂMETROS!$A$8:$A$907,C463,PARÂMETROS!$G$8:$G$907,J463),SUMIFS(PARÂMETROS!$E$8:$E$907,PARÂMETROS!$A$8:$A$907,C463,PARÂMETROS!$G$8:$G$907,J463))</f>
        <v>3.2696249460273663E-2</v>
      </c>
      <c r="E463" s="20">
        <f>SUMIFS(SETORES!$D:$D,SETORES!$A:$A,A463,SETORES!$F:$F,J463)</f>
        <v>27303.005652000003</v>
      </c>
      <c r="F463" s="20">
        <f t="shared" si="24"/>
        <v>892.7058838130539</v>
      </c>
      <c r="G463" s="9">
        <f>SUMIFS(PARÂMETROS!$F$8:$F$907,PARÂMETROS!$A$8:$A$907,C463,PARÂMETROS!$G$8:$G$907,J463)</f>
        <v>0</v>
      </c>
      <c r="H463" s="20">
        <f t="shared" si="25"/>
        <v>0</v>
      </c>
      <c r="I463" s="20">
        <f t="shared" si="26"/>
        <v>892.7058838130539</v>
      </c>
      <c r="J463" s="11" t="s">
        <v>21</v>
      </c>
    </row>
    <row r="464" spans="1:10" ht="14.25" hidden="1" customHeight="1" x14ac:dyDescent="0.3">
      <c r="A464" s="2" t="s">
        <v>34</v>
      </c>
      <c r="B464" s="2" t="str">
        <f>INDEX(SETORES!$B:$B,MATCH(A464,SETORES!$A:$A,0))</f>
        <v>Clientes</v>
      </c>
      <c r="C464" s="2" t="s">
        <v>12</v>
      </c>
      <c r="D464" s="14">
        <f>IF(B464="Clientes",SUMIFS(PARÂMETROS!$D$8:$D$907,PARÂMETROS!$A$8:$A$907,C464,PARÂMETROS!$G$8:$G$907,J464),SUMIFS(PARÂMETROS!$E$8:$E$907,PARÂMETROS!$A$8:$A$907,C464,PARÂMETROS!$G$8:$G$907,J464))</f>
        <v>6.7149401213950008E-2</v>
      </c>
      <c r="E464" s="21">
        <f>SUMIFS(SETORES!$D:$D,SETORES!$A:$A,A464,SETORES!$F:$F,J464)</f>
        <v>27303.005652000003</v>
      </c>
      <c r="F464" s="21">
        <f t="shared" si="24"/>
        <v>1833.380480872893</v>
      </c>
      <c r="G464" s="14">
        <f>SUMIFS(PARÂMETROS!$F$8:$F$907,PARÂMETROS!$A$8:$A$907,C464,PARÂMETROS!$G$8:$G$907,J464)</f>
        <v>0</v>
      </c>
      <c r="H464" s="21">
        <f t="shared" si="25"/>
        <v>0</v>
      </c>
      <c r="I464" s="21">
        <f t="shared" si="26"/>
        <v>1833.380480872893</v>
      </c>
      <c r="J464" s="2" t="s">
        <v>21</v>
      </c>
    </row>
    <row r="465" spans="1:10" ht="14.25" hidden="1" customHeight="1" x14ac:dyDescent="0.3">
      <c r="A465" s="11" t="s">
        <v>34</v>
      </c>
      <c r="B465" s="19" t="str">
        <f>INDEX(SETORES!$B:$B,MATCH(A465,SETORES!$A:$A,0))</f>
        <v>Clientes</v>
      </c>
      <c r="C465" s="11" t="s">
        <v>13</v>
      </c>
      <c r="D465" s="9">
        <f>IF(B465="Clientes",SUMIFS(PARÂMETROS!$D$8:$D$907,PARÂMETROS!$A$8:$A$907,C465,PARÂMETROS!$G$8:$G$907,J465),SUMIFS(PARÂMETROS!$E$8:$E$907,PARÂMETROS!$A$8:$A$907,C465,PARÂMETROS!$G$8:$G$907,J465))</f>
        <v>7.2901519174553703E-2</v>
      </c>
      <c r="E465" s="20">
        <f>SUMIFS(SETORES!$D:$D,SETORES!$A:$A,A465,SETORES!$F:$F,J465)</f>
        <v>27303.005652000003</v>
      </c>
      <c r="F465" s="20">
        <f t="shared" si="24"/>
        <v>1990.4305900622264</v>
      </c>
      <c r="G465" s="9">
        <f>SUMIFS(PARÂMETROS!$F$8:$F$907,PARÂMETROS!$A$8:$A$907,C465,PARÂMETROS!$G$8:$G$907,J465)</f>
        <v>0</v>
      </c>
      <c r="H465" s="20">
        <f t="shared" si="25"/>
        <v>0</v>
      </c>
      <c r="I465" s="20">
        <f t="shared" si="26"/>
        <v>1990.4305900622264</v>
      </c>
      <c r="J465" s="11" t="s">
        <v>21</v>
      </c>
    </row>
    <row r="466" spans="1:10" ht="14.25" customHeight="1" x14ac:dyDescent="0.3">
      <c r="A466" s="2" t="s">
        <v>34</v>
      </c>
      <c r="B466" s="2" t="str">
        <f>INDEX(SETORES!$B:$B,MATCH(A466,SETORES!$A:$A,0))</f>
        <v>Clientes</v>
      </c>
      <c r="C466" s="2" t="s">
        <v>14</v>
      </c>
      <c r="D466" s="14">
        <f>IF(B466="Clientes",SUMIFS(PARÂMETROS!$D$8:$D$907,PARÂMETROS!$A$8:$A$907,C466,PARÂMETROS!$G$8:$G$907,J466),SUMIFS(PARÂMETROS!$E$8:$E$907,PARÂMETROS!$A$8:$A$907,C466,PARÂMETROS!$G$8:$G$907,J466))</f>
        <v>1.8685698120511587E-2</v>
      </c>
      <c r="E466" s="21">
        <f>SUMIFS(SETORES!$D:$D,SETORES!$A:$A,A466,SETORES!$F:$F,J466)</f>
        <v>27303.005652000003</v>
      </c>
      <c r="F466" s="21">
        <f t="shared" si="24"/>
        <v>510.17572139589373</v>
      </c>
      <c r="G466" s="14">
        <f>SUMIFS(PARÂMETROS!$F$8:$F$907,PARÂMETROS!$A$8:$A$907,C466,PARÂMETROS!$G$8:$G$907,J466)</f>
        <v>0</v>
      </c>
      <c r="H466" s="21">
        <f t="shared" si="25"/>
        <v>0</v>
      </c>
      <c r="I466" s="21">
        <f t="shared" si="26"/>
        <v>510.17572139589373</v>
      </c>
      <c r="J466" s="2" t="s">
        <v>21</v>
      </c>
    </row>
    <row r="467" spans="1:10" ht="14.25" hidden="1" customHeight="1" x14ac:dyDescent="0.3">
      <c r="A467" s="11" t="s">
        <v>34</v>
      </c>
      <c r="B467" s="19" t="str">
        <f>INDEX(SETORES!$B:$B,MATCH(A467,SETORES!$A:$A,0))</f>
        <v>Clientes</v>
      </c>
      <c r="C467" s="11" t="s">
        <v>15</v>
      </c>
      <c r="D467" s="9">
        <f>IF(B467="Clientes",SUMIFS(PARÂMETROS!$D$8:$D$907,PARÂMETROS!$A$8:$A$907,C467,PARÂMETROS!$G$8:$G$907,J467),SUMIFS(PARÂMETROS!$E$8:$E$907,PARÂMETROS!$A$8:$A$907,C467,PARÂMETROS!$G$8:$G$907,J467))</f>
        <v>3.2596989443697238E-2</v>
      </c>
      <c r="E467" s="20">
        <f>SUMIFS(SETORES!$D:$D,SETORES!$A:$A,A467,SETORES!$F:$F,J467)</f>
        <v>27303.005652000003</v>
      </c>
      <c r="F467" s="20">
        <f t="shared" si="24"/>
        <v>889.99578701945018</v>
      </c>
      <c r="G467" s="9">
        <f>SUMIFS(PARÂMETROS!$F$8:$F$907,PARÂMETROS!$A$8:$A$907,C467,PARÂMETROS!$G$8:$G$907,J467)</f>
        <v>0</v>
      </c>
      <c r="H467" s="20">
        <f t="shared" si="25"/>
        <v>0</v>
      </c>
      <c r="I467" s="20">
        <f t="shared" si="26"/>
        <v>889.99578701945018</v>
      </c>
      <c r="J467" s="11" t="s">
        <v>21</v>
      </c>
    </row>
    <row r="468" spans="1:10" ht="14.25" hidden="1" customHeight="1" x14ac:dyDescent="0.3">
      <c r="A468" s="2" t="s">
        <v>34</v>
      </c>
      <c r="B468" s="2" t="str">
        <f>INDEX(SETORES!$B:$B,MATCH(A468,SETORES!$A:$A,0))</f>
        <v>Clientes</v>
      </c>
      <c r="C468" s="2" t="s">
        <v>16</v>
      </c>
      <c r="D468" s="14">
        <f>IF(B468="Clientes",SUMIFS(PARÂMETROS!$D$8:$D$907,PARÂMETROS!$A$8:$A$907,C468,PARÂMETROS!$G$8:$G$907,J468),SUMIFS(PARÂMETROS!$E$8:$E$907,PARÂMETROS!$A$8:$A$907,C468,PARÂMETROS!$G$8:$G$907,J468))</f>
        <v>2.3847218982485568E-2</v>
      </c>
      <c r="E468" s="21">
        <f>SUMIFS(SETORES!$D:$D,SETORES!$A:$A,A468,SETORES!$F:$F,J468)</f>
        <v>27303.005652000003</v>
      </c>
      <c r="F468" s="21">
        <f t="shared" si="24"/>
        <v>651.10075466328522</v>
      </c>
      <c r="G468" s="14">
        <f>SUMIFS(PARÂMETROS!$F$8:$F$907,PARÂMETROS!$A$8:$A$907,C468,PARÂMETROS!$G$8:$G$907,J468)</f>
        <v>0</v>
      </c>
      <c r="H468" s="21">
        <f t="shared" si="25"/>
        <v>0</v>
      </c>
      <c r="I468" s="21">
        <f t="shared" si="26"/>
        <v>651.10075466328522</v>
      </c>
      <c r="J468" s="2" t="s">
        <v>21</v>
      </c>
    </row>
    <row r="469" spans="1:10" ht="14.25" hidden="1" customHeight="1" x14ac:dyDescent="0.3">
      <c r="A469" s="11" t="s">
        <v>34</v>
      </c>
      <c r="B469" s="19" t="str">
        <f>INDEX(SETORES!$B:$B,MATCH(A469,SETORES!$A:$A,0))</f>
        <v>Clientes</v>
      </c>
      <c r="C469" s="11" t="s">
        <v>17</v>
      </c>
      <c r="D469" s="9">
        <f>IF(B469="Clientes",SUMIFS(PARÂMETROS!$D$8:$D$907,PARÂMETROS!$A$8:$A$907,C469,PARÂMETROS!$G$8:$G$907,J469),SUMIFS(PARÂMETROS!$E$8:$E$907,PARÂMETROS!$A$8:$A$907,C469,PARÂMETROS!$G$8:$G$907,J469))</f>
        <v>2.3852181983314392E-2</v>
      </c>
      <c r="E469" s="20">
        <f>SUMIFS(SETORES!$D:$D,SETORES!$A:$A,A469,SETORES!$F:$F,J469)</f>
        <v>27303.005652000003</v>
      </c>
      <c r="F469" s="20">
        <f t="shared" si="24"/>
        <v>651.23625950296548</v>
      </c>
      <c r="G469" s="9">
        <f>SUMIFS(PARÂMETROS!$F$8:$F$907,PARÂMETROS!$A$8:$A$907,C469,PARÂMETROS!$G$8:$G$907,J469)</f>
        <v>0</v>
      </c>
      <c r="H469" s="20">
        <f t="shared" si="25"/>
        <v>0</v>
      </c>
      <c r="I469" s="20">
        <f t="shared" si="26"/>
        <v>651.23625950296548</v>
      </c>
      <c r="J469" s="11" t="s">
        <v>21</v>
      </c>
    </row>
    <row r="470" spans="1:10" ht="14.25" hidden="1" customHeight="1" x14ac:dyDescent="0.3">
      <c r="A470" s="2" t="s">
        <v>34</v>
      </c>
      <c r="B470" s="2" t="str">
        <f>INDEX(SETORES!$B:$B,MATCH(A470,SETORES!$A:$A,0))</f>
        <v>Clientes</v>
      </c>
      <c r="C470" s="2" t="s">
        <v>18</v>
      </c>
      <c r="D470" s="14">
        <f>IF(B470="Clientes",SUMIFS(PARÂMETROS!$D$8:$D$907,PARÂMETROS!$A$8:$A$907,C470,PARÂMETROS!$G$8:$G$907,J470),SUMIFS(PARÂMETROS!$E$8:$E$907,PARÂMETROS!$A$8:$A$907,C470,PARÂMETROS!$G$8:$G$907,J470))</f>
        <v>0.72827074162121386</v>
      </c>
      <c r="E470" s="21">
        <f>SUMIFS(SETORES!$D:$D,SETORES!$A:$A,A470,SETORES!$F:$F,J470)</f>
        <v>27303.005652000003</v>
      </c>
      <c r="F470" s="21">
        <f t="shared" si="24"/>
        <v>19883.980174670236</v>
      </c>
      <c r="G470" s="14">
        <f>SUMIFS(PARÂMETROS!$F$8:$F$907,PARÂMETROS!$A$8:$A$907,C470,PARÂMETROS!$G$8:$G$907,J470)</f>
        <v>0</v>
      </c>
      <c r="H470" s="21">
        <f t="shared" si="25"/>
        <v>0</v>
      </c>
      <c r="I470" s="21">
        <f t="shared" si="26"/>
        <v>19883.980174670236</v>
      </c>
      <c r="J470" s="2" t="s">
        <v>21</v>
      </c>
    </row>
    <row r="471" spans="1:10" ht="14.25" hidden="1" customHeight="1" x14ac:dyDescent="0.3">
      <c r="A471" s="11" t="s">
        <v>35</v>
      </c>
      <c r="B471" s="19" t="str">
        <f>INDEX(SETORES!$B:$B,MATCH(A471,SETORES!$A:$A,0))</f>
        <v>Clientes</v>
      </c>
      <c r="C471" s="11" t="s">
        <v>10</v>
      </c>
      <c r="D471" s="9">
        <f>IF(B471="Clientes",SUMIFS(PARÂMETROS!$D$8:$D$907,PARÂMETROS!$A$8:$A$907,C471,PARÂMETROS!$G$8:$G$907,J471),SUMIFS(PARÂMETROS!$E$8:$E$907,PARÂMETROS!$A$8:$A$907,C471,PARÂMETROS!$G$8:$G$907,J471))</f>
        <v>3.2696249460273663E-2</v>
      </c>
      <c r="E471" s="20">
        <f>SUMIFS(SETORES!$D:$D,SETORES!$A:$A,A471,SETORES!$F:$F,J471)</f>
        <v>11204.9218</v>
      </c>
      <c r="F471" s="20">
        <f t="shared" si="24"/>
        <v>366.3589183556586</v>
      </c>
      <c r="G471" s="9">
        <f>SUMIFS(PARÂMETROS!$F$8:$F$907,PARÂMETROS!$A$8:$A$907,C471,PARÂMETROS!$G$8:$G$907,J471)</f>
        <v>0</v>
      </c>
      <c r="H471" s="20">
        <f t="shared" si="25"/>
        <v>0</v>
      </c>
      <c r="I471" s="20">
        <f t="shared" si="26"/>
        <v>366.3589183556586</v>
      </c>
      <c r="J471" s="11" t="s">
        <v>21</v>
      </c>
    </row>
    <row r="472" spans="1:10" ht="14.25" hidden="1" customHeight="1" x14ac:dyDescent="0.3">
      <c r="A472" s="2" t="s">
        <v>35</v>
      </c>
      <c r="B472" s="2" t="str">
        <f>INDEX(SETORES!$B:$B,MATCH(A472,SETORES!$A:$A,0))</f>
        <v>Clientes</v>
      </c>
      <c r="C472" s="2" t="s">
        <v>12</v>
      </c>
      <c r="D472" s="14">
        <f>IF(B472="Clientes",SUMIFS(PARÂMETROS!$D$8:$D$907,PARÂMETROS!$A$8:$A$907,C472,PARÂMETROS!$G$8:$G$907,J472),SUMIFS(PARÂMETROS!$E$8:$E$907,PARÂMETROS!$A$8:$A$907,C472,PARÂMETROS!$G$8:$G$907,J472))</f>
        <v>6.7149401213950008E-2</v>
      </c>
      <c r="E472" s="21">
        <f>SUMIFS(SETORES!$D:$D,SETORES!$A:$A,A472,SETORES!$F:$F,J472)</f>
        <v>11204.9218</v>
      </c>
      <c r="F472" s="21">
        <f t="shared" si="24"/>
        <v>752.40378951913488</v>
      </c>
      <c r="G472" s="14">
        <f>SUMIFS(PARÂMETROS!$F$8:$F$907,PARÂMETROS!$A$8:$A$907,C472,PARÂMETROS!$G$8:$G$907,J472)</f>
        <v>0</v>
      </c>
      <c r="H472" s="21">
        <f t="shared" si="25"/>
        <v>0</v>
      </c>
      <c r="I472" s="21">
        <f t="shared" si="26"/>
        <v>752.40378951913488</v>
      </c>
      <c r="J472" s="2" t="s">
        <v>21</v>
      </c>
    </row>
    <row r="473" spans="1:10" ht="14.25" hidden="1" customHeight="1" x14ac:dyDescent="0.3">
      <c r="A473" s="11" t="s">
        <v>35</v>
      </c>
      <c r="B473" s="19" t="str">
        <f>INDEX(SETORES!$B:$B,MATCH(A473,SETORES!$A:$A,0))</f>
        <v>Clientes</v>
      </c>
      <c r="C473" s="11" t="s">
        <v>13</v>
      </c>
      <c r="D473" s="9">
        <f>IF(B473="Clientes",SUMIFS(PARÂMETROS!$D$8:$D$907,PARÂMETROS!$A$8:$A$907,C473,PARÂMETROS!$G$8:$G$907,J473),SUMIFS(PARÂMETROS!$E$8:$E$907,PARÂMETROS!$A$8:$A$907,C473,PARÂMETROS!$G$8:$G$907,J473))</f>
        <v>7.2901519174553703E-2</v>
      </c>
      <c r="E473" s="20">
        <f>SUMIFS(SETORES!$D:$D,SETORES!$A:$A,A473,SETORES!$F:$F,J473)</f>
        <v>11204.9218</v>
      </c>
      <c r="F473" s="20">
        <f t="shared" si="24"/>
        <v>816.85582145207479</v>
      </c>
      <c r="G473" s="9">
        <f>SUMIFS(PARÂMETROS!$F$8:$F$907,PARÂMETROS!$A$8:$A$907,C473,PARÂMETROS!$G$8:$G$907,J473)</f>
        <v>0</v>
      </c>
      <c r="H473" s="20">
        <f t="shared" si="25"/>
        <v>0</v>
      </c>
      <c r="I473" s="20">
        <f t="shared" si="26"/>
        <v>816.85582145207479</v>
      </c>
      <c r="J473" s="11" t="s">
        <v>21</v>
      </c>
    </row>
    <row r="474" spans="1:10" ht="14.25" customHeight="1" x14ac:dyDescent="0.3">
      <c r="A474" s="2" t="s">
        <v>35</v>
      </c>
      <c r="B474" s="2" t="str">
        <f>INDEX(SETORES!$B:$B,MATCH(A474,SETORES!$A:$A,0))</f>
        <v>Clientes</v>
      </c>
      <c r="C474" s="2" t="s">
        <v>14</v>
      </c>
      <c r="D474" s="14">
        <f>IF(B474="Clientes",SUMIFS(PARÂMETROS!$D$8:$D$907,PARÂMETROS!$A$8:$A$907,C474,PARÂMETROS!$G$8:$G$907,J474),SUMIFS(PARÂMETROS!$E$8:$E$907,PARÂMETROS!$A$8:$A$907,C474,PARÂMETROS!$G$8:$G$907,J474))</f>
        <v>1.8685698120511587E-2</v>
      </c>
      <c r="E474" s="21">
        <f>SUMIFS(SETORES!$D:$D,SETORES!$A:$A,A474,SETORES!$F:$F,J474)</f>
        <v>11204.9218</v>
      </c>
      <c r="F474" s="21">
        <f t="shared" si="24"/>
        <v>209.37178621873932</v>
      </c>
      <c r="G474" s="14">
        <f>SUMIFS(PARÂMETROS!$F$8:$F$907,PARÂMETROS!$A$8:$A$907,C474,PARÂMETROS!$G$8:$G$907,J474)</f>
        <v>0</v>
      </c>
      <c r="H474" s="21">
        <f t="shared" si="25"/>
        <v>0</v>
      </c>
      <c r="I474" s="21">
        <f t="shared" si="26"/>
        <v>209.37178621873932</v>
      </c>
      <c r="J474" s="2" t="s">
        <v>21</v>
      </c>
    </row>
    <row r="475" spans="1:10" ht="14.25" hidden="1" customHeight="1" x14ac:dyDescent="0.3">
      <c r="A475" s="11" t="s">
        <v>35</v>
      </c>
      <c r="B475" s="19" t="str">
        <f>INDEX(SETORES!$B:$B,MATCH(A475,SETORES!$A:$A,0))</f>
        <v>Clientes</v>
      </c>
      <c r="C475" s="11" t="s">
        <v>15</v>
      </c>
      <c r="D475" s="9">
        <f>IF(B475="Clientes",SUMIFS(PARÂMETROS!$D$8:$D$907,PARÂMETROS!$A$8:$A$907,C475,PARÂMETROS!$G$8:$G$907,J475),SUMIFS(PARÂMETROS!$E$8:$E$907,PARÂMETROS!$A$8:$A$907,C475,PARÂMETROS!$G$8:$G$907,J475))</f>
        <v>3.2596989443697238E-2</v>
      </c>
      <c r="E475" s="20">
        <f>SUMIFS(SETORES!$D:$D,SETORES!$A:$A,A475,SETORES!$F:$F,J475)</f>
        <v>11204.9218</v>
      </c>
      <c r="F475" s="20">
        <f t="shared" si="24"/>
        <v>365.24671763205305</v>
      </c>
      <c r="G475" s="9">
        <f>SUMIFS(PARÂMETROS!$F$8:$F$907,PARÂMETROS!$A$8:$A$907,C475,PARÂMETROS!$G$8:$G$907,J475)</f>
        <v>0</v>
      </c>
      <c r="H475" s="20">
        <f t="shared" si="25"/>
        <v>0</v>
      </c>
      <c r="I475" s="20">
        <f t="shared" si="26"/>
        <v>365.24671763205305</v>
      </c>
      <c r="J475" s="11" t="s">
        <v>21</v>
      </c>
    </row>
    <row r="476" spans="1:10" ht="14.25" hidden="1" customHeight="1" x14ac:dyDescent="0.3">
      <c r="A476" s="2" t="s">
        <v>35</v>
      </c>
      <c r="B476" s="2" t="str">
        <f>INDEX(SETORES!$B:$B,MATCH(A476,SETORES!$A:$A,0))</f>
        <v>Clientes</v>
      </c>
      <c r="C476" s="2" t="s">
        <v>16</v>
      </c>
      <c r="D476" s="14">
        <f>IF(B476="Clientes",SUMIFS(PARÂMETROS!$D$8:$D$907,PARÂMETROS!$A$8:$A$907,C476,PARÂMETROS!$G$8:$G$907,J476),SUMIFS(PARÂMETROS!$E$8:$E$907,PARÂMETROS!$A$8:$A$907,C476,PARÂMETROS!$G$8:$G$907,J476))</f>
        <v>2.3847218982485568E-2</v>
      </c>
      <c r="E476" s="21">
        <f>SUMIFS(SETORES!$D:$D,SETORES!$A:$A,A476,SETORES!$F:$F,J476)</f>
        <v>11204.9218</v>
      </c>
      <c r="F476" s="21">
        <f t="shared" si="24"/>
        <v>267.20622384622635</v>
      </c>
      <c r="G476" s="14">
        <f>SUMIFS(PARÂMETROS!$F$8:$F$907,PARÂMETROS!$A$8:$A$907,C476,PARÂMETROS!$G$8:$G$907,J476)</f>
        <v>0</v>
      </c>
      <c r="H476" s="21">
        <f t="shared" si="25"/>
        <v>0</v>
      </c>
      <c r="I476" s="21">
        <f t="shared" si="26"/>
        <v>267.20622384622635</v>
      </c>
      <c r="J476" s="2" t="s">
        <v>21</v>
      </c>
    </row>
    <row r="477" spans="1:10" ht="14.25" hidden="1" customHeight="1" x14ac:dyDescent="0.3">
      <c r="A477" s="11" t="s">
        <v>35</v>
      </c>
      <c r="B477" s="19" t="str">
        <f>INDEX(SETORES!$B:$B,MATCH(A477,SETORES!$A:$A,0))</f>
        <v>Clientes</v>
      </c>
      <c r="C477" s="11" t="s">
        <v>17</v>
      </c>
      <c r="D477" s="9">
        <f>IF(B477="Clientes",SUMIFS(PARÂMETROS!$D$8:$D$907,PARÂMETROS!$A$8:$A$907,C477,PARÂMETROS!$G$8:$G$907,J477),SUMIFS(PARÂMETROS!$E$8:$E$907,PARÂMETROS!$A$8:$A$907,C477,PARÂMETROS!$G$8:$G$907,J477))</f>
        <v>2.3852181983314392E-2</v>
      </c>
      <c r="E477" s="20">
        <f>SUMIFS(SETORES!$D:$D,SETORES!$A:$A,A477,SETORES!$F:$F,J477)</f>
        <v>11204.9218</v>
      </c>
      <c r="F477" s="20">
        <f t="shared" si="24"/>
        <v>267.26183388240668</v>
      </c>
      <c r="G477" s="9">
        <f>SUMIFS(PARÂMETROS!$F$8:$F$907,PARÂMETROS!$A$8:$A$907,C477,PARÂMETROS!$G$8:$G$907,J477)</f>
        <v>0</v>
      </c>
      <c r="H477" s="20">
        <f t="shared" si="25"/>
        <v>0</v>
      </c>
      <c r="I477" s="20">
        <f t="shared" si="26"/>
        <v>267.26183388240668</v>
      </c>
      <c r="J477" s="11" t="s">
        <v>21</v>
      </c>
    </row>
    <row r="478" spans="1:10" ht="14.25" hidden="1" customHeight="1" x14ac:dyDescent="0.3">
      <c r="A478" s="2" t="s">
        <v>35</v>
      </c>
      <c r="B478" s="2" t="str">
        <f>INDEX(SETORES!$B:$B,MATCH(A478,SETORES!$A:$A,0))</f>
        <v>Clientes</v>
      </c>
      <c r="C478" s="2" t="s">
        <v>18</v>
      </c>
      <c r="D478" s="14">
        <f>IF(B478="Clientes",SUMIFS(PARÂMETROS!$D$8:$D$907,PARÂMETROS!$A$8:$A$907,C478,PARÂMETROS!$G$8:$G$907,J478),SUMIFS(PARÂMETROS!$E$8:$E$907,PARÂMETROS!$A$8:$A$907,C478,PARÂMETROS!$G$8:$G$907,J478))</f>
        <v>0.72827074162121386</v>
      </c>
      <c r="E478" s="21">
        <f>SUMIFS(SETORES!$D:$D,SETORES!$A:$A,A478,SETORES!$F:$F,J478)</f>
        <v>11204.9218</v>
      </c>
      <c r="F478" s="21">
        <f t="shared" si="24"/>
        <v>8160.2167090937064</v>
      </c>
      <c r="G478" s="14">
        <f>SUMIFS(PARÂMETROS!$F$8:$F$907,PARÂMETROS!$A$8:$A$907,C478,PARÂMETROS!$G$8:$G$907,J478)</f>
        <v>0</v>
      </c>
      <c r="H478" s="21">
        <f t="shared" si="25"/>
        <v>0</v>
      </c>
      <c r="I478" s="21">
        <f t="shared" si="26"/>
        <v>8160.2167090937064</v>
      </c>
      <c r="J478" s="2" t="s">
        <v>21</v>
      </c>
    </row>
    <row r="479" spans="1:10" ht="14.25" hidden="1" customHeight="1" x14ac:dyDescent="0.3">
      <c r="A479" s="11" t="s">
        <v>36</v>
      </c>
      <c r="B479" s="19" t="str">
        <f>INDEX(SETORES!$B:$B,MATCH(A479,SETORES!$A:$A,0))</f>
        <v>Clientes</v>
      </c>
      <c r="C479" s="11" t="s">
        <v>10</v>
      </c>
      <c r="D479" s="9">
        <f>IF(B479="Clientes",SUMIFS(PARÂMETROS!$D$8:$D$907,PARÂMETROS!$A$8:$A$907,C479,PARÂMETROS!$G$8:$G$907,J479),SUMIFS(PARÂMETROS!$E$8:$E$907,PARÂMETROS!$A$8:$A$907,C479,PARÂMETROS!$G$8:$G$907,J479))</f>
        <v>3.2696249460273663E-2</v>
      </c>
      <c r="E479" s="20">
        <f>SUMIFS(SETORES!$D:$D,SETORES!$A:$A,A479,SETORES!$F:$F,J479)</f>
        <v>75309.688399999999</v>
      </c>
      <c r="F479" s="20">
        <f t="shared" si="24"/>
        <v>2462.3443587018778</v>
      </c>
      <c r="G479" s="9">
        <f>SUMIFS(PARÂMETROS!$F$8:$F$907,PARÂMETROS!$A$8:$A$907,C479,PARÂMETROS!$G$8:$G$907,J479)</f>
        <v>0</v>
      </c>
      <c r="H479" s="20">
        <f t="shared" si="25"/>
        <v>0</v>
      </c>
      <c r="I479" s="20">
        <f t="shared" si="26"/>
        <v>2462.3443587018778</v>
      </c>
      <c r="J479" s="11" t="s">
        <v>21</v>
      </c>
    </row>
    <row r="480" spans="1:10" ht="14.25" hidden="1" customHeight="1" x14ac:dyDescent="0.3">
      <c r="A480" s="2" t="s">
        <v>36</v>
      </c>
      <c r="B480" s="2" t="str">
        <f>INDEX(SETORES!$B:$B,MATCH(A480,SETORES!$A:$A,0))</f>
        <v>Clientes</v>
      </c>
      <c r="C480" s="2" t="s">
        <v>12</v>
      </c>
      <c r="D480" s="14">
        <f>IF(B480="Clientes",SUMIFS(PARÂMETROS!$D$8:$D$907,PARÂMETROS!$A$8:$A$907,C480,PARÂMETROS!$G$8:$G$907,J480),SUMIFS(PARÂMETROS!$E$8:$E$907,PARÂMETROS!$A$8:$A$907,C480,PARÂMETROS!$G$8:$G$907,J480))</f>
        <v>6.7149401213950008E-2</v>
      </c>
      <c r="E480" s="21">
        <f>SUMIFS(SETORES!$D:$D,SETORES!$A:$A,A480,SETORES!$F:$F,J480)</f>
        <v>75309.688399999999</v>
      </c>
      <c r="F480" s="21">
        <f t="shared" si="24"/>
        <v>5057.0004816691571</v>
      </c>
      <c r="G480" s="14">
        <f>SUMIFS(PARÂMETROS!$F$8:$F$907,PARÂMETROS!$A$8:$A$907,C480,PARÂMETROS!$G$8:$G$907,J480)</f>
        <v>0</v>
      </c>
      <c r="H480" s="21">
        <f t="shared" si="25"/>
        <v>0</v>
      </c>
      <c r="I480" s="21">
        <f t="shared" si="26"/>
        <v>5057.0004816691571</v>
      </c>
      <c r="J480" s="2" t="s">
        <v>21</v>
      </c>
    </row>
    <row r="481" spans="1:10" ht="14.25" hidden="1" customHeight="1" x14ac:dyDescent="0.3">
      <c r="A481" s="11" t="s">
        <v>36</v>
      </c>
      <c r="B481" s="19" t="str">
        <f>INDEX(SETORES!$B:$B,MATCH(A481,SETORES!$A:$A,0))</f>
        <v>Clientes</v>
      </c>
      <c r="C481" s="11" t="s">
        <v>13</v>
      </c>
      <c r="D481" s="9">
        <f>IF(B481="Clientes",SUMIFS(PARÂMETROS!$D$8:$D$907,PARÂMETROS!$A$8:$A$907,C481,PARÂMETROS!$G$8:$G$907,J481),SUMIFS(PARÂMETROS!$E$8:$E$907,PARÂMETROS!$A$8:$A$907,C481,PARÂMETROS!$G$8:$G$907,J481))</f>
        <v>7.2901519174553703E-2</v>
      </c>
      <c r="E481" s="20">
        <f>SUMIFS(SETORES!$D:$D,SETORES!$A:$A,A481,SETORES!$F:$F,J481)</f>
        <v>75309.688399999999</v>
      </c>
      <c r="F481" s="20">
        <f t="shared" si="24"/>
        <v>5490.1906929222641</v>
      </c>
      <c r="G481" s="9">
        <f>SUMIFS(PARÂMETROS!$F$8:$F$907,PARÂMETROS!$A$8:$A$907,C481,PARÂMETROS!$G$8:$G$907,J481)</f>
        <v>0</v>
      </c>
      <c r="H481" s="20">
        <f t="shared" si="25"/>
        <v>0</v>
      </c>
      <c r="I481" s="20">
        <f t="shared" si="26"/>
        <v>5490.1906929222641</v>
      </c>
      <c r="J481" s="11" t="s">
        <v>21</v>
      </c>
    </row>
    <row r="482" spans="1:10" ht="14.25" customHeight="1" x14ac:dyDescent="0.3">
      <c r="A482" s="2" t="s">
        <v>36</v>
      </c>
      <c r="B482" s="2" t="str">
        <f>INDEX(SETORES!$B:$B,MATCH(A482,SETORES!$A:$A,0))</f>
        <v>Clientes</v>
      </c>
      <c r="C482" s="2" t="s">
        <v>14</v>
      </c>
      <c r="D482" s="14">
        <f>IF(B482="Clientes",SUMIFS(PARÂMETROS!$D$8:$D$907,PARÂMETROS!$A$8:$A$907,C482,PARÂMETROS!$G$8:$G$907,J482),SUMIFS(PARÂMETROS!$E$8:$E$907,PARÂMETROS!$A$8:$A$907,C482,PARÂMETROS!$G$8:$G$907,J482))</f>
        <v>1.8685698120511587E-2</v>
      </c>
      <c r="E482" s="21">
        <f>SUMIFS(SETORES!$D:$D,SETORES!$A:$A,A482,SETORES!$F:$F,J482)</f>
        <v>75309.688399999999</v>
      </c>
      <c r="F482" s="21">
        <f t="shared" si="24"/>
        <v>1407.2141029921934</v>
      </c>
      <c r="G482" s="14">
        <f>SUMIFS(PARÂMETROS!$F$8:$F$907,PARÂMETROS!$A$8:$A$907,C482,PARÂMETROS!$G$8:$G$907,J482)</f>
        <v>0</v>
      </c>
      <c r="H482" s="21">
        <f t="shared" si="25"/>
        <v>0</v>
      </c>
      <c r="I482" s="21">
        <f t="shared" si="26"/>
        <v>1407.2141029921934</v>
      </c>
      <c r="J482" s="2" t="s">
        <v>21</v>
      </c>
    </row>
    <row r="483" spans="1:10" ht="14.25" hidden="1" customHeight="1" x14ac:dyDescent="0.3">
      <c r="A483" s="11" t="s">
        <v>36</v>
      </c>
      <c r="B483" s="19" t="str">
        <f>INDEX(SETORES!$B:$B,MATCH(A483,SETORES!$A:$A,0))</f>
        <v>Clientes</v>
      </c>
      <c r="C483" s="11" t="s">
        <v>15</v>
      </c>
      <c r="D483" s="9">
        <f>IF(B483="Clientes",SUMIFS(PARÂMETROS!$D$8:$D$907,PARÂMETROS!$A$8:$A$907,C483,PARÂMETROS!$G$8:$G$907,J483),SUMIFS(PARÂMETROS!$E$8:$E$907,PARÂMETROS!$A$8:$A$907,C483,PARÂMETROS!$G$8:$G$907,J483))</f>
        <v>3.2596989443697238E-2</v>
      </c>
      <c r="E483" s="20">
        <f>SUMIFS(SETORES!$D:$D,SETORES!$A:$A,A483,SETORES!$F:$F,J483)</f>
        <v>75309.688399999999</v>
      </c>
      <c r="F483" s="20">
        <f t="shared" si="24"/>
        <v>2454.8691177829282</v>
      </c>
      <c r="G483" s="9">
        <f>SUMIFS(PARÂMETROS!$F$8:$F$907,PARÂMETROS!$A$8:$A$907,C483,PARÂMETROS!$G$8:$G$907,J483)</f>
        <v>0</v>
      </c>
      <c r="H483" s="20">
        <f t="shared" si="25"/>
        <v>0</v>
      </c>
      <c r="I483" s="20">
        <f t="shared" si="26"/>
        <v>2454.8691177829282</v>
      </c>
      <c r="J483" s="11" t="s">
        <v>21</v>
      </c>
    </row>
    <row r="484" spans="1:10" ht="14.25" hidden="1" customHeight="1" x14ac:dyDescent="0.3">
      <c r="A484" s="2" t="s">
        <v>36</v>
      </c>
      <c r="B484" s="2" t="str">
        <f>INDEX(SETORES!$B:$B,MATCH(A484,SETORES!$A:$A,0))</f>
        <v>Clientes</v>
      </c>
      <c r="C484" s="2" t="s">
        <v>16</v>
      </c>
      <c r="D484" s="14">
        <f>IF(B484="Clientes",SUMIFS(PARÂMETROS!$D$8:$D$907,PARÂMETROS!$A$8:$A$907,C484,PARÂMETROS!$G$8:$G$907,J484),SUMIFS(PARÂMETROS!$E$8:$E$907,PARÂMETROS!$A$8:$A$907,C484,PARÂMETROS!$G$8:$G$907,J484))</f>
        <v>2.3847218982485568E-2</v>
      </c>
      <c r="E484" s="21">
        <f>SUMIFS(SETORES!$D:$D,SETORES!$A:$A,A484,SETORES!$F:$F,J484)</f>
        <v>75309.688399999999</v>
      </c>
      <c r="F484" s="21">
        <f t="shared" si="24"/>
        <v>1795.9266307775531</v>
      </c>
      <c r="G484" s="14">
        <f>SUMIFS(PARÂMETROS!$F$8:$F$907,PARÂMETROS!$A$8:$A$907,C484,PARÂMETROS!$G$8:$G$907,J484)</f>
        <v>0</v>
      </c>
      <c r="H484" s="21">
        <f t="shared" si="25"/>
        <v>0</v>
      </c>
      <c r="I484" s="21">
        <f t="shared" si="26"/>
        <v>1795.9266307775531</v>
      </c>
      <c r="J484" s="2" t="s">
        <v>21</v>
      </c>
    </row>
    <row r="485" spans="1:10" ht="14.25" hidden="1" customHeight="1" x14ac:dyDescent="0.3">
      <c r="A485" s="11" t="s">
        <v>36</v>
      </c>
      <c r="B485" s="19" t="str">
        <f>INDEX(SETORES!$B:$B,MATCH(A485,SETORES!$A:$A,0))</f>
        <v>Clientes</v>
      </c>
      <c r="C485" s="11" t="s">
        <v>17</v>
      </c>
      <c r="D485" s="9">
        <f>IF(B485="Clientes",SUMIFS(PARÂMETROS!$D$8:$D$907,PARÂMETROS!$A$8:$A$907,C485,PARÂMETROS!$G$8:$G$907,J485),SUMIFS(PARÂMETROS!$E$8:$E$907,PARÂMETROS!$A$8:$A$907,C485,PARÂMETROS!$G$8:$G$907,J485))</f>
        <v>2.3852181983314392E-2</v>
      </c>
      <c r="E485" s="20">
        <f>SUMIFS(SETORES!$D:$D,SETORES!$A:$A,A485,SETORES!$F:$F,J485)</f>
        <v>75309.688399999999</v>
      </c>
      <c r="F485" s="20">
        <f t="shared" si="24"/>
        <v>1796.3003928235007</v>
      </c>
      <c r="G485" s="9">
        <f>SUMIFS(PARÂMETROS!$F$8:$F$907,PARÂMETROS!$A$8:$A$907,C485,PARÂMETROS!$G$8:$G$907,J485)</f>
        <v>0</v>
      </c>
      <c r="H485" s="20">
        <f t="shared" si="25"/>
        <v>0</v>
      </c>
      <c r="I485" s="20">
        <f t="shared" si="26"/>
        <v>1796.3003928235007</v>
      </c>
      <c r="J485" s="11" t="s">
        <v>21</v>
      </c>
    </row>
    <row r="486" spans="1:10" ht="14.25" hidden="1" customHeight="1" x14ac:dyDescent="0.3">
      <c r="A486" s="2" t="s">
        <v>36</v>
      </c>
      <c r="B486" s="2" t="str">
        <f>INDEX(SETORES!$B:$B,MATCH(A486,SETORES!$A:$A,0))</f>
        <v>Clientes</v>
      </c>
      <c r="C486" s="2" t="s">
        <v>18</v>
      </c>
      <c r="D486" s="14">
        <f>IF(B486="Clientes",SUMIFS(PARÂMETROS!$D$8:$D$907,PARÂMETROS!$A$8:$A$907,C486,PARÂMETROS!$G$8:$G$907,J486),SUMIFS(PARÂMETROS!$E$8:$E$907,PARÂMETROS!$A$8:$A$907,C486,PARÂMETROS!$G$8:$G$907,J486))</f>
        <v>0.72827074162121386</v>
      </c>
      <c r="E486" s="21">
        <f>SUMIFS(SETORES!$D:$D,SETORES!$A:$A,A486,SETORES!$F:$F,J486)</f>
        <v>75309.688399999999</v>
      </c>
      <c r="F486" s="21">
        <f t="shared" si="24"/>
        <v>54845.842622330529</v>
      </c>
      <c r="G486" s="14">
        <f>SUMIFS(PARÂMETROS!$F$8:$F$907,PARÂMETROS!$A$8:$A$907,C486,PARÂMETROS!$G$8:$G$907,J486)</f>
        <v>0</v>
      </c>
      <c r="H486" s="21">
        <f t="shared" si="25"/>
        <v>0</v>
      </c>
      <c r="I486" s="21">
        <f t="shared" si="26"/>
        <v>54845.842622330529</v>
      </c>
      <c r="J486" s="2" t="s">
        <v>21</v>
      </c>
    </row>
    <row r="487" spans="1:10" ht="14.25" hidden="1" customHeight="1" x14ac:dyDescent="0.3">
      <c r="A487" s="11" t="s">
        <v>37</v>
      </c>
      <c r="B487" s="19" t="str">
        <f>INDEX(SETORES!$B:$B,MATCH(A487,SETORES!$A:$A,0))</f>
        <v>Clientes</v>
      </c>
      <c r="C487" s="11" t="s">
        <v>10</v>
      </c>
      <c r="D487" s="9">
        <f>IF(B487="Clientes",SUMIFS(PARÂMETROS!$D$8:$D$907,PARÂMETROS!$A$8:$A$907,C487,PARÂMETROS!$G$8:$G$907,J487),SUMIFS(PARÂMETROS!$E$8:$E$907,PARÂMETROS!$A$8:$A$907,C487,PARÂMETROS!$G$8:$G$907,J487))</f>
        <v>3.2696249460273663E-2</v>
      </c>
      <c r="E487" s="20">
        <f>SUMIFS(SETORES!$D:$D,SETORES!$A:$A,A487,SETORES!$F:$F,J487)</f>
        <v>162494.87608400002</v>
      </c>
      <c r="F487" s="20">
        <f t="shared" ref="F487:F550" si="27">IFERROR(D487*E487,0)</f>
        <v>5312.9730044587213</v>
      </c>
      <c r="G487" s="9">
        <f>SUMIFS(PARÂMETROS!$F$8:$F$907,PARÂMETROS!$A$8:$A$907,C487,PARÂMETROS!$G$8:$G$907,J487)</f>
        <v>0</v>
      </c>
      <c r="H487" s="20">
        <f t="shared" ref="H487:H550" si="28">IFERROR(F487*G487,0)</f>
        <v>0</v>
      </c>
      <c r="I487" s="20">
        <f t="shared" ref="I487:I550" si="29">F487+H487</f>
        <v>5312.9730044587213</v>
      </c>
      <c r="J487" s="11" t="s">
        <v>21</v>
      </c>
    </row>
    <row r="488" spans="1:10" ht="14.25" hidden="1" customHeight="1" x14ac:dyDescent="0.3">
      <c r="A488" s="2" t="s">
        <v>37</v>
      </c>
      <c r="B488" s="2" t="str">
        <f>INDEX(SETORES!$B:$B,MATCH(A488,SETORES!$A:$A,0))</f>
        <v>Clientes</v>
      </c>
      <c r="C488" s="2" t="s">
        <v>12</v>
      </c>
      <c r="D488" s="14">
        <f>IF(B488="Clientes",SUMIFS(PARÂMETROS!$D$8:$D$907,PARÂMETROS!$A$8:$A$907,C488,PARÂMETROS!$G$8:$G$907,J488),SUMIFS(PARÂMETROS!$E$8:$E$907,PARÂMETROS!$A$8:$A$907,C488,PARÂMETROS!$G$8:$G$907,J488))</f>
        <v>6.7149401213950008E-2</v>
      </c>
      <c r="E488" s="21">
        <f>SUMIFS(SETORES!$D:$D,SETORES!$A:$A,A488,SETORES!$F:$F,J488)</f>
        <v>162494.87608400002</v>
      </c>
      <c r="F488" s="21">
        <f t="shared" si="27"/>
        <v>10911.433629375608</v>
      </c>
      <c r="G488" s="14">
        <f>SUMIFS(PARÂMETROS!$F$8:$F$907,PARÂMETROS!$A$8:$A$907,C488,PARÂMETROS!$G$8:$G$907,J488)</f>
        <v>0</v>
      </c>
      <c r="H488" s="21">
        <f t="shared" si="28"/>
        <v>0</v>
      </c>
      <c r="I488" s="21">
        <f t="shared" si="29"/>
        <v>10911.433629375608</v>
      </c>
      <c r="J488" s="2" t="s">
        <v>21</v>
      </c>
    </row>
    <row r="489" spans="1:10" ht="14.25" hidden="1" customHeight="1" x14ac:dyDescent="0.3">
      <c r="A489" s="11" t="s">
        <v>37</v>
      </c>
      <c r="B489" s="19" t="str">
        <f>INDEX(SETORES!$B:$B,MATCH(A489,SETORES!$A:$A,0))</f>
        <v>Clientes</v>
      </c>
      <c r="C489" s="11" t="s">
        <v>13</v>
      </c>
      <c r="D489" s="9">
        <f>IF(B489="Clientes",SUMIFS(PARÂMETROS!$D$8:$D$907,PARÂMETROS!$A$8:$A$907,C489,PARÂMETROS!$G$8:$G$907,J489),SUMIFS(PARÂMETROS!$E$8:$E$907,PARÂMETROS!$A$8:$A$907,C489,PARÂMETROS!$G$8:$G$907,J489))</f>
        <v>7.2901519174553703E-2</v>
      </c>
      <c r="E489" s="20">
        <f>SUMIFS(SETORES!$D:$D,SETORES!$A:$A,A489,SETORES!$F:$F,J489)</f>
        <v>162494.87608400002</v>
      </c>
      <c r="F489" s="20">
        <f t="shared" si="27"/>
        <v>11846.123324604456</v>
      </c>
      <c r="G489" s="9">
        <f>SUMIFS(PARÂMETROS!$F$8:$F$907,PARÂMETROS!$A$8:$A$907,C489,PARÂMETROS!$G$8:$G$907,J489)</f>
        <v>0</v>
      </c>
      <c r="H489" s="20">
        <f t="shared" si="28"/>
        <v>0</v>
      </c>
      <c r="I489" s="20">
        <f t="shared" si="29"/>
        <v>11846.123324604456</v>
      </c>
      <c r="J489" s="11" t="s">
        <v>21</v>
      </c>
    </row>
    <row r="490" spans="1:10" ht="14.25" customHeight="1" x14ac:dyDescent="0.3">
      <c r="A490" s="2" t="s">
        <v>37</v>
      </c>
      <c r="B490" s="2" t="str">
        <f>INDEX(SETORES!$B:$B,MATCH(A490,SETORES!$A:$A,0))</f>
        <v>Clientes</v>
      </c>
      <c r="C490" s="2" t="s">
        <v>14</v>
      </c>
      <c r="D490" s="14">
        <f>IF(B490="Clientes",SUMIFS(PARÂMETROS!$D$8:$D$907,PARÂMETROS!$A$8:$A$907,C490,PARÂMETROS!$G$8:$G$907,J490),SUMIFS(PARÂMETROS!$E$8:$E$907,PARÂMETROS!$A$8:$A$907,C490,PARÂMETROS!$G$8:$G$907,J490))</f>
        <v>1.8685698120511587E-2</v>
      </c>
      <c r="E490" s="21">
        <f>SUMIFS(SETORES!$D:$D,SETORES!$A:$A,A490,SETORES!$F:$F,J490)</f>
        <v>162494.87608400002</v>
      </c>
      <c r="F490" s="21">
        <f t="shared" si="27"/>
        <v>3036.3302006355625</v>
      </c>
      <c r="G490" s="14">
        <f>SUMIFS(PARÂMETROS!$F$8:$F$907,PARÂMETROS!$A$8:$A$907,C490,PARÂMETROS!$G$8:$G$907,J490)</f>
        <v>0</v>
      </c>
      <c r="H490" s="21">
        <f t="shared" si="28"/>
        <v>0</v>
      </c>
      <c r="I490" s="21">
        <f t="shared" si="29"/>
        <v>3036.3302006355625</v>
      </c>
      <c r="J490" s="2" t="s">
        <v>21</v>
      </c>
    </row>
    <row r="491" spans="1:10" ht="14.25" hidden="1" customHeight="1" x14ac:dyDescent="0.3">
      <c r="A491" s="11" t="s">
        <v>37</v>
      </c>
      <c r="B491" s="19" t="str">
        <f>INDEX(SETORES!$B:$B,MATCH(A491,SETORES!$A:$A,0))</f>
        <v>Clientes</v>
      </c>
      <c r="C491" s="11" t="s">
        <v>15</v>
      </c>
      <c r="D491" s="9">
        <f>IF(B491="Clientes",SUMIFS(PARÂMETROS!$D$8:$D$907,PARÂMETROS!$A$8:$A$907,C491,PARÂMETROS!$G$8:$G$907,J491),SUMIFS(PARÂMETROS!$E$8:$E$907,PARÂMETROS!$A$8:$A$907,C491,PARÂMETROS!$G$8:$G$907,J491))</f>
        <v>3.2596989443697238E-2</v>
      </c>
      <c r="E491" s="20">
        <f>SUMIFS(SETORES!$D:$D,SETORES!$A:$A,A491,SETORES!$F:$F,J491)</f>
        <v>162494.87608400002</v>
      </c>
      <c r="F491" s="20">
        <f t="shared" si="27"/>
        <v>5296.8437603650391</v>
      </c>
      <c r="G491" s="9">
        <f>SUMIFS(PARÂMETROS!$F$8:$F$907,PARÂMETROS!$A$8:$A$907,C491,PARÂMETROS!$G$8:$G$907,J491)</f>
        <v>0</v>
      </c>
      <c r="H491" s="20">
        <f t="shared" si="28"/>
        <v>0</v>
      </c>
      <c r="I491" s="20">
        <f t="shared" si="29"/>
        <v>5296.8437603650391</v>
      </c>
      <c r="J491" s="11" t="s">
        <v>21</v>
      </c>
    </row>
    <row r="492" spans="1:10" ht="14.25" hidden="1" customHeight="1" x14ac:dyDescent="0.3">
      <c r="A492" s="2" t="s">
        <v>37</v>
      </c>
      <c r="B492" s="2" t="str">
        <f>INDEX(SETORES!$B:$B,MATCH(A492,SETORES!$A:$A,0))</f>
        <v>Clientes</v>
      </c>
      <c r="C492" s="2" t="s">
        <v>16</v>
      </c>
      <c r="D492" s="14">
        <f>IF(B492="Clientes",SUMIFS(PARÂMETROS!$D$8:$D$907,PARÂMETROS!$A$8:$A$907,C492,PARÂMETROS!$G$8:$G$907,J492),SUMIFS(PARÂMETROS!$E$8:$E$907,PARÂMETROS!$A$8:$A$907,C492,PARÂMETROS!$G$8:$G$907,J492))</f>
        <v>2.3847218982485568E-2</v>
      </c>
      <c r="E492" s="21">
        <f>SUMIFS(SETORES!$D:$D,SETORES!$A:$A,A492,SETORES!$F:$F,J492)</f>
        <v>162494.87608400002</v>
      </c>
      <c r="F492" s="21">
        <f t="shared" si="27"/>
        <v>3875.0508935070056</v>
      </c>
      <c r="G492" s="14">
        <f>SUMIFS(PARÂMETROS!$F$8:$F$907,PARÂMETROS!$A$8:$A$907,C492,PARÂMETROS!$G$8:$G$907,J492)</f>
        <v>0</v>
      </c>
      <c r="H492" s="21">
        <f t="shared" si="28"/>
        <v>0</v>
      </c>
      <c r="I492" s="21">
        <f t="shared" si="29"/>
        <v>3875.0508935070056</v>
      </c>
      <c r="J492" s="2" t="s">
        <v>21</v>
      </c>
    </row>
    <row r="493" spans="1:10" ht="14.25" hidden="1" customHeight="1" x14ac:dyDescent="0.3">
      <c r="A493" s="11" t="s">
        <v>37</v>
      </c>
      <c r="B493" s="19" t="str">
        <f>INDEX(SETORES!$B:$B,MATCH(A493,SETORES!$A:$A,0))</f>
        <v>Clientes</v>
      </c>
      <c r="C493" s="11" t="s">
        <v>17</v>
      </c>
      <c r="D493" s="9">
        <f>IF(B493="Clientes",SUMIFS(PARÂMETROS!$D$8:$D$907,PARÂMETROS!$A$8:$A$907,C493,PARÂMETROS!$G$8:$G$907,J493),SUMIFS(PARÂMETROS!$E$8:$E$907,PARÂMETROS!$A$8:$A$907,C493,PARÂMETROS!$G$8:$G$907,J493))</f>
        <v>2.3852181983314392E-2</v>
      </c>
      <c r="E493" s="20">
        <f>SUMIFS(SETORES!$D:$D,SETORES!$A:$A,A493,SETORES!$F:$F,J493)</f>
        <v>162494.87608400002</v>
      </c>
      <c r="F493" s="20">
        <f t="shared" si="27"/>
        <v>3875.8573557116897</v>
      </c>
      <c r="G493" s="9">
        <f>SUMIFS(PARÂMETROS!$F$8:$F$907,PARÂMETROS!$A$8:$A$907,C493,PARÂMETROS!$G$8:$G$907,J493)</f>
        <v>0</v>
      </c>
      <c r="H493" s="20">
        <f t="shared" si="28"/>
        <v>0</v>
      </c>
      <c r="I493" s="20">
        <f t="shared" si="29"/>
        <v>3875.8573557116897</v>
      </c>
      <c r="J493" s="11" t="s">
        <v>21</v>
      </c>
    </row>
    <row r="494" spans="1:10" ht="14.25" hidden="1" customHeight="1" x14ac:dyDescent="0.3">
      <c r="A494" s="2" t="s">
        <v>37</v>
      </c>
      <c r="B494" s="2" t="str">
        <f>INDEX(SETORES!$B:$B,MATCH(A494,SETORES!$A:$A,0))</f>
        <v>Clientes</v>
      </c>
      <c r="C494" s="2" t="s">
        <v>18</v>
      </c>
      <c r="D494" s="14">
        <f>IF(B494="Clientes",SUMIFS(PARÂMETROS!$D$8:$D$907,PARÂMETROS!$A$8:$A$907,C494,PARÂMETROS!$G$8:$G$907,J494),SUMIFS(PARÂMETROS!$E$8:$E$907,PARÂMETROS!$A$8:$A$907,C494,PARÂMETROS!$G$8:$G$907,J494))</f>
        <v>0.72827074162121386</v>
      </c>
      <c r="E494" s="21">
        <f>SUMIFS(SETORES!$D:$D,SETORES!$A:$A,A494,SETORES!$F:$F,J494)</f>
        <v>162494.87608400002</v>
      </c>
      <c r="F494" s="21">
        <f t="shared" si="27"/>
        <v>118340.26391534194</v>
      </c>
      <c r="G494" s="14">
        <f>SUMIFS(PARÂMETROS!$F$8:$F$907,PARÂMETROS!$A$8:$A$907,C494,PARÂMETROS!$G$8:$G$907,J494)</f>
        <v>0</v>
      </c>
      <c r="H494" s="21">
        <f t="shared" si="28"/>
        <v>0</v>
      </c>
      <c r="I494" s="21">
        <f t="shared" si="29"/>
        <v>118340.26391534194</v>
      </c>
      <c r="J494" s="2" t="s">
        <v>21</v>
      </c>
    </row>
    <row r="495" spans="1:10" ht="14.25" hidden="1" customHeight="1" x14ac:dyDescent="0.3">
      <c r="A495" s="11" t="s">
        <v>38</v>
      </c>
      <c r="B495" s="19" t="str">
        <f>INDEX(SETORES!$B:$B,MATCH(A495,SETORES!$A:$A,0))</f>
        <v>Clientes</v>
      </c>
      <c r="C495" s="11" t="s">
        <v>10</v>
      </c>
      <c r="D495" s="9">
        <f>IF(B495="Clientes",SUMIFS(PARÂMETROS!$D$8:$D$907,PARÂMETROS!$A$8:$A$907,C495,PARÂMETROS!$G$8:$G$907,J495),SUMIFS(PARÂMETROS!$E$8:$E$907,PARÂMETROS!$A$8:$A$907,C495,PARÂMETROS!$G$8:$G$907,J495))</f>
        <v>3.2696249460273663E-2</v>
      </c>
      <c r="E495" s="20">
        <f>SUMIFS(SETORES!$D:$D,SETORES!$A:$A,A495,SETORES!$F:$F,J495)</f>
        <v>43123.897385999997</v>
      </c>
      <c r="F495" s="20">
        <f t="shared" si="27"/>
        <v>1409.9897066318993</v>
      </c>
      <c r="G495" s="9">
        <f>SUMIFS(PARÂMETROS!$F$8:$F$907,PARÂMETROS!$A$8:$A$907,C495,PARÂMETROS!$G$8:$G$907,J495)</f>
        <v>0</v>
      </c>
      <c r="H495" s="20">
        <f t="shared" si="28"/>
        <v>0</v>
      </c>
      <c r="I495" s="20">
        <f t="shared" si="29"/>
        <v>1409.9897066318993</v>
      </c>
      <c r="J495" s="11" t="s">
        <v>21</v>
      </c>
    </row>
    <row r="496" spans="1:10" ht="14.25" hidden="1" customHeight="1" x14ac:dyDescent="0.3">
      <c r="A496" s="2" t="s">
        <v>38</v>
      </c>
      <c r="B496" s="2" t="str">
        <f>INDEX(SETORES!$B:$B,MATCH(A496,SETORES!$A:$A,0))</f>
        <v>Clientes</v>
      </c>
      <c r="C496" s="2" t="s">
        <v>12</v>
      </c>
      <c r="D496" s="14">
        <f>IF(B496="Clientes",SUMIFS(PARÂMETROS!$D$8:$D$907,PARÂMETROS!$A$8:$A$907,C496,PARÂMETROS!$G$8:$G$907,J496),SUMIFS(PARÂMETROS!$E$8:$E$907,PARÂMETROS!$A$8:$A$907,C496,PARÂMETROS!$G$8:$G$907,J496))</f>
        <v>6.7149401213950008E-2</v>
      </c>
      <c r="E496" s="21">
        <f>SUMIFS(SETORES!$D:$D,SETORES!$A:$A,A496,SETORES!$F:$F,J496)</f>
        <v>43123.897385999997</v>
      </c>
      <c r="F496" s="21">
        <f t="shared" si="27"/>
        <v>2895.743887481724</v>
      </c>
      <c r="G496" s="14">
        <f>SUMIFS(PARÂMETROS!$F$8:$F$907,PARÂMETROS!$A$8:$A$907,C496,PARÂMETROS!$G$8:$G$907,J496)</f>
        <v>0</v>
      </c>
      <c r="H496" s="21">
        <f t="shared" si="28"/>
        <v>0</v>
      </c>
      <c r="I496" s="21">
        <f t="shared" si="29"/>
        <v>2895.743887481724</v>
      </c>
      <c r="J496" s="2" t="s">
        <v>21</v>
      </c>
    </row>
    <row r="497" spans="1:10" ht="14.25" hidden="1" customHeight="1" x14ac:dyDescent="0.3">
      <c r="A497" s="11" t="s">
        <v>38</v>
      </c>
      <c r="B497" s="19" t="str">
        <f>INDEX(SETORES!$B:$B,MATCH(A497,SETORES!$A:$A,0))</f>
        <v>Clientes</v>
      </c>
      <c r="C497" s="11" t="s">
        <v>13</v>
      </c>
      <c r="D497" s="9">
        <f>IF(B497="Clientes",SUMIFS(PARÂMETROS!$D$8:$D$907,PARÂMETROS!$A$8:$A$907,C497,PARÂMETROS!$G$8:$G$907,J497),SUMIFS(PARÂMETROS!$E$8:$E$907,PARÂMETROS!$A$8:$A$907,C497,PARÂMETROS!$G$8:$G$907,J497))</f>
        <v>7.2901519174553703E-2</v>
      </c>
      <c r="E497" s="20">
        <f>SUMIFS(SETORES!$D:$D,SETORES!$A:$A,A497,SETORES!$F:$F,J497)</f>
        <v>43123.897385999997</v>
      </c>
      <c r="F497" s="20">
        <f t="shared" si="27"/>
        <v>3143.7976321669653</v>
      </c>
      <c r="G497" s="9">
        <f>SUMIFS(PARÂMETROS!$F$8:$F$907,PARÂMETROS!$A$8:$A$907,C497,PARÂMETROS!$G$8:$G$907,J497)</f>
        <v>0</v>
      </c>
      <c r="H497" s="20">
        <f t="shared" si="28"/>
        <v>0</v>
      </c>
      <c r="I497" s="20">
        <f t="shared" si="29"/>
        <v>3143.7976321669653</v>
      </c>
      <c r="J497" s="11" t="s">
        <v>21</v>
      </c>
    </row>
    <row r="498" spans="1:10" ht="14.25" customHeight="1" x14ac:dyDescent="0.3">
      <c r="A498" s="2" t="s">
        <v>38</v>
      </c>
      <c r="B498" s="2" t="str">
        <f>INDEX(SETORES!$B:$B,MATCH(A498,SETORES!$A:$A,0))</f>
        <v>Clientes</v>
      </c>
      <c r="C498" s="2" t="s">
        <v>14</v>
      </c>
      <c r="D498" s="14">
        <f>IF(B498="Clientes",SUMIFS(PARÂMETROS!$D$8:$D$907,PARÂMETROS!$A$8:$A$907,C498,PARÂMETROS!$G$8:$G$907,J498),SUMIFS(PARÂMETROS!$E$8:$E$907,PARÂMETROS!$A$8:$A$907,C498,PARÂMETROS!$G$8:$G$907,J498))</f>
        <v>1.8685698120511587E-2</v>
      </c>
      <c r="E498" s="21">
        <f>SUMIFS(SETORES!$D:$D,SETORES!$A:$A,A498,SETORES!$F:$F,J498)</f>
        <v>43123.897385999997</v>
      </c>
      <c r="F498" s="21">
        <f t="shared" si="27"/>
        <v>805.80012833471471</v>
      </c>
      <c r="G498" s="14">
        <f>SUMIFS(PARÂMETROS!$F$8:$F$907,PARÂMETROS!$A$8:$A$907,C498,PARÂMETROS!$G$8:$G$907,J498)</f>
        <v>0</v>
      </c>
      <c r="H498" s="21">
        <f t="shared" si="28"/>
        <v>0</v>
      </c>
      <c r="I498" s="21">
        <f t="shared" si="29"/>
        <v>805.80012833471471</v>
      </c>
      <c r="J498" s="2" t="s">
        <v>21</v>
      </c>
    </row>
    <row r="499" spans="1:10" ht="14.25" hidden="1" customHeight="1" x14ac:dyDescent="0.3">
      <c r="A499" s="11" t="s">
        <v>38</v>
      </c>
      <c r="B499" s="19" t="str">
        <f>INDEX(SETORES!$B:$B,MATCH(A499,SETORES!$A:$A,0))</f>
        <v>Clientes</v>
      </c>
      <c r="C499" s="11" t="s">
        <v>15</v>
      </c>
      <c r="D499" s="9">
        <f>IF(B499="Clientes",SUMIFS(PARÂMETROS!$D$8:$D$907,PARÂMETROS!$A$8:$A$907,C499,PARÂMETROS!$G$8:$G$907,J499),SUMIFS(PARÂMETROS!$E$8:$E$907,PARÂMETROS!$A$8:$A$907,C499,PARÂMETROS!$G$8:$G$907,J499))</f>
        <v>3.2596989443697238E-2</v>
      </c>
      <c r="E499" s="20">
        <f>SUMIFS(SETORES!$D:$D,SETORES!$A:$A,A499,SETORES!$F:$F,J499)</f>
        <v>43123.897385999997</v>
      </c>
      <c r="F499" s="20">
        <f t="shared" si="27"/>
        <v>1405.7092278625248</v>
      </c>
      <c r="G499" s="9">
        <f>SUMIFS(PARÂMETROS!$F$8:$F$907,PARÂMETROS!$A$8:$A$907,C499,PARÂMETROS!$G$8:$G$907,J499)</f>
        <v>0</v>
      </c>
      <c r="H499" s="20">
        <f t="shared" si="28"/>
        <v>0</v>
      </c>
      <c r="I499" s="20">
        <f t="shared" si="29"/>
        <v>1405.7092278625248</v>
      </c>
      <c r="J499" s="11" t="s">
        <v>21</v>
      </c>
    </row>
    <row r="500" spans="1:10" ht="14.25" hidden="1" customHeight="1" x14ac:dyDescent="0.3">
      <c r="A500" s="2" t="s">
        <v>38</v>
      </c>
      <c r="B500" s="2" t="str">
        <f>INDEX(SETORES!$B:$B,MATCH(A500,SETORES!$A:$A,0))</f>
        <v>Clientes</v>
      </c>
      <c r="C500" s="2" t="s">
        <v>16</v>
      </c>
      <c r="D500" s="14">
        <f>IF(B500="Clientes",SUMIFS(PARÂMETROS!$D$8:$D$907,PARÂMETROS!$A$8:$A$907,C500,PARÂMETROS!$G$8:$G$907,J500),SUMIFS(PARÂMETROS!$E$8:$E$907,PARÂMETROS!$A$8:$A$907,C500,PARÂMETROS!$G$8:$G$907,J500))</f>
        <v>2.3847218982485568E-2</v>
      </c>
      <c r="E500" s="21">
        <f>SUMIFS(SETORES!$D:$D,SETORES!$A:$A,A500,SETORES!$F:$F,J500)</f>
        <v>43123.897385999997</v>
      </c>
      <c r="F500" s="21">
        <f t="shared" si="27"/>
        <v>1028.3850243421789</v>
      </c>
      <c r="G500" s="14">
        <f>SUMIFS(PARÂMETROS!$F$8:$F$907,PARÂMETROS!$A$8:$A$907,C500,PARÂMETROS!$G$8:$G$907,J500)</f>
        <v>0</v>
      </c>
      <c r="H500" s="21">
        <f t="shared" si="28"/>
        <v>0</v>
      </c>
      <c r="I500" s="21">
        <f t="shared" si="29"/>
        <v>1028.3850243421789</v>
      </c>
      <c r="J500" s="2" t="s">
        <v>21</v>
      </c>
    </row>
    <row r="501" spans="1:10" ht="14.25" hidden="1" customHeight="1" x14ac:dyDescent="0.3">
      <c r="A501" s="11" t="s">
        <v>38</v>
      </c>
      <c r="B501" s="19" t="str">
        <f>INDEX(SETORES!$B:$B,MATCH(A501,SETORES!$A:$A,0))</f>
        <v>Clientes</v>
      </c>
      <c r="C501" s="11" t="s">
        <v>17</v>
      </c>
      <c r="D501" s="9">
        <f>IF(B501="Clientes",SUMIFS(PARÂMETROS!$D$8:$D$907,PARÂMETROS!$A$8:$A$907,C501,PARÂMETROS!$G$8:$G$907,J501),SUMIFS(PARÂMETROS!$E$8:$E$907,PARÂMETROS!$A$8:$A$907,C501,PARÂMETROS!$G$8:$G$907,J501))</f>
        <v>2.3852181983314392E-2</v>
      </c>
      <c r="E501" s="20">
        <f>SUMIFS(SETORES!$D:$D,SETORES!$A:$A,A501,SETORES!$F:$F,J501)</f>
        <v>43123.897385999997</v>
      </c>
      <c r="F501" s="20">
        <f t="shared" si="27"/>
        <v>1028.5990482806478</v>
      </c>
      <c r="G501" s="9">
        <f>SUMIFS(PARÂMETROS!$F$8:$F$907,PARÂMETROS!$A$8:$A$907,C501,PARÂMETROS!$G$8:$G$907,J501)</f>
        <v>0</v>
      </c>
      <c r="H501" s="20">
        <f t="shared" si="28"/>
        <v>0</v>
      </c>
      <c r="I501" s="20">
        <f t="shared" si="29"/>
        <v>1028.5990482806478</v>
      </c>
      <c r="J501" s="11" t="s">
        <v>21</v>
      </c>
    </row>
    <row r="502" spans="1:10" ht="14.25" hidden="1" customHeight="1" x14ac:dyDescent="0.3">
      <c r="A502" s="2" t="s">
        <v>38</v>
      </c>
      <c r="B502" s="2" t="str">
        <f>INDEX(SETORES!$B:$B,MATCH(A502,SETORES!$A:$A,0))</f>
        <v>Clientes</v>
      </c>
      <c r="C502" s="2" t="s">
        <v>18</v>
      </c>
      <c r="D502" s="14">
        <f>IF(B502="Clientes",SUMIFS(PARÂMETROS!$D$8:$D$907,PARÂMETROS!$A$8:$A$907,C502,PARÂMETROS!$G$8:$G$907,J502),SUMIFS(PARÂMETROS!$E$8:$E$907,PARÂMETROS!$A$8:$A$907,C502,PARÂMETROS!$G$8:$G$907,J502))</f>
        <v>0.72827074162121386</v>
      </c>
      <c r="E502" s="21">
        <f>SUMIFS(SETORES!$D:$D,SETORES!$A:$A,A502,SETORES!$F:$F,J502)</f>
        <v>43123.897385999997</v>
      </c>
      <c r="F502" s="21">
        <f t="shared" si="27"/>
        <v>31405.872730899344</v>
      </c>
      <c r="G502" s="14">
        <f>SUMIFS(PARÂMETROS!$F$8:$F$907,PARÂMETROS!$A$8:$A$907,C502,PARÂMETROS!$G$8:$G$907,J502)</f>
        <v>0</v>
      </c>
      <c r="H502" s="21">
        <f t="shared" si="28"/>
        <v>0</v>
      </c>
      <c r="I502" s="21">
        <f t="shared" si="29"/>
        <v>31405.872730899344</v>
      </c>
      <c r="J502" s="2" t="s">
        <v>21</v>
      </c>
    </row>
    <row r="503" spans="1:10" ht="14.25" hidden="1" customHeight="1" x14ac:dyDescent="0.3">
      <c r="A503" s="11" t="s">
        <v>39</v>
      </c>
      <c r="B503" s="19" t="str">
        <f>INDEX(SETORES!$B:$B,MATCH(A503,SETORES!$A:$A,0))</f>
        <v>Clientes</v>
      </c>
      <c r="C503" s="11" t="s">
        <v>10</v>
      </c>
      <c r="D503" s="9">
        <f>IF(B503="Clientes",SUMIFS(PARÂMETROS!$D$8:$D$907,PARÂMETROS!$A$8:$A$907,C503,PARÂMETROS!$G$8:$G$907,J503),SUMIFS(PARÂMETROS!$E$8:$E$907,PARÂMETROS!$A$8:$A$907,C503,PARÂMETROS!$G$8:$G$907,J503))</f>
        <v>3.2696249460273663E-2</v>
      </c>
      <c r="E503" s="20">
        <f>SUMIFS(SETORES!$D:$D,SETORES!$A:$A,A503,SETORES!$F:$F,J503)</f>
        <v>52493.491478999997</v>
      </c>
      <c r="F503" s="20">
        <f t="shared" si="27"/>
        <v>1716.3402924381337</v>
      </c>
      <c r="G503" s="9">
        <f>SUMIFS(PARÂMETROS!$F$8:$F$907,PARÂMETROS!$A$8:$A$907,C503,PARÂMETROS!$G$8:$G$907,J503)</f>
        <v>0</v>
      </c>
      <c r="H503" s="20">
        <f t="shared" si="28"/>
        <v>0</v>
      </c>
      <c r="I503" s="20">
        <f t="shared" si="29"/>
        <v>1716.3402924381337</v>
      </c>
      <c r="J503" s="11" t="s">
        <v>21</v>
      </c>
    </row>
    <row r="504" spans="1:10" ht="14.25" hidden="1" customHeight="1" x14ac:dyDescent="0.3">
      <c r="A504" s="2" t="s">
        <v>39</v>
      </c>
      <c r="B504" s="2" t="str">
        <f>INDEX(SETORES!$B:$B,MATCH(A504,SETORES!$A:$A,0))</f>
        <v>Clientes</v>
      </c>
      <c r="C504" s="2" t="s">
        <v>12</v>
      </c>
      <c r="D504" s="14">
        <f>IF(B504="Clientes",SUMIFS(PARÂMETROS!$D$8:$D$907,PARÂMETROS!$A$8:$A$907,C504,PARÂMETROS!$G$8:$G$907,J504),SUMIFS(PARÂMETROS!$E$8:$E$907,PARÂMETROS!$A$8:$A$907,C504,PARÂMETROS!$G$8:$G$907,J504))</f>
        <v>6.7149401213950008E-2</v>
      </c>
      <c r="E504" s="21">
        <f>SUMIFS(SETORES!$D:$D,SETORES!$A:$A,A504,SETORES!$F:$F,J504)</f>
        <v>52493.491478999997</v>
      </c>
      <c r="F504" s="21">
        <f t="shared" si="27"/>
        <v>3524.9065204444369</v>
      </c>
      <c r="G504" s="14">
        <f>SUMIFS(PARÂMETROS!$F$8:$F$907,PARÂMETROS!$A$8:$A$907,C504,PARÂMETROS!$G$8:$G$907,J504)</f>
        <v>0</v>
      </c>
      <c r="H504" s="21">
        <f t="shared" si="28"/>
        <v>0</v>
      </c>
      <c r="I504" s="21">
        <f t="shared" si="29"/>
        <v>3524.9065204444369</v>
      </c>
      <c r="J504" s="2" t="s">
        <v>21</v>
      </c>
    </row>
    <row r="505" spans="1:10" ht="14.25" hidden="1" customHeight="1" x14ac:dyDescent="0.3">
      <c r="A505" s="11" t="s">
        <v>39</v>
      </c>
      <c r="B505" s="19" t="str">
        <f>INDEX(SETORES!$B:$B,MATCH(A505,SETORES!$A:$A,0))</f>
        <v>Clientes</v>
      </c>
      <c r="C505" s="11" t="s">
        <v>13</v>
      </c>
      <c r="D505" s="9">
        <f>IF(B505="Clientes",SUMIFS(PARÂMETROS!$D$8:$D$907,PARÂMETROS!$A$8:$A$907,C505,PARÂMETROS!$G$8:$G$907,J505),SUMIFS(PARÂMETROS!$E$8:$E$907,PARÂMETROS!$A$8:$A$907,C505,PARÂMETROS!$G$8:$G$907,J505))</f>
        <v>7.2901519174553703E-2</v>
      </c>
      <c r="E505" s="20">
        <f>SUMIFS(SETORES!$D:$D,SETORES!$A:$A,A505,SETORES!$F:$F,J505)</f>
        <v>52493.491478999997</v>
      </c>
      <c r="F505" s="20">
        <f t="shared" si="27"/>
        <v>3826.8552755955898</v>
      </c>
      <c r="G505" s="9">
        <f>SUMIFS(PARÂMETROS!$F$8:$F$907,PARÂMETROS!$A$8:$A$907,C505,PARÂMETROS!$G$8:$G$907,J505)</f>
        <v>0</v>
      </c>
      <c r="H505" s="20">
        <f t="shared" si="28"/>
        <v>0</v>
      </c>
      <c r="I505" s="20">
        <f t="shared" si="29"/>
        <v>3826.8552755955898</v>
      </c>
      <c r="J505" s="11" t="s">
        <v>21</v>
      </c>
    </row>
    <row r="506" spans="1:10" ht="14.25" customHeight="1" x14ac:dyDescent="0.3">
      <c r="A506" s="2" t="s">
        <v>39</v>
      </c>
      <c r="B506" s="2" t="str">
        <f>INDEX(SETORES!$B:$B,MATCH(A506,SETORES!$A:$A,0))</f>
        <v>Clientes</v>
      </c>
      <c r="C506" s="2" t="s">
        <v>14</v>
      </c>
      <c r="D506" s="14">
        <f>IF(B506="Clientes",SUMIFS(PARÂMETROS!$D$8:$D$907,PARÂMETROS!$A$8:$A$907,C506,PARÂMETROS!$G$8:$G$907,J506),SUMIFS(PARÂMETROS!$E$8:$E$907,PARÂMETROS!$A$8:$A$907,C506,PARÂMETROS!$G$8:$G$907,J506))</f>
        <v>1.8685698120511587E-2</v>
      </c>
      <c r="E506" s="21">
        <f>SUMIFS(SETORES!$D:$D,SETORES!$A:$A,A506,SETORES!$F:$F,J506)</f>
        <v>52493.491478999997</v>
      </c>
      <c r="F506" s="21">
        <f t="shared" si="27"/>
        <v>980.87753506824129</v>
      </c>
      <c r="G506" s="14">
        <f>SUMIFS(PARÂMETROS!$F$8:$F$907,PARÂMETROS!$A$8:$A$907,C506,PARÂMETROS!$G$8:$G$907,J506)</f>
        <v>0</v>
      </c>
      <c r="H506" s="21">
        <f t="shared" si="28"/>
        <v>0</v>
      </c>
      <c r="I506" s="21">
        <f t="shared" si="29"/>
        <v>980.87753506824129</v>
      </c>
      <c r="J506" s="2" t="s">
        <v>21</v>
      </c>
    </row>
    <row r="507" spans="1:10" ht="14.25" hidden="1" customHeight="1" x14ac:dyDescent="0.3">
      <c r="A507" s="11" t="s">
        <v>39</v>
      </c>
      <c r="B507" s="19" t="str">
        <f>INDEX(SETORES!$B:$B,MATCH(A507,SETORES!$A:$A,0))</f>
        <v>Clientes</v>
      </c>
      <c r="C507" s="11" t="s">
        <v>15</v>
      </c>
      <c r="D507" s="9">
        <f>IF(B507="Clientes",SUMIFS(PARÂMETROS!$D$8:$D$907,PARÂMETROS!$A$8:$A$907,C507,PARÂMETROS!$G$8:$G$907,J507),SUMIFS(PARÂMETROS!$E$8:$E$907,PARÂMETROS!$A$8:$A$907,C507,PARÂMETROS!$G$8:$G$907,J507))</f>
        <v>3.2596989443697238E-2</v>
      </c>
      <c r="E507" s="20">
        <f>SUMIFS(SETORES!$D:$D,SETORES!$A:$A,A507,SETORES!$F:$F,J507)</f>
        <v>52493.491478999997</v>
      </c>
      <c r="F507" s="20">
        <f t="shared" si="27"/>
        <v>1711.1297876037738</v>
      </c>
      <c r="G507" s="9">
        <f>SUMIFS(PARÂMETROS!$F$8:$F$907,PARÂMETROS!$A$8:$A$907,C507,PARÂMETROS!$G$8:$G$907,J507)</f>
        <v>0</v>
      </c>
      <c r="H507" s="20">
        <f t="shared" si="28"/>
        <v>0</v>
      </c>
      <c r="I507" s="20">
        <f t="shared" si="29"/>
        <v>1711.1297876037738</v>
      </c>
      <c r="J507" s="11" t="s">
        <v>21</v>
      </c>
    </row>
    <row r="508" spans="1:10" ht="14.25" hidden="1" customHeight="1" x14ac:dyDescent="0.3">
      <c r="A508" s="2" t="s">
        <v>39</v>
      </c>
      <c r="B508" s="2" t="str">
        <f>INDEX(SETORES!$B:$B,MATCH(A508,SETORES!$A:$A,0))</f>
        <v>Clientes</v>
      </c>
      <c r="C508" s="2" t="s">
        <v>16</v>
      </c>
      <c r="D508" s="14">
        <f>IF(B508="Clientes",SUMIFS(PARÂMETROS!$D$8:$D$907,PARÂMETROS!$A$8:$A$907,C508,PARÂMETROS!$G$8:$G$907,J508),SUMIFS(PARÂMETROS!$E$8:$E$907,PARÂMETROS!$A$8:$A$907,C508,PARÂMETROS!$G$8:$G$907,J508))</f>
        <v>2.3847218982485568E-2</v>
      </c>
      <c r="E508" s="21">
        <f>SUMIFS(SETORES!$D:$D,SETORES!$A:$A,A508,SETORES!$F:$F,J508)</f>
        <v>52493.491478999997</v>
      </c>
      <c r="F508" s="21">
        <f t="shared" si="27"/>
        <v>1251.8237864549531</v>
      </c>
      <c r="G508" s="14">
        <f>SUMIFS(PARÂMETROS!$F$8:$F$907,PARÂMETROS!$A$8:$A$907,C508,PARÂMETROS!$G$8:$G$907,J508)</f>
        <v>0</v>
      </c>
      <c r="H508" s="21">
        <f t="shared" si="28"/>
        <v>0</v>
      </c>
      <c r="I508" s="21">
        <f t="shared" si="29"/>
        <v>1251.8237864549531</v>
      </c>
      <c r="J508" s="2" t="s">
        <v>21</v>
      </c>
    </row>
    <row r="509" spans="1:10" ht="14.25" hidden="1" customHeight="1" x14ac:dyDescent="0.3">
      <c r="A509" s="11" t="s">
        <v>39</v>
      </c>
      <c r="B509" s="19" t="str">
        <f>INDEX(SETORES!$B:$B,MATCH(A509,SETORES!$A:$A,0))</f>
        <v>Clientes</v>
      </c>
      <c r="C509" s="11" t="s">
        <v>17</v>
      </c>
      <c r="D509" s="9">
        <f>IF(B509="Clientes",SUMIFS(PARÂMETROS!$D$8:$D$907,PARÂMETROS!$A$8:$A$907,C509,PARÂMETROS!$G$8:$G$907,J509),SUMIFS(PARÂMETROS!$E$8:$E$907,PARÂMETROS!$A$8:$A$907,C509,PARÂMETROS!$G$8:$G$907,J509))</f>
        <v>2.3852181983314392E-2</v>
      </c>
      <c r="E509" s="20">
        <f>SUMIFS(SETORES!$D:$D,SETORES!$A:$A,A509,SETORES!$F:$F,J509)</f>
        <v>52493.491478999997</v>
      </c>
      <c r="F509" s="20">
        <f t="shared" si="27"/>
        <v>1252.0843116966712</v>
      </c>
      <c r="G509" s="9">
        <f>SUMIFS(PARÂMETROS!$F$8:$F$907,PARÂMETROS!$A$8:$A$907,C509,PARÂMETROS!$G$8:$G$907,J509)</f>
        <v>0</v>
      </c>
      <c r="H509" s="20">
        <f t="shared" si="28"/>
        <v>0</v>
      </c>
      <c r="I509" s="20">
        <f t="shared" si="29"/>
        <v>1252.0843116966712</v>
      </c>
      <c r="J509" s="11" t="s">
        <v>21</v>
      </c>
    </row>
    <row r="510" spans="1:10" ht="14.25" hidden="1" customHeight="1" x14ac:dyDescent="0.3">
      <c r="A510" s="2" t="s">
        <v>39</v>
      </c>
      <c r="B510" s="2" t="str">
        <f>INDEX(SETORES!$B:$B,MATCH(A510,SETORES!$A:$A,0))</f>
        <v>Clientes</v>
      </c>
      <c r="C510" s="2" t="s">
        <v>18</v>
      </c>
      <c r="D510" s="14">
        <f>IF(B510="Clientes",SUMIFS(PARÂMETROS!$D$8:$D$907,PARÂMETROS!$A$8:$A$907,C510,PARÂMETROS!$G$8:$G$907,J510),SUMIFS(PARÂMETROS!$E$8:$E$907,PARÂMETROS!$A$8:$A$907,C510,PARÂMETROS!$G$8:$G$907,J510))</f>
        <v>0.72827074162121386</v>
      </c>
      <c r="E510" s="21">
        <f>SUMIFS(SETORES!$D:$D,SETORES!$A:$A,A510,SETORES!$F:$F,J510)</f>
        <v>52493.491478999997</v>
      </c>
      <c r="F510" s="21">
        <f t="shared" si="27"/>
        <v>38229.4739696982</v>
      </c>
      <c r="G510" s="14">
        <f>SUMIFS(PARÂMETROS!$F$8:$F$907,PARÂMETROS!$A$8:$A$907,C510,PARÂMETROS!$G$8:$G$907,J510)</f>
        <v>0</v>
      </c>
      <c r="H510" s="21">
        <f t="shared" si="28"/>
        <v>0</v>
      </c>
      <c r="I510" s="21">
        <f t="shared" si="29"/>
        <v>38229.4739696982</v>
      </c>
      <c r="J510" s="2" t="s">
        <v>21</v>
      </c>
    </row>
    <row r="511" spans="1:10" ht="14.25" hidden="1" customHeight="1" x14ac:dyDescent="0.3">
      <c r="A511" s="11" t="s">
        <v>40</v>
      </c>
      <c r="B511" s="19" t="str">
        <f>INDEX(SETORES!$B:$B,MATCH(A511,SETORES!$A:$A,0))</f>
        <v>Clientes</v>
      </c>
      <c r="C511" s="11" t="s">
        <v>10</v>
      </c>
      <c r="D511" s="9">
        <f>IF(B511="Clientes",SUMIFS(PARÂMETROS!$D$8:$D$907,PARÂMETROS!$A$8:$A$907,C511,PARÂMETROS!$G$8:$G$907,J511),SUMIFS(PARÂMETROS!$E$8:$E$907,PARÂMETROS!$A$8:$A$907,C511,PARÂMETROS!$G$8:$G$907,J511))</f>
        <v>3.2696249460273663E-2</v>
      </c>
      <c r="E511" s="20">
        <f>SUMIFS(SETORES!$D:$D,SETORES!$A:$A,A511,SETORES!$F:$F,J511)</f>
        <v>36743.588160000007</v>
      </c>
      <c r="F511" s="20">
        <f t="shared" si="27"/>
        <v>1201.3775245449181</v>
      </c>
      <c r="G511" s="9">
        <f>SUMIFS(PARÂMETROS!$F$8:$F$907,PARÂMETROS!$A$8:$A$907,C511,PARÂMETROS!$G$8:$G$907,J511)</f>
        <v>0</v>
      </c>
      <c r="H511" s="20">
        <f t="shared" si="28"/>
        <v>0</v>
      </c>
      <c r="I511" s="20">
        <f t="shared" si="29"/>
        <v>1201.3775245449181</v>
      </c>
      <c r="J511" s="11" t="s">
        <v>21</v>
      </c>
    </row>
    <row r="512" spans="1:10" ht="14.25" hidden="1" customHeight="1" x14ac:dyDescent="0.3">
      <c r="A512" s="2" t="s">
        <v>40</v>
      </c>
      <c r="B512" s="2" t="str">
        <f>INDEX(SETORES!$B:$B,MATCH(A512,SETORES!$A:$A,0))</f>
        <v>Clientes</v>
      </c>
      <c r="C512" s="2" t="s">
        <v>12</v>
      </c>
      <c r="D512" s="14">
        <f>IF(B512="Clientes",SUMIFS(PARÂMETROS!$D$8:$D$907,PARÂMETROS!$A$8:$A$907,C512,PARÂMETROS!$G$8:$G$907,J512),SUMIFS(PARÂMETROS!$E$8:$E$907,PARÂMETROS!$A$8:$A$907,C512,PARÂMETROS!$G$8:$G$907,J512))</f>
        <v>6.7149401213950008E-2</v>
      </c>
      <c r="E512" s="21">
        <f>SUMIFS(SETORES!$D:$D,SETORES!$A:$A,A512,SETORES!$F:$F,J512)</f>
        <v>36743.588160000007</v>
      </c>
      <c r="F512" s="21">
        <f t="shared" si="27"/>
        <v>2467.3099433959837</v>
      </c>
      <c r="G512" s="14">
        <f>SUMIFS(PARÂMETROS!$F$8:$F$907,PARÂMETROS!$A$8:$A$907,C512,PARÂMETROS!$G$8:$G$907,J512)</f>
        <v>0</v>
      </c>
      <c r="H512" s="21">
        <f t="shared" si="28"/>
        <v>0</v>
      </c>
      <c r="I512" s="21">
        <f t="shared" si="29"/>
        <v>2467.3099433959837</v>
      </c>
      <c r="J512" s="2" t="s">
        <v>21</v>
      </c>
    </row>
    <row r="513" spans="1:10" ht="14.25" hidden="1" customHeight="1" x14ac:dyDescent="0.3">
      <c r="A513" s="11" t="s">
        <v>40</v>
      </c>
      <c r="B513" s="19" t="str">
        <f>INDEX(SETORES!$B:$B,MATCH(A513,SETORES!$A:$A,0))</f>
        <v>Clientes</v>
      </c>
      <c r="C513" s="11" t="s">
        <v>13</v>
      </c>
      <c r="D513" s="9">
        <f>IF(B513="Clientes",SUMIFS(PARÂMETROS!$D$8:$D$907,PARÂMETROS!$A$8:$A$907,C513,PARÂMETROS!$G$8:$G$907,J513),SUMIFS(PARÂMETROS!$E$8:$E$907,PARÂMETROS!$A$8:$A$907,C513,PARÂMETROS!$G$8:$G$907,J513))</f>
        <v>7.2901519174553703E-2</v>
      </c>
      <c r="E513" s="20">
        <f>SUMIFS(SETORES!$D:$D,SETORES!$A:$A,A513,SETORES!$F:$F,J513)</f>
        <v>36743.588160000007</v>
      </c>
      <c r="F513" s="20">
        <f t="shared" si="27"/>
        <v>2678.6633967881448</v>
      </c>
      <c r="G513" s="9">
        <f>SUMIFS(PARÂMETROS!$F$8:$F$907,PARÂMETROS!$A$8:$A$907,C513,PARÂMETROS!$G$8:$G$907,J513)</f>
        <v>0</v>
      </c>
      <c r="H513" s="20">
        <f t="shared" si="28"/>
        <v>0</v>
      </c>
      <c r="I513" s="20">
        <f t="shared" si="29"/>
        <v>2678.6633967881448</v>
      </c>
      <c r="J513" s="11" t="s">
        <v>21</v>
      </c>
    </row>
    <row r="514" spans="1:10" ht="14.25" customHeight="1" x14ac:dyDescent="0.3">
      <c r="A514" s="2" t="s">
        <v>40</v>
      </c>
      <c r="B514" s="2" t="str">
        <f>INDEX(SETORES!$B:$B,MATCH(A514,SETORES!$A:$A,0))</f>
        <v>Clientes</v>
      </c>
      <c r="C514" s="2" t="s">
        <v>14</v>
      </c>
      <c r="D514" s="14">
        <f>IF(B514="Clientes",SUMIFS(PARÂMETROS!$D$8:$D$907,PARÂMETROS!$A$8:$A$907,C514,PARÂMETROS!$G$8:$G$907,J514),SUMIFS(PARÂMETROS!$E$8:$E$907,PARÂMETROS!$A$8:$A$907,C514,PARÂMETROS!$G$8:$G$907,J514))</f>
        <v>1.8685698120511587E-2</v>
      </c>
      <c r="E514" s="21">
        <f>SUMIFS(SETORES!$D:$D,SETORES!$A:$A,A514,SETORES!$F:$F,J514)</f>
        <v>36743.588160000007</v>
      </c>
      <c r="F514" s="21">
        <f t="shared" si="27"/>
        <v>686.5795962221639</v>
      </c>
      <c r="G514" s="14">
        <f>SUMIFS(PARÂMETROS!$F$8:$F$907,PARÂMETROS!$A$8:$A$907,C514,PARÂMETROS!$G$8:$G$907,J514)</f>
        <v>0</v>
      </c>
      <c r="H514" s="21">
        <f t="shared" si="28"/>
        <v>0</v>
      </c>
      <c r="I514" s="21">
        <f t="shared" si="29"/>
        <v>686.5795962221639</v>
      </c>
      <c r="J514" s="2" t="s">
        <v>21</v>
      </c>
    </row>
    <row r="515" spans="1:10" ht="14.25" hidden="1" customHeight="1" x14ac:dyDescent="0.3">
      <c r="A515" s="11" t="s">
        <v>40</v>
      </c>
      <c r="B515" s="19" t="str">
        <f>INDEX(SETORES!$B:$B,MATCH(A515,SETORES!$A:$A,0))</f>
        <v>Clientes</v>
      </c>
      <c r="C515" s="11" t="s">
        <v>15</v>
      </c>
      <c r="D515" s="9">
        <f>IF(B515="Clientes",SUMIFS(PARÂMETROS!$D$8:$D$907,PARÂMETROS!$A$8:$A$907,C515,PARÂMETROS!$G$8:$G$907,J515),SUMIFS(PARÂMETROS!$E$8:$E$907,PARÂMETROS!$A$8:$A$907,C515,PARÂMETROS!$G$8:$G$907,J515))</f>
        <v>3.2596989443697238E-2</v>
      </c>
      <c r="E515" s="20">
        <f>SUMIFS(SETORES!$D:$D,SETORES!$A:$A,A515,SETORES!$F:$F,J515)</f>
        <v>36743.588160000007</v>
      </c>
      <c r="F515" s="20">
        <f t="shared" si="27"/>
        <v>1197.7303553750789</v>
      </c>
      <c r="G515" s="9">
        <f>SUMIFS(PARÂMETROS!$F$8:$F$907,PARÂMETROS!$A$8:$A$907,C515,PARÂMETROS!$G$8:$G$907,J515)</f>
        <v>0</v>
      </c>
      <c r="H515" s="20">
        <f t="shared" si="28"/>
        <v>0</v>
      </c>
      <c r="I515" s="20">
        <f t="shared" si="29"/>
        <v>1197.7303553750789</v>
      </c>
      <c r="J515" s="11" t="s">
        <v>21</v>
      </c>
    </row>
    <row r="516" spans="1:10" ht="14.25" hidden="1" customHeight="1" x14ac:dyDescent="0.3">
      <c r="A516" s="2" t="s">
        <v>40</v>
      </c>
      <c r="B516" s="2" t="str">
        <f>INDEX(SETORES!$B:$B,MATCH(A516,SETORES!$A:$A,0))</f>
        <v>Clientes</v>
      </c>
      <c r="C516" s="2" t="s">
        <v>16</v>
      </c>
      <c r="D516" s="14">
        <f>IF(B516="Clientes",SUMIFS(PARÂMETROS!$D$8:$D$907,PARÂMETROS!$A$8:$A$907,C516,PARÂMETROS!$G$8:$G$907,J516),SUMIFS(PARÂMETROS!$E$8:$E$907,PARÂMETROS!$A$8:$A$907,C516,PARÂMETROS!$G$8:$G$907,J516))</f>
        <v>2.3847218982485568E-2</v>
      </c>
      <c r="E516" s="21">
        <f>SUMIFS(SETORES!$D:$D,SETORES!$A:$A,A516,SETORES!$F:$F,J516)</f>
        <v>36743.588160000007</v>
      </c>
      <c r="F516" s="21">
        <f t="shared" si="27"/>
        <v>876.23239305378411</v>
      </c>
      <c r="G516" s="14">
        <f>SUMIFS(PARÂMETROS!$F$8:$F$907,PARÂMETROS!$A$8:$A$907,C516,PARÂMETROS!$G$8:$G$907,J516)</f>
        <v>0</v>
      </c>
      <c r="H516" s="21">
        <f t="shared" si="28"/>
        <v>0</v>
      </c>
      <c r="I516" s="21">
        <f t="shared" si="29"/>
        <v>876.23239305378411</v>
      </c>
      <c r="J516" s="2" t="s">
        <v>21</v>
      </c>
    </row>
    <row r="517" spans="1:10" ht="14.25" hidden="1" customHeight="1" x14ac:dyDescent="0.3">
      <c r="A517" s="11" t="s">
        <v>40</v>
      </c>
      <c r="B517" s="19" t="str">
        <f>INDEX(SETORES!$B:$B,MATCH(A517,SETORES!$A:$A,0))</f>
        <v>Clientes</v>
      </c>
      <c r="C517" s="11" t="s">
        <v>17</v>
      </c>
      <c r="D517" s="9">
        <f>IF(B517="Clientes",SUMIFS(PARÂMETROS!$D$8:$D$907,PARÂMETROS!$A$8:$A$907,C517,PARÂMETROS!$G$8:$G$907,J517),SUMIFS(PARÂMETROS!$E$8:$E$907,PARÂMETROS!$A$8:$A$907,C517,PARÂMETROS!$G$8:$G$907,J517))</f>
        <v>2.3852181983314392E-2</v>
      </c>
      <c r="E517" s="20">
        <f>SUMIFS(SETORES!$D:$D,SETORES!$A:$A,A517,SETORES!$F:$F,J517)</f>
        <v>36743.588160000007</v>
      </c>
      <c r="F517" s="20">
        <f t="shared" si="27"/>
        <v>876.41475151227621</v>
      </c>
      <c r="G517" s="9">
        <f>SUMIFS(PARÂMETROS!$F$8:$F$907,PARÂMETROS!$A$8:$A$907,C517,PARÂMETROS!$G$8:$G$907,J517)</f>
        <v>0</v>
      </c>
      <c r="H517" s="20">
        <f t="shared" si="28"/>
        <v>0</v>
      </c>
      <c r="I517" s="20">
        <f t="shared" si="29"/>
        <v>876.41475151227621</v>
      </c>
      <c r="J517" s="11" t="s">
        <v>21</v>
      </c>
    </row>
    <row r="518" spans="1:10" ht="14.25" hidden="1" customHeight="1" x14ac:dyDescent="0.3">
      <c r="A518" s="2" t="s">
        <v>40</v>
      </c>
      <c r="B518" s="2" t="str">
        <f>INDEX(SETORES!$B:$B,MATCH(A518,SETORES!$A:$A,0))</f>
        <v>Clientes</v>
      </c>
      <c r="C518" s="2" t="s">
        <v>18</v>
      </c>
      <c r="D518" s="14">
        <f>IF(B518="Clientes",SUMIFS(PARÂMETROS!$D$8:$D$907,PARÂMETROS!$A$8:$A$907,C518,PARÂMETROS!$G$8:$G$907,J518),SUMIFS(PARÂMETROS!$E$8:$E$907,PARÂMETROS!$A$8:$A$907,C518,PARÂMETROS!$G$8:$G$907,J518))</f>
        <v>0.72827074162121386</v>
      </c>
      <c r="E518" s="21">
        <f>SUMIFS(SETORES!$D:$D,SETORES!$A:$A,A518,SETORES!$F:$F,J518)</f>
        <v>36743.588160000007</v>
      </c>
      <c r="F518" s="21">
        <f t="shared" si="27"/>
        <v>26759.280199107656</v>
      </c>
      <c r="G518" s="14">
        <f>SUMIFS(PARÂMETROS!$F$8:$F$907,PARÂMETROS!$A$8:$A$907,C518,PARÂMETROS!$G$8:$G$907,J518)</f>
        <v>0</v>
      </c>
      <c r="H518" s="21">
        <f t="shared" si="28"/>
        <v>0</v>
      </c>
      <c r="I518" s="21">
        <f t="shared" si="29"/>
        <v>26759.280199107656</v>
      </c>
      <c r="J518" s="2" t="s">
        <v>21</v>
      </c>
    </row>
    <row r="519" spans="1:10" ht="14.25" hidden="1" customHeight="1" x14ac:dyDescent="0.3">
      <c r="A519" s="11" t="s">
        <v>41</v>
      </c>
      <c r="B519" s="19" t="str">
        <f>INDEX(SETORES!$B:$B,MATCH(A519,SETORES!$A:$A,0))</f>
        <v>Clientes</v>
      </c>
      <c r="C519" s="11" t="s">
        <v>10</v>
      </c>
      <c r="D519" s="9">
        <f>IF(B519="Clientes",SUMIFS(PARÂMETROS!$D$8:$D$907,PARÂMETROS!$A$8:$A$907,C519,PARÂMETROS!$G$8:$G$907,J519),SUMIFS(PARÂMETROS!$E$8:$E$907,PARÂMETROS!$A$8:$A$907,C519,PARÂMETROS!$G$8:$G$907,J519))</f>
        <v>3.2696249460273663E-2</v>
      </c>
      <c r="E519" s="20">
        <f>SUMIFS(SETORES!$D:$D,SETORES!$A:$A,A519,SETORES!$F:$F,J519)</f>
        <v>20096.857592</v>
      </c>
      <c r="F519" s="20">
        <f t="shared" si="27"/>
        <v>657.09186919562671</v>
      </c>
      <c r="G519" s="9">
        <f>SUMIFS(PARÂMETROS!$F$8:$F$907,PARÂMETROS!$A$8:$A$907,C519,PARÂMETROS!$G$8:$G$907,J519)</f>
        <v>0</v>
      </c>
      <c r="H519" s="20">
        <f t="shared" si="28"/>
        <v>0</v>
      </c>
      <c r="I519" s="20">
        <f t="shared" si="29"/>
        <v>657.09186919562671</v>
      </c>
      <c r="J519" s="11" t="s">
        <v>21</v>
      </c>
    </row>
    <row r="520" spans="1:10" ht="14.25" hidden="1" customHeight="1" x14ac:dyDescent="0.3">
      <c r="A520" s="2" t="s">
        <v>41</v>
      </c>
      <c r="B520" s="2" t="str">
        <f>INDEX(SETORES!$B:$B,MATCH(A520,SETORES!$A:$A,0))</f>
        <v>Clientes</v>
      </c>
      <c r="C520" s="2" t="s">
        <v>12</v>
      </c>
      <c r="D520" s="14">
        <f>IF(B520="Clientes",SUMIFS(PARÂMETROS!$D$8:$D$907,PARÂMETROS!$A$8:$A$907,C520,PARÂMETROS!$G$8:$G$907,J520),SUMIFS(PARÂMETROS!$E$8:$E$907,PARÂMETROS!$A$8:$A$907,C520,PARÂMETROS!$G$8:$G$907,J520))</f>
        <v>6.7149401213950008E-2</v>
      </c>
      <c r="E520" s="21">
        <f>SUMIFS(SETORES!$D:$D,SETORES!$A:$A,A520,SETORES!$F:$F,J520)</f>
        <v>20096.857592</v>
      </c>
      <c r="F520" s="21">
        <f t="shared" si="27"/>
        <v>1349.4919535848253</v>
      </c>
      <c r="G520" s="14">
        <f>SUMIFS(PARÂMETROS!$F$8:$F$907,PARÂMETROS!$A$8:$A$907,C520,PARÂMETROS!$G$8:$G$907,J520)</f>
        <v>0</v>
      </c>
      <c r="H520" s="21">
        <f t="shared" si="28"/>
        <v>0</v>
      </c>
      <c r="I520" s="21">
        <f t="shared" si="29"/>
        <v>1349.4919535848253</v>
      </c>
      <c r="J520" s="2" t="s">
        <v>21</v>
      </c>
    </row>
    <row r="521" spans="1:10" ht="14.25" hidden="1" customHeight="1" x14ac:dyDescent="0.3">
      <c r="A521" s="11" t="s">
        <v>41</v>
      </c>
      <c r="B521" s="19" t="str">
        <f>INDEX(SETORES!$B:$B,MATCH(A521,SETORES!$A:$A,0))</f>
        <v>Clientes</v>
      </c>
      <c r="C521" s="11" t="s">
        <v>13</v>
      </c>
      <c r="D521" s="9">
        <f>IF(B521="Clientes",SUMIFS(PARÂMETROS!$D$8:$D$907,PARÂMETROS!$A$8:$A$907,C521,PARÂMETROS!$G$8:$G$907,J521),SUMIFS(PARÂMETROS!$E$8:$E$907,PARÂMETROS!$A$8:$A$907,C521,PARÂMETROS!$G$8:$G$907,J521))</f>
        <v>7.2901519174553703E-2</v>
      </c>
      <c r="E521" s="20">
        <f>SUMIFS(SETORES!$D:$D,SETORES!$A:$A,A521,SETORES!$F:$F,J521)</f>
        <v>20096.857592</v>
      </c>
      <c r="F521" s="20">
        <f t="shared" si="27"/>
        <v>1465.0914490914631</v>
      </c>
      <c r="G521" s="9">
        <f>SUMIFS(PARÂMETROS!$F$8:$F$907,PARÂMETROS!$A$8:$A$907,C521,PARÂMETROS!$G$8:$G$907,J521)</f>
        <v>0</v>
      </c>
      <c r="H521" s="20">
        <f t="shared" si="28"/>
        <v>0</v>
      </c>
      <c r="I521" s="20">
        <f t="shared" si="29"/>
        <v>1465.0914490914631</v>
      </c>
      <c r="J521" s="11" t="s">
        <v>21</v>
      </c>
    </row>
    <row r="522" spans="1:10" ht="14.25" customHeight="1" x14ac:dyDescent="0.3">
      <c r="A522" s="2" t="s">
        <v>41</v>
      </c>
      <c r="B522" s="2" t="str">
        <f>INDEX(SETORES!$B:$B,MATCH(A522,SETORES!$A:$A,0))</f>
        <v>Clientes</v>
      </c>
      <c r="C522" s="2" t="s">
        <v>14</v>
      </c>
      <c r="D522" s="14">
        <f>IF(B522="Clientes",SUMIFS(PARÂMETROS!$D$8:$D$907,PARÂMETROS!$A$8:$A$907,C522,PARÂMETROS!$G$8:$G$907,J522),SUMIFS(PARÂMETROS!$E$8:$E$907,PARÂMETROS!$A$8:$A$907,C522,PARÂMETROS!$G$8:$G$907,J522))</f>
        <v>1.8685698120511587E-2</v>
      </c>
      <c r="E522" s="21">
        <f>SUMIFS(SETORES!$D:$D,SETORES!$A:$A,A522,SETORES!$F:$F,J522)</f>
        <v>20096.857592</v>
      </c>
      <c r="F522" s="21">
        <f t="shared" si="27"/>
        <v>375.52381413502343</v>
      </c>
      <c r="G522" s="14">
        <f>SUMIFS(PARÂMETROS!$F$8:$F$907,PARÂMETROS!$A$8:$A$907,C522,PARÂMETROS!$G$8:$G$907,J522)</f>
        <v>0</v>
      </c>
      <c r="H522" s="21">
        <f t="shared" si="28"/>
        <v>0</v>
      </c>
      <c r="I522" s="21">
        <f t="shared" si="29"/>
        <v>375.52381413502343</v>
      </c>
      <c r="J522" s="2" t="s">
        <v>21</v>
      </c>
    </row>
    <row r="523" spans="1:10" ht="14.25" hidden="1" customHeight="1" x14ac:dyDescent="0.3">
      <c r="A523" s="11" t="s">
        <v>41</v>
      </c>
      <c r="B523" s="19" t="str">
        <f>INDEX(SETORES!$B:$B,MATCH(A523,SETORES!$A:$A,0))</f>
        <v>Clientes</v>
      </c>
      <c r="C523" s="11" t="s">
        <v>15</v>
      </c>
      <c r="D523" s="9">
        <f>IF(B523="Clientes",SUMIFS(PARÂMETROS!$D$8:$D$907,PARÂMETROS!$A$8:$A$907,C523,PARÂMETROS!$G$8:$G$907,J523),SUMIFS(PARÂMETROS!$E$8:$E$907,PARÂMETROS!$A$8:$A$907,C523,PARÂMETROS!$G$8:$G$907,J523))</f>
        <v>3.2596989443697238E-2</v>
      </c>
      <c r="E523" s="20">
        <f>SUMIFS(SETORES!$D:$D,SETORES!$A:$A,A523,SETORES!$F:$F,J523)</f>
        <v>20096.857592</v>
      </c>
      <c r="F523" s="20">
        <f t="shared" si="27"/>
        <v>655.09705477791067</v>
      </c>
      <c r="G523" s="9">
        <f>SUMIFS(PARÂMETROS!$F$8:$F$907,PARÂMETROS!$A$8:$A$907,C523,PARÂMETROS!$G$8:$G$907,J523)</f>
        <v>0</v>
      </c>
      <c r="H523" s="20">
        <f t="shared" si="28"/>
        <v>0</v>
      </c>
      <c r="I523" s="20">
        <f t="shared" si="29"/>
        <v>655.09705477791067</v>
      </c>
      <c r="J523" s="11" t="s">
        <v>21</v>
      </c>
    </row>
    <row r="524" spans="1:10" ht="14.25" hidden="1" customHeight="1" x14ac:dyDescent="0.3">
      <c r="A524" s="2" t="s">
        <v>41</v>
      </c>
      <c r="B524" s="2" t="str">
        <f>INDEX(SETORES!$B:$B,MATCH(A524,SETORES!$A:$A,0))</f>
        <v>Clientes</v>
      </c>
      <c r="C524" s="2" t="s">
        <v>16</v>
      </c>
      <c r="D524" s="14">
        <f>IF(B524="Clientes",SUMIFS(PARÂMETROS!$D$8:$D$907,PARÂMETROS!$A$8:$A$907,C524,PARÂMETROS!$G$8:$G$907,J524),SUMIFS(PARÂMETROS!$E$8:$E$907,PARÂMETROS!$A$8:$A$907,C524,PARÂMETROS!$G$8:$G$907,J524))</f>
        <v>2.3847218982485568E-2</v>
      </c>
      <c r="E524" s="21">
        <f>SUMIFS(SETORES!$D:$D,SETORES!$A:$A,A524,SETORES!$F:$F,J524)</f>
        <v>20096.857592</v>
      </c>
      <c r="F524" s="21">
        <f t="shared" si="27"/>
        <v>479.25416385625164</v>
      </c>
      <c r="G524" s="14">
        <f>SUMIFS(PARÂMETROS!$F$8:$F$907,PARÂMETROS!$A$8:$A$907,C524,PARÂMETROS!$G$8:$G$907,J524)</f>
        <v>0</v>
      </c>
      <c r="H524" s="21">
        <f t="shared" si="28"/>
        <v>0</v>
      </c>
      <c r="I524" s="21">
        <f t="shared" si="29"/>
        <v>479.25416385625164</v>
      </c>
      <c r="J524" s="2" t="s">
        <v>21</v>
      </c>
    </row>
    <row r="525" spans="1:10" ht="14.25" hidden="1" customHeight="1" x14ac:dyDescent="0.3">
      <c r="A525" s="11" t="s">
        <v>41</v>
      </c>
      <c r="B525" s="19" t="str">
        <f>INDEX(SETORES!$B:$B,MATCH(A525,SETORES!$A:$A,0))</f>
        <v>Clientes</v>
      </c>
      <c r="C525" s="11" t="s">
        <v>17</v>
      </c>
      <c r="D525" s="9">
        <f>IF(B525="Clientes",SUMIFS(PARÂMETROS!$D$8:$D$907,PARÂMETROS!$A$8:$A$907,C525,PARÂMETROS!$G$8:$G$907,J525),SUMIFS(PARÂMETROS!$E$8:$E$907,PARÂMETROS!$A$8:$A$907,C525,PARÂMETROS!$G$8:$G$907,J525))</f>
        <v>2.3852181983314392E-2</v>
      </c>
      <c r="E525" s="20">
        <f>SUMIFS(SETORES!$D:$D,SETORES!$A:$A,A525,SETORES!$F:$F,J525)</f>
        <v>20096.857592</v>
      </c>
      <c r="F525" s="20">
        <f t="shared" si="27"/>
        <v>479.35390457713748</v>
      </c>
      <c r="G525" s="9">
        <f>SUMIFS(PARÂMETROS!$F$8:$F$907,PARÂMETROS!$A$8:$A$907,C525,PARÂMETROS!$G$8:$G$907,J525)</f>
        <v>0</v>
      </c>
      <c r="H525" s="20">
        <f t="shared" si="28"/>
        <v>0</v>
      </c>
      <c r="I525" s="20">
        <f t="shared" si="29"/>
        <v>479.35390457713748</v>
      </c>
      <c r="J525" s="11" t="s">
        <v>21</v>
      </c>
    </row>
    <row r="526" spans="1:10" ht="14.25" hidden="1" customHeight="1" x14ac:dyDescent="0.3">
      <c r="A526" s="2" t="s">
        <v>41</v>
      </c>
      <c r="B526" s="2" t="str">
        <f>INDEX(SETORES!$B:$B,MATCH(A526,SETORES!$A:$A,0))</f>
        <v>Clientes</v>
      </c>
      <c r="C526" s="2" t="s">
        <v>18</v>
      </c>
      <c r="D526" s="14">
        <f>IF(B526="Clientes",SUMIFS(PARÂMETROS!$D$8:$D$907,PARÂMETROS!$A$8:$A$907,C526,PARÂMETROS!$G$8:$G$907,J526),SUMIFS(PARÂMETROS!$E$8:$E$907,PARÂMETROS!$A$8:$A$907,C526,PARÂMETROS!$G$8:$G$907,J526))</f>
        <v>0.72827074162121386</v>
      </c>
      <c r="E526" s="21">
        <f>SUMIFS(SETORES!$D:$D,SETORES!$A:$A,A526,SETORES!$F:$F,J526)</f>
        <v>20096.857592</v>
      </c>
      <c r="F526" s="21">
        <f t="shared" si="27"/>
        <v>14635.953382781763</v>
      </c>
      <c r="G526" s="14">
        <f>SUMIFS(PARÂMETROS!$F$8:$F$907,PARÂMETROS!$A$8:$A$907,C526,PARÂMETROS!$G$8:$G$907,J526)</f>
        <v>0</v>
      </c>
      <c r="H526" s="21">
        <f t="shared" si="28"/>
        <v>0</v>
      </c>
      <c r="I526" s="21">
        <f t="shared" si="29"/>
        <v>14635.953382781763</v>
      </c>
      <c r="J526" s="2" t="s">
        <v>21</v>
      </c>
    </row>
    <row r="527" spans="1:10" ht="14.25" hidden="1" customHeight="1" x14ac:dyDescent="0.3">
      <c r="A527" s="11" t="s">
        <v>42</v>
      </c>
      <c r="B527" s="19" t="str">
        <f>INDEX(SETORES!$B:$B,MATCH(A527,SETORES!$A:$A,0))</f>
        <v>Clientes</v>
      </c>
      <c r="C527" s="11" t="s">
        <v>10</v>
      </c>
      <c r="D527" s="9">
        <f>IF(B527="Clientes",SUMIFS(PARÂMETROS!$D$8:$D$907,PARÂMETROS!$A$8:$A$907,C527,PARÂMETROS!$G$8:$G$907,J527),SUMIFS(PARÂMETROS!$E$8:$E$907,PARÂMETROS!$A$8:$A$907,C527,PARÂMETROS!$G$8:$G$907,J527))</f>
        <v>3.2696249460273663E-2</v>
      </c>
      <c r="E527" s="20">
        <f>SUMIFS(SETORES!$D:$D,SETORES!$A:$A,A527,SETORES!$F:$F,J527)</f>
        <v>27599.878661777799</v>
      </c>
      <c r="F527" s="20">
        <f t="shared" si="27"/>
        <v>902.41251779877098</v>
      </c>
      <c r="G527" s="9">
        <f>SUMIFS(PARÂMETROS!$F$8:$F$907,PARÂMETROS!$A$8:$A$907,C527,PARÂMETROS!$G$8:$G$907,J527)</f>
        <v>0</v>
      </c>
      <c r="H527" s="20">
        <f t="shared" si="28"/>
        <v>0</v>
      </c>
      <c r="I527" s="20">
        <f t="shared" si="29"/>
        <v>902.41251779877098</v>
      </c>
      <c r="J527" s="11" t="s">
        <v>21</v>
      </c>
    </row>
    <row r="528" spans="1:10" ht="14.25" hidden="1" customHeight="1" x14ac:dyDescent="0.3">
      <c r="A528" s="2" t="s">
        <v>42</v>
      </c>
      <c r="B528" s="2" t="str">
        <f>INDEX(SETORES!$B:$B,MATCH(A528,SETORES!$A:$A,0))</f>
        <v>Clientes</v>
      </c>
      <c r="C528" s="2" t="s">
        <v>12</v>
      </c>
      <c r="D528" s="14">
        <f>IF(B528="Clientes",SUMIFS(PARÂMETROS!$D$8:$D$907,PARÂMETROS!$A$8:$A$907,C528,PARÂMETROS!$G$8:$G$907,J528),SUMIFS(PARÂMETROS!$E$8:$E$907,PARÂMETROS!$A$8:$A$907,C528,PARÂMETROS!$G$8:$G$907,J528))</f>
        <v>6.7149401213950008E-2</v>
      </c>
      <c r="E528" s="21">
        <f>SUMIFS(SETORES!$D:$D,SETORES!$A:$A,A528,SETORES!$F:$F,J528)</f>
        <v>27599.878661777799</v>
      </c>
      <c r="F528" s="21">
        <f t="shared" si="27"/>
        <v>1853.315325716055</v>
      </c>
      <c r="G528" s="14">
        <f>SUMIFS(PARÂMETROS!$F$8:$F$907,PARÂMETROS!$A$8:$A$907,C528,PARÂMETROS!$G$8:$G$907,J528)</f>
        <v>0</v>
      </c>
      <c r="H528" s="21">
        <f t="shared" si="28"/>
        <v>0</v>
      </c>
      <c r="I528" s="21">
        <f t="shared" si="29"/>
        <v>1853.315325716055</v>
      </c>
      <c r="J528" s="2" t="s">
        <v>21</v>
      </c>
    </row>
    <row r="529" spans="1:10" ht="14.25" hidden="1" customHeight="1" x14ac:dyDescent="0.3">
      <c r="A529" s="11" t="s">
        <v>42</v>
      </c>
      <c r="B529" s="19" t="str">
        <f>INDEX(SETORES!$B:$B,MATCH(A529,SETORES!$A:$A,0))</f>
        <v>Clientes</v>
      </c>
      <c r="C529" s="11" t="s">
        <v>13</v>
      </c>
      <c r="D529" s="9">
        <f>IF(B529="Clientes",SUMIFS(PARÂMETROS!$D$8:$D$907,PARÂMETROS!$A$8:$A$907,C529,PARÂMETROS!$G$8:$G$907,J529),SUMIFS(PARÂMETROS!$E$8:$E$907,PARÂMETROS!$A$8:$A$907,C529,PARÂMETROS!$G$8:$G$907,J529))</f>
        <v>7.2901519174553703E-2</v>
      </c>
      <c r="E529" s="20">
        <f>SUMIFS(SETORES!$D:$D,SETORES!$A:$A,A529,SETORES!$F:$F,J529)</f>
        <v>27599.878661777799</v>
      </c>
      <c r="F529" s="20">
        <f t="shared" si="27"/>
        <v>2012.0730834769497</v>
      </c>
      <c r="G529" s="9">
        <f>SUMIFS(PARÂMETROS!$F$8:$F$907,PARÂMETROS!$A$8:$A$907,C529,PARÂMETROS!$G$8:$G$907,J529)</f>
        <v>0</v>
      </c>
      <c r="H529" s="20">
        <f t="shared" si="28"/>
        <v>0</v>
      </c>
      <c r="I529" s="20">
        <f t="shared" si="29"/>
        <v>2012.0730834769497</v>
      </c>
      <c r="J529" s="11" t="s">
        <v>21</v>
      </c>
    </row>
    <row r="530" spans="1:10" ht="14.25" customHeight="1" x14ac:dyDescent="0.3">
      <c r="A530" s="2" t="s">
        <v>42</v>
      </c>
      <c r="B530" s="2" t="str">
        <f>INDEX(SETORES!$B:$B,MATCH(A530,SETORES!$A:$A,0))</f>
        <v>Clientes</v>
      </c>
      <c r="C530" s="2" t="s">
        <v>14</v>
      </c>
      <c r="D530" s="14">
        <f>IF(B530="Clientes",SUMIFS(PARÂMETROS!$D$8:$D$907,PARÂMETROS!$A$8:$A$907,C530,PARÂMETROS!$G$8:$G$907,J530),SUMIFS(PARÂMETROS!$E$8:$E$907,PARÂMETROS!$A$8:$A$907,C530,PARÂMETROS!$G$8:$G$907,J530))</f>
        <v>1.8685698120511587E-2</v>
      </c>
      <c r="E530" s="21">
        <f>SUMIFS(SETORES!$D:$D,SETORES!$A:$A,A530,SETORES!$F:$F,J530)</f>
        <v>27599.878661777799</v>
      </c>
      <c r="F530" s="21">
        <f t="shared" si="27"/>
        <v>515.72300083672928</v>
      </c>
      <c r="G530" s="14">
        <f>SUMIFS(PARÂMETROS!$F$8:$F$907,PARÂMETROS!$A$8:$A$907,C530,PARÂMETROS!$G$8:$G$907,J530)</f>
        <v>0</v>
      </c>
      <c r="H530" s="21">
        <f t="shared" si="28"/>
        <v>0</v>
      </c>
      <c r="I530" s="21">
        <f t="shared" si="29"/>
        <v>515.72300083672928</v>
      </c>
      <c r="J530" s="2" t="s">
        <v>21</v>
      </c>
    </row>
    <row r="531" spans="1:10" ht="14.25" hidden="1" customHeight="1" x14ac:dyDescent="0.3">
      <c r="A531" s="11" t="s">
        <v>42</v>
      </c>
      <c r="B531" s="19" t="str">
        <f>INDEX(SETORES!$B:$B,MATCH(A531,SETORES!$A:$A,0))</f>
        <v>Clientes</v>
      </c>
      <c r="C531" s="11" t="s">
        <v>15</v>
      </c>
      <c r="D531" s="9">
        <f>IF(B531="Clientes",SUMIFS(PARÂMETROS!$D$8:$D$907,PARÂMETROS!$A$8:$A$907,C531,PARÂMETROS!$G$8:$G$907,J531),SUMIFS(PARÂMETROS!$E$8:$E$907,PARÂMETROS!$A$8:$A$907,C531,PARÂMETROS!$G$8:$G$907,J531))</f>
        <v>3.2596989443697238E-2</v>
      </c>
      <c r="E531" s="20">
        <f>SUMIFS(SETORES!$D:$D,SETORES!$A:$A,A531,SETORES!$F:$F,J531)</f>
        <v>27599.878661777799</v>
      </c>
      <c r="F531" s="20">
        <f t="shared" si="27"/>
        <v>899.67295338529561</v>
      </c>
      <c r="G531" s="9">
        <f>SUMIFS(PARÂMETROS!$F$8:$F$907,PARÂMETROS!$A$8:$A$907,C531,PARÂMETROS!$G$8:$G$907,J531)</f>
        <v>0</v>
      </c>
      <c r="H531" s="20">
        <f t="shared" si="28"/>
        <v>0</v>
      </c>
      <c r="I531" s="20">
        <f t="shared" si="29"/>
        <v>899.67295338529561</v>
      </c>
      <c r="J531" s="11" t="s">
        <v>21</v>
      </c>
    </row>
    <row r="532" spans="1:10" ht="14.25" hidden="1" customHeight="1" x14ac:dyDescent="0.3">
      <c r="A532" s="2" t="s">
        <v>42</v>
      </c>
      <c r="B532" s="2" t="str">
        <f>INDEX(SETORES!$B:$B,MATCH(A532,SETORES!$A:$A,0))</f>
        <v>Clientes</v>
      </c>
      <c r="C532" s="2" t="s">
        <v>16</v>
      </c>
      <c r="D532" s="14">
        <f>IF(B532="Clientes",SUMIFS(PARÂMETROS!$D$8:$D$907,PARÂMETROS!$A$8:$A$907,C532,PARÂMETROS!$G$8:$G$907,J532),SUMIFS(PARÂMETROS!$E$8:$E$907,PARÂMETROS!$A$8:$A$907,C532,PARÂMETROS!$G$8:$G$907,J532))</f>
        <v>2.3847218982485568E-2</v>
      </c>
      <c r="E532" s="21">
        <f>SUMIFS(SETORES!$D:$D,SETORES!$A:$A,A532,SETORES!$F:$F,J532)</f>
        <v>27599.878661777799</v>
      </c>
      <c r="F532" s="21">
        <f t="shared" si="27"/>
        <v>658.18035033744593</v>
      </c>
      <c r="G532" s="14">
        <f>SUMIFS(PARÂMETROS!$F$8:$F$907,PARÂMETROS!$A$8:$A$907,C532,PARÂMETROS!$G$8:$G$907,J532)</f>
        <v>0</v>
      </c>
      <c r="H532" s="21">
        <f t="shared" si="28"/>
        <v>0</v>
      </c>
      <c r="I532" s="21">
        <f t="shared" si="29"/>
        <v>658.18035033744593</v>
      </c>
      <c r="J532" s="2" t="s">
        <v>21</v>
      </c>
    </row>
    <row r="533" spans="1:10" ht="14.25" hidden="1" customHeight="1" x14ac:dyDescent="0.3">
      <c r="A533" s="11" t="s">
        <v>42</v>
      </c>
      <c r="B533" s="19" t="str">
        <f>INDEX(SETORES!$B:$B,MATCH(A533,SETORES!$A:$A,0))</f>
        <v>Clientes</v>
      </c>
      <c r="C533" s="11" t="s">
        <v>17</v>
      </c>
      <c r="D533" s="9">
        <f>IF(B533="Clientes",SUMIFS(PARÂMETROS!$D$8:$D$907,PARÂMETROS!$A$8:$A$907,C533,PARÂMETROS!$G$8:$G$907,J533),SUMIFS(PARÂMETROS!$E$8:$E$907,PARÂMETROS!$A$8:$A$907,C533,PARÂMETROS!$G$8:$G$907,J533))</f>
        <v>2.3852181983314392E-2</v>
      </c>
      <c r="E533" s="20">
        <f>SUMIFS(SETORES!$D:$D,SETORES!$A:$A,A533,SETORES!$F:$F,J533)</f>
        <v>27599.878661777799</v>
      </c>
      <c r="F533" s="20">
        <f t="shared" si="27"/>
        <v>658.3173285581197</v>
      </c>
      <c r="G533" s="9">
        <f>SUMIFS(PARÂMETROS!$F$8:$F$907,PARÂMETROS!$A$8:$A$907,C533,PARÂMETROS!$G$8:$G$907,J533)</f>
        <v>0</v>
      </c>
      <c r="H533" s="20">
        <f t="shared" si="28"/>
        <v>0</v>
      </c>
      <c r="I533" s="20">
        <f t="shared" si="29"/>
        <v>658.3173285581197</v>
      </c>
      <c r="J533" s="11" t="s">
        <v>21</v>
      </c>
    </row>
    <row r="534" spans="1:10" ht="14.25" hidden="1" customHeight="1" x14ac:dyDescent="0.3">
      <c r="A534" s="2" t="s">
        <v>42</v>
      </c>
      <c r="B534" s="2" t="str">
        <f>INDEX(SETORES!$B:$B,MATCH(A534,SETORES!$A:$A,0))</f>
        <v>Clientes</v>
      </c>
      <c r="C534" s="2" t="s">
        <v>18</v>
      </c>
      <c r="D534" s="14">
        <f>IF(B534="Clientes",SUMIFS(PARÂMETROS!$D$8:$D$907,PARÂMETROS!$A$8:$A$907,C534,PARÂMETROS!$G$8:$G$907,J534),SUMIFS(PARÂMETROS!$E$8:$E$907,PARÂMETROS!$A$8:$A$907,C534,PARÂMETROS!$G$8:$G$907,J534))</f>
        <v>0.72827074162121386</v>
      </c>
      <c r="E534" s="21">
        <f>SUMIFS(SETORES!$D:$D,SETORES!$A:$A,A534,SETORES!$F:$F,J534)</f>
        <v>27599.878661777799</v>
      </c>
      <c r="F534" s="21">
        <f t="shared" si="27"/>
        <v>20100.184101668434</v>
      </c>
      <c r="G534" s="14">
        <f>SUMIFS(PARÂMETROS!$F$8:$F$907,PARÂMETROS!$A$8:$A$907,C534,PARÂMETROS!$G$8:$G$907,J534)</f>
        <v>0</v>
      </c>
      <c r="H534" s="21">
        <f t="shared" si="28"/>
        <v>0</v>
      </c>
      <c r="I534" s="21">
        <f t="shared" si="29"/>
        <v>20100.184101668434</v>
      </c>
      <c r="J534" s="2" t="s">
        <v>21</v>
      </c>
    </row>
    <row r="535" spans="1:10" ht="14.25" hidden="1" customHeight="1" x14ac:dyDescent="0.3">
      <c r="A535" s="11" t="s">
        <v>43</v>
      </c>
      <c r="B535" s="19" t="str">
        <f>INDEX(SETORES!$B:$B,MATCH(A535,SETORES!$A:$A,0))</f>
        <v>Clientes</v>
      </c>
      <c r="C535" s="11" t="s">
        <v>10</v>
      </c>
      <c r="D535" s="9">
        <f>IF(B535="Clientes",SUMIFS(PARÂMETROS!$D$8:$D$907,PARÂMETROS!$A$8:$A$907,C535,PARÂMETROS!$G$8:$G$907,J535),SUMIFS(PARÂMETROS!$E$8:$E$907,PARÂMETROS!$A$8:$A$907,C535,PARÂMETROS!$G$8:$G$907,J535))</f>
        <v>3.2696249460273663E-2</v>
      </c>
      <c r="E535" s="20">
        <f>SUMIFS(SETORES!$D:$D,SETORES!$A:$A,A535,SETORES!$F:$F,J535)</f>
        <v>27933.494499999997</v>
      </c>
      <c r="F535" s="20">
        <f t="shared" si="27"/>
        <v>913.3205044691822</v>
      </c>
      <c r="G535" s="9">
        <f>SUMIFS(PARÂMETROS!$F$8:$F$907,PARÂMETROS!$A$8:$A$907,C535,PARÂMETROS!$G$8:$G$907,J535)</f>
        <v>0</v>
      </c>
      <c r="H535" s="20">
        <f t="shared" si="28"/>
        <v>0</v>
      </c>
      <c r="I535" s="20">
        <f t="shared" si="29"/>
        <v>913.3205044691822</v>
      </c>
      <c r="J535" s="11" t="s">
        <v>21</v>
      </c>
    </row>
    <row r="536" spans="1:10" ht="14.25" hidden="1" customHeight="1" x14ac:dyDescent="0.3">
      <c r="A536" s="2" t="s">
        <v>43</v>
      </c>
      <c r="B536" s="2" t="str">
        <f>INDEX(SETORES!$B:$B,MATCH(A536,SETORES!$A:$A,0))</f>
        <v>Clientes</v>
      </c>
      <c r="C536" s="2" t="s">
        <v>12</v>
      </c>
      <c r="D536" s="14">
        <f>IF(B536="Clientes",SUMIFS(PARÂMETROS!$D$8:$D$907,PARÂMETROS!$A$8:$A$907,C536,PARÂMETROS!$G$8:$G$907,J536),SUMIFS(PARÂMETROS!$E$8:$E$907,PARÂMETROS!$A$8:$A$907,C536,PARÂMETROS!$G$8:$G$907,J536))</f>
        <v>6.7149401213950008E-2</v>
      </c>
      <c r="E536" s="21">
        <f>SUMIFS(SETORES!$D:$D,SETORES!$A:$A,A536,SETORES!$F:$F,J536)</f>
        <v>27933.494499999997</v>
      </c>
      <c r="F536" s="21">
        <f t="shared" si="27"/>
        <v>1875.7174294881656</v>
      </c>
      <c r="G536" s="14">
        <f>SUMIFS(PARÂMETROS!$F$8:$F$907,PARÂMETROS!$A$8:$A$907,C536,PARÂMETROS!$G$8:$G$907,J536)</f>
        <v>0</v>
      </c>
      <c r="H536" s="21">
        <f t="shared" si="28"/>
        <v>0</v>
      </c>
      <c r="I536" s="21">
        <f t="shared" si="29"/>
        <v>1875.7174294881656</v>
      </c>
      <c r="J536" s="2" t="s">
        <v>21</v>
      </c>
    </row>
    <row r="537" spans="1:10" ht="14.25" hidden="1" customHeight="1" x14ac:dyDescent="0.3">
      <c r="A537" s="11" t="s">
        <v>43</v>
      </c>
      <c r="B537" s="19" t="str">
        <f>INDEX(SETORES!$B:$B,MATCH(A537,SETORES!$A:$A,0))</f>
        <v>Clientes</v>
      </c>
      <c r="C537" s="11" t="s">
        <v>13</v>
      </c>
      <c r="D537" s="9">
        <f>IF(B537="Clientes",SUMIFS(PARÂMETROS!$D$8:$D$907,PARÂMETROS!$A$8:$A$907,C537,PARÂMETROS!$G$8:$G$907,J537),SUMIFS(PARÂMETROS!$E$8:$E$907,PARÂMETROS!$A$8:$A$907,C537,PARÂMETROS!$G$8:$G$907,J537))</f>
        <v>7.2901519174553703E-2</v>
      </c>
      <c r="E537" s="20">
        <f>SUMIFS(SETORES!$D:$D,SETORES!$A:$A,A537,SETORES!$F:$F,J537)</f>
        <v>27933.494499999997</v>
      </c>
      <c r="F537" s="20">
        <f t="shared" si="27"/>
        <v>2036.3941849040402</v>
      </c>
      <c r="G537" s="9">
        <f>SUMIFS(PARÂMETROS!$F$8:$F$907,PARÂMETROS!$A$8:$A$907,C537,PARÂMETROS!$G$8:$G$907,J537)</f>
        <v>0</v>
      </c>
      <c r="H537" s="20">
        <f t="shared" si="28"/>
        <v>0</v>
      </c>
      <c r="I537" s="20">
        <f t="shared" si="29"/>
        <v>2036.3941849040402</v>
      </c>
      <c r="J537" s="11" t="s">
        <v>21</v>
      </c>
    </row>
    <row r="538" spans="1:10" ht="14.25" customHeight="1" x14ac:dyDescent="0.3">
      <c r="A538" s="2" t="s">
        <v>43</v>
      </c>
      <c r="B538" s="2" t="str">
        <f>INDEX(SETORES!$B:$B,MATCH(A538,SETORES!$A:$A,0))</f>
        <v>Clientes</v>
      </c>
      <c r="C538" s="2" t="s">
        <v>14</v>
      </c>
      <c r="D538" s="14">
        <f>IF(B538="Clientes",SUMIFS(PARÂMETROS!$D$8:$D$907,PARÂMETROS!$A$8:$A$907,C538,PARÂMETROS!$G$8:$G$907,J538),SUMIFS(PARÂMETROS!$E$8:$E$907,PARÂMETROS!$A$8:$A$907,C538,PARÂMETROS!$G$8:$G$907,J538))</f>
        <v>1.8685698120511587E-2</v>
      </c>
      <c r="E538" s="21">
        <f>SUMIFS(SETORES!$D:$D,SETORES!$A:$A,A538,SETORES!$F:$F,J538)</f>
        <v>27933.494499999997</v>
      </c>
      <c r="F538" s="21">
        <f t="shared" si="27"/>
        <v>521.9568456779707</v>
      </c>
      <c r="G538" s="14">
        <f>SUMIFS(PARÂMETROS!$F$8:$F$907,PARÂMETROS!$A$8:$A$907,C538,PARÂMETROS!$G$8:$G$907,J538)</f>
        <v>0</v>
      </c>
      <c r="H538" s="21">
        <f t="shared" si="28"/>
        <v>0</v>
      </c>
      <c r="I538" s="21">
        <f t="shared" si="29"/>
        <v>521.9568456779707</v>
      </c>
      <c r="J538" s="2" t="s">
        <v>21</v>
      </c>
    </row>
    <row r="539" spans="1:10" ht="14.25" hidden="1" customHeight="1" x14ac:dyDescent="0.3">
      <c r="A539" s="11" t="s">
        <v>43</v>
      </c>
      <c r="B539" s="19" t="str">
        <f>INDEX(SETORES!$B:$B,MATCH(A539,SETORES!$A:$A,0))</f>
        <v>Clientes</v>
      </c>
      <c r="C539" s="11" t="s">
        <v>15</v>
      </c>
      <c r="D539" s="9">
        <f>IF(B539="Clientes",SUMIFS(PARÂMETROS!$D$8:$D$907,PARÂMETROS!$A$8:$A$907,C539,PARÂMETROS!$G$8:$G$907,J539),SUMIFS(PARÂMETROS!$E$8:$E$907,PARÂMETROS!$A$8:$A$907,C539,PARÂMETROS!$G$8:$G$907,J539))</f>
        <v>3.2596989443697238E-2</v>
      </c>
      <c r="E539" s="20">
        <f>SUMIFS(SETORES!$D:$D,SETORES!$A:$A,A539,SETORES!$F:$F,J539)</f>
        <v>27933.494499999997</v>
      </c>
      <c r="F539" s="20">
        <f t="shared" si="27"/>
        <v>910.54782534207482</v>
      </c>
      <c r="G539" s="9">
        <f>SUMIFS(PARÂMETROS!$F$8:$F$907,PARÂMETROS!$A$8:$A$907,C539,PARÂMETROS!$G$8:$G$907,J539)</f>
        <v>0</v>
      </c>
      <c r="H539" s="20">
        <f t="shared" si="28"/>
        <v>0</v>
      </c>
      <c r="I539" s="20">
        <f t="shared" si="29"/>
        <v>910.54782534207482</v>
      </c>
      <c r="J539" s="11" t="s">
        <v>21</v>
      </c>
    </row>
    <row r="540" spans="1:10" ht="14.25" hidden="1" customHeight="1" x14ac:dyDescent="0.3">
      <c r="A540" s="2" t="s">
        <v>43</v>
      </c>
      <c r="B540" s="2" t="str">
        <f>INDEX(SETORES!$B:$B,MATCH(A540,SETORES!$A:$A,0))</f>
        <v>Clientes</v>
      </c>
      <c r="C540" s="2" t="s">
        <v>16</v>
      </c>
      <c r="D540" s="14">
        <f>IF(B540="Clientes",SUMIFS(PARÂMETROS!$D$8:$D$907,PARÂMETROS!$A$8:$A$907,C540,PARÂMETROS!$G$8:$G$907,J540),SUMIFS(PARÂMETROS!$E$8:$E$907,PARÂMETROS!$A$8:$A$907,C540,PARÂMETROS!$G$8:$G$907,J540))</f>
        <v>2.3847218982485568E-2</v>
      </c>
      <c r="E540" s="21">
        <f>SUMIFS(SETORES!$D:$D,SETORES!$A:$A,A540,SETORES!$F:$F,J540)</f>
        <v>27933.494499999997</v>
      </c>
      <c r="F540" s="21">
        <f t="shared" si="27"/>
        <v>666.13616028755621</v>
      </c>
      <c r="G540" s="14">
        <f>SUMIFS(PARÂMETROS!$F$8:$F$907,PARÂMETROS!$A$8:$A$907,C540,PARÂMETROS!$G$8:$G$907,J540)</f>
        <v>0</v>
      </c>
      <c r="H540" s="21">
        <f t="shared" si="28"/>
        <v>0</v>
      </c>
      <c r="I540" s="21">
        <f t="shared" si="29"/>
        <v>666.13616028755621</v>
      </c>
      <c r="J540" s="2" t="s">
        <v>21</v>
      </c>
    </row>
    <row r="541" spans="1:10" ht="14.25" hidden="1" customHeight="1" x14ac:dyDescent="0.3">
      <c r="A541" s="11" t="s">
        <v>43</v>
      </c>
      <c r="B541" s="19" t="str">
        <f>INDEX(SETORES!$B:$B,MATCH(A541,SETORES!$A:$A,0))</f>
        <v>Clientes</v>
      </c>
      <c r="C541" s="11" t="s">
        <v>17</v>
      </c>
      <c r="D541" s="9">
        <f>IF(B541="Clientes",SUMIFS(PARÂMETROS!$D$8:$D$907,PARÂMETROS!$A$8:$A$907,C541,PARÂMETROS!$G$8:$G$907,J541),SUMIFS(PARÂMETROS!$E$8:$E$907,PARÂMETROS!$A$8:$A$907,C541,PARÂMETROS!$G$8:$G$907,J541))</f>
        <v>2.3852181983314392E-2</v>
      </c>
      <c r="E541" s="20">
        <f>SUMIFS(SETORES!$D:$D,SETORES!$A:$A,A541,SETORES!$F:$F,J541)</f>
        <v>27933.494499999997</v>
      </c>
      <c r="F541" s="20">
        <f t="shared" si="27"/>
        <v>666.27479424391163</v>
      </c>
      <c r="G541" s="9">
        <f>SUMIFS(PARÂMETROS!$F$8:$F$907,PARÂMETROS!$A$8:$A$907,C541,PARÂMETROS!$G$8:$G$907,J541)</f>
        <v>0</v>
      </c>
      <c r="H541" s="20">
        <f t="shared" si="28"/>
        <v>0</v>
      </c>
      <c r="I541" s="20">
        <f t="shared" si="29"/>
        <v>666.27479424391163</v>
      </c>
      <c r="J541" s="11" t="s">
        <v>21</v>
      </c>
    </row>
    <row r="542" spans="1:10" ht="14.25" hidden="1" customHeight="1" x14ac:dyDescent="0.3">
      <c r="A542" s="2" t="s">
        <v>43</v>
      </c>
      <c r="B542" s="2" t="str">
        <f>INDEX(SETORES!$B:$B,MATCH(A542,SETORES!$A:$A,0))</f>
        <v>Clientes</v>
      </c>
      <c r="C542" s="2" t="s">
        <v>18</v>
      </c>
      <c r="D542" s="14">
        <f>IF(B542="Clientes",SUMIFS(PARÂMETROS!$D$8:$D$907,PARÂMETROS!$A$8:$A$907,C542,PARÂMETROS!$G$8:$G$907,J542),SUMIFS(PARÂMETROS!$E$8:$E$907,PARÂMETROS!$A$8:$A$907,C542,PARÂMETROS!$G$8:$G$907,J542))</f>
        <v>0.72827074162121386</v>
      </c>
      <c r="E542" s="21">
        <f>SUMIFS(SETORES!$D:$D,SETORES!$A:$A,A542,SETORES!$F:$F,J542)</f>
        <v>27933.494499999997</v>
      </c>
      <c r="F542" s="21">
        <f t="shared" si="27"/>
        <v>20343.146755587095</v>
      </c>
      <c r="G542" s="14">
        <f>SUMIFS(PARÂMETROS!$F$8:$F$907,PARÂMETROS!$A$8:$A$907,C542,PARÂMETROS!$G$8:$G$907,J542)</f>
        <v>0</v>
      </c>
      <c r="H542" s="21">
        <f t="shared" si="28"/>
        <v>0</v>
      </c>
      <c r="I542" s="21">
        <f t="shared" si="29"/>
        <v>20343.146755587095</v>
      </c>
      <c r="J542" s="2" t="s">
        <v>21</v>
      </c>
    </row>
    <row r="543" spans="1:10" ht="14.25" hidden="1" customHeight="1" x14ac:dyDescent="0.3">
      <c r="A543" s="11" t="s">
        <v>44</v>
      </c>
      <c r="B543" s="19" t="str">
        <f>INDEX(SETORES!$B:$B,MATCH(A543,SETORES!$A:$A,0))</f>
        <v>Funcionários</v>
      </c>
      <c r="C543" s="11" t="s">
        <v>10</v>
      </c>
      <c r="D543" s="9">
        <f>IF(B543="Clientes",SUMIFS(PARÂMETROS!$D$8:$D$907,PARÂMETROS!$A$8:$A$907,C543,PARÂMETROS!$G$8:$G$907,J543),SUMIFS(PARÂMETROS!$E$8:$E$907,PARÂMETROS!$A$8:$A$907,C543,PARÂMETROS!$G$8:$G$907,J543))</f>
        <v>3.1192660550458717E-2</v>
      </c>
      <c r="E543" s="20">
        <f>SUMIFS(SETORES!$D:$D,SETORES!$A:$A,A543,SETORES!$F:$F,J543)</f>
        <v>65489.006099999999</v>
      </c>
      <c r="F543" s="20">
        <f t="shared" si="27"/>
        <v>2042.7763370642203</v>
      </c>
      <c r="G543" s="9">
        <f>SUMIFS(PARÂMETROS!$F$8:$F$907,PARÂMETROS!$A$8:$A$907,C543,PARÂMETROS!$G$8:$G$907,J543)</f>
        <v>0</v>
      </c>
      <c r="H543" s="20">
        <f t="shared" si="28"/>
        <v>0</v>
      </c>
      <c r="I543" s="20">
        <f t="shared" si="29"/>
        <v>2042.7763370642203</v>
      </c>
      <c r="J543" s="11" t="s">
        <v>21</v>
      </c>
    </row>
    <row r="544" spans="1:10" ht="14.25" hidden="1" customHeight="1" x14ac:dyDescent="0.3">
      <c r="A544" s="2" t="s">
        <v>44</v>
      </c>
      <c r="B544" s="2" t="str">
        <f>INDEX(SETORES!$B:$B,MATCH(A544,SETORES!$A:$A,0))</f>
        <v>Funcionários</v>
      </c>
      <c r="C544" s="2" t="s">
        <v>12</v>
      </c>
      <c r="D544" s="14">
        <f>IF(B544="Clientes",SUMIFS(PARÂMETROS!$D$8:$D$907,PARÂMETROS!$A$8:$A$907,C544,PARÂMETROS!$G$8:$G$907,J544),SUMIFS(PARÂMETROS!$E$8:$E$907,PARÂMETROS!$A$8:$A$907,C544,PARÂMETROS!$G$8:$G$907,J544))</f>
        <v>0</v>
      </c>
      <c r="E544" s="21">
        <f>SUMIFS(SETORES!$D:$D,SETORES!$A:$A,A544,SETORES!$F:$F,J544)</f>
        <v>65489.006099999999</v>
      </c>
      <c r="F544" s="21">
        <f t="shared" si="27"/>
        <v>0</v>
      </c>
      <c r="G544" s="14">
        <f>SUMIFS(PARÂMETROS!$F$8:$F$907,PARÂMETROS!$A$8:$A$907,C544,PARÂMETROS!$G$8:$G$907,J544)</f>
        <v>0</v>
      </c>
      <c r="H544" s="21">
        <f t="shared" si="28"/>
        <v>0</v>
      </c>
      <c r="I544" s="21">
        <f t="shared" si="29"/>
        <v>0</v>
      </c>
      <c r="J544" s="2" t="s">
        <v>21</v>
      </c>
    </row>
    <row r="545" spans="1:10" ht="14.25" hidden="1" customHeight="1" x14ac:dyDescent="0.3">
      <c r="A545" s="11" t="s">
        <v>44</v>
      </c>
      <c r="B545" s="19" t="str">
        <f>INDEX(SETORES!$B:$B,MATCH(A545,SETORES!$A:$A,0))</f>
        <v>Funcionários</v>
      </c>
      <c r="C545" s="11" t="s">
        <v>13</v>
      </c>
      <c r="D545" s="9">
        <f>IF(B545="Clientes",SUMIFS(PARÂMETROS!$D$8:$D$907,PARÂMETROS!$A$8:$A$907,C545,PARÂMETROS!$G$8:$G$907,J545),SUMIFS(PARÂMETROS!$E$8:$E$907,PARÂMETROS!$A$8:$A$907,C545,PARÂMETROS!$G$8:$G$907,J545))</f>
        <v>4.3119266055045874E-2</v>
      </c>
      <c r="E545" s="20">
        <f>SUMIFS(SETORES!$D:$D,SETORES!$A:$A,A545,SETORES!$F:$F,J545)</f>
        <v>65489.006099999999</v>
      </c>
      <c r="F545" s="20">
        <f t="shared" si="27"/>
        <v>2823.8378777064222</v>
      </c>
      <c r="G545" s="9">
        <f>SUMIFS(PARÂMETROS!$F$8:$F$907,PARÂMETROS!$A$8:$A$907,C545,PARÂMETROS!$G$8:$G$907,J545)</f>
        <v>0</v>
      </c>
      <c r="H545" s="20">
        <f t="shared" si="28"/>
        <v>0</v>
      </c>
      <c r="I545" s="20">
        <f t="shared" si="29"/>
        <v>2823.8378777064222</v>
      </c>
      <c r="J545" s="11" t="s">
        <v>21</v>
      </c>
    </row>
    <row r="546" spans="1:10" ht="14.25" customHeight="1" x14ac:dyDescent="0.3">
      <c r="A546" s="2" t="s">
        <v>44</v>
      </c>
      <c r="B546" s="2" t="str">
        <f>INDEX(SETORES!$B:$B,MATCH(A546,SETORES!$A:$A,0))</f>
        <v>Funcionários</v>
      </c>
      <c r="C546" s="2" t="s">
        <v>14</v>
      </c>
      <c r="D546" s="14">
        <f>IF(B546="Clientes",SUMIFS(PARÂMETROS!$D$8:$D$907,PARÂMETROS!$A$8:$A$907,C546,PARÂMETROS!$G$8:$G$907,J546),SUMIFS(PARÂMETROS!$E$8:$E$907,PARÂMETROS!$A$8:$A$907,C546,PARÂMETROS!$G$8:$G$907,J546))</f>
        <v>1.0091743119266056E-2</v>
      </c>
      <c r="E546" s="21">
        <f>SUMIFS(SETORES!$D:$D,SETORES!$A:$A,A546,SETORES!$F:$F,J546)</f>
        <v>65489.006099999999</v>
      </c>
      <c r="F546" s="21">
        <f t="shared" si="27"/>
        <v>660.89822669724776</v>
      </c>
      <c r="G546" s="14">
        <f>SUMIFS(PARÂMETROS!$F$8:$F$907,PARÂMETROS!$A$8:$A$907,C546,PARÂMETROS!$G$8:$G$907,J546)</f>
        <v>0</v>
      </c>
      <c r="H546" s="21">
        <f t="shared" si="28"/>
        <v>0</v>
      </c>
      <c r="I546" s="21">
        <f t="shared" si="29"/>
        <v>660.89822669724776</v>
      </c>
      <c r="J546" s="2" t="s">
        <v>21</v>
      </c>
    </row>
    <row r="547" spans="1:10" ht="14.25" hidden="1" customHeight="1" x14ac:dyDescent="0.3">
      <c r="A547" s="11" t="s">
        <v>44</v>
      </c>
      <c r="B547" s="19" t="str">
        <f>INDEX(SETORES!$B:$B,MATCH(A547,SETORES!$A:$A,0))</f>
        <v>Funcionários</v>
      </c>
      <c r="C547" s="11" t="s">
        <v>15</v>
      </c>
      <c r="D547" s="9">
        <f>IF(B547="Clientes",SUMIFS(PARÂMETROS!$D$8:$D$907,PARÂMETROS!$A$8:$A$907,C547,PARÂMETROS!$G$8:$G$907,J547),SUMIFS(PARÂMETROS!$E$8:$E$907,PARÂMETROS!$A$8:$A$907,C547,PARÂMETROS!$G$8:$G$907,J547))</f>
        <v>4.5871559633027525E-2</v>
      </c>
      <c r="E547" s="20">
        <f>SUMIFS(SETORES!$D:$D,SETORES!$A:$A,A547,SETORES!$F:$F,J547)</f>
        <v>65489.006099999999</v>
      </c>
      <c r="F547" s="20">
        <f t="shared" si="27"/>
        <v>3004.0828486238534</v>
      </c>
      <c r="G547" s="9">
        <f>SUMIFS(PARÂMETROS!$F$8:$F$907,PARÂMETROS!$A$8:$A$907,C547,PARÂMETROS!$G$8:$G$907,J547)</f>
        <v>0</v>
      </c>
      <c r="H547" s="20">
        <f t="shared" si="28"/>
        <v>0</v>
      </c>
      <c r="I547" s="20">
        <f t="shared" si="29"/>
        <v>3004.0828486238534</v>
      </c>
      <c r="J547" s="11" t="s">
        <v>21</v>
      </c>
    </row>
    <row r="548" spans="1:10" ht="14.25" hidden="1" customHeight="1" x14ac:dyDescent="0.3">
      <c r="A548" s="2" t="s">
        <v>44</v>
      </c>
      <c r="B548" s="2" t="str">
        <f>INDEX(SETORES!$B:$B,MATCH(A548,SETORES!$A:$A,0))</f>
        <v>Funcionários</v>
      </c>
      <c r="C548" s="2" t="s">
        <v>16</v>
      </c>
      <c r="D548" s="14">
        <f>IF(B548="Clientes",SUMIFS(PARÂMETROS!$D$8:$D$907,PARÂMETROS!$A$8:$A$907,C548,PARÂMETROS!$G$8:$G$907,J548),SUMIFS(PARÂMETROS!$E$8:$E$907,PARÂMETROS!$A$8:$A$907,C548,PARÂMETROS!$G$8:$G$907,J548))</f>
        <v>1.6513761467889909E-2</v>
      </c>
      <c r="E548" s="21">
        <f>SUMIFS(SETORES!$D:$D,SETORES!$A:$A,A548,SETORES!$F:$F,J548)</f>
        <v>65489.006099999999</v>
      </c>
      <c r="F548" s="21">
        <f t="shared" si="27"/>
        <v>1081.4698255045871</v>
      </c>
      <c r="G548" s="14">
        <f>SUMIFS(PARÂMETROS!$F$8:$F$907,PARÂMETROS!$A$8:$A$907,C548,PARÂMETROS!$G$8:$G$907,J548)</f>
        <v>0</v>
      </c>
      <c r="H548" s="21">
        <f t="shared" si="28"/>
        <v>0</v>
      </c>
      <c r="I548" s="21">
        <f t="shared" si="29"/>
        <v>1081.4698255045871</v>
      </c>
      <c r="J548" s="2" t="s">
        <v>21</v>
      </c>
    </row>
    <row r="549" spans="1:10" ht="14.25" hidden="1" customHeight="1" x14ac:dyDescent="0.3">
      <c r="A549" s="11" t="s">
        <v>44</v>
      </c>
      <c r="B549" s="19" t="str">
        <f>INDEX(SETORES!$B:$B,MATCH(A549,SETORES!$A:$A,0))</f>
        <v>Funcionários</v>
      </c>
      <c r="C549" s="11" t="s">
        <v>17</v>
      </c>
      <c r="D549" s="9">
        <f>IF(B549="Clientes",SUMIFS(PARÂMETROS!$D$8:$D$907,PARÂMETROS!$A$8:$A$907,C549,PARÂMETROS!$G$8:$G$907,J549),SUMIFS(PARÂMETROS!$E$8:$E$907,PARÂMETROS!$A$8:$A$907,C549,PARÂMETROS!$G$8:$G$907,J549))</f>
        <v>2.2018348623853212E-2</v>
      </c>
      <c r="E549" s="20">
        <f>SUMIFS(SETORES!$D:$D,SETORES!$A:$A,A549,SETORES!$F:$F,J549)</f>
        <v>65489.006099999999</v>
      </c>
      <c r="F549" s="20">
        <f t="shared" si="27"/>
        <v>1441.9597673394496</v>
      </c>
      <c r="G549" s="9">
        <f>SUMIFS(PARÂMETROS!$F$8:$F$907,PARÂMETROS!$A$8:$A$907,C549,PARÂMETROS!$G$8:$G$907,J549)</f>
        <v>0</v>
      </c>
      <c r="H549" s="20">
        <f t="shared" si="28"/>
        <v>0</v>
      </c>
      <c r="I549" s="20">
        <f t="shared" si="29"/>
        <v>1441.9597673394496</v>
      </c>
      <c r="J549" s="11" t="s">
        <v>21</v>
      </c>
    </row>
    <row r="550" spans="1:10" ht="14.25" hidden="1" customHeight="1" x14ac:dyDescent="0.3">
      <c r="A550" s="2" t="s">
        <v>44</v>
      </c>
      <c r="B550" s="2" t="str">
        <f>INDEX(SETORES!$B:$B,MATCH(A550,SETORES!$A:$A,0))</f>
        <v>Funcionários</v>
      </c>
      <c r="C550" s="2" t="s">
        <v>18</v>
      </c>
      <c r="D550" s="14">
        <f>IF(B550="Clientes",SUMIFS(PARÂMETROS!$D$8:$D$907,PARÂMETROS!$A$8:$A$907,C550,PARÂMETROS!$G$8:$G$907,J550),SUMIFS(PARÂMETROS!$E$8:$E$907,PARÂMETROS!$A$8:$A$907,C550,PARÂMETROS!$G$8:$G$907,J550))</f>
        <v>0.83119266055045871</v>
      </c>
      <c r="E550" s="21">
        <f>SUMIFS(SETORES!$D:$D,SETORES!$A:$A,A550,SETORES!$F:$F,J550)</f>
        <v>65489.006099999999</v>
      </c>
      <c r="F550" s="21">
        <f t="shared" si="27"/>
        <v>54433.981217064218</v>
      </c>
      <c r="G550" s="14">
        <f>SUMIFS(PARÂMETROS!$F$8:$F$907,PARÂMETROS!$A$8:$A$907,C550,PARÂMETROS!$G$8:$G$907,J550)</f>
        <v>0</v>
      </c>
      <c r="H550" s="21">
        <f t="shared" si="28"/>
        <v>0</v>
      </c>
      <c r="I550" s="21">
        <f t="shared" si="29"/>
        <v>54433.981217064218</v>
      </c>
      <c r="J550" s="2" t="s">
        <v>21</v>
      </c>
    </row>
    <row r="551" spans="1:10" ht="14.25" hidden="1" customHeight="1" x14ac:dyDescent="0.3">
      <c r="A551" s="11" t="s">
        <v>45</v>
      </c>
      <c r="B551" s="19" t="str">
        <f>INDEX(SETORES!$B:$B,MATCH(A551,SETORES!$A:$A,0))</f>
        <v>Clientes</v>
      </c>
      <c r="C551" s="11" t="s">
        <v>10</v>
      </c>
      <c r="D551" s="9">
        <f>IF(B551="Clientes",SUMIFS(PARÂMETROS!$D$8:$D$907,PARÂMETROS!$A$8:$A$907,C551,PARÂMETROS!$G$8:$G$907,J551),SUMIFS(PARÂMETROS!$E$8:$E$907,PARÂMETROS!$A$8:$A$907,C551,PARÂMETROS!$G$8:$G$907,J551))</f>
        <v>3.2696249460273663E-2</v>
      </c>
      <c r="E551" s="20">
        <f>SUMIFS(SETORES!$D:$D,SETORES!$A:$A,A551,SETORES!$F:$F,J551)</f>
        <v>89561.188999999969</v>
      </c>
      <c r="F551" s="20">
        <f t="shared" ref="F551:F614" si="30">IFERROR(D551*E551,0)</f>
        <v>2928.3149775027164</v>
      </c>
      <c r="G551" s="9">
        <f>SUMIFS(PARÂMETROS!$F$8:$F$907,PARÂMETROS!$A$8:$A$907,C551,PARÂMETROS!$G$8:$G$907,J551)</f>
        <v>0</v>
      </c>
      <c r="H551" s="20">
        <f t="shared" ref="H551:H614" si="31">IFERROR(F551*G551,0)</f>
        <v>0</v>
      </c>
      <c r="I551" s="20">
        <f t="shared" ref="I551:I614" si="32">F551+H551</f>
        <v>2928.3149775027164</v>
      </c>
      <c r="J551" s="11" t="s">
        <v>21</v>
      </c>
    </row>
    <row r="552" spans="1:10" ht="14.25" hidden="1" customHeight="1" x14ac:dyDescent="0.3">
      <c r="A552" s="2" t="s">
        <v>45</v>
      </c>
      <c r="B552" s="2" t="str">
        <f>INDEX(SETORES!$B:$B,MATCH(A552,SETORES!$A:$A,0))</f>
        <v>Clientes</v>
      </c>
      <c r="C552" s="2" t="s">
        <v>12</v>
      </c>
      <c r="D552" s="14">
        <f>IF(B552="Clientes",SUMIFS(PARÂMETROS!$D$8:$D$907,PARÂMETROS!$A$8:$A$907,C552,PARÂMETROS!$G$8:$G$907,J552),SUMIFS(PARÂMETROS!$E$8:$E$907,PARÂMETROS!$A$8:$A$907,C552,PARÂMETROS!$G$8:$G$907,J552))</f>
        <v>6.7149401213950008E-2</v>
      </c>
      <c r="E552" s="21">
        <f>SUMIFS(SETORES!$D:$D,SETORES!$A:$A,A552,SETORES!$F:$F,J552)</f>
        <v>89561.188999999969</v>
      </c>
      <c r="F552" s="21">
        <f t="shared" si="30"/>
        <v>6013.9802133594039</v>
      </c>
      <c r="G552" s="14">
        <f>SUMIFS(PARÂMETROS!$F$8:$F$907,PARÂMETROS!$A$8:$A$907,C552,PARÂMETROS!$G$8:$G$907,J552)</f>
        <v>0</v>
      </c>
      <c r="H552" s="21">
        <f t="shared" si="31"/>
        <v>0</v>
      </c>
      <c r="I552" s="21">
        <f t="shared" si="32"/>
        <v>6013.9802133594039</v>
      </c>
      <c r="J552" s="2" t="s">
        <v>21</v>
      </c>
    </row>
    <row r="553" spans="1:10" ht="14.25" hidden="1" customHeight="1" x14ac:dyDescent="0.3">
      <c r="A553" s="11" t="s">
        <v>45</v>
      </c>
      <c r="B553" s="19" t="str">
        <f>INDEX(SETORES!$B:$B,MATCH(A553,SETORES!$A:$A,0))</f>
        <v>Clientes</v>
      </c>
      <c r="C553" s="11" t="s">
        <v>13</v>
      </c>
      <c r="D553" s="9">
        <f>IF(B553="Clientes",SUMIFS(PARÂMETROS!$D$8:$D$907,PARÂMETROS!$A$8:$A$907,C553,PARÂMETROS!$G$8:$G$907,J553),SUMIFS(PARÂMETROS!$E$8:$E$907,PARÂMETROS!$A$8:$A$907,C553,PARÂMETROS!$G$8:$G$907,J553))</f>
        <v>7.2901519174553703E-2</v>
      </c>
      <c r="E553" s="20">
        <f>SUMIFS(SETORES!$D:$D,SETORES!$A:$A,A553,SETORES!$F:$F,J553)</f>
        <v>89561.188999999969</v>
      </c>
      <c r="F553" s="20">
        <f t="shared" si="30"/>
        <v>6529.146737179326</v>
      </c>
      <c r="G553" s="9">
        <f>SUMIFS(PARÂMETROS!$F$8:$F$907,PARÂMETROS!$A$8:$A$907,C553,PARÂMETROS!$G$8:$G$907,J553)</f>
        <v>0</v>
      </c>
      <c r="H553" s="20">
        <f t="shared" si="31"/>
        <v>0</v>
      </c>
      <c r="I553" s="20">
        <f t="shared" si="32"/>
        <v>6529.146737179326</v>
      </c>
      <c r="J553" s="11" t="s">
        <v>21</v>
      </c>
    </row>
    <row r="554" spans="1:10" ht="14.25" customHeight="1" x14ac:dyDescent="0.3">
      <c r="A554" s="2" t="s">
        <v>45</v>
      </c>
      <c r="B554" s="2" t="str">
        <f>INDEX(SETORES!$B:$B,MATCH(A554,SETORES!$A:$A,0))</f>
        <v>Clientes</v>
      </c>
      <c r="C554" s="2" t="s">
        <v>14</v>
      </c>
      <c r="D554" s="14">
        <f>IF(B554="Clientes",SUMIFS(PARÂMETROS!$D$8:$D$907,PARÂMETROS!$A$8:$A$907,C554,PARÂMETROS!$G$8:$G$907,J554),SUMIFS(PARÂMETROS!$E$8:$E$907,PARÂMETROS!$A$8:$A$907,C554,PARÂMETROS!$G$8:$G$907,J554))</f>
        <v>1.8685698120511587E-2</v>
      </c>
      <c r="E554" s="21">
        <f>SUMIFS(SETORES!$D:$D,SETORES!$A:$A,A554,SETORES!$F:$F,J554)</f>
        <v>89561.188999999969</v>
      </c>
      <c r="F554" s="21">
        <f t="shared" si="30"/>
        <v>1673.5133409680825</v>
      </c>
      <c r="G554" s="14">
        <f>SUMIFS(PARÂMETROS!$F$8:$F$907,PARÂMETROS!$A$8:$A$907,C554,PARÂMETROS!$G$8:$G$907,J554)</f>
        <v>0</v>
      </c>
      <c r="H554" s="21">
        <f t="shared" si="31"/>
        <v>0</v>
      </c>
      <c r="I554" s="21">
        <f t="shared" si="32"/>
        <v>1673.5133409680825</v>
      </c>
      <c r="J554" s="2" t="s">
        <v>21</v>
      </c>
    </row>
    <row r="555" spans="1:10" ht="14.25" hidden="1" customHeight="1" x14ac:dyDescent="0.3">
      <c r="A555" s="11" t="s">
        <v>45</v>
      </c>
      <c r="B555" s="19" t="str">
        <f>INDEX(SETORES!$B:$B,MATCH(A555,SETORES!$A:$A,0))</f>
        <v>Clientes</v>
      </c>
      <c r="C555" s="11" t="s">
        <v>15</v>
      </c>
      <c r="D555" s="9">
        <f>IF(B555="Clientes",SUMIFS(PARÂMETROS!$D$8:$D$907,PARÂMETROS!$A$8:$A$907,C555,PARÂMETROS!$G$8:$G$907,J555),SUMIFS(PARÂMETROS!$E$8:$E$907,PARÂMETROS!$A$8:$A$907,C555,PARÂMETROS!$G$8:$G$907,J555))</f>
        <v>3.2596989443697238E-2</v>
      </c>
      <c r="E555" s="20">
        <f>SUMIFS(SETORES!$D:$D,SETORES!$A:$A,A555,SETORES!$F:$F,J555)</f>
        <v>89561.188999999969</v>
      </c>
      <c r="F555" s="20">
        <f t="shared" si="30"/>
        <v>2919.4251323979724</v>
      </c>
      <c r="G555" s="9">
        <f>SUMIFS(PARÂMETROS!$F$8:$F$907,PARÂMETROS!$A$8:$A$907,C555,PARÂMETROS!$G$8:$G$907,J555)</f>
        <v>0</v>
      </c>
      <c r="H555" s="20">
        <f t="shared" si="31"/>
        <v>0</v>
      </c>
      <c r="I555" s="20">
        <f t="shared" si="32"/>
        <v>2919.4251323979724</v>
      </c>
      <c r="J555" s="11" t="s">
        <v>21</v>
      </c>
    </row>
    <row r="556" spans="1:10" ht="14.25" hidden="1" customHeight="1" x14ac:dyDescent="0.3">
      <c r="A556" s="2" t="s">
        <v>45</v>
      </c>
      <c r="B556" s="2" t="str">
        <f>INDEX(SETORES!$B:$B,MATCH(A556,SETORES!$A:$A,0))</f>
        <v>Clientes</v>
      </c>
      <c r="C556" s="2" t="s">
        <v>16</v>
      </c>
      <c r="D556" s="14">
        <f>IF(B556="Clientes",SUMIFS(PARÂMETROS!$D$8:$D$907,PARÂMETROS!$A$8:$A$907,C556,PARÂMETROS!$G$8:$G$907,J556),SUMIFS(PARÂMETROS!$E$8:$E$907,PARÂMETROS!$A$8:$A$907,C556,PARÂMETROS!$G$8:$G$907,J556))</f>
        <v>2.3847218982485568E-2</v>
      </c>
      <c r="E556" s="21">
        <f>SUMIFS(SETORES!$D:$D,SETORES!$A:$A,A556,SETORES!$F:$F,J556)</f>
        <v>89561.188999999969</v>
      </c>
      <c r="F556" s="21">
        <f t="shared" si="30"/>
        <v>2135.7852864147771</v>
      </c>
      <c r="G556" s="14">
        <f>SUMIFS(PARÂMETROS!$F$8:$F$907,PARÂMETROS!$A$8:$A$907,C556,PARÂMETROS!$G$8:$G$907,J556)</f>
        <v>0</v>
      </c>
      <c r="H556" s="21">
        <f t="shared" si="31"/>
        <v>0</v>
      </c>
      <c r="I556" s="21">
        <f t="shared" si="32"/>
        <v>2135.7852864147771</v>
      </c>
      <c r="J556" s="2" t="s">
        <v>21</v>
      </c>
    </row>
    <row r="557" spans="1:10" ht="14.25" hidden="1" customHeight="1" x14ac:dyDescent="0.3">
      <c r="A557" s="11" t="s">
        <v>45</v>
      </c>
      <c r="B557" s="19" t="str">
        <f>INDEX(SETORES!$B:$B,MATCH(A557,SETORES!$A:$A,0))</f>
        <v>Clientes</v>
      </c>
      <c r="C557" s="11" t="s">
        <v>17</v>
      </c>
      <c r="D557" s="9">
        <f>IF(B557="Clientes",SUMIFS(PARÂMETROS!$D$8:$D$907,PARÂMETROS!$A$8:$A$907,C557,PARÂMETROS!$G$8:$G$907,J557),SUMIFS(PARÂMETROS!$E$8:$E$907,PARÂMETROS!$A$8:$A$907,C557,PARÂMETROS!$G$8:$G$907,J557))</f>
        <v>2.3852181983314392E-2</v>
      </c>
      <c r="E557" s="20">
        <f>SUMIFS(SETORES!$D:$D,SETORES!$A:$A,A557,SETORES!$F:$F,J557)</f>
        <v>89561.188999999969</v>
      </c>
      <c r="F557" s="20">
        <f t="shared" si="30"/>
        <v>2136.2297786700142</v>
      </c>
      <c r="G557" s="9">
        <f>SUMIFS(PARÂMETROS!$F$8:$F$907,PARÂMETROS!$A$8:$A$907,C557,PARÂMETROS!$G$8:$G$907,J557)</f>
        <v>0</v>
      </c>
      <c r="H557" s="20">
        <f t="shared" si="31"/>
        <v>0</v>
      </c>
      <c r="I557" s="20">
        <f t="shared" si="32"/>
        <v>2136.2297786700142</v>
      </c>
      <c r="J557" s="11" t="s">
        <v>21</v>
      </c>
    </row>
    <row r="558" spans="1:10" ht="14.25" hidden="1" customHeight="1" x14ac:dyDescent="0.3">
      <c r="A558" s="2" t="s">
        <v>45</v>
      </c>
      <c r="B558" s="2" t="str">
        <f>INDEX(SETORES!$B:$B,MATCH(A558,SETORES!$A:$A,0))</f>
        <v>Clientes</v>
      </c>
      <c r="C558" s="2" t="s">
        <v>18</v>
      </c>
      <c r="D558" s="14">
        <f>IF(B558="Clientes",SUMIFS(PARÂMETROS!$D$8:$D$907,PARÂMETROS!$A$8:$A$907,C558,PARÂMETROS!$G$8:$G$907,J558),SUMIFS(PARÂMETROS!$E$8:$E$907,PARÂMETROS!$A$8:$A$907,C558,PARÂMETROS!$G$8:$G$907,J558))</f>
        <v>0.72827074162121386</v>
      </c>
      <c r="E558" s="21">
        <f>SUMIFS(SETORES!$D:$D,SETORES!$A:$A,A558,SETORES!$F:$F,J558)</f>
        <v>89561.188999999969</v>
      </c>
      <c r="F558" s="21">
        <f t="shared" si="30"/>
        <v>65224.793533507676</v>
      </c>
      <c r="G558" s="14">
        <f>SUMIFS(PARÂMETROS!$F$8:$F$907,PARÂMETROS!$A$8:$A$907,C558,PARÂMETROS!$G$8:$G$907,J558)</f>
        <v>0</v>
      </c>
      <c r="H558" s="21">
        <f t="shared" si="31"/>
        <v>0</v>
      </c>
      <c r="I558" s="21">
        <f t="shared" si="32"/>
        <v>65224.793533507676</v>
      </c>
      <c r="J558" s="2" t="s">
        <v>21</v>
      </c>
    </row>
    <row r="559" spans="1:10" ht="14.25" hidden="1" customHeight="1" x14ac:dyDescent="0.3">
      <c r="A559" s="11" t="s">
        <v>46</v>
      </c>
      <c r="B559" s="19" t="str">
        <f>INDEX(SETORES!$B:$B,MATCH(A559,SETORES!$A:$A,0))</f>
        <v>Clientes</v>
      </c>
      <c r="C559" s="11" t="s">
        <v>10</v>
      </c>
      <c r="D559" s="9">
        <f>IF(B559="Clientes",SUMIFS(PARÂMETROS!$D$8:$D$907,PARÂMETROS!$A$8:$A$907,C559,PARÂMETROS!$G$8:$G$907,J559),SUMIFS(PARÂMETROS!$E$8:$E$907,PARÂMETROS!$A$8:$A$907,C559,PARÂMETROS!$G$8:$G$907,J559))</f>
        <v>3.2696249460273663E-2</v>
      </c>
      <c r="E559" s="20">
        <f>SUMIFS(SETORES!$D:$D,SETORES!$A:$A,A559,SETORES!$F:$F,J559)</f>
        <v>182531.93999999997</v>
      </c>
      <c r="F559" s="20">
        <f t="shared" si="30"/>
        <v>5968.1098447077038</v>
      </c>
      <c r="G559" s="9">
        <f>SUMIFS(PARÂMETROS!$F$8:$F$907,PARÂMETROS!$A$8:$A$907,C559,PARÂMETROS!$G$8:$G$907,J559)</f>
        <v>0</v>
      </c>
      <c r="H559" s="20">
        <f t="shared" si="31"/>
        <v>0</v>
      </c>
      <c r="I559" s="20">
        <f t="shared" si="32"/>
        <v>5968.1098447077038</v>
      </c>
      <c r="J559" s="11" t="s">
        <v>21</v>
      </c>
    </row>
    <row r="560" spans="1:10" ht="14.25" hidden="1" customHeight="1" x14ac:dyDescent="0.3">
      <c r="A560" s="2" t="s">
        <v>46</v>
      </c>
      <c r="B560" s="2" t="str">
        <f>INDEX(SETORES!$B:$B,MATCH(A560,SETORES!$A:$A,0))</f>
        <v>Clientes</v>
      </c>
      <c r="C560" s="2" t="s">
        <v>12</v>
      </c>
      <c r="D560" s="14">
        <f>IF(B560="Clientes",SUMIFS(PARÂMETROS!$D$8:$D$907,PARÂMETROS!$A$8:$A$907,C560,PARÂMETROS!$G$8:$G$907,J560),SUMIFS(PARÂMETROS!$E$8:$E$907,PARÂMETROS!$A$8:$A$907,C560,PARÂMETROS!$G$8:$G$907,J560))</f>
        <v>6.7149401213950008E-2</v>
      </c>
      <c r="E560" s="21">
        <f>SUMIFS(SETORES!$D:$D,SETORES!$A:$A,A560,SETORES!$F:$F,J560)</f>
        <v>182531.93999999997</v>
      </c>
      <c r="F560" s="21">
        <f t="shared" si="30"/>
        <v>12256.910473420648</v>
      </c>
      <c r="G560" s="14">
        <f>SUMIFS(PARÂMETROS!$F$8:$F$907,PARÂMETROS!$A$8:$A$907,C560,PARÂMETROS!$G$8:$G$907,J560)</f>
        <v>0</v>
      </c>
      <c r="H560" s="21">
        <f t="shared" si="31"/>
        <v>0</v>
      </c>
      <c r="I560" s="21">
        <f t="shared" si="32"/>
        <v>12256.910473420648</v>
      </c>
      <c r="J560" s="2" t="s">
        <v>21</v>
      </c>
    </row>
    <row r="561" spans="1:10" ht="14.25" hidden="1" customHeight="1" x14ac:dyDescent="0.3">
      <c r="A561" s="11" t="s">
        <v>46</v>
      </c>
      <c r="B561" s="19" t="str">
        <f>INDEX(SETORES!$B:$B,MATCH(A561,SETORES!$A:$A,0))</f>
        <v>Clientes</v>
      </c>
      <c r="C561" s="11" t="s">
        <v>13</v>
      </c>
      <c r="D561" s="9">
        <f>IF(B561="Clientes",SUMIFS(PARÂMETROS!$D$8:$D$907,PARÂMETROS!$A$8:$A$907,C561,PARÂMETROS!$G$8:$G$907,J561),SUMIFS(PARÂMETROS!$E$8:$E$907,PARÂMETROS!$A$8:$A$907,C561,PARÂMETROS!$G$8:$G$907,J561))</f>
        <v>7.2901519174553703E-2</v>
      </c>
      <c r="E561" s="20">
        <f>SUMIFS(SETORES!$D:$D,SETORES!$A:$A,A561,SETORES!$F:$F,J561)</f>
        <v>182531.93999999997</v>
      </c>
      <c r="F561" s="20">
        <f t="shared" si="30"/>
        <v>13306.855723878483</v>
      </c>
      <c r="G561" s="9">
        <f>SUMIFS(PARÂMETROS!$F$8:$F$907,PARÂMETROS!$A$8:$A$907,C561,PARÂMETROS!$G$8:$G$907,J561)</f>
        <v>0</v>
      </c>
      <c r="H561" s="20">
        <f t="shared" si="31"/>
        <v>0</v>
      </c>
      <c r="I561" s="20">
        <f t="shared" si="32"/>
        <v>13306.855723878483</v>
      </c>
      <c r="J561" s="11" t="s">
        <v>21</v>
      </c>
    </row>
    <row r="562" spans="1:10" ht="14.25" customHeight="1" x14ac:dyDescent="0.3">
      <c r="A562" s="2" t="s">
        <v>46</v>
      </c>
      <c r="B562" s="2" t="str">
        <f>INDEX(SETORES!$B:$B,MATCH(A562,SETORES!$A:$A,0))</f>
        <v>Clientes</v>
      </c>
      <c r="C562" s="2" t="s">
        <v>14</v>
      </c>
      <c r="D562" s="14">
        <f>IF(B562="Clientes",SUMIFS(PARÂMETROS!$D$8:$D$907,PARÂMETROS!$A$8:$A$907,C562,PARÂMETROS!$G$8:$G$907,J562),SUMIFS(PARÂMETROS!$E$8:$E$907,PARÂMETROS!$A$8:$A$907,C562,PARÂMETROS!$G$8:$G$907,J562))</f>
        <v>1.8685698120511587E-2</v>
      </c>
      <c r="E562" s="21">
        <f>SUMIFS(SETORES!$D:$D,SETORES!$A:$A,A562,SETORES!$F:$F,J562)</f>
        <v>182531.93999999997</v>
      </c>
      <c r="F562" s="21">
        <f t="shared" si="30"/>
        <v>3410.7367281913334</v>
      </c>
      <c r="G562" s="14">
        <f>SUMIFS(PARÂMETROS!$F$8:$F$907,PARÂMETROS!$A$8:$A$907,C562,PARÂMETROS!$G$8:$G$907,J562)</f>
        <v>0</v>
      </c>
      <c r="H562" s="21">
        <f t="shared" si="31"/>
        <v>0</v>
      </c>
      <c r="I562" s="21">
        <f t="shared" si="32"/>
        <v>3410.7367281913334</v>
      </c>
      <c r="J562" s="2" t="s">
        <v>21</v>
      </c>
    </row>
    <row r="563" spans="1:10" ht="14.25" hidden="1" customHeight="1" x14ac:dyDescent="0.3">
      <c r="A563" s="11" t="s">
        <v>46</v>
      </c>
      <c r="B563" s="19" t="str">
        <f>INDEX(SETORES!$B:$B,MATCH(A563,SETORES!$A:$A,0))</f>
        <v>Clientes</v>
      </c>
      <c r="C563" s="11" t="s">
        <v>15</v>
      </c>
      <c r="D563" s="9">
        <f>IF(B563="Clientes",SUMIFS(PARÂMETROS!$D$8:$D$907,PARÂMETROS!$A$8:$A$907,C563,PARÂMETROS!$G$8:$G$907,J563),SUMIFS(PARÂMETROS!$E$8:$E$907,PARÂMETROS!$A$8:$A$907,C563,PARÂMETROS!$G$8:$G$907,J563))</f>
        <v>3.2596989443697238E-2</v>
      </c>
      <c r="E563" s="20">
        <f>SUMIFS(SETORES!$D:$D,SETORES!$A:$A,A563,SETORES!$F:$F,J563)</f>
        <v>182531.93999999997</v>
      </c>
      <c r="F563" s="20">
        <f t="shared" si="30"/>
        <v>5949.9917213175768</v>
      </c>
      <c r="G563" s="9">
        <f>SUMIFS(PARÂMETROS!$F$8:$F$907,PARÂMETROS!$A$8:$A$907,C563,PARÂMETROS!$G$8:$G$907,J563)</f>
        <v>0</v>
      </c>
      <c r="H563" s="20">
        <f t="shared" si="31"/>
        <v>0</v>
      </c>
      <c r="I563" s="20">
        <f t="shared" si="32"/>
        <v>5949.9917213175768</v>
      </c>
      <c r="J563" s="11" t="s">
        <v>21</v>
      </c>
    </row>
    <row r="564" spans="1:10" ht="14.25" hidden="1" customHeight="1" x14ac:dyDescent="0.3">
      <c r="A564" s="2" t="s">
        <v>46</v>
      </c>
      <c r="B564" s="2" t="str">
        <f>INDEX(SETORES!$B:$B,MATCH(A564,SETORES!$A:$A,0))</f>
        <v>Clientes</v>
      </c>
      <c r="C564" s="2" t="s">
        <v>16</v>
      </c>
      <c r="D564" s="14">
        <f>IF(B564="Clientes",SUMIFS(PARÂMETROS!$D$8:$D$907,PARÂMETROS!$A$8:$A$907,C564,PARÂMETROS!$G$8:$G$907,J564),SUMIFS(PARÂMETROS!$E$8:$E$907,PARÂMETROS!$A$8:$A$907,C564,PARÂMETROS!$G$8:$G$907,J564))</f>
        <v>2.3847218982485568E-2</v>
      </c>
      <c r="E564" s="21">
        <f>SUMIFS(SETORES!$D:$D,SETORES!$A:$A,A564,SETORES!$F:$F,J564)</f>
        <v>182531.93999999997</v>
      </c>
      <c r="F564" s="21">
        <f t="shared" si="30"/>
        <v>4352.8791444779163</v>
      </c>
      <c r="G564" s="14">
        <f>SUMIFS(PARÂMETROS!$F$8:$F$907,PARÂMETROS!$A$8:$A$907,C564,PARÂMETROS!$G$8:$G$907,J564)</f>
        <v>0</v>
      </c>
      <c r="H564" s="21">
        <f t="shared" si="31"/>
        <v>0</v>
      </c>
      <c r="I564" s="21">
        <f t="shared" si="32"/>
        <v>4352.8791444779163</v>
      </c>
      <c r="J564" s="2" t="s">
        <v>21</v>
      </c>
    </row>
    <row r="565" spans="1:10" ht="14.25" hidden="1" customHeight="1" x14ac:dyDescent="0.3">
      <c r="A565" s="11" t="s">
        <v>46</v>
      </c>
      <c r="B565" s="19" t="str">
        <f>INDEX(SETORES!$B:$B,MATCH(A565,SETORES!$A:$A,0))</f>
        <v>Clientes</v>
      </c>
      <c r="C565" s="11" t="s">
        <v>17</v>
      </c>
      <c r="D565" s="9">
        <f>IF(B565="Clientes",SUMIFS(PARÂMETROS!$D$8:$D$907,PARÂMETROS!$A$8:$A$907,C565,PARÂMETROS!$G$8:$G$907,J565),SUMIFS(PARÂMETROS!$E$8:$E$907,PARÂMETROS!$A$8:$A$907,C565,PARÂMETROS!$G$8:$G$907,J565))</f>
        <v>2.3852181983314392E-2</v>
      </c>
      <c r="E565" s="20">
        <f>SUMIFS(SETORES!$D:$D,SETORES!$A:$A,A565,SETORES!$F:$F,J565)</f>
        <v>182531.93999999997</v>
      </c>
      <c r="F565" s="20">
        <f t="shared" si="30"/>
        <v>4353.7850506474233</v>
      </c>
      <c r="G565" s="9">
        <f>SUMIFS(PARÂMETROS!$F$8:$F$907,PARÂMETROS!$A$8:$A$907,C565,PARÂMETROS!$G$8:$G$907,J565)</f>
        <v>0</v>
      </c>
      <c r="H565" s="20">
        <f t="shared" si="31"/>
        <v>0</v>
      </c>
      <c r="I565" s="20">
        <f t="shared" si="32"/>
        <v>4353.7850506474233</v>
      </c>
      <c r="J565" s="11" t="s">
        <v>21</v>
      </c>
    </row>
    <row r="566" spans="1:10" ht="14.25" hidden="1" customHeight="1" x14ac:dyDescent="0.3">
      <c r="A566" s="2" t="s">
        <v>46</v>
      </c>
      <c r="B566" s="2" t="str">
        <f>INDEX(SETORES!$B:$B,MATCH(A566,SETORES!$A:$A,0))</f>
        <v>Clientes</v>
      </c>
      <c r="C566" s="2" t="s">
        <v>18</v>
      </c>
      <c r="D566" s="14">
        <f>IF(B566="Clientes",SUMIFS(PARÂMETROS!$D$8:$D$907,PARÂMETROS!$A$8:$A$907,C566,PARÂMETROS!$G$8:$G$907,J566),SUMIFS(PARÂMETROS!$E$8:$E$907,PARÂMETROS!$A$8:$A$907,C566,PARÂMETROS!$G$8:$G$907,J566))</f>
        <v>0.72827074162121386</v>
      </c>
      <c r="E566" s="21">
        <f>SUMIFS(SETORES!$D:$D,SETORES!$A:$A,A566,SETORES!$F:$F,J566)</f>
        <v>182531.93999999997</v>
      </c>
      <c r="F566" s="21">
        <f t="shared" si="30"/>
        <v>132932.67131335888</v>
      </c>
      <c r="G566" s="14">
        <f>SUMIFS(PARÂMETROS!$F$8:$F$907,PARÂMETROS!$A$8:$A$907,C566,PARÂMETROS!$G$8:$G$907,J566)</f>
        <v>0</v>
      </c>
      <c r="H566" s="21">
        <f t="shared" si="31"/>
        <v>0</v>
      </c>
      <c r="I566" s="21">
        <f t="shared" si="32"/>
        <v>132932.67131335888</v>
      </c>
      <c r="J566" s="2" t="s">
        <v>21</v>
      </c>
    </row>
    <row r="567" spans="1:10" ht="14.25" hidden="1" customHeight="1" x14ac:dyDescent="0.3">
      <c r="A567" s="11" t="s">
        <v>47</v>
      </c>
      <c r="B567" s="19" t="str">
        <f>INDEX(SETORES!$B:$B,MATCH(A567,SETORES!$A:$A,0))</f>
        <v>Clientes</v>
      </c>
      <c r="C567" s="11" t="s">
        <v>10</v>
      </c>
      <c r="D567" s="9">
        <f>IF(B567="Clientes",SUMIFS(PARÂMETROS!$D$8:$D$907,PARÂMETROS!$A$8:$A$907,C567,PARÂMETROS!$G$8:$G$907,J567),SUMIFS(PARÂMETROS!$E$8:$E$907,PARÂMETROS!$A$8:$A$907,C567,PARÂMETROS!$G$8:$G$907,J567))</f>
        <v>3.2696249460273663E-2</v>
      </c>
      <c r="E567" s="20">
        <f>SUMIFS(SETORES!$D:$D,SETORES!$A:$A,A567,SETORES!$F:$F,J567)</f>
        <v>120124.91</v>
      </c>
      <c r="F567" s="20">
        <f t="shared" si="30"/>
        <v>3927.6340237529225</v>
      </c>
      <c r="G567" s="9">
        <f>SUMIFS(PARÂMETROS!$F$8:$F$907,PARÂMETROS!$A$8:$A$907,C567,PARÂMETROS!$G$8:$G$907,J567)</f>
        <v>0</v>
      </c>
      <c r="H567" s="20">
        <f t="shared" si="31"/>
        <v>0</v>
      </c>
      <c r="I567" s="20">
        <f t="shared" si="32"/>
        <v>3927.6340237529225</v>
      </c>
      <c r="J567" s="11" t="s">
        <v>21</v>
      </c>
    </row>
    <row r="568" spans="1:10" ht="14.25" hidden="1" customHeight="1" x14ac:dyDescent="0.3">
      <c r="A568" s="2" t="s">
        <v>47</v>
      </c>
      <c r="B568" s="2" t="str">
        <f>INDEX(SETORES!$B:$B,MATCH(A568,SETORES!$A:$A,0))</f>
        <v>Clientes</v>
      </c>
      <c r="C568" s="2" t="s">
        <v>12</v>
      </c>
      <c r="D568" s="14">
        <f>IF(B568="Clientes",SUMIFS(PARÂMETROS!$D$8:$D$907,PARÂMETROS!$A$8:$A$907,C568,PARÂMETROS!$G$8:$G$907,J568),SUMIFS(PARÂMETROS!$E$8:$E$907,PARÂMETROS!$A$8:$A$907,C568,PARÂMETROS!$G$8:$G$907,J568))</f>
        <v>6.7149401213950008E-2</v>
      </c>
      <c r="E568" s="21">
        <f>SUMIFS(SETORES!$D:$D,SETORES!$A:$A,A568,SETORES!$F:$F,J568)</f>
        <v>120124.91</v>
      </c>
      <c r="F568" s="21">
        <f t="shared" si="30"/>
        <v>8066.3157773796356</v>
      </c>
      <c r="G568" s="14">
        <f>SUMIFS(PARÂMETROS!$F$8:$F$907,PARÂMETROS!$A$8:$A$907,C568,PARÂMETROS!$G$8:$G$907,J568)</f>
        <v>0</v>
      </c>
      <c r="H568" s="21">
        <f t="shared" si="31"/>
        <v>0</v>
      </c>
      <c r="I568" s="21">
        <f t="shared" si="32"/>
        <v>8066.3157773796356</v>
      </c>
      <c r="J568" s="2" t="s">
        <v>21</v>
      </c>
    </row>
    <row r="569" spans="1:10" ht="14.25" hidden="1" customHeight="1" x14ac:dyDescent="0.3">
      <c r="A569" s="11" t="s">
        <v>47</v>
      </c>
      <c r="B569" s="19" t="str">
        <f>INDEX(SETORES!$B:$B,MATCH(A569,SETORES!$A:$A,0))</f>
        <v>Clientes</v>
      </c>
      <c r="C569" s="11" t="s">
        <v>13</v>
      </c>
      <c r="D569" s="9">
        <f>IF(B569="Clientes",SUMIFS(PARÂMETROS!$D$8:$D$907,PARÂMETROS!$A$8:$A$907,C569,PARÂMETROS!$G$8:$G$907,J569),SUMIFS(PARÂMETROS!$E$8:$E$907,PARÂMETROS!$A$8:$A$907,C569,PARÂMETROS!$G$8:$G$907,J569))</f>
        <v>7.2901519174553703E-2</v>
      </c>
      <c r="E569" s="20">
        <f>SUMIFS(SETORES!$D:$D,SETORES!$A:$A,A569,SETORES!$F:$F,J569)</f>
        <v>120124.91</v>
      </c>
      <c r="F569" s="20">
        <f t="shared" si="30"/>
        <v>8757.2884297065375</v>
      </c>
      <c r="G569" s="9">
        <f>SUMIFS(PARÂMETROS!$F$8:$F$907,PARÂMETROS!$A$8:$A$907,C569,PARÂMETROS!$G$8:$G$907,J569)</f>
        <v>0</v>
      </c>
      <c r="H569" s="20">
        <f t="shared" si="31"/>
        <v>0</v>
      </c>
      <c r="I569" s="20">
        <f t="shared" si="32"/>
        <v>8757.2884297065375</v>
      </c>
      <c r="J569" s="11" t="s">
        <v>21</v>
      </c>
    </row>
    <row r="570" spans="1:10" ht="14.25" customHeight="1" x14ac:dyDescent="0.3">
      <c r="A570" s="2" t="s">
        <v>47</v>
      </c>
      <c r="B570" s="2" t="str">
        <f>INDEX(SETORES!$B:$B,MATCH(A570,SETORES!$A:$A,0))</f>
        <v>Clientes</v>
      </c>
      <c r="C570" s="2" t="s">
        <v>14</v>
      </c>
      <c r="D570" s="14">
        <f>IF(B570="Clientes",SUMIFS(PARÂMETROS!$D$8:$D$907,PARÂMETROS!$A$8:$A$907,C570,PARÂMETROS!$G$8:$G$907,J570),SUMIFS(PARÂMETROS!$E$8:$E$907,PARÂMETROS!$A$8:$A$907,C570,PARÂMETROS!$G$8:$G$907,J570))</f>
        <v>1.8685698120511587E-2</v>
      </c>
      <c r="E570" s="21">
        <f>SUMIFS(SETORES!$D:$D,SETORES!$A:$A,A570,SETORES!$F:$F,J570)</f>
        <v>120124.91</v>
      </c>
      <c r="F570" s="21">
        <f t="shared" si="30"/>
        <v>2244.6178050136236</v>
      </c>
      <c r="G570" s="14">
        <f>SUMIFS(PARÂMETROS!$F$8:$F$907,PARÂMETROS!$A$8:$A$907,C570,PARÂMETROS!$G$8:$G$907,J570)</f>
        <v>0</v>
      </c>
      <c r="H570" s="21">
        <f t="shared" si="31"/>
        <v>0</v>
      </c>
      <c r="I570" s="21">
        <f t="shared" si="32"/>
        <v>2244.6178050136236</v>
      </c>
      <c r="J570" s="2" t="s">
        <v>21</v>
      </c>
    </row>
    <row r="571" spans="1:10" ht="14.25" hidden="1" customHeight="1" x14ac:dyDescent="0.3">
      <c r="A571" s="11" t="s">
        <v>47</v>
      </c>
      <c r="B571" s="19" t="str">
        <f>INDEX(SETORES!$B:$B,MATCH(A571,SETORES!$A:$A,0))</f>
        <v>Clientes</v>
      </c>
      <c r="C571" s="11" t="s">
        <v>15</v>
      </c>
      <c r="D571" s="9">
        <f>IF(B571="Clientes",SUMIFS(PARÂMETROS!$D$8:$D$907,PARÂMETROS!$A$8:$A$907,C571,PARÂMETROS!$G$8:$G$907,J571),SUMIFS(PARÂMETROS!$E$8:$E$907,PARÂMETROS!$A$8:$A$907,C571,PARÂMETROS!$G$8:$G$907,J571))</f>
        <v>3.2596989443697238E-2</v>
      </c>
      <c r="E571" s="20">
        <f>SUMIFS(SETORES!$D:$D,SETORES!$A:$A,A571,SETORES!$F:$F,J571)</f>
        <v>120124.91</v>
      </c>
      <c r="F571" s="20">
        <f t="shared" si="30"/>
        <v>3915.7104231950811</v>
      </c>
      <c r="G571" s="9">
        <f>SUMIFS(PARÂMETROS!$F$8:$F$907,PARÂMETROS!$A$8:$A$907,C571,PARÂMETROS!$G$8:$G$907,J571)</f>
        <v>0</v>
      </c>
      <c r="H571" s="20">
        <f t="shared" si="31"/>
        <v>0</v>
      </c>
      <c r="I571" s="20">
        <f t="shared" si="32"/>
        <v>3915.7104231950811</v>
      </c>
      <c r="J571" s="11" t="s">
        <v>21</v>
      </c>
    </row>
    <row r="572" spans="1:10" ht="14.25" hidden="1" customHeight="1" x14ac:dyDescent="0.3">
      <c r="A572" s="2" t="s">
        <v>47</v>
      </c>
      <c r="B572" s="2" t="str">
        <f>INDEX(SETORES!$B:$B,MATCH(A572,SETORES!$A:$A,0))</f>
        <v>Clientes</v>
      </c>
      <c r="C572" s="2" t="s">
        <v>16</v>
      </c>
      <c r="D572" s="14">
        <f>IF(B572="Clientes",SUMIFS(PARÂMETROS!$D$8:$D$907,PARÂMETROS!$A$8:$A$907,C572,PARÂMETROS!$G$8:$G$907,J572),SUMIFS(PARÂMETROS!$E$8:$E$907,PARÂMETROS!$A$8:$A$907,C572,PARÂMETROS!$G$8:$G$907,J572))</f>
        <v>2.3847218982485568E-2</v>
      </c>
      <c r="E572" s="21">
        <f>SUMIFS(SETORES!$D:$D,SETORES!$A:$A,A572,SETORES!$F:$F,J572)</f>
        <v>120124.91</v>
      </c>
      <c r="F572" s="21">
        <f t="shared" si="30"/>
        <v>2864.6450340213705</v>
      </c>
      <c r="G572" s="14">
        <f>SUMIFS(PARÂMETROS!$F$8:$F$907,PARÂMETROS!$A$8:$A$907,C572,PARÂMETROS!$G$8:$G$907,J572)</f>
        <v>0</v>
      </c>
      <c r="H572" s="21">
        <f t="shared" si="31"/>
        <v>0</v>
      </c>
      <c r="I572" s="21">
        <f t="shared" si="32"/>
        <v>2864.6450340213705</v>
      </c>
      <c r="J572" s="2" t="s">
        <v>21</v>
      </c>
    </row>
    <row r="573" spans="1:10" ht="14.25" hidden="1" customHeight="1" x14ac:dyDescent="0.3">
      <c r="A573" s="11" t="s">
        <v>47</v>
      </c>
      <c r="B573" s="19" t="str">
        <f>INDEX(SETORES!$B:$B,MATCH(A573,SETORES!$A:$A,0))</f>
        <v>Clientes</v>
      </c>
      <c r="C573" s="11" t="s">
        <v>17</v>
      </c>
      <c r="D573" s="9">
        <f>IF(B573="Clientes",SUMIFS(PARÂMETROS!$D$8:$D$907,PARÂMETROS!$A$8:$A$907,C573,PARÂMETROS!$G$8:$G$907,J573),SUMIFS(PARÂMETROS!$E$8:$E$907,PARÂMETROS!$A$8:$A$907,C573,PARÂMETROS!$G$8:$G$907,J573))</f>
        <v>2.3852181983314392E-2</v>
      </c>
      <c r="E573" s="20">
        <f>SUMIFS(SETORES!$D:$D,SETORES!$A:$A,A573,SETORES!$F:$F,J573)</f>
        <v>120124.91</v>
      </c>
      <c r="F573" s="20">
        <f t="shared" si="30"/>
        <v>2865.2412140492629</v>
      </c>
      <c r="G573" s="9">
        <f>SUMIFS(PARÂMETROS!$F$8:$F$907,PARÂMETROS!$A$8:$A$907,C573,PARÂMETROS!$G$8:$G$907,J573)</f>
        <v>0</v>
      </c>
      <c r="H573" s="20">
        <f t="shared" si="31"/>
        <v>0</v>
      </c>
      <c r="I573" s="20">
        <f t="shared" si="32"/>
        <v>2865.2412140492629</v>
      </c>
      <c r="J573" s="11" t="s">
        <v>21</v>
      </c>
    </row>
    <row r="574" spans="1:10" ht="14.25" hidden="1" customHeight="1" x14ac:dyDescent="0.3">
      <c r="A574" s="2" t="s">
        <v>47</v>
      </c>
      <c r="B574" s="2" t="str">
        <f>INDEX(SETORES!$B:$B,MATCH(A574,SETORES!$A:$A,0))</f>
        <v>Clientes</v>
      </c>
      <c r="C574" s="2" t="s">
        <v>18</v>
      </c>
      <c r="D574" s="14">
        <f>IF(B574="Clientes",SUMIFS(PARÂMETROS!$D$8:$D$907,PARÂMETROS!$A$8:$A$907,C574,PARÂMETROS!$G$8:$G$907,J574),SUMIFS(PARÂMETROS!$E$8:$E$907,PARÂMETROS!$A$8:$A$907,C574,PARÂMETROS!$G$8:$G$907,J574))</f>
        <v>0.72827074162121386</v>
      </c>
      <c r="E574" s="21">
        <f>SUMIFS(SETORES!$D:$D,SETORES!$A:$A,A574,SETORES!$F:$F,J574)</f>
        <v>120124.91</v>
      </c>
      <c r="F574" s="21">
        <f t="shared" si="30"/>
        <v>87483.457292881576</v>
      </c>
      <c r="G574" s="14">
        <f>SUMIFS(PARÂMETROS!$F$8:$F$907,PARÂMETROS!$A$8:$A$907,C574,PARÂMETROS!$G$8:$G$907,J574)</f>
        <v>0</v>
      </c>
      <c r="H574" s="21">
        <f t="shared" si="31"/>
        <v>0</v>
      </c>
      <c r="I574" s="21">
        <f t="shared" si="32"/>
        <v>87483.457292881576</v>
      </c>
      <c r="J574" s="2" t="s">
        <v>21</v>
      </c>
    </row>
    <row r="575" spans="1:10" ht="14.25" hidden="1" customHeight="1" x14ac:dyDescent="0.3">
      <c r="A575" s="11" t="s">
        <v>48</v>
      </c>
      <c r="B575" s="19" t="str">
        <f>INDEX(SETORES!$B:$B,MATCH(A575,SETORES!$A:$A,0))</f>
        <v>Clientes</v>
      </c>
      <c r="C575" s="11" t="s">
        <v>10</v>
      </c>
      <c r="D575" s="9">
        <f>IF(B575="Clientes",SUMIFS(PARÂMETROS!$D$8:$D$907,PARÂMETROS!$A$8:$A$907,C575,PARÂMETROS!$G$8:$G$907,J575),SUMIFS(PARÂMETROS!$E$8:$E$907,PARÂMETROS!$A$8:$A$907,C575,PARÂMETROS!$G$8:$G$907,J575))</f>
        <v>3.2696249460273663E-2</v>
      </c>
      <c r="E575" s="20">
        <f>SUMIFS(SETORES!$D:$D,SETORES!$A:$A,A575,SETORES!$F:$F,J575)</f>
        <v>143727.07756199999</v>
      </c>
      <c r="F575" s="20">
        <f t="shared" si="30"/>
        <v>4699.3363821632529</v>
      </c>
      <c r="G575" s="9">
        <f>SUMIFS(PARÂMETROS!$F$8:$F$907,PARÂMETROS!$A$8:$A$907,C575,PARÂMETROS!$G$8:$G$907,J575)</f>
        <v>0</v>
      </c>
      <c r="H575" s="20">
        <f t="shared" si="31"/>
        <v>0</v>
      </c>
      <c r="I575" s="20">
        <f t="shared" si="32"/>
        <v>4699.3363821632529</v>
      </c>
      <c r="J575" s="11" t="s">
        <v>21</v>
      </c>
    </row>
    <row r="576" spans="1:10" ht="14.25" hidden="1" customHeight="1" x14ac:dyDescent="0.3">
      <c r="A576" s="2" t="s">
        <v>48</v>
      </c>
      <c r="B576" s="2" t="str">
        <f>INDEX(SETORES!$B:$B,MATCH(A576,SETORES!$A:$A,0))</f>
        <v>Clientes</v>
      </c>
      <c r="C576" s="2" t="s">
        <v>12</v>
      </c>
      <c r="D576" s="14">
        <f>IF(B576="Clientes",SUMIFS(PARÂMETROS!$D$8:$D$907,PARÂMETROS!$A$8:$A$907,C576,PARÂMETROS!$G$8:$G$907,J576),SUMIFS(PARÂMETROS!$E$8:$E$907,PARÂMETROS!$A$8:$A$907,C576,PARÂMETROS!$G$8:$G$907,J576))</f>
        <v>6.7149401213950008E-2</v>
      </c>
      <c r="E576" s="21">
        <f>SUMIFS(SETORES!$D:$D,SETORES!$A:$A,A576,SETORES!$F:$F,J576)</f>
        <v>143727.07756199999</v>
      </c>
      <c r="F576" s="21">
        <f t="shared" si="30"/>
        <v>9651.1871965192495</v>
      </c>
      <c r="G576" s="14">
        <f>SUMIFS(PARÂMETROS!$F$8:$F$907,PARÂMETROS!$A$8:$A$907,C576,PARÂMETROS!$G$8:$G$907,J576)</f>
        <v>0</v>
      </c>
      <c r="H576" s="21">
        <f t="shared" si="31"/>
        <v>0</v>
      </c>
      <c r="I576" s="21">
        <f t="shared" si="32"/>
        <v>9651.1871965192495</v>
      </c>
      <c r="J576" s="2" t="s">
        <v>21</v>
      </c>
    </row>
    <row r="577" spans="1:10" ht="14.25" hidden="1" customHeight="1" x14ac:dyDescent="0.3">
      <c r="A577" s="11" t="s">
        <v>48</v>
      </c>
      <c r="B577" s="19" t="str">
        <f>INDEX(SETORES!$B:$B,MATCH(A577,SETORES!$A:$A,0))</f>
        <v>Clientes</v>
      </c>
      <c r="C577" s="11" t="s">
        <v>13</v>
      </c>
      <c r="D577" s="9">
        <f>IF(B577="Clientes",SUMIFS(PARÂMETROS!$D$8:$D$907,PARÂMETROS!$A$8:$A$907,C577,PARÂMETROS!$G$8:$G$907,J577),SUMIFS(PARÂMETROS!$E$8:$E$907,PARÂMETROS!$A$8:$A$907,C577,PARÂMETROS!$G$8:$G$907,J577))</f>
        <v>7.2901519174553703E-2</v>
      </c>
      <c r="E577" s="20">
        <f>SUMIFS(SETORES!$D:$D,SETORES!$A:$A,A577,SETORES!$F:$F,J577)</f>
        <v>143727.07756199999</v>
      </c>
      <c r="F577" s="20">
        <f t="shared" si="30"/>
        <v>10477.92230078871</v>
      </c>
      <c r="G577" s="9">
        <f>SUMIFS(PARÂMETROS!$F$8:$F$907,PARÂMETROS!$A$8:$A$907,C577,PARÂMETROS!$G$8:$G$907,J577)</f>
        <v>0</v>
      </c>
      <c r="H577" s="20">
        <f t="shared" si="31"/>
        <v>0</v>
      </c>
      <c r="I577" s="20">
        <f t="shared" si="32"/>
        <v>10477.92230078871</v>
      </c>
      <c r="J577" s="11" t="s">
        <v>21</v>
      </c>
    </row>
    <row r="578" spans="1:10" ht="14.25" customHeight="1" x14ac:dyDescent="0.3">
      <c r="A578" s="2" t="s">
        <v>48</v>
      </c>
      <c r="B578" s="2" t="str">
        <f>INDEX(SETORES!$B:$B,MATCH(A578,SETORES!$A:$A,0))</f>
        <v>Clientes</v>
      </c>
      <c r="C578" s="2" t="s">
        <v>14</v>
      </c>
      <c r="D578" s="14">
        <f>IF(B578="Clientes",SUMIFS(PARÂMETROS!$D$8:$D$907,PARÂMETROS!$A$8:$A$907,C578,PARÂMETROS!$G$8:$G$907,J578),SUMIFS(PARÂMETROS!$E$8:$E$907,PARÂMETROS!$A$8:$A$907,C578,PARÂMETROS!$G$8:$G$907,J578))</f>
        <v>1.8685698120511587E-2</v>
      </c>
      <c r="E578" s="21">
        <f>SUMIFS(SETORES!$D:$D,SETORES!$A:$A,A578,SETORES!$F:$F,J578)</f>
        <v>143727.07756199999</v>
      </c>
      <c r="F578" s="21">
        <f t="shared" si="30"/>
        <v>2685.6407830668863</v>
      </c>
      <c r="G578" s="14">
        <f>SUMIFS(PARÂMETROS!$F$8:$F$907,PARÂMETROS!$A$8:$A$907,C578,PARÂMETROS!$G$8:$G$907,J578)</f>
        <v>0</v>
      </c>
      <c r="H578" s="21">
        <f t="shared" si="31"/>
        <v>0</v>
      </c>
      <c r="I578" s="21">
        <f t="shared" si="32"/>
        <v>2685.6407830668863</v>
      </c>
      <c r="J578" s="2" t="s">
        <v>21</v>
      </c>
    </row>
    <row r="579" spans="1:10" ht="14.25" hidden="1" customHeight="1" x14ac:dyDescent="0.3">
      <c r="A579" s="11" t="s">
        <v>48</v>
      </c>
      <c r="B579" s="19" t="str">
        <f>INDEX(SETORES!$B:$B,MATCH(A579,SETORES!$A:$A,0))</f>
        <v>Clientes</v>
      </c>
      <c r="C579" s="11" t="s">
        <v>15</v>
      </c>
      <c r="D579" s="9">
        <f>IF(B579="Clientes",SUMIFS(PARÂMETROS!$D$8:$D$907,PARÂMETROS!$A$8:$A$907,C579,PARÂMETROS!$G$8:$G$907,J579),SUMIFS(PARÂMETROS!$E$8:$E$907,PARÂMETROS!$A$8:$A$907,C579,PARÂMETROS!$G$8:$G$907,J579))</f>
        <v>3.2596989443697238E-2</v>
      </c>
      <c r="E579" s="20">
        <f>SUMIFS(SETORES!$D:$D,SETORES!$A:$A,A579,SETORES!$F:$F,J579)</f>
        <v>143727.07756199999</v>
      </c>
      <c r="F579" s="20">
        <f t="shared" si="30"/>
        <v>4685.0700300619683</v>
      </c>
      <c r="G579" s="9">
        <f>SUMIFS(PARÂMETROS!$F$8:$F$907,PARÂMETROS!$A$8:$A$907,C579,PARÂMETROS!$G$8:$G$907,J579)</f>
        <v>0</v>
      </c>
      <c r="H579" s="20">
        <f t="shared" si="31"/>
        <v>0</v>
      </c>
      <c r="I579" s="20">
        <f t="shared" si="32"/>
        <v>4685.0700300619683</v>
      </c>
      <c r="J579" s="11" t="s">
        <v>21</v>
      </c>
    </row>
    <row r="580" spans="1:10" ht="14.25" hidden="1" customHeight="1" x14ac:dyDescent="0.3">
      <c r="A580" s="2" t="s">
        <v>48</v>
      </c>
      <c r="B580" s="2" t="str">
        <f>INDEX(SETORES!$B:$B,MATCH(A580,SETORES!$A:$A,0))</f>
        <v>Clientes</v>
      </c>
      <c r="C580" s="2" t="s">
        <v>16</v>
      </c>
      <c r="D580" s="14">
        <f>IF(B580="Clientes",SUMIFS(PARÂMETROS!$D$8:$D$907,PARÂMETROS!$A$8:$A$907,C580,PARÂMETROS!$G$8:$G$907,J580),SUMIFS(PARÂMETROS!$E$8:$E$907,PARÂMETROS!$A$8:$A$907,C580,PARÂMETROS!$G$8:$G$907,J580))</f>
        <v>2.3847218982485568E-2</v>
      </c>
      <c r="E580" s="21">
        <f>SUMIFS(SETORES!$D:$D,SETORES!$A:$A,A580,SETORES!$F:$F,J580)</f>
        <v>143727.07756199999</v>
      </c>
      <c r="F580" s="21">
        <f t="shared" si="30"/>
        <v>3427.491092333702</v>
      </c>
      <c r="G580" s="14">
        <f>SUMIFS(PARÂMETROS!$F$8:$F$907,PARÂMETROS!$A$8:$A$907,C580,PARÂMETROS!$G$8:$G$907,J580)</f>
        <v>0</v>
      </c>
      <c r="H580" s="21">
        <f t="shared" si="31"/>
        <v>0</v>
      </c>
      <c r="I580" s="21">
        <f t="shared" si="32"/>
        <v>3427.491092333702</v>
      </c>
      <c r="J580" s="2" t="s">
        <v>21</v>
      </c>
    </row>
    <row r="581" spans="1:10" ht="14.25" hidden="1" customHeight="1" x14ac:dyDescent="0.3">
      <c r="A581" s="11" t="s">
        <v>48</v>
      </c>
      <c r="B581" s="19" t="str">
        <f>INDEX(SETORES!$B:$B,MATCH(A581,SETORES!$A:$A,0))</f>
        <v>Clientes</v>
      </c>
      <c r="C581" s="11" t="s">
        <v>17</v>
      </c>
      <c r="D581" s="9">
        <f>IF(B581="Clientes",SUMIFS(PARÂMETROS!$D$8:$D$907,PARÂMETROS!$A$8:$A$907,C581,PARÂMETROS!$G$8:$G$907,J581),SUMIFS(PARÂMETROS!$E$8:$E$907,PARÂMETROS!$A$8:$A$907,C581,PARÂMETROS!$G$8:$G$907,J581))</f>
        <v>2.3852181983314392E-2</v>
      </c>
      <c r="E581" s="20">
        <f>SUMIFS(SETORES!$D:$D,SETORES!$A:$A,A581,SETORES!$F:$F,J581)</f>
        <v>143727.07756199999</v>
      </c>
      <c r="F581" s="20">
        <f t="shared" si="30"/>
        <v>3428.2044099387663</v>
      </c>
      <c r="G581" s="9">
        <f>SUMIFS(PARÂMETROS!$F$8:$F$907,PARÂMETROS!$A$8:$A$907,C581,PARÂMETROS!$G$8:$G$907,J581)</f>
        <v>0</v>
      </c>
      <c r="H581" s="20">
        <f t="shared" si="31"/>
        <v>0</v>
      </c>
      <c r="I581" s="20">
        <f t="shared" si="32"/>
        <v>3428.2044099387663</v>
      </c>
      <c r="J581" s="11" t="s">
        <v>21</v>
      </c>
    </row>
    <row r="582" spans="1:10" ht="14.25" hidden="1" customHeight="1" x14ac:dyDescent="0.3">
      <c r="A582" s="2" t="s">
        <v>48</v>
      </c>
      <c r="B582" s="2" t="str">
        <f>INDEX(SETORES!$B:$B,MATCH(A582,SETORES!$A:$A,0))</f>
        <v>Clientes</v>
      </c>
      <c r="C582" s="2" t="s">
        <v>18</v>
      </c>
      <c r="D582" s="14">
        <f>IF(B582="Clientes",SUMIFS(PARÂMETROS!$D$8:$D$907,PARÂMETROS!$A$8:$A$907,C582,PARÂMETROS!$G$8:$G$907,J582),SUMIFS(PARÂMETROS!$E$8:$E$907,PARÂMETROS!$A$8:$A$907,C582,PARÂMETROS!$G$8:$G$907,J582))</f>
        <v>0.72827074162121386</v>
      </c>
      <c r="E582" s="21">
        <f>SUMIFS(SETORES!$D:$D,SETORES!$A:$A,A582,SETORES!$F:$F,J582)</f>
        <v>143727.07756199999</v>
      </c>
      <c r="F582" s="21">
        <f t="shared" si="30"/>
        <v>104672.22536712747</v>
      </c>
      <c r="G582" s="14">
        <f>SUMIFS(PARÂMETROS!$F$8:$F$907,PARÂMETROS!$A$8:$A$907,C582,PARÂMETROS!$G$8:$G$907,J582)</f>
        <v>0</v>
      </c>
      <c r="H582" s="21">
        <f t="shared" si="31"/>
        <v>0</v>
      </c>
      <c r="I582" s="21">
        <f t="shared" si="32"/>
        <v>104672.22536712747</v>
      </c>
      <c r="J582" s="2" t="s">
        <v>21</v>
      </c>
    </row>
    <row r="583" spans="1:10" ht="14.25" hidden="1" customHeight="1" x14ac:dyDescent="0.3">
      <c r="A583" s="11" t="s">
        <v>49</v>
      </c>
      <c r="B583" s="19" t="str">
        <f>INDEX(SETORES!$B:$B,MATCH(A583,SETORES!$A:$A,0))</f>
        <v>Clientes</v>
      </c>
      <c r="C583" s="11" t="s">
        <v>10</v>
      </c>
      <c r="D583" s="9">
        <f>IF(B583="Clientes",SUMIFS(PARÂMETROS!$D$8:$D$907,PARÂMETROS!$A$8:$A$907,C583,PARÂMETROS!$G$8:$G$907,J583),SUMIFS(PARÂMETROS!$E$8:$E$907,PARÂMETROS!$A$8:$A$907,C583,PARÂMETROS!$G$8:$G$907,J583))</f>
        <v>3.2696249460273663E-2</v>
      </c>
      <c r="E583" s="20">
        <f>SUMIFS(SETORES!$D:$D,SETORES!$A:$A,A583,SETORES!$F:$F,J583)</f>
        <v>29394.164638000002</v>
      </c>
      <c r="F583" s="20">
        <f t="shared" si="30"/>
        <v>961.07893968040275</v>
      </c>
      <c r="G583" s="9">
        <f>SUMIFS(PARÂMETROS!$F$8:$F$907,PARÂMETROS!$A$8:$A$907,C583,PARÂMETROS!$G$8:$G$907,J583)</f>
        <v>0</v>
      </c>
      <c r="H583" s="20">
        <f t="shared" si="31"/>
        <v>0</v>
      </c>
      <c r="I583" s="20">
        <f t="shared" si="32"/>
        <v>961.07893968040275</v>
      </c>
      <c r="J583" s="11" t="s">
        <v>21</v>
      </c>
    </row>
    <row r="584" spans="1:10" ht="14.25" hidden="1" customHeight="1" x14ac:dyDescent="0.3">
      <c r="A584" s="2" t="s">
        <v>49</v>
      </c>
      <c r="B584" s="2" t="str">
        <f>INDEX(SETORES!$B:$B,MATCH(A584,SETORES!$A:$A,0))</f>
        <v>Clientes</v>
      </c>
      <c r="C584" s="2" t="s">
        <v>12</v>
      </c>
      <c r="D584" s="14">
        <f>IF(B584="Clientes",SUMIFS(PARÂMETROS!$D$8:$D$907,PARÂMETROS!$A$8:$A$907,C584,PARÂMETROS!$G$8:$G$907,J584),SUMIFS(PARÂMETROS!$E$8:$E$907,PARÂMETROS!$A$8:$A$907,C584,PARÂMETROS!$G$8:$G$907,J584))</f>
        <v>6.7149401213950008E-2</v>
      </c>
      <c r="E584" s="21">
        <f>SUMIFS(SETORES!$D:$D,SETORES!$A:$A,A584,SETORES!$F:$F,J584)</f>
        <v>29394.164638000002</v>
      </c>
      <c r="F584" s="21">
        <f t="shared" si="30"/>
        <v>1973.8005546259637</v>
      </c>
      <c r="G584" s="14">
        <f>SUMIFS(PARÂMETROS!$F$8:$F$907,PARÂMETROS!$A$8:$A$907,C584,PARÂMETROS!$G$8:$G$907,J584)</f>
        <v>0</v>
      </c>
      <c r="H584" s="21">
        <f t="shared" si="31"/>
        <v>0</v>
      </c>
      <c r="I584" s="21">
        <f t="shared" si="32"/>
        <v>1973.8005546259637</v>
      </c>
      <c r="J584" s="2" t="s">
        <v>21</v>
      </c>
    </row>
    <row r="585" spans="1:10" ht="14.25" hidden="1" customHeight="1" x14ac:dyDescent="0.3">
      <c r="A585" s="11" t="s">
        <v>49</v>
      </c>
      <c r="B585" s="19" t="str">
        <f>INDEX(SETORES!$B:$B,MATCH(A585,SETORES!$A:$A,0))</f>
        <v>Clientes</v>
      </c>
      <c r="C585" s="11" t="s">
        <v>13</v>
      </c>
      <c r="D585" s="9">
        <f>IF(B585="Clientes",SUMIFS(PARÂMETROS!$D$8:$D$907,PARÂMETROS!$A$8:$A$907,C585,PARÂMETROS!$G$8:$G$907,J585),SUMIFS(PARÂMETROS!$E$8:$E$907,PARÂMETROS!$A$8:$A$907,C585,PARÂMETROS!$G$8:$G$907,J585))</f>
        <v>7.2901519174553703E-2</v>
      </c>
      <c r="E585" s="20">
        <f>SUMIFS(SETORES!$D:$D,SETORES!$A:$A,A585,SETORES!$F:$F,J585)</f>
        <v>29394.164638000002</v>
      </c>
      <c r="F585" s="20">
        <f t="shared" si="30"/>
        <v>2142.8792569771454</v>
      </c>
      <c r="G585" s="9">
        <f>SUMIFS(PARÂMETROS!$F$8:$F$907,PARÂMETROS!$A$8:$A$907,C585,PARÂMETROS!$G$8:$G$907,J585)</f>
        <v>0</v>
      </c>
      <c r="H585" s="20">
        <f t="shared" si="31"/>
        <v>0</v>
      </c>
      <c r="I585" s="20">
        <f t="shared" si="32"/>
        <v>2142.8792569771454</v>
      </c>
      <c r="J585" s="11" t="s">
        <v>21</v>
      </c>
    </row>
    <row r="586" spans="1:10" ht="14.25" customHeight="1" x14ac:dyDescent="0.3">
      <c r="A586" s="2" t="s">
        <v>49</v>
      </c>
      <c r="B586" s="2" t="str">
        <f>INDEX(SETORES!$B:$B,MATCH(A586,SETORES!$A:$A,0))</f>
        <v>Clientes</v>
      </c>
      <c r="C586" s="2" t="s">
        <v>14</v>
      </c>
      <c r="D586" s="14">
        <f>IF(B586="Clientes",SUMIFS(PARÂMETROS!$D$8:$D$907,PARÂMETROS!$A$8:$A$907,C586,PARÂMETROS!$G$8:$G$907,J586),SUMIFS(PARÂMETROS!$E$8:$E$907,PARÂMETROS!$A$8:$A$907,C586,PARÂMETROS!$G$8:$G$907,J586))</f>
        <v>1.8685698120511587E-2</v>
      </c>
      <c r="E586" s="21">
        <f>SUMIFS(SETORES!$D:$D,SETORES!$A:$A,A586,SETORES!$F:$F,J586)</f>
        <v>29394.164638000002</v>
      </c>
      <c r="F586" s="21">
        <f t="shared" si="30"/>
        <v>549.25048693028475</v>
      </c>
      <c r="G586" s="14">
        <f>SUMIFS(PARÂMETROS!$F$8:$F$907,PARÂMETROS!$A$8:$A$907,C586,PARÂMETROS!$G$8:$G$907,J586)</f>
        <v>0</v>
      </c>
      <c r="H586" s="21">
        <f t="shared" si="31"/>
        <v>0</v>
      </c>
      <c r="I586" s="21">
        <f t="shared" si="32"/>
        <v>549.25048693028475</v>
      </c>
      <c r="J586" s="2" t="s">
        <v>21</v>
      </c>
    </row>
    <row r="587" spans="1:10" ht="14.25" hidden="1" customHeight="1" x14ac:dyDescent="0.3">
      <c r="A587" s="11" t="s">
        <v>49</v>
      </c>
      <c r="B587" s="19" t="str">
        <f>INDEX(SETORES!$B:$B,MATCH(A587,SETORES!$A:$A,0))</f>
        <v>Clientes</v>
      </c>
      <c r="C587" s="11" t="s">
        <v>15</v>
      </c>
      <c r="D587" s="9">
        <f>IF(B587="Clientes",SUMIFS(PARÂMETROS!$D$8:$D$907,PARÂMETROS!$A$8:$A$907,C587,PARÂMETROS!$G$8:$G$907,J587),SUMIFS(PARÂMETROS!$E$8:$E$907,PARÂMETROS!$A$8:$A$907,C587,PARÂMETROS!$G$8:$G$907,J587))</f>
        <v>3.2596989443697238E-2</v>
      </c>
      <c r="E587" s="20">
        <f>SUMIFS(SETORES!$D:$D,SETORES!$A:$A,A587,SETORES!$F:$F,J587)</f>
        <v>29394.164638000002</v>
      </c>
      <c r="F587" s="20">
        <f t="shared" si="30"/>
        <v>958.16127441118476</v>
      </c>
      <c r="G587" s="9">
        <f>SUMIFS(PARÂMETROS!$F$8:$F$907,PARÂMETROS!$A$8:$A$907,C587,PARÂMETROS!$G$8:$G$907,J587)</f>
        <v>0</v>
      </c>
      <c r="H587" s="20">
        <f t="shared" si="31"/>
        <v>0</v>
      </c>
      <c r="I587" s="20">
        <f t="shared" si="32"/>
        <v>958.16127441118476</v>
      </c>
      <c r="J587" s="11" t="s">
        <v>21</v>
      </c>
    </row>
    <row r="588" spans="1:10" ht="14.25" hidden="1" customHeight="1" x14ac:dyDescent="0.3">
      <c r="A588" s="2" t="s">
        <v>49</v>
      </c>
      <c r="B588" s="2" t="str">
        <f>INDEX(SETORES!$B:$B,MATCH(A588,SETORES!$A:$A,0))</f>
        <v>Clientes</v>
      </c>
      <c r="C588" s="2" t="s">
        <v>16</v>
      </c>
      <c r="D588" s="14">
        <f>IF(B588="Clientes",SUMIFS(PARÂMETROS!$D$8:$D$907,PARÂMETROS!$A$8:$A$907,C588,PARÂMETROS!$G$8:$G$907,J588),SUMIFS(PARÂMETROS!$E$8:$E$907,PARÂMETROS!$A$8:$A$907,C588,PARÂMETROS!$G$8:$G$907,J588))</f>
        <v>2.3847218982485568E-2</v>
      </c>
      <c r="E588" s="21">
        <f>SUMIFS(SETORES!$D:$D,SETORES!$A:$A,A588,SETORES!$F:$F,J588)</f>
        <v>29394.164638000002</v>
      </c>
      <c r="F588" s="21">
        <f t="shared" si="30"/>
        <v>700.96908092961974</v>
      </c>
      <c r="G588" s="14">
        <f>SUMIFS(PARÂMETROS!$F$8:$F$907,PARÂMETROS!$A$8:$A$907,C588,PARÂMETROS!$G$8:$G$907,J588)</f>
        <v>0</v>
      </c>
      <c r="H588" s="21">
        <f t="shared" si="31"/>
        <v>0</v>
      </c>
      <c r="I588" s="21">
        <f t="shared" si="32"/>
        <v>700.96908092961974</v>
      </c>
      <c r="J588" s="2" t="s">
        <v>21</v>
      </c>
    </row>
    <row r="589" spans="1:10" ht="14.25" hidden="1" customHeight="1" x14ac:dyDescent="0.3">
      <c r="A589" s="11" t="s">
        <v>49</v>
      </c>
      <c r="B589" s="19" t="str">
        <f>INDEX(SETORES!$B:$B,MATCH(A589,SETORES!$A:$A,0))</f>
        <v>Clientes</v>
      </c>
      <c r="C589" s="11" t="s">
        <v>17</v>
      </c>
      <c r="D589" s="9">
        <f>IF(B589="Clientes",SUMIFS(PARÂMETROS!$D$8:$D$907,PARÂMETROS!$A$8:$A$907,C589,PARÂMETROS!$G$8:$G$907,J589),SUMIFS(PARÂMETROS!$E$8:$E$907,PARÂMETROS!$A$8:$A$907,C589,PARÂMETROS!$G$8:$G$907,J589))</f>
        <v>2.3852181983314392E-2</v>
      </c>
      <c r="E589" s="20">
        <f>SUMIFS(SETORES!$D:$D,SETORES!$A:$A,A589,SETORES!$F:$F,J589)</f>
        <v>29394.164638000002</v>
      </c>
      <c r="F589" s="20">
        <f t="shared" si="30"/>
        <v>701.1149641930806</v>
      </c>
      <c r="G589" s="9">
        <f>SUMIFS(PARÂMETROS!$F$8:$F$907,PARÂMETROS!$A$8:$A$907,C589,PARÂMETROS!$G$8:$G$907,J589)</f>
        <v>0</v>
      </c>
      <c r="H589" s="20">
        <f t="shared" si="31"/>
        <v>0</v>
      </c>
      <c r="I589" s="20">
        <f t="shared" si="32"/>
        <v>701.1149641930806</v>
      </c>
      <c r="J589" s="11" t="s">
        <v>21</v>
      </c>
    </row>
    <row r="590" spans="1:10" ht="14.25" hidden="1" customHeight="1" x14ac:dyDescent="0.3">
      <c r="A590" s="2" t="s">
        <v>49</v>
      </c>
      <c r="B590" s="2" t="str">
        <f>INDEX(SETORES!$B:$B,MATCH(A590,SETORES!$A:$A,0))</f>
        <v>Clientes</v>
      </c>
      <c r="C590" s="2" t="s">
        <v>18</v>
      </c>
      <c r="D590" s="14">
        <f>IF(B590="Clientes",SUMIFS(PARÂMETROS!$D$8:$D$907,PARÂMETROS!$A$8:$A$907,C590,PARÂMETROS!$G$8:$G$907,J590),SUMIFS(PARÂMETROS!$E$8:$E$907,PARÂMETROS!$A$8:$A$907,C590,PARÂMETROS!$G$8:$G$907,J590))</f>
        <v>0.72827074162121386</v>
      </c>
      <c r="E590" s="21">
        <f>SUMIFS(SETORES!$D:$D,SETORES!$A:$A,A590,SETORES!$F:$F,J590)</f>
        <v>29394.164638000002</v>
      </c>
      <c r="F590" s="21">
        <f t="shared" si="30"/>
        <v>21406.910080252321</v>
      </c>
      <c r="G590" s="14">
        <f>SUMIFS(PARÂMETROS!$F$8:$F$907,PARÂMETROS!$A$8:$A$907,C590,PARÂMETROS!$G$8:$G$907,J590)</f>
        <v>0</v>
      </c>
      <c r="H590" s="21">
        <f t="shared" si="31"/>
        <v>0</v>
      </c>
      <c r="I590" s="21">
        <f t="shared" si="32"/>
        <v>21406.910080252321</v>
      </c>
      <c r="J590" s="2" t="s">
        <v>21</v>
      </c>
    </row>
    <row r="591" spans="1:10" ht="14.25" hidden="1" customHeight="1" x14ac:dyDescent="0.3">
      <c r="A591" s="11" t="s">
        <v>50</v>
      </c>
      <c r="B591" s="19" t="str">
        <f>INDEX(SETORES!$B:$B,MATCH(A591,SETORES!$A:$A,0))</f>
        <v>Clientes</v>
      </c>
      <c r="C591" s="11" t="s">
        <v>10</v>
      </c>
      <c r="D591" s="9">
        <f>IF(B591="Clientes",SUMIFS(PARÂMETROS!$D$8:$D$907,PARÂMETROS!$A$8:$A$907,C591,PARÂMETROS!$G$8:$G$907,J591),SUMIFS(PARÂMETROS!$E$8:$E$907,PARÂMETROS!$A$8:$A$907,C591,PARÂMETROS!$G$8:$G$907,J591))</f>
        <v>3.2696249460273663E-2</v>
      </c>
      <c r="E591" s="20">
        <f>SUMIFS(SETORES!$D:$D,SETORES!$A:$A,A591,SETORES!$F:$F,J591)</f>
        <v>117184.52640000002</v>
      </c>
      <c r="F591" s="20">
        <f t="shared" si="30"/>
        <v>3831.4945080584253</v>
      </c>
      <c r="G591" s="9">
        <f>SUMIFS(PARÂMETROS!$F$8:$F$907,PARÂMETROS!$A$8:$A$907,C591,PARÂMETROS!$G$8:$G$907,J591)</f>
        <v>0</v>
      </c>
      <c r="H591" s="20">
        <f t="shared" si="31"/>
        <v>0</v>
      </c>
      <c r="I591" s="20">
        <f t="shared" si="32"/>
        <v>3831.4945080584253</v>
      </c>
      <c r="J591" s="11" t="s">
        <v>21</v>
      </c>
    </row>
    <row r="592" spans="1:10" ht="14.25" hidden="1" customHeight="1" x14ac:dyDescent="0.3">
      <c r="A592" s="2" t="s">
        <v>50</v>
      </c>
      <c r="B592" s="2" t="str">
        <f>INDEX(SETORES!$B:$B,MATCH(A592,SETORES!$A:$A,0))</f>
        <v>Clientes</v>
      </c>
      <c r="C592" s="2" t="s">
        <v>12</v>
      </c>
      <c r="D592" s="14">
        <f>IF(B592="Clientes",SUMIFS(PARÂMETROS!$D$8:$D$907,PARÂMETROS!$A$8:$A$907,C592,PARÂMETROS!$G$8:$G$907,J592),SUMIFS(PARÂMETROS!$E$8:$E$907,PARÂMETROS!$A$8:$A$907,C592,PARÂMETROS!$G$8:$G$907,J592))</f>
        <v>6.7149401213950008E-2</v>
      </c>
      <c r="E592" s="21">
        <f>SUMIFS(SETORES!$D:$D,SETORES!$A:$A,A592,SETORES!$F:$F,J592)</f>
        <v>117184.52640000002</v>
      </c>
      <c r="F592" s="21">
        <f t="shared" si="30"/>
        <v>7868.8707793003177</v>
      </c>
      <c r="G592" s="14">
        <f>SUMIFS(PARÂMETROS!$F$8:$F$907,PARÂMETROS!$A$8:$A$907,C592,PARÂMETROS!$G$8:$G$907,J592)</f>
        <v>0</v>
      </c>
      <c r="H592" s="21">
        <f t="shared" si="31"/>
        <v>0</v>
      </c>
      <c r="I592" s="21">
        <f t="shared" si="32"/>
        <v>7868.8707793003177</v>
      </c>
      <c r="J592" s="2" t="s">
        <v>21</v>
      </c>
    </row>
    <row r="593" spans="1:10" ht="14.25" hidden="1" customHeight="1" x14ac:dyDescent="0.3">
      <c r="A593" s="11" t="s">
        <v>50</v>
      </c>
      <c r="B593" s="19" t="str">
        <f>INDEX(SETORES!$B:$B,MATCH(A593,SETORES!$A:$A,0))</f>
        <v>Clientes</v>
      </c>
      <c r="C593" s="11" t="s">
        <v>13</v>
      </c>
      <c r="D593" s="9">
        <f>IF(B593="Clientes",SUMIFS(PARÂMETROS!$D$8:$D$907,PARÂMETROS!$A$8:$A$907,C593,PARÂMETROS!$G$8:$G$907,J593),SUMIFS(PARÂMETROS!$E$8:$E$907,PARÂMETROS!$A$8:$A$907,C593,PARÂMETROS!$G$8:$G$907,J593))</f>
        <v>7.2901519174553703E-2</v>
      </c>
      <c r="E593" s="20">
        <f>SUMIFS(SETORES!$D:$D,SETORES!$A:$A,A593,SETORES!$F:$F,J593)</f>
        <v>117184.52640000002</v>
      </c>
      <c r="F593" s="20">
        <f t="shared" si="30"/>
        <v>8542.9299983105957</v>
      </c>
      <c r="G593" s="9">
        <f>SUMIFS(PARÂMETROS!$F$8:$F$907,PARÂMETROS!$A$8:$A$907,C593,PARÂMETROS!$G$8:$G$907,J593)</f>
        <v>0</v>
      </c>
      <c r="H593" s="20">
        <f t="shared" si="31"/>
        <v>0</v>
      </c>
      <c r="I593" s="20">
        <f t="shared" si="32"/>
        <v>8542.9299983105957</v>
      </c>
      <c r="J593" s="11" t="s">
        <v>21</v>
      </c>
    </row>
    <row r="594" spans="1:10" ht="14.25" customHeight="1" x14ac:dyDescent="0.3">
      <c r="A594" s="2" t="s">
        <v>50</v>
      </c>
      <c r="B594" s="2" t="str">
        <f>INDEX(SETORES!$B:$B,MATCH(A594,SETORES!$A:$A,0))</f>
        <v>Clientes</v>
      </c>
      <c r="C594" s="2" t="s">
        <v>14</v>
      </c>
      <c r="D594" s="14">
        <f>IF(B594="Clientes",SUMIFS(PARÂMETROS!$D$8:$D$907,PARÂMETROS!$A$8:$A$907,C594,PARÂMETROS!$G$8:$G$907,J594),SUMIFS(PARÂMETROS!$E$8:$E$907,PARÂMETROS!$A$8:$A$907,C594,PARÂMETROS!$G$8:$G$907,J594))</f>
        <v>1.8685698120511587E-2</v>
      </c>
      <c r="E594" s="21">
        <f>SUMIFS(SETORES!$D:$D,SETORES!$A:$A,A594,SETORES!$F:$F,J594)</f>
        <v>117184.52640000002</v>
      </c>
      <c r="F594" s="21">
        <f t="shared" si="30"/>
        <v>2189.674684705521</v>
      </c>
      <c r="G594" s="14">
        <f>SUMIFS(PARÂMETROS!$F$8:$F$907,PARÂMETROS!$A$8:$A$907,C594,PARÂMETROS!$G$8:$G$907,J594)</f>
        <v>0</v>
      </c>
      <c r="H594" s="21">
        <f t="shared" si="31"/>
        <v>0</v>
      </c>
      <c r="I594" s="21">
        <f t="shared" si="32"/>
        <v>2189.674684705521</v>
      </c>
      <c r="J594" s="2" t="s">
        <v>21</v>
      </c>
    </row>
    <row r="595" spans="1:10" ht="14.25" hidden="1" customHeight="1" x14ac:dyDescent="0.3">
      <c r="A595" s="11" t="s">
        <v>50</v>
      </c>
      <c r="B595" s="19" t="str">
        <f>INDEX(SETORES!$B:$B,MATCH(A595,SETORES!$A:$A,0))</f>
        <v>Clientes</v>
      </c>
      <c r="C595" s="11" t="s">
        <v>15</v>
      </c>
      <c r="D595" s="9">
        <f>IF(B595="Clientes",SUMIFS(PARÂMETROS!$D$8:$D$907,PARÂMETROS!$A$8:$A$907,C595,PARÂMETROS!$G$8:$G$907,J595),SUMIFS(PARÂMETROS!$E$8:$E$907,PARÂMETROS!$A$8:$A$907,C595,PARÂMETROS!$G$8:$G$907,J595))</f>
        <v>3.2596989443697238E-2</v>
      </c>
      <c r="E595" s="20">
        <f>SUMIFS(SETORES!$D:$D,SETORES!$A:$A,A595,SETORES!$F:$F,J595)</f>
        <v>117184.52640000002</v>
      </c>
      <c r="F595" s="20">
        <f t="shared" si="30"/>
        <v>3819.862770025461</v>
      </c>
      <c r="G595" s="9">
        <f>SUMIFS(PARÂMETROS!$F$8:$F$907,PARÂMETROS!$A$8:$A$907,C595,PARÂMETROS!$G$8:$G$907,J595)</f>
        <v>0</v>
      </c>
      <c r="H595" s="20">
        <f t="shared" si="31"/>
        <v>0</v>
      </c>
      <c r="I595" s="20">
        <f t="shared" si="32"/>
        <v>3819.862770025461</v>
      </c>
      <c r="J595" s="11" t="s">
        <v>21</v>
      </c>
    </row>
    <row r="596" spans="1:10" ht="14.25" hidden="1" customHeight="1" x14ac:dyDescent="0.3">
      <c r="A596" s="2" t="s">
        <v>50</v>
      </c>
      <c r="B596" s="2" t="str">
        <f>INDEX(SETORES!$B:$B,MATCH(A596,SETORES!$A:$A,0))</f>
        <v>Clientes</v>
      </c>
      <c r="C596" s="2" t="s">
        <v>16</v>
      </c>
      <c r="D596" s="14">
        <f>IF(B596="Clientes",SUMIFS(PARÂMETROS!$D$8:$D$907,PARÂMETROS!$A$8:$A$907,C596,PARÂMETROS!$G$8:$G$907,J596),SUMIFS(PARÂMETROS!$E$8:$E$907,PARÂMETROS!$A$8:$A$907,C596,PARÂMETROS!$G$8:$G$907,J596))</f>
        <v>2.3847218982485568E-2</v>
      </c>
      <c r="E596" s="21">
        <f>SUMIFS(SETORES!$D:$D,SETORES!$A:$A,A596,SETORES!$F:$F,J596)</f>
        <v>117184.52640000002</v>
      </c>
      <c r="F596" s="21">
        <f t="shared" si="30"/>
        <v>2794.5250624196615</v>
      </c>
      <c r="G596" s="14">
        <f>SUMIFS(PARÂMETROS!$F$8:$F$907,PARÂMETROS!$A$8:$A$907,C596,PARÂMETROS!$G$8:$G$907,J596)</f>
        <v>0</v>
      </c>
      <c r="H596" s="21">
        <f t="shared" si="31"/>
        <v>0</v>
      </c>
      <c r="I596" s="21">
        <f t="shared" si="32"/>
        <v>2794.5250624196615</v>
      </c>
      <c r="J596" s="2" t="s">
        <v>21</v>
      </c>
    </row>
    <row r="597" spans="1:10" ht="14.25" hidden="1" customHeight="1" x14ac:dyDescent="0.3">
      <c r="A597" s="11" t="s">
        <v>50</v>
      </c>
      <c r="B597" s="19" t="str">
        <f>INDEX(SETORES!$B:$B,MATCH(A597,SETORES!$A:$A,0))</f>
        <v>Clientes</v>
      </c>
      <c r="C597" s="11" t="s">
        <v>17</v>
      </c>
      <c r="D597" s="9">
        <f>IF(B597="Clientes",SUMIFS(PARÂMETROS!$D$8:$D$907,PARÂMETROS!$A$8:$A$907,C597,PARÂMETROS!$G$8:$G$907,J597),SUMIFS(PARÂMETROS!$E$8:$E$907,PARÂMETROS!$A$8:$A$907,C597,PARÂMETROS!$G$8:$G$907,J597))</f>
        <v>2.3852181983314392E-2</v>
      </c>
      <c r="E597" s="20">
        <f>SUMIFS(SETORES!$D:$D,SETORES!$A:$A,A597,SETORES!$F:$F,J597)</f>
        <v>117184.52640000002</v>
      </c>
      <c r="F597" s="20">
        <f t="shared" si="30"/>
        <v>2795.1066493213102</v>
      </c>
      <c r="G597" s="9">
        <f>SUMIFS(PARÂMETROS!$F$8:$F$907,PARÂMETROS!$A$8:$A$907,C597,PARÂMETROS!$G$8:$G$907,J597)</f>
        <v>0</v>
      </c>
      <c r="H597" s="20">
        <f t="shared" si="31"/>
        <v>0</v>
      </c>
      <c r="I597" s="20">
        <f t="shared" si="32"/>
        <v>2795.1066493213102</v>
      </c>
      <c r="J597" s="11" t="s">
        <v>21</v>
      </c>
    </row>
    <row r="598" spans="1:10" ht="14.25" hidden="1" customHeight="1" x14ac:dyDescent="0.3">
      <c r="A598" s="2" t="s">
        <v>50</v>
      </c>
      <c r="B598" s="2" t="str">
        <f>INDEX(SETORES!$B:$B,MATCH(A598,SETORES!$A:$A,0))</f>
        <v>Clientes</v>
      </c>
      <c r="C598" s="2" t="s">
        <v>18</v>
      </c>
      <c r="D598" s="14">
        <f>IF(B598="Clientes",SUMIFS(PARÂMETROS!$D$8:$D$907,PARÂMETROS!$A$8:$A$907,C598,PARÂMETROS!$G$8:$G$907,J598),SUMIFS(PARÂMETROS!$E$8:$E$907,PARÂMETROS!$A$8:$A$907,C598,PARÂMETROS!$G$8:$G$907,J598))</f>
        <v>0.72827074162121386</v>
      </c>
      <c r="E598" s="21">
        <f>SUMIFS(SETORES!$D:$D,SETORES!$A:$A,A598,SETORES!$F:$F,J598)</f>
        <v>117184.52640000002</v>
      </c>
      <c r="F598" s="21">
        <f t="shared" si="30"/>
        <v>85342.061947858732</v>
      </c>
      <c r="G598" s="14">
        <f>SUMIFS(PARÂMETROS!$F$8:$F$907,PARÂMETROS!$A$8:$A$907,C598,PARÂMETROS!$G$8:$G$907,J598)</f>
        <v>0</v>
      </c>
      <c r="H598" s="21">
        <f t="shared" si="31"/>
        <v>0</v>
      </c>
      <c r="I598" s="21">
        <f t="shared" si="32"/>
        <v>85342.061947858732</v>
      </c>
      <c r="J598" s="2" t="s">
        <v>21</v>
      </c>
    </row>
    <row r="599" spans="1:10" ht="14.25" hidden="1" customHeight="1" x14ac:dyDescent="0.3">
      <c r="A599" s="11" t="s">
        <v>51</v>
      </c>
      <c r="B599" s="19" t="str">
        <f>INDEX(SETORES!$B:$B,MATCH(A599,SETORES!$A:$A,0))</f>
        <v>Clientes</v>
      </c>
      <c r="C599" s="11" t="s">
        <v>10</v>
      </c>
      <c r="D599" s="9">
        <f>IF(B599="Clientes",SUMIFS(PARÂMETROS!$D$8:$D$907,PARÂMETROS!$A$8:$A$907,C599,PARÂMETROS!$G$8:$G$907,J599),SUMIFS(PARÂMETROS!$E$8:$E$907,PARÂMETROS!$A$8:$A$907,C599,PARÂMETROS!$G$8:$G$907,J599))</f>
        <v>3.2696249460273663E-2</v>
      </c>
      <c r="E599" s="20">
        <f>SUMIFS(SETORES!$D:$D,SETORES!$A:$A,A599,SETORES!$F:$F,J599)</f>
        <v>140869.00717266696</v>
      </c>
      <c r="F599" s="20">
        <f t="shared" si="30"/>
        <v>4605.8881997385988</v>
      </c>
      <c r="G599" s="9">
        <f>SUMIFS(PARÂMETROS!$F$8:$F$907,PARÂMETROS!$A$8:$A$907,C599,PARÂMETROS!$G$8:$G$907,J599)</f>
        <v>0</v>
      </c>
      <c r="H599" s="20">
        <f t="shared" si="31"/>
        <v>0</v>
      </c>
      <c r="I599" s="20">
        <f t="shared" si="32"/>
        <v>4605.8881997385988</v>
      </c>
      <c r="J599" s="11" t="s">
        <v>21</v>
      </c>
    </row>
    <row r="600" spans="1:10" ht="14.25" hidden="1" customHeight="1" x14ac:dyDescent="0.3">
      <c r="A600" s="2" t="s">
        <v>51</v>
      </c>
      <c r="B600" s="2" t="str">
        <f>INDEX(SETORES!$B:$B,MATCH(A600,SETORES!$A:$A,0))</f>
        <v>Clientes</v>
      </c>
      <c r="C600" s="2" t="s">
        <v>12</v>
      </c>
      <c r="D600" s="14">
        <f>IF(B600="Clientes",SUMIFS(PARÂMETROS!$D$8:$D$907,PARÂMETROS!$A$8:$A$907,C600,PARÂMETROS!$G$8:$G$907,J600),SUMIFS(PARÂMETROS!$E$8:$E$907,PARÂMETROS!$A$8:$A$907,C600,PARÂMETROS!$G$8:$G$907,J600))</f>
        <v>6.7149401213950008E-2</v>
      </c>
      <c r="E600" s="21">
        <f>SUMIFS(SETORES!$D:$D,SETORES!$A:$A,A600,SETORES!$F:$F,J600)</f>
        <v>140869.00717266696</v>
      </c>
      <c r="F600" s="21">
        <f t="shared" si="30"/>
        <v>9459.269481248215</v>
      </c>
      <c r="G600" s="14">
        <f>SUMIFS(PARÂMETROS!$F$8:$F$907,PARÂMETROS!$A$8:$A$907,C600,PARÂMETROS!$G$8:$G$907,J600)</f>
        <v>0</v>
      </c>
      <c r="H600" s="21">
        <f t="shared" si="31"/>
        <v>0</v>
      </c>
      <c r="I600" s="21">
        <f t="shared" si="32"/>
        <v>9459.269481248215</v>
      </c>
      <c r="J600" s="2" t="s">
        <v>21</v>
      </c>
    </row>
    <row r="601" spans="1:10" ht="14.25" hidden="1" customHeight="1" x14ac:dyDescent="0.3">
      <c r="A601" s="11" t="s">
        <v>51</v>
      </c>
      <c r="B601" s="19" t="str">
        <f>INDEX(SETORES!$B:$B,MATCH(A601,SETORES!$A:$A,0))</f>
        <v>Clientes</v>
      </c>
      <c r="C601" s="11" t="s">
        <v>13</v>
      </c>
      <c r="D601" s="9">
        <f>IF(B601="Clientes",SUMIFS(PARÂMETROS!$D$8:$D$907,PARÂMETROS!$A$8:$A$907,C601,PARÂMETROS!$G$8:$G$907,J601),SUMIFS(PARÂMETROS!$E$8:$E$907,PARÂMETROS!$A$8:$A$907,C601,PARÂMETROS!$G$8:$G$907,J601))</f>
        <v>7.2901519174553703E-2</v>
      </c>
      <c r="E601" s="20">
        <f>SUMIFS(SETORES!$D:$D,SETORES!$A:$A,A601,SETORES!$F:$F,J601)</f>
        <v>140869.00717266696</v>
      </c>
      <c r="F601" s="20">
        <f t="shared" si="30"/>
        <v>10269.564627498523</v>
      </c>
      <c r="G601" s="9">
        <f>SUMIFS(PARÂMETROS!$F$8:$F$907,PARÂMETROS!$A$8:$A$907,C601,PARÂMETROS!$G$8:$G$907,J601)</f>
        <v>0</v>
      </c>
      <c r="H601" s="20">
        <f t="shared" si="31"/>
        <v>0</v>
      </c>
      <c r="I601" s="20">
        <f t="shared" si="32"/>
        <v>10269.564627498523</v>
      </c>
      <c r="J601" s="11" t="s">
        <v>21</v>
      </c>
    </row>
    <row r="602" spans="1:10" ht="14.25" customHeight="1" x14ac:dyDescent="0.3">
      <c r="A602" s="2" t="s">
        <v>51</v>
      </c>
      <c r="B602" s="2" t="str">
        <f>INDEX(SETORES!$B:$B,MATCH(A602,SETORES!$A:$A,0))</f>
        <v>Clientes</v>
      </c>
      <c r="C602" s="2" t="s">
        <v>14</v>
      </c>
      <c r="D602" s="14">
        <f>IF(B602="Clientes",SUMIFS(PARÂMETROS!$D$8:$D$907,PARÂMETROS!$A$8:$A$907,C602,PARÂMETROS!$G$8:$G$907,J602),SUMIFS(PARÂMETROS!$E$8:$E$907,PARÂMETROS!$A$8:$A$907,C602,PARÂMETROS!$G$8:$G$907,J602))</f>
        <v>1.8685698120511587E-2</v>
      </c>
      <c r="E602" s="21">
        <f>SUMIFS(SETORES!$D:$D,SETORES!$A:$A,A602,SETORES!$F:$F,J602)</f>
        <v>140869.00717266696</v>
      </c>
      <c r="F602" s="21">
        <f t="shared" si="30"/>
        <v>2632.2357425646364</v>
      </c>
      <c r="G602" s="14">
        <f>SUMIFS(PARÂMETROS!$F$8:$F$907,PARÂMETROS!$A$8:$A$907,C602,PARÂMETROS!$G$8:$G$907,J602)</f>
        <v>0</v>
      </c>
      <c r="H602" s="21">
        <f t="shared" si="31"/>
        <v>0</v>
      </c>
      <c r="I602" s="21">
        <f t="shared" si="32"/>
        <v>2632.2357425646364</v>
      </c>
      <c r="J602" s="2" t="s">
        <v>21</v>
      </c>
    </row>
    <row r="603" spans="1:10" ht="14.25" hidden="1" customHeight="1" x14ac:dyDescent="0.3">
      <c r="A603" s="11" t="s">
        <v>51</v>
      </c>
      <c r="B603" s="19" t="str">
        <f>INDEX(SETORES!$B:$B,MATCH(A603,SETORES!$A:$A,0))</f>
        <v>Clientes</v>
      </c>
      <c r="C603" s="11" t="s">
        <v>15</v>
      </c>
      <c r="D603" s="9">
        <f>IF(B603="Clientes",SUMIFS(PARÂMETROS!$D$8:$D$907,PARÂMETROS!$A$8:$A$907,C603,PARÂMETROS!$G$8:$G$907,J603),SUMIFS(PARÂMETROS!$E$8:$E$907,PARÂMETROS!$A$8:$A$907,C603,PARÂMETROS!$G$8:$G$907,J603))</f>
        <v>3.2596989443697238E-2</v>
      </c>
      <c r="E603" s="20">
        <f>SUMIFS(SETORES!$D:$D,SETORES!$A:$A,A603,SETORES!$F:$F,J603)</f>
        <v>140869.00717266696</v>
      </c>
      <c r="F603" s="20">
        <f t="shared" si="30"/>
        <v>4591.9055397515349</v>
      </c>
      <c r="G603" s="9">
        <f>SUMIFS(PARÂMETROS!$F$8:$F$907,PARÂMETROS!$A$8:$A$907,C603,PARÂMETROS!$G$8:$G$907,J603)</f>
        <v>0</v>
      </c>
      <c r="H603" s="20">
        <f t="shared" si="31"/>
        <v>0</v>
      </c>
      <c r="I603" s="20">
        <f t="shared" si="32"/>
        <v>4591.9055397515349</v>
      </c>
      <c r="J603" s="11" t="s">
        <v>21</v>
      </c>
    </row>
    <row r="604" spans="1:10" ht="14.25" hidden="1" customHeight="1" x14ac:dyDescent="0.3">
      <c r="A604" s="2" t="s">
        <v>51</v>
      </c>
      <c r="B604" s="2" t="str">
        <f>INDEX(SETORES!$B:$B,MATCH(A604,SETORES!$A:$A,0))</f>
        <v>Clientes</v>
      </c>
      <c r="C604" s="2" t="s">
        <v>16</v>
      </c>
      <c r="D604" s="14">
        <f>IF(B604="Clientes",SUMIFS(PARÂMETROS!$D$8:$D$907,PARÂMETROS!$A$8:$A$907,C604,PARÂMETROS!$G$8:$G$907,J604),SUMIFS(PARÂMETROS!$E$8:$E$907,PARÂMETROS!$A$8:$A$907,C604,PARÂMETROS!$G$8:$G$907,J604))</f>
        <v>2.3847218982485568E-2</v>
      </c>
      <c r="E604" s="21">
        <f>SUMIFS(SETORES!$D:$D,SETORES!$A:$A,A604,SETORES!$F:$F,J604)</f>
        <v>140869.00717266696</v>
      </c>
      <c r="F604" s="21">
        <f t="shared" si="30"/>
        <v>3359.3340618919192</v>
      </c>
      <c r="G604" s="14">
        <f>SUMIFS(PARÂMETROS!$F$8:$F$907,PARÂMETROS!$A$8:$A$907,C604,PARÂMETROS!$G$8:$G$907,J604)</f>
        <v>0</v>
      </c>
      <c r="H604" s="21">
        <f t="shared" si="31"/>
        <v>0</v>
      </c>
      <c r="I604" s="21">
        <f t="shared" si="32"/>
        <v>3359.3340618919192</v>
      </c>
      <c r="J604" s="2" t="s">
        <v>21</v>
      </c>
    </row>
    <row r="605" spans="1:10" ht="14.25" hidden="1" customHeight="1" x14ac:dyDescent="0.3">
      <c r="A605" s="11" t="s">
        <v>51</v>
      </c>
      <c r="B605" s="19" t="str">
        <f>INDEX(SETORES!$B:$B,MATCH(A605,SETORES!$A:$A,0))</f>
        <v>Clientes</v>
      </c>
      <c r="C605" s="11" t="s">
        <v>17</v>
      </c>
      <c r="D605" s="9">
        <f>IF(B605="Clientes",SUMIFS(PARÂMETROS!$D$8:$D$907,PARÂMETROS!$A$8:$A$907,C605,PARÂMETROS!$G$8:$G$907,J605),SUMIFS(PARÂMETROS!$E$8:$E$907,PARÂMETROS!$A$8:$A$907,C605,PARÂMETROS!$G$8:$G$907,J605))</f>
        <v>2.3852181983314392E-2</v>
      </c>
      <c r="E605" s="20">
        <f>SUMIFS(SETORES!$D:$D,SETORES!$A:$A,A605,SETORES!$F:$F,J605)</f>
        <v>140869.00717266696</v>
      </c>
      <c r="F605" s="20">
        <f t="shared" si="30"/>
        <v>3360.0331948912726</v>
      </c>
      <c r="G605" s="9">
        <f>SUMIFS(PARÂMETROS!$F$8:$F$907,PARÂMETROS!$A$8:$A$907,C605,PARÂMETROS!$G$8:$G$907,J605)</f>
        <v>0</v>
      </c>
      <c r="H605" s="20">
        <f t="shared" si="31"/>
        <v>0</v>
      </c>
      <c r="I605" s="20">
        <f t="shared" si="32"/>
        <v>3360.0331948912726</v>
      </c>
      <c r="J605" s="11" t="s">
        <v>21</v>
      </c>
    </row>
    <row r="606" spans="1:10" ht="14.25" hidden="1" customHeight="1" x14ac:dyDescent="0.3">
      <c r="A606" s="2" t="s">
        <v>51</v>
      </c>
      <c r="B606" s="2" t="str">
        <f>INDEX(SETORES!$B:$B,MATCH(A606,SETORES!$A:$A,0))</f>
        <v>Clientes</v>
      </c>
      <c r="C606" s="2" t="s">
        <v>18</v>
      </c>
      <c r="D606" s="14">
        <f>IF(B606="Clientes",SUMIFS(PARÂMETROS!$D$8:$D$907,PARÂMETROS!$A$8:$A$907,C606,PARÂMETROS!$G$8:$G$907,J606),SUMIFS(PARÂMETROS!$E$8:$E$907,PARÂMETROS!$A$8:$A$907,C606,PARÂMETROS!$G$8:$G$907,J606))</f>
        <v>0.72827074162121386</v>
      </c>
      <c r="E606" s="21">
        <f>SUMIFS(SETORES!$D:$D,SETORES!$A:$A,A606,SETORES!$F:$F,J606)</f>
        <v>140869.00717266696</v>
      </c>
      <c r="F606" s="21">
        <f t="shared" si="30"/>
        <v>102590.77632508226</v>
      </c>
      <c r="G606" s="14">
        <f>SUMIFS(PARÂMETROS!$F$8:$F$907,PARÂMETROS!$A$8:$A$907,C606,PARÂMETROS!$G$8:$G$907,J606)</f>
        <v>0</v>
      </c>
      <c r="H606" s="21">
        <f t="shared" si="31"/>
        <v>0</v>
      </c>
      <c r="I606" s="21">
        <f t="shared" si="32"/>
        <v>102590.77632508226</v>
      </c>
      <c r="J606" s="2" t="s">
        <v>21</v>
      </c>
    </row>
    <row r="607" spans="1:10" ht="14.25" hidden="1" customHeight="1" x14ac:dyDescent="0.3">
      <c r="A607" s="11" t="s">
        <v>52</v>
      </c>
      <c r="B607" s="19" t="str">
        <f>INDEX(SETORES!$B:$B,MATCH(A607,SETORES!$A:$A,0))</f>
        <v>Clientes</v>
      </c>
      <c r="C607" s="11" t="s">
        <v>10</v>
      </c>
      <c r="D607" s="9">
        <f>IF(B607="Clientes",SUMIFS(PARÂMETROS!$D$8:$D$907,PARÂMETROS!$A$8:$A$907,C607,PARÂMETROS!$G$8:$G$907,J607),SUMIFS(PARÂMETROS!$E$8:$E$907,PARÂMETROS!$A$8:$A$907,C607,PARÂMETROS!$G$8:$G$907,J607))</f>
        <v>3.2696249460273663E-2</v>
      </c>
      <c r="E607" s="20">
        <f>SUMIFS(SETORES!$D:$D,SETORES!$A:$A,A607,SETORES!$F:$F,J607)</f>
        <v>28891.437653000005</v>
      </c>
      <c r="F607" s="20">
        <f t="shared" si="30"/>
        <v>944.64165276843164</v>
      </c>
      <c r="G607" s="9">
        <f>SUMIFS(PARÂMETROS!$F$8:$F$907,PARÂMETROS!$A$8:$A$907,C607,PARÂMETROS!$G$8:$G$907,J607)</f>
        <v>0</v>
      </c>
      <c r="H607" s="20">
        <f t="shared" si="31"/>
        <v>0</v>
      </c>
      <c r="I607" s="20">
        <f t="shared" si="32"/>
        <v>944.64165276843164</v>
      </c>
      <c r="J607" s="11" t="s">
        <v>21</v>
      </c>
    </row>
    <row r="608" spans="1:10" ht="14.25" hidden="1" customHeight="1" x14ac:dyDescent="0.3">
      <c r="A608" s="2" t="s">
        <v>52</v>
      </c>
      <c r="B608" s="2" t="str">
        <f>INDEX(SETORES!$B:$B,MATCH(A608,SETORES!$A:$A,0))</f>
        <v>Clientes</v>
      </c>
      <c r="C608" s="2" t="s">
        <v>12</v>
      </c>
      <c r="D608" s="14">
        <f>IF(B608="Clientes",SUMIFS(PARÂMETROS!$D$8:$D$907,PARÂMETROS!$A$8:$A$907,C608,PARÂMETROS!$G$8:$G$907,J608),SUMIFS(PARÂMETROS!$E$8:$E$907,PARÂMETROS!$A$8:$A$907,C608,PARÂMETROS!$G$8:$G$907,J608))</f>
        <v>6.7149401213950008E-2</v>
      </c>
      <c r="E608" s="21">
        <f>SUMIFS(SETORES!$D:$D,SETORES!$A:$A,A608,SETORES!$F:$F,J608)</f>
        <v>28891.437653000005</v>
      </c>
      <c r="F608" s="21">
        <f t="shared" si="30"/>
        <v>1940.0427386091194</v>
      </c>
      <c r="G608" s="14">
        <f>SUMIFS(PARÂMETROS!$F$8:$F$907,PARÂMETROS!$A$8:$A$907,C608,PARÂMETROS!$G$8:$G$907,J608)</f>
        <v>0</v>
      </c>
      <c r="H608" s="21">
        <f t="shared" si="31"/>
        <v>0</v>
      </c>
      <c r="I608" s="21">
        <f t="shared" si="32"/>
        <v>1940.0427386091194</v>
      </c>
      <c r="J608" s="2" t="s">
        <v>21</v>
      </c>
    </row>
    <row r="609" spans="1:10" ht="14.25" hidden="1" customHeight="1" x14ac:dyDescent="0.3">
      <c r="A609" s="11" t="s">
        <v>52</v>
      </c>
      <c r="B609" s="19" t="str">
        <f>INDEX(SETORES!$B:$B,MATCH(A609,SETORES!$A:$A,0))</f>
        <v>Clientes</v>
      </c>
      <c r="C609" s="11" t="s">
        <v>13</v>
      </c>
      <c r="D609" s="9">
        <f>IF(B609="Clientes",SUMIFS(PARÂMETROS!$D$8:$D$907,PARÂMETROS!$A$8:$A$907,C609,PARÂMETROS!$G$8:$G$907,J609),SUMIFS(PARÂMETROS!$E$8:$E$907,PARÂMETROS!$A$8:$A$907,C609,PARÂMETROS!$G$8:$G$907,J609))</f>
        <v>7.2901519174553703E-2</v>
      </c>
      <c r="E609" s="20">
        <f>SUMIFS(SETORES!$D:$D,SETORES!$A:$A,A609,SETORES!$F:$F,J609)</f>
        <v>28891.437653000005</v>
      </c>
      <c r="F609" s="20">
        <f t="shared" si="30"/>
        <v>2106.2296960406024</v>
      </c>
      <c r="G609" s="9">
        <f>SUMIFS(PARÂMETROS!$F$8:$F$907,PARÂMETROS!$A$8:$A$907,C609,PARÂMETROS!$G$8:$G$907,J609)</f>
        <v>0</v>
      </c>
      <c r="H609" s="20">
        <f t="shared" si="31"/>
        <v>0</v>
      </c>
      <c r="I609" s="20">
        <f t="shared" si="32"/>
        <v>2106.2296960406024</v>
      </c>
      <c r="J609" s="11" t="s">
        <v>21</v>
      </c>
    </row>
    <row r="610" spans="1:10" ht="14.25" customHeight="1" x14ac:dyDescent="0.3">
      <c r="A610" s="2" t="s">
        <v>52</v>
      </c>
      <c r="B610" s="2" t="str">
        <f>INDEX(SETORES!$B:$B,MATCH(A610,SETORES!$A:$A,0))</f>
        <v>Clientes</v>
      </c>
      <c r="C610" s="2" t="s">
        <v>14</v>
      </c>
      <c r="D610" s="14">
        <f>IF(B610="Clientes",SUMIFS(PARÂMETROS!$D$8:$D$907,PARÂMETROS!$A$8:$A$907,C610,PARÂMETROS!$G$8:$G$907,J610),SUMIFS(PARÂMETROS!$E$8:$E$907,PARÂMETROS!$A$8:$A$907,C610,PARÂMETROS!$G$8:$G$907,J610))</f>
        <v>1.8685698120511587E-2</v>
      </c>
      <c r="E610" s="21">
        <f>SUMIFS(SETORES!$D:$D,SETORES!$A:$A,A610,SETORES!$F:$F,J610)</f>
        <v>28891.437653000005</v>
      </c>
      <c r="F610" s="21">
        <f t="shared" si="30"/>
        <v>539.85668225153984</v>
      </c>
      <c r="G610" s="14">
        <f>SUMIFS(PARÂMETROS!$F$8:$F$907,PARÂMETROS!$A$8:$A$907,C610,PARÂMETROS!$G$8:$G$907,J610)</f>
        <v>0</v>
      </c>
      <c r="H610" s="21">
        <f t="shared" si="31"/>
        <v>0</v>
      </c>
      <c r="I610" s="21">
        <f t="shared" si="32"/>
        <v>539.85668225153984</v>
      </c>
      <c r="J610" s="2" t="s">
        <v>21</v>
      </c>
    </row>
    <row r="611" spans="1:10" ht="14.25" hidden="1" customHeight="1" x14ac:dyDescent="0.3">
      <c r="A611" s="11" t="s">
        <v>52</v>
      </c>
      <c r="B611" s="19" t="str">
        <f>INDEX(SETORES!$B:$B,MATCH(A611,SETORES!$A:$A,0))</f>
        <v>Clientes</v>
      </c>
      <c r="C611" s="11" t="s">
        <v>15</v>
      </c>
      <c r="D611" s="9">
        <f>IF(B611="Clientes",SUMIFS(PARÂMETROS!$D$8:$D$907,PARÂMETROS!$A$8:$A$907,C611,PARÂMETROS!$G$8:$G$907,J611),SUMIFS(PARÂMETROS!$E$8:$E$907,PARÂMETROS!$A$8:$A$907,C611,PARÂMETROS!$G$8:$G$907,J611))</f>
        <v>3.2596989443697238E-2</v>
      </c>
      <c r="E611" s="20">
        <f>SUMIFS(SETORES!$D:$D,SETORES!$A:$A,A611,SETORES!$F:$F,J611)</f>
        <v>28891.437653000005</v>
      </c>
      <c r="F611" s="20">
        <f t="shared" si="30"/>
        <v>941.7738881880781</v>
      </c>
      <c r="G611" s="9">
        <f>SUMIFS(PARÂMETROS!$F$8:$F$907,PARÂMETROS!$A$8:$A$907,C611,PARÂMETROS!$G$8:$G$907,J611)</f>
        <v>0</v>
      </c>
      <c r="H611" s="20">
        <f t="shared" si="31"/>
        <v>0</v>
      </c>
      <c r="I611" s="20">
        <f t="shared" si="32"/>
        <v>941.7738881880781</v>
      </c>
      <c r="J611" s="11" t="s">
        <v>21</v>
      </c>
    </row>
    <row r="612" spans="1:10" ht="14.25" hidden="1" customHeight="1" x14ac:dyDescent="0.3">
      <c r="A612" s="2" t="s">
        <v>52</v>
      </c>
      <c r="B612" s="2" t="str">
        <f>INDEX(SETORES!$B:$B,MATCH(A612,SETORES!$A:$A,0))</f>
        <v>Clientes</v>
      </c>
      <c r="C612" s="2" t="s">
        <v>16</v>
      </c>
      <c r="D612" s="14">
        <f>IF(B612="Clientes",SUMIFS(PARÂMETROS!$D$8:$D$907,PARÂMETROS!$A$8:$A$907,C612,PARÂMETROS!$G$8:$G$907,J612),SUMIFS(PARÂMETROS!$E$8:$E$907,PARÂMETROS!$A$8:$A$907,C612,PARÂMETROS!$G$8:$G$907,J612))</f>
        <v>2.3847218982485568E-2</v>
      </c>
      <c r="E612" s="21">
        <f>SUMIFS(SETORES!$D:$D,SETORES!$A:$A,A612,SETORES!$F:$F,J612)</f>
        <v>28891.437653000005</v>
      </c>
      <c r="F612" s="21">
        <f t="shared" si="30"/>
        <v>688.98044042992001</v>
      </c>
      <c r="G612" s="14">
        <f>SUMIFS(PARÂMETROS!$F$8:$F$907,PARÂMETROS!$A$8:$A$907,C612,PARÂMETROS!$G$8:$G$907,J612)</f>
        <v>0</v>
      </c>
      <c r="H612" s="21">
        <f t="shared" si="31"/>
        <v>0</v>
      </c>
      <c r="I612" s="21">
        <f t="shared" si="32"/>
        <v>688.98044042992001</v>
      </c>
      <c r="J612" s="2" t="s">
        <v>21</v>
      </c>
    </row>
    <row r="613" spans="1:10" ht="14.25" hidden="1" customHeight="1" x14ac:dyDescent="0.3">
      <c r="A613" s="11" t="s">
        <v>52</v>
      </c>
      <c r="B613" s="19" t="str">
        <f>INDEX(SETORES!$B:$B,MATCH(A613,SETORES!$A:$A,0))</f>
        <v>Clientes</v>
      </c>
      <c r="C613" s="11" t="s">
        <v>17</v>
      </c>
      <c r="D613" s="9">
        <f>IF(B613="Clientes",SUMIFS(PARÂMETROS!$D$8:$D$907,PARÂMETROS!$A$8:$A$907,C613,PARÂMETROS!$G$8:$G$907,J613),SUMIFS(PARÂMETROS!$E$8:$E$907,PARÂMETROS!$A$8:$A$907,C613,PARÂMETROS!$G$8:$G$907,J613))</f>
        <v>2.3852181983314392E-2</v>
      </c>
      <c r="E613" s="20">
        <f>SUMIFS(SETORES!$D:$D,SETORES!$A:$A,A613,SETORES!$F:$F,J613)</f>
        <v>28891.437653000005</v>
      </c>
      <c r="F613" s="20">
        <f t="shared" si="30"/>
        <v>689.12382865893778</v>
      </c>
      <c r="G613" s="9">
        <f>SUMIFS(PARÂMETROS!$F$8:$F$907,PARÂMETROS!$A$8:$A$907,C613,PARÂMETROS!$G$8:$G$907,J613)</f>
        <v>0</v>
      </c>
      <c r="H613" s="20">
        <f t="shared" si="31"/>
        <v>0</v>
      </c>
      <c r="I613" s="20">
        <f t="shared" si="32"/>
        <v>689.12382865893778</v>
      </c>
      <c r="J613" s="11" t="s">
        <v>21</v>
      </c>
    </row>
    <row r="614" spans="1:10" ht="14.25" hidden="1" customHeight="1" x14ac:dyDescent="0.3">
      <c r="A614" s="2" t="s">
        <v>52</v>
      </c>
      <c r="B614" s="2" t="str">
        <f>INDEX(SETORES!$B:$B,MATCH(A614,SETORES!$A:$A,0))</f>
        <v>Clientes</v>
      </c>
      <c r="C614" s="2" t="s">
        <v>18</v>
      </c>
      <c r="D614" s="14">
        <f>IF(B614="Clientes",SUMIFS(PARÂMETROS!$D$8:$D$907,PARÂMETROS!$A$8:$A$907,C614,PARÂMETROS!$G$8:$G$907,J614),SUMIFS(PARÂMETROS!$E$8:$E$907,PARÂMETROS!$A$8:$A$907,C614,PARÂMETROS!$G$8:$G$907,J614))</f>
        <v>0.72827074162121386</v>
      </c>
      <c r="E614" s="21">
        <f>SUMIFS(SETORES!$D:$D,SETORES!$A:$A,A614,SETORES!$F:$F,J614)</f>
        <v>28891.437653000005</v>
      </c>
      <c r="F614" s="21">
        <f t="shared" si="30"/>
        <v>21040.788726053375</v>
      </c>
      <c r="G614" s="14">
        <f>SUMIFS(PARÂMETROS!$F$8:$F$907,PARÂMETROS!$A$8:$A$907,C614,PARÂMETROS!$G$8:$G$907,J614)</f>
        <v>0</v>
      </c>
      <c r="H614" s="21">
        <f t="shared" si="31"/>
        <v>0</v>
      </c>
      <c r="I614" s="21">
        <f t="shared" si="32"/>
        <v>21040.788726053375</v>
      </c>
      <c r="J614" s="2" t="s">
        <v>21</v>
      </c>
    </row>
    <row r="615" spans="1:10" ht="14.25" hidden="1" customHeight="1" x14ac:dyDescent="0.3">
      <c r="A615" s="11" t="s">
        <v>53</v>
      </c>
      <c r="B615" s="19" t="str">
        <f>INDEX(SETORES!$B:$B,MATCH(A615,SETORES!$A:$A,0))</f>
        <v>Clientes</v>
      </c>
      <c r="C615" s="11" t="s">
        <v>10</v>
      </c>
      <c r="D615" s="9">
        <f>IF(B615="Clientes",SUMIFS(PARÂMETROS!$D$8:$D$907,PARÂMETROS!$A$8:$A$907,C615,PARÂMETROS!$G$8:$G$907,J615),SUMIFS(PARÂMETROS!$E$8:$E$907,PARÂMETROS!$A$8:$A$907,C615,PARÂMETROS!$G$8:$G$907,J615))</f>
        <v>3.2696249460273663E-2</v>
      </c>
      <c r="E615" s="20">
        <f>SUMIFS(SETORES!$D:$D,SETORES!$A:$A,A615,SETORES!$F:$F,J615)</f>
        <v>213378.49651799997</v>
      </c>
      <c r="F615" s="20">
        <f t="shared" ref="F615:F638" si="33">IFERROR(D615*E615,0)</f>
        <v>6976.6765516106625</v>
      </c>
      <c r="G615" s="9">
        <f>SUMIFS(PARÂMETROS!$F$8:$F$907,PARÂMETROS!$A$8:$A$907,C615,PARÂMETROS!$G$8:$G$907,J615)</f>
        <v>0</v>
      </c>
      <c r="H615" s="20">
        <f t="shared" ref="H615:H638" si="34">IFERROR(F615*G615,0)</f>
        <v>0</v>
      </c>
      <c r="I615" s="20">
        <f t="shared" ref="I615:I638" si="35">F615+H615</f>
        <v>6976.6765516106625</v>
      </c>
      <c r="J615" s="11" t="s">
        <v>21</v>
      </c>
    </row>
    <row r="616" spans="1:10" ht="14.25" hidden="1" customHeight="1" x14ac:dyDescent="0.3">
      <c r="A616" s="2" t="s">
        <v>53</v>
      </c>
      <c r="B616" s="2" t="str">
        <f>INDEX(SETORES!$B:$B,MATCH(A616,SETORES!$A:$A,0))</f>
        <v>Clientes</v>
      </c>
      <c r="C616" s="2" t="s">
        <v>12</v>
      </c>
      <c r="D616" s="14">
        <f>IF(B616="Clientes",SUMIFS(PARÂMETROS!$D$8:$D$907,PARÂMETROS!$A$8:$A$907,C616,PARÂMETROS!$G$8:$G$907,J616),SUMIFS(PARÂMETROS!$E$8:$E$907,PARÂMETROS!$A$8:$A$907,C616,PARÂMETROS!$G$8:$G$907,J616))</f>
        <v>6.7149401213950008E-2</v>
      </c>
      <c r="E616" s="21">
        <f>SUMIFS(SETORES!$D:$D,SETORES!$A:$A,A616,SETORES!$F:$F,J616)</f>
        <v>213378.49651799997</v>
      </c>
      <c r="F616" s="21">
        <f t="shared" si="33"/>
        <v>14328.238273116614</v>
      </c>
      <c r="G616" s="14">
        <f>SUMIFS(PARÂMETROS!$F$8:$F$907,PARÂMETROS!$A$8:$A$907,C616,PARÂMETROS!$G$8:$G$907,J616)</f>
        <v>0</v>
      </c>
      <c r="H616" s="21">
        <f t="shared" si="34"/>
        <v>0</v>
      </c>
      <c r="I616" s="21">
        <f t="shared" si="35"/>
        <v>14328.238273116614</v>
      </c>
      <c r="J616" s="2" t="s">
        <v>21</v>
      </c>
    </row>
    <row r="617" spans="1:10" ht="14.25" hidden="1" customHeight="1" x14ac:dyDescent="0.3">
      <c r="A617" s="11" t="s">
        <v>53</v>
      </c>
      <c r="B617" s="19" t="str">
        <f>INDEX(SETORES!$B:$B,MATCH(A617,SETORES!$A:$A,0))</f>
        <v>Clientes</v>
      </c>
      <c r="C617" s="11" t="s">
        <v>13</v>
      </c>
      <c r="D617" s="9">
        <f>IF(B617="Clientes",SUMIFS(PARÂMETROS!$D$8:$D$907,PARÂMETROS!$A$8:$A$907,C617,PARÂMETROS!$G$8:$G$907,J617),SUMIFS(PARÂMETROS!$E$8:$E$907,PARÂMETROS!$A$8:$A$907,C617,PARÂMETROS!$G$8:$G$907,J617))</f>
        <v>7.2901519174553703E-2</v>
      </c>
      <c r="E617" s="20">
        <f>SUMIFS(SETORES!$D:$D,SETORES!$A:$A,A617,SETORES!$F:$F,J617)</f>
        <v>213378.49651799997</v>
      </c>
      <c r="F617" s="20">
        <f t="shared" si="33"/>
        <v>15555.616555344415</v>
      </c>
      <c r="G617" s="9">
        <f>SUMIFS(PARÂMETROS!$F$8:$F$907,PARÂMETROS!$A$8:$A$907,C617,PARÂMETROS!$G$8:$G$907,J617)</f>
        <v>0</v>
      </c>
      <c r="H617" s="20">
        <f t="shared" si="34"/>
        <v>0</v>
      </c>
      <c r="I617" s="20">
        <f t="shared" si="35"/>
        <v>15555.616555344415</v>
      </c>
      <c r="J617" s="11" t="s">
        <v>21</v>
      </c>
    </row>
    <row r="618" spans="1:10" ht="14.25" customHeight="1" x14ac:dyDescent="0.3">
      <c r="A618" s="2" t="s">
        <v>53</v>
      </c>
      <c r="B618" s="2" t="str">
        <f>INDEX(SETORES!$B:$B,MATCH(A618,SETORES!$A:$A,0))</f>
        <v>Clientes</v>
      </c>
      <c r="C618" s="2" t="s">
        <v>14</v>
      </c>
      <c r="D618" s="14">
        <f>IF(B618="Clientes",SUMIFS(PARÂMETROS!$D$8:$D$907,PARÂMETROS!$A$8:$A$907,C618,PARÂMETROS!$G$8:$G$907,J618),SUMIFS(PARÂMETROS!$E$8:$E$907,PARÂMETROS!$A$8:$A$907,C618,PARÂMETROS!$G$8:$G$907,J618))</f>
        <v>1.8685698120511587E-2</v>
      </c>
      <c r="E618" s="21">
        <f>SUMIFS(SETORES!$D:$D,SETORES!$A:$A,A618,SETORES!$F:$F,J618)</f>
        <v>213378.49651799997</v>
      </c>
      <c r="F618" s="21">
        <f t="shared" si="33"/>
        <v>3987.1261713439803</v>
      </c>
      <c r="G618" s="14">
        <f>SUMIFS(PARÂMETROS!$F$8:$F$907,PARÂMETROS!$A$8:$A$907,C618,PARÂMETROS!$G$8:$G$907,J618)</f>
        <v>0</v>
      </c>
      <c r="H618" s="21">
        <f t="shared" si="34"/>
        <v>0</v>
      </c>
      <c r="I618" s="21">
        <f t="shared" si="35"/>
        <v>3987.1261713439803</v>
      </c>
      <c r="J618" s="2" t="s">
        <v>21</v>
      </c>
    </row>
    <row r="619" spans="1:10" ht="14.25" hidden="1" customHeight="1" x14ac:dyDescent="0.3">
      <c r="A619" s="11" t="s">
        <v>53</v>
      </c>
      <c r="B619" s="19" t="str">
        <f>INDEX(SETORES!$B:$B,MATCH(A619,SETORES!$A:$A,0))</f>
        <v>Clientes</v>
      </c>
      <c r="C619" s="11" t="s">
        <v>15</v>
      </c>
      <c r="D619" s="9">
        <f>IF(B619="Clientes",SUMIFS(PARÂMETROS!$D$8:$D$907,PARÂMETROS!$A$8:$A$907,C619,PARÂMETROS!$G$8:$G$907,J619),SUMIFS(PARÂMETROS!$E$8:$E$907,PARÂMETROS!$A$8:$A$907,C619,PARÂMETROS!$G$8:$G$907,J619))</f>
        <v>3.2596989443697238E-2</v>
      </c>
      <c r="E619" s="20">
        <f>SUMIFS(SETORES!$D:$D,SETORES!$A:$A,A619,SETORES!$F:$F,J619)</f>
        <v>213378.49651799997</v>
      </c>
      <c r="F619" s="20">
        <f t="shared" si="33"/>
        <v>6955.4965985092331</v>
      </c>
      <c r="G619" s="9">
        <f>SUMIFS(PARÂMETROS!$F$8:$F$907,PARÂMETROS!$A$8:$A$907,C619,PARÂMETROS!$G$8:$G$907,J619)</f>
        <v>0</v>
      </c>
      <c r="H619" s="20">
        <f t="shared" si="34"/>
        <v>0</v>
      </c>
      <c r="I619" s="20">
        <f t="shared" si="35"/>
        <v>6955.4965985092331</v>
      </c>
      <c r="J619" s="11" t="s">
        <v>21</v>
      </c>
    </row>
    <row r="620" spans="1:10" ht="14.25" hidden="1" customHeight="1" x14ac:dyDescent="0.3">
      <c r="A620" s="2" t="s">
        <v>53</v>
      </c>
      <c r="B620" s="2" t="str">
        <f>INDEX(SETORES!$B:$B,MATCH(A620,SETORES!$A:$A,0))</f>
        <v>Clientes</v>
      </c>
      <c r="C620" s="2" t="s">
        <v>16</v>
      </c>
      <c r="D620" s="14">
        <f>IF(B620="Clientes",SUMIFS(PARÂMETROS!$D$8:$D$907,PARÂMETROS!$A$8:$A$907,C620,PARÂMETROS!$G$8:$G$907,J620),SUMIFS(PARÂMETROS!$E$8:$E$907,PARÂMETROS!$A$8:$A$907,C620,PARÂMETROS!$G$8:$G$907,J620))</f>
        <v>2.3847218982485568E-2</v>
      </c>
      <c r="E620" s="21">
        <f>SUMIFS(SETORES!$D:$D,SETORES!$A:$A,A620,SETORES!$F:$F,J620)</f>
        <v>213378.49651799997</v>
      </c>
      <c r="F620" s="21">
        <f t="shared" si="33"/>
        <v>5088.4837326182796</v>
      </c>
      <c r="G620" s="14">
        <f>SUMIFS(PARÂMETROS!$F$8:$F$907,PARÂMETROS!$A$8:$A$907,C620,PARÂMETROS!$G$8:$G$907,J620)</f>
        <v>0</v>
      </c>
      <c r="H620" s="21">
        <f t="shared" si="34"/>
        <v>0</v>
      </c>
      <c r="I620" s="21">
        <f t="shared" si="35"/>
        <v>5088.4837326182796</v>
      </c>
      <c r="J620" s="2" t="s">
        <v>21</v>
      </c>
    </row>
    <row r="621" spans="1:10" ht="14.25" hidden="1" customHeight="1" x14ac:dyDescent="0.3">
      <c r="A621" s="11" t="s">
        <v>53</v>
      </c>
      <c r="B621" s="19" t="str">
        <f>INDEX(SETORES!$B:$B,MATCH(A621,SETORES!$A:$A,0))</f>
        <v>Clientes</v>
      </c>
      <c r="C621" s="11" t="s">
        <v>17</v>
      </c>
      <c r="D621" s="9">
        <f>IF(B621="Clientes",SUMIFS(PARÂMETROS!$D$8:$D$907,PARÂMETROS!$A$8:$A$907,C621,PARÂMETROS!$G$8:$G$907,J621),SUMIFS(PARÂMETROS!$E$8:$E$907,PARÂMETROS!$A$8:$A$907,C621,PARÂMETROS!$G$8:$G$907,J621))</f>
        <v>2.3852181983314392E-2</v>
      </c>
      <c r="E621" s="20">
        <f>SUMIFS(SETORES!$D:$D,SETORES!$A:$A,A621,SETORES!$F:$F,J621)</f>
        <v>213378.49651799997</v>
      </c>
      <c r="F621" s="20">
        <f t="shared" si="33"/>
        <v>5089.5427302733515</v>
      </c>
      <c r="G621" s="9">
        <f>SUMIFS(PARÂMETROS!$F$8:$F$907,PARÂMETROS!$A$8:$A$907,C621,PARÂMETROS!$G$8:$G$907,J621)</f>
        <v>0</v>
      </c>
      <c r="H621" s="20">
        <f t="shared" si="34"/>
        <v>0</v>
      </c>
      <c r="I621" s="20">
        <f t="shared" si="35"/>
        <v>5089.5427302733515</v>
      </c>
      <c r="J621" s="11" t="s">
        <v>21</v>
      </c>
    </row>
    <row r="622" spans="1:10" ht="14.25" hidden="1" customHeight="1" x14ac:dyDescent="0.3">
      <c r="A622" s="2" t="s">
        <v>53</v>
      </c>
      <c r="B622" s="2" t="str">
        <f>INDEX(SETORES!$B:$B,MATCH(A622,SETORES!$A:$A,0))</f>
        <v>Clientes</v>
      </c>
      <c r="C622" s="2" t="s">
        <v>18</v>
      </c>
      <c r="D622" s="14">
        <f>IF(B622="Clientes",SUMIFS(PARÂMETROS!$D$8:$D$907,PARÂMETROS!$A$8:$A$907,C622,PARÂMETROS!$G$8:$G$907,J622),SUMIFS(PARÂMETROS!$E$8:$E$907,PARÂMETROS!$A$8:$A$907,C622,PARÂMETROS!$G$8:$G$907,J622))</f>
        <v>0.72827074162121386</v>
      </c>
      <c r="E622" s="21">
        <f>SUMIFS(SETORES!$D:$D,SETORES!$A:$A,A622,SETORES!$F:$F,J622)</f>
        <v>213378.49651799997</v>
      </c>
      <c r="F622" s="21">
        <f t="shared" si="33"/>
        <v>155397.31590518344</v>
      </c>
      <c r="G622" s="14">
        <f>SUMIFS(PARÂMETROS!$F$8:$F$907,PARÂMETROS!$A$8:$A$907,C622,PARÂMETROS!$G$8:$G$907,J622)</f>
        <v>0</v>
      </c>
      <c r="H622" s="21">
        <f t="shared" si="34"/>
        <v>0</v>
      </c>
      <c r="I622" s="21">
        <f t="shared" si="35"/>
        <v>155397.31590518344</v>
      </c>
      <c r="J622" s="2" t="s">
        <v>21</v>
      </c>
    </row>
    <row r="623" spans="1:10" ht="14.25" hidden="1" customHeight="1" x14ac:dyDescent="0.3">
      <c r="A623" s="11" t="s">
        <v>54</v>
      </c>
      <c r="B623" s="19" t="str">
        <f>INDEX(SETORES!$B:$B,MATCH(A623,SETORES!$A:$A,0))</f>
        <v>Clientes</v>
      </c>
      <c r="C623" s="11" t="s">
        <v>10</v>
      </c>
      <c r="D623" s="9">
        <f>IF(B623="Clientes",SUMIFS(PARÂMETROS!$D$8:$D$907,PARÂMETROS!$A$8:$A$907,C623,PARÂMETROS!$G$8:$G$907,J623),SUMIFS(PARÂMETROS!$E$8:$E$907,PARÂMETROS!$A$8:$A$907,C623,PARÂMETROS!$G$8:$G$907,J623))</f>
        <v>3.2696249460273663E-2</v>
      </c>
      <c r="E623" s="20">
        <f>SUMIFS(SETORES!$D:$D,SETORES!$A:$A,A623,SETORES!$F:$F,J623)</f>
        <v>125647.894012</v>
      </c>
      <c r="F623" s="20">
        <f t="shared" si="33"/>
        <v>4108.2148867743772</v>
      </c>
      <c r="G623" s="9">
        <f>SUMIFS(PARÂMETROS!$F$8:$F$907,PARÂMETROS!$A$8:$A$907,C623,PARÂMETROS!$G$8:$G$907,J623)</f>
        <v>0</v>
      </c>
      <c r="H623" s="20">
        <f t="shared" si="34"/>
        <v>0</v>
      </c>
      <c r="I623" s="20">
        <f t="shared" si="35"/>
        <v>4108.2148867743772</v>
      </c>
      <c r="J623" s="11" t="s">
        <v>21</v>
      </c>
    </row>
    <row r="624" spans="1:10" ht="14.25" hidden="1" customHeight="1" x14ac:dyDescent="0.3">
      <c r="A624" s="2" t="s">
        <v>54</v>
      </c>
      <c r="B624" s="2" t="str">
        <f>INDEX(SETORES!$B:$B,MATCH(A624,SETORES!$A:$A,0))</f>
        <v>Clientes</v>
      </c>
      <c r="C624" s="2" t="s">
        <v>12</v>
      </c>
      <c r="D624" s="14">
        <f>IF(B624="Clientes",SUMIFS(PARÂMETROS!$D$8:$D$907,PARÂMETROS!$A$8:$A$907,C624,PARÂMETROS!$G$8:$G$907,J624),SUMIFS(PARÂMETROS!$E$8:$E$907,PARÂMETROS!$A$8:$A$907,C624,PARÂMETROS!$G$8:$G$907,J624))</f>
        <v>6.7149401213950008E-2</v>
      </c>
      <c r="E624" s="21">
        <f>SUMIFS(SETORES!$D:$D,SETORES!$A:$A,A624,SETORES!$F:$F,J624)</f>
        <v>125647.894012</v>
      </c>
      <c r="F624" s="21">
        <f t="shared" si="33"/>
        <v>8437.1808466996554</v>
      </c>
      <c r="G624" s="14">
        <f>SUMIFS(PARÂMETROS!$F$8:$F$907,PARÂMETROS!$A$8:$A$907,C624,PARÂMETROS!$G$8:$G$907,J624)</f>
        <v>0</v>
      </c>
      <c r="H624" s="21">
        <f t="shared" si="34"/>
        <v>0</v>
      </c>
      <c r="I624" s="21">
        <f t="shared" si="35"/>
        <v>8437.1808466996554</v>
      </c>
      <c r="J624" s="2" t="s">
        <v>21</v>
      </c>
    </row>
    <row r="625" spans="1:10" ht="14.25" hidden="1" customHeight="1" x14ac:dyDescent="0.3">
      <c r="A625" s="11" t="s">
        <v>54</v>
      </c>
      <c r="B625" s="19" t="str">
        <f>INDEX(SETORES!$B:$B,MATCH(A625,SETORES!$A:$A,0))</f>
        <v>Clientes</v>
      </c>
      <c r="C625" s="11" t="s">
        <v>13</v>
      </c>
      <c r="D625" s="9">
        <f>IF(B625="Clientes",SUMIFS(PARÂMETROS!$D$8:$D$907,PARÂMETROS!$A$8:$A$907,C625,PARÂMETROS!$G$8:$G$907,J625),SUMIFS(PARÂMETROS!$E$8:$E$907,PARÂMETROS!$A$8:$A$907,C625,PARÂMETROS!$G$8:$G$907,J625))</f>
        <v>7.2901519174553703E-2</v>
      </c>
      <c r="E625" s="20">
        <f>SUMIFS(SETORES!$D:$D,SETORES!$A:$A,A625,SETORES!$F:$F,J625)</f>
        <v>125647.894012</v>
      </c>
      <c r="F625" s="20">
        <f t="shared" si="33"/>
        <v>9159.9223545581099</v>
      </c>
      <c r="G625" s="9">
        <f>SUMIFS(PARÂMETROS!$F$8:$F$907,PARÂMETROS!$A$8:$A$907,C625,PARÂMETROS!$G$8:$G$907,J625)</f>
        <v>0</v>
      </c>
      <c r="H625" s="20">
        <f t="shared" si="34"/>
        <v>0</v>
      </c>
      <c r="I625" s="20">
        <f t="shared" si="35"/>
        <v>9159.9223545581099</v>
      </c>
      <c r="J625" s="11" t="s">
        <v>21</v>
      </c>
    </row>
    <row r="626" spans="1:10" ht="14.25" customHeight="1" x14ac:dyDescent="0.3">
      <c r="A626" s="2" t="s">
        <v>54</v>
      </c>
      <c r="B626" s="2" t="str">
        <f>INDEX(SETORES!$B:$B,MATCH(A626,SETORES!$A:$A,0))</f>
        <v>Clientes</v>
      </c>
      <c r="C626" s="2" t="s">
        <v>14</v>
      </c>
      <c r="D626" s="14">
        <f>IF(B626="Clientes",SUMIFS(PARÂMETROS!$D$8:$D$907,PARÂMETROS!$A$8:$A$907,C626,PARÂMETROS!$G$8:$G$907,J626),SUMIFS(PARÂMETROS!$E$8:$E$907,PARÂMETROS!$A$8:$A$907,C626,PARÂMETROS!$G$8:$G$907,J626))</f>
        <v>1.8685698120511587E-2</v>
      </c>
      <c r="E626" s="21">
        <f>SUMIFS(SETORES!$D:$D,SETORES!$A:$A,A626,SETORES!$F:$F,J626)</f>
        <v>125647.894012</v>
      </c>
      <c r="F626" s="21">
        <f t="shared" si="33"/>
        <v>2347.8186169862674</v>
      </c>
      <c r="G626" s="14">
        <f>SUMIFS(PARÂMETROS!$F$8:$F$907,PARÂMETROS!$A$8:$A$907,C626,PARÂMETROS!$G$8:$G$907,J626)</f>
        <v>0</v>
      </c>
      <c r="H626" s="21">
        <f t="shared" si="34"/>
        <v>0</v>
      </c>
      <c r="I626" s="21">
        <f t="shared" si="35"/>
        <v>2347.8186169862674</v>
      </c>
      <c r="J626" s="2" t="s">
        <v>21</v>
      </c>
    </row>
    <row r="627" spans="1:10" ht="14.25" hidden="1" customHeight="1" x14ac:dyDescent="0.3">
      <c r="A627" s="11" t="s">
        <v>54</v>
      </c>
      <c r="B627" s="19" t="str">
        <f>INDEX(SETORES!$B:$B,MATCH(A627,SETORES!$A:$A,0))</f>
        <v>Clientes</v>
      </c>
      <c r="C627" s="11" t="s">
        <v>15</v>
      </c>
      <c r="D627" s="9">
        <f>IF(B627="Clientes",SUMIFS(PARÂMETROS!$D$8:$D$907,PARÂMETROS!$A$8:$A$907,C627,PARÂMETROS!$G$8:$G$907,J627),SUMIFS(PARÂMETROS!$E$8:$E$907,PARÂMETROS!$A$8:$A$907,C627,PARÂMETROS!$G$8:$G$907,J627))</f>
        <v>3.2596989443697238E-2</v>
      </c>
      <c r="E627" s="20">
        <f>SUMIFS(SETORES!$D:$D,SETORES!$A:$A,A627,SETORES!$F:$F,J627)</f>
        <v>125647.894012</v>
      </c>
      <c r="F627" s="20">
        <f t="shared" si="33"/>
        <v>4095.7430747319536</v>
      </c>
      <c r="G627" s="9">
        <f>SUMIFS(PARÂMETROS!$F$8:$F$907,PARÂMETROS!$A$8:$A$907,C627,PARÂMETROS!$G$8:$G$907,J627)</f>
        <v>0</v>
      </c>
      <c r="H627" s="20">
        <f t="shared" si="34"/>
        <v>0</v>
      </c>
      <c r="I627" s="20">
        <f t="shared" si="35"/>
        <v>4095.7430747319536</v>
      </c>
      <c r="J627" s="11" t="s">
        <v>21</v>
      </c>
    </row>
    <row r="628" spans="1:10" ht="14.25" hidden="1" customHeight="1" x14ac:dyDescent="0.3">
      <c r="A628" s="2" t="s">
        <v>54</v>
      </c>
      <c r="B628" s="2" t="str">
        <f>INDEX(SETORES!$B:$B,MATCH(A628,SETORES!$A:$A,0))</f>
        <v>Clientes</v>
      </c>
      <c r="C628" s="2" t="s">
        <v>16</v>
      </c>
      <c r="D628" s="14">
        <f>IF(B628="Clientes",SUMIFS(PARÂMETROS!$D$8:$D$907,PARÂMETROS!$A$8:$A$907,C628,PARÂMETROS!$G$8:$G$907,J628),SUMIFS(PARÂMETROS!$E$8:$E$907,PARÂMETROS!$A$8:$A$907,C628,PARÂMETROS!$G$8:$G$907,J628))</f>
        <v>2.3847218982485568E-2</v>
      </c>
      <c r="E628" s="21">
        <f>SUMIFS(SETORES!$D:$D,SETORES!$A:$A,A628,SETORES!$F:$F,J628)</f>
        <v>125647.894012</v>
      </c>
      <c r="F628" s="21">
        <f t="shared" si="33"/>
        <v>2996.3528431923014</v>
      </c>
      <c r="G628" s="14">
        <f>SUMIFS(PARÂMETROS!$F$8:$F$907,PARÂMETROS!$A$8:$A$907,C628,PARÂMETROS!$G$8:$G$907,J628)</f>
        <v>0</v>
      </c>
      <c r="H628" s="21">
        <f t="shared" si="34"/>
        <v>0</v>
      </c>
      <c r="I628" s="21">
        <f t="shared" si="35"/>
        <v>2996.3528431923014</v>
      </c>
      <c r="J628" s="2" t="s">
        <v>21</v>
      </c>
    </row>
    <row r="629" spans="1:10" ht="14.25" hidden="1" customHeight="1" x14ac:dyDescent="0.3">
      <c r="A629" s="11" t="s">
        <v>54</v>
      </c>
      <c r="B629" s="19" t="str">
        <f>INDEX(SETORES!$B:$B,MATCH(A629,SETORES!$A:$A,0))</f>
        <v>Clientes</v>
      </c>
      <c r="C629" s="11" t="s">
        <v>17</v>
      </c>
      <c r="D629" s="9">
        <f>IF(B629="Clientes",SUMIFS(PARÂMETROS!$D$8:$D$907,PARÂMETROS!$A$8:$A$907,C629,PARÂMETROS!$G$8:$G$907,J629),SUMIFS(PARÂMETROS!$E$8:$E$907,PARÂMETROS!$A$8:$A$907,C629,PARÂMETROS!$G$8:$G$907,J629))</f>
        <v>2.3852181983314392E-2</v>
      </c>
      <c r="E629" s="20">
        <f>SUMIFS(SETORES!$D:$D,SETORES!$A:$A,A629,SETORES!$F:$F,J629)</f>
        <v>125647.894012</v>
      </c>
      <c r="F629" s="20">
        <f t="shared" si="33"/>
        <v>2996.976433794423</v>
      </c>
      <c r="G629" s="9">
        <f>SUMIFS(PARÂMETROS!$F$8:$F$907,PARÂMETROS!$A$8:$A$907,C629,PARÂMETROS!$G$8:$G$907,J629)</f>
        <v>0</v>
      </c>
      <c r="H629" s="20">
        <f t="shared" si="34"/>
        <v>0</v>
      </c>
      <c r="I629" s="20">
        <f t="shared" si="35"/>
        <v>2996.976433794423</v>
      </c>
      <c r="J629" s="11" t="s">
        <v>21</v>
      </c>
    </row>
    <row r="630" spans="1:10" ht="14.25" hidden="1" customHeight="1" x14ac:dyDescent="0.3">
      <c r="A630" s="2" t="s">
        <v>54</v>
      </c>
      <c r="B630" s="2" t="str">
        <f>INDEX(SETORES!$B:$B,MATCH(A630,SETORES!$A:$A,0))</f>
        <v>Clientes</v>
      </c>
      <c r="C630" s="2" t="s">
        <v>18</v>
      </c>
      <c r="D630" s="14">
        <f>IF(B630="Clientes",SUMIFS(PARÂMETROS!$D$8:$D$907,PARÂMETROS!$A$8:$A$907,C630,PARÂMETROS!$G$8:$G$907,J630),SUMIFS(PARÂMETROS!$E$8:$E$907,PARÂMETROS!$A$8:$A$907,C630,PARÂMETROS!$G$8:$G$907,J630))</f>
        <v>0.72827074162121386</v>
      </c>
      <c r="E630" s="21">
        <f>SUMIFS(SETORES!$D:$D,SETORES!$A:$A,A630,SETORES!$F:$F,J630)</f>
        <v>125647.894012</v>
      </c>
      <c r="F630" s="21">
        <f t="shared" si="33"/>
        <v>91505.684955262914</v>
      </c>
      <c r="G630" s="14">
        <f>SUMIFS(PARÂMETROS!$F$8:$F$907,PARÂMETROS!$A$8:$A$907,C630,PARÂMETROS!$G$8:$G$907,J630)</f>
        <v>0</v>
      </c>
      <c r="H630" s="21">
        <f t="shared" si="34"/>
        <v>0</v>
      </c>
      <c r="I630" s="21">
        <f t="shared" si="35"/>
        <v>91505.684955262914</v>
      </c>
      <c r="J630" s="2" t="s">
        <v>21</v>
      </c>
    </row>
    <row r="631" spans="1:10" ht="14.25" hidden="1" customHeight="1" x14ac:dyDescent="0.3">
      <c r="A631" s="11" t="s">
        <v>55</v>
      </c>
      <c r="B631" s="19" t="str">
        <f>INDEX(SETORES!$B:$B,MATCH(A631,SETORES!$A:$A,0))</f>
        <v>Funcionários</v>
      </c>
      <c r="C631" s="11" t="s">
        <v>10</v>
      </c>
      <c r="D631" s="9">
        <f>IF(B631="Clientes",SUMIFS(PARÂMETROS!$D$8:$D$907,PARÂMETROS!$A$8:$A$907,C631,PARÂMETROS!$G$8:$G$907,J631),SUMIFS(PARÂMETROS!$E$8:$E$907,PARÂMETROS!$A$8:$A$907,C631,PARÂMETROS!$G$8:$G$907,J631))</f>
        <v>3.1192660550458717E-2</v>
      </c>
      <c r="E631" s="20">
        <f>SUMIFS(SETORES!$D:$D,SETORES!$A:$A,A631,SETORES!$F:$F,J631)</f>
        <v>23776.09</v>
      </c>
      <c r="F631" s="20">
        <f t="shared" si="33"/>
        <v>741.63950458715601</v>
      </c>
      <c r="G631" s="9">
        <f>SUMIFS(PARÂMETROS!$F$8:$F$907,PARÂMETROS!$A$8:$A$907,C631,PARÂMETROS!$G$8:$G$907,J631)</f>
        <v>0</v>
      </c>
      <c r="H631" s="20">
        <f t="shared" si="34"/>
        <v>0</v>
      </c>
      <c r="I631" s="20">
        <f t="shared" si="35"/>
        <v>741.63950458715601</v>
      </c>
      <c r="J631" s="11" t="s">
        <v>21</v>
      </c>
    </row>
    <row r="632" spans="1:10" ht="14.25" hidden="1" customHeight="1" x14ac:dyDescent="0.3">
      <c r="A632" s="2" t="s">
        <v>55</v>
      </c>
      <c r="B632" s="2" t="str">
        <f>INDEX(SETORES!$B:$B,MATCH(A632,SETORES!$A:$A,0))</f>
        <v>Funcionários</v>
      </c>
      <c r="C632" s="2" t="s">
        <v>12</v>
      </c>
      <c r="D632" s="14">
        <f>IF(B632="Clientes",SUMIFS(PARÂMETROS!$D$8:$D$907,PARÂMETROS!$A$8:$A$907,C632,PARÂMETROS!$G$8:$G$907,J632),SUMIFS(PARÂMETROS!$E$8:$E$907,PARÂMETROS!$A$8:$A$907,C632,PARÂMETROS!$G$8:$G$907,J632))</f>
        <v>0</v>
      </c>
      <c r="E632" s="21">
        <f>SUMIFS(SETORES!$D:$D,SETORES!$A:$A,A632,SETORES!$F:$F,J632)</f>
        <v>23776.09</v>
      </c>
      <c r="F632" s="21">
        <f t="shared" si="33"/>
        <v>0</v>
      </c>
      <c r="G632" s="14">
        <f>SUMIFS(PARÂMETROS!$F$8:$F$907,PARÂMETROS!$A$8:$A$907,C632,PARÂMETROS!$G$8:$G$907,J632)</f>
        <v>0</v>
      </c>
      <c r="H632" s="21">
        <f t="shared" si="34"/>
        <v>0</v>
      </c>
      <c r="I632" s="21">
        <f t="shared" si="35"/>
        <v>0</v>
      </c>
      <c r="J632" s="2" t="s">
        <v>21</v>
      </c>
    </row>
    <row r="633" spans="1:10" ht="14.25" hidden="1" customHeight="1" x14ac:dyDescent="0.3">
      <c r="A633" s="11" t="s">
        <v>55</v>
      </c>
      <c r="B633" s="19" t="str">
        <f>INDEX(SETORES!$B:$B,MATCH(A633,SETORES!$A:$A,0))</f>
        <v>Funcionários</v>
      </c>
      <c r="C633" s="11" t="s">
        <v>13</v>
      </c>
      <c r="D633" s="9">
        <f>IF(B633="Clientes",SUMIFS(PARÂMETROS!$D$8:$D$907,PARÂMETROS!$A$8:$A$907,C633,PARÂMETROS!$G$8:$G$907,J633),SUMIFS(PARÂMETROS!$E$8:$E$907,PARÂMETROS!$A$8:$A$907,C633,PARÂMETROS!$G$8:$G$907,J633))</f>
        <v>4.3119266055045874E-2</v>
      </c>
      <c r="E633" s="20">
        <f>SUMIFS(SETORES!$D:$D,SETORES!$A:$A,A633,SETORES!$F:$F,J633)</f>
        <v>23776.09</v>
      </c>
      <c r="F633" s="20">
        <f t="shared" si="33"/>
        <v>1025.2075504587156</v>
      </c>
      <c r="G633" s="9">
        <f>SUMIFS(PARÂMETROS!$F$8:$F$907,PARÂMETROS!$A$8:$A$907,C633,PARÂMETROS!$G$8:$G$907,J633)</f>
        <v>0</v>
      </c>
      <c r="H633" s="20">
        <f t="shared" si="34"/>
        <v>0</v>
      </c>
      <c r="I633" s="20">
        <f t="shared" si="35"/>
        <v>1025.2075504587156</v>
      </c>
      <c r="J633" s="11" t="s">
        <v>21</v>
      </c>
    </row>
    <row r="634" spans="1:10" ht="14.25" customHeight="1" x14ac:dyDescent="0.3">
      <c r="A634" s="2" t="s">
        <v>55</v>
      </c>
      <c r="B634" s="2" t="str">
        <f>INDEX(SETORES!$B:$B,MATCH(A634,SETORES!$A:$A,0))</f>
        <v>Funcionários</v>
      </c>
      <c r="C634" s="2" t="s">
        <v>14</v>
      </c>
      <c r="D634" s="14">
        <f>IF(B634="Clientes",SUMIFS(PARÂMETROS!$D$8:$D$907,PARÂMETROS!$A$8:$A$907,C634,PARÂMETROS!$G$8:$G$907,J634),SUMIFS(PARÂMETROS!$E$8:$E$907,PARÂMETROS!$A$8:$A$907,C634,PARÂMETROS!$G$8:$G$907,J634))</f>
        <v>1.0091743119266056E-2</v>
      </c>
      <c r="E634" s="21">
        <f>SUMIFS(SETORES!$D:$D,SETORES!$A:$A,A634,SETORES!$F:$F,J634)</f>
        <v>23776.09</v>
      </c>
      <c r="F634" s="21">
        <f t="shared" si="33"/>
        <v>239.94219266055046</v>
      </c>
      <c r="G634" s="14">
        <f>SUMIFS(PARÂMETROS!$F$8:$F$907,PARÂMETROS!$A$8:$A$907,C634,PARÂMETROS!$G$8:$G$907,J634)</f>
        <v>0</v>
      </c>
      <c r="H634" s="21">
        <f t="shared" si="34"/>
        <v>0</v>
      </c>
      <c r="I634" s="21">
        <f t="shared" si="35"/>
        <v>239.94219266055046</v>
      </c>
      <c r="J634" s="2" t="s">
        <v>21</v>
      </c>
    </row>
    <row r="635" spans="1:10" ht="14.25" hidden="1" customHeight="1" x14ac:dyDescent="0.3">
      <c r="A635" s="11" t="s">
        <v>55</v>
      </c>
      <c r="B635" s="19" t="str">
        <f>INDEX(SETORES!$B:$B,MATCH(A635,SETORES!$A:$A,0))</f>
        <v>Funcionários</v>
      </c>
      <c r="C635" s="11" t="s">
        <v>15</v>
      </c>
      <c r="D635" s="9">
        <f>IF(B635="Clientes",SUMIFS(PARÂMETROS!$D$8:$D$907,PARÂMETROS!$A$8:$A$907,C635,PARÂMETROS!$G$8:$G$907,J635),SUMIFS(PARÂMETROS!$E$8:$E$907,PARÂMETROS!$A$8:$A$907,C635,PARÂMETROS!$G$8:$G$907,J635))</f>
        <v>4.5871559633027525E-2</v>
      </c>
      <c r="E635" s="20">
        <f>SUMIFS(SETORES!$D:$D,SETORES!$A:$A,A635,SETORES!$F:$F,J635)</f>
        <v>23776.09</v>
      </c>
      <c r="F635" s="20">
        <f t="shared" si="33"/>
        <v>1090.6463302752295</v>
      </c>
      <c r="G635" s="9">
        <f>SUMIFS(PARÂMETROS!$F$8:$F$907,PARÂMETROS!$A$8:$A$907,C635,PARÂMETROS!$G$8:$G$907,J635)</f>
        <v>0</v>
      </c>
      <c r="H635" s="20">
        <f t="shared" si="34"/>
        <v>0</v>
      </c>
      <c r="I635" s="20">
        <f t="shared" si="35"/>
        <v>1090.6463302752295</v>
      </c>
      <c r="J635" s="11" t="s">
        <v>21</v>
      </c>
    </row>
    <row r="636" spans="1:10" ht="14.25" hidden="1" customHeight="1" x14ac:dyDescent="0.3">
      <c r="A636" s="2" t="s">
        <v>55</v>
      </c>
      <c r="B636" s="2" t="str">
        <f>INDEX(SETORES!$B:$B,MATCH(A636,SETORES!$A:$A,0))</f>
        <v>Funcionários</v>
      </c>
      <c r="C636" s="2" t="s">
        <v>16</v>
      </c>
      <c r="D636" s="14">
        <f>IF(B636="Clientes",SUMIFS(PARÂMETROS!$D$8:$D$907,PARÂMETROS!$A$8:$A$907,C636,PARÂMETROS!$G$8:$G$907,J636),SUMIFS(PARÂMETROS!$E$8:$E$907,PARÂMETROS!$A$8:$A$907,C636,PARÂMETROS!$G$8:$G$907,J636))</f>
        <v>1.6513761467889909E-2</v>
      </c>
      <c r="E636" s="21">
        <f>SUMIFS(SETORES!$D:$D,SETORES!$A:$A,A636,SETORES!$F:$F,J636)</f>
        <v>23776.09</v>
      </c>
      <c r="F636" s="21">
        <f t="shared" si="33"/>
        <v>392.63267889908258</v>
      </c>
      <c r="G636" s="14">
        <f>SUMIFS(PARÂMETROS!$F$8:$F$907,PARÂMETROS!$A$8:$A$907,C636,PARÂMETROS!$G$8:$G$907,J636)</f>
        <v>0</v>
      </c>
      <c r="H636" s="21">
        <f t="shared" si="34"/>
        <v>0</v>
      </c>
      <c r="I636" s="21">
        <f t="shared" si="35"/>
        <v>392.63267889908258</v>
      </c>
      <c r="J636" s="2" t="s">
        <v>21</v>
      </c>
    </row>
    <row r="637" spans="1:10" ht="14.25" hidden="1" customHeight="1" x14ac:dyDescent="0.3">
      <c r="A637" s="11" t="s">
        <v>55</v>
      </c>
      <c r="B637" s="19" t="str">
        <f>INDEX(SETORES!$B:$B,MATCH(A637,SETORES!$A:$A,0))</f>
        <v>Funcionários</v>
      </c>
      <c r="C637" s="11" t="s">
        <v>17</v>
      </c>
      <c r="D637" s="9">
        <f>IF(B637="Clientes",SUMIFS(PARÂMETROS!$D$8:$D$907,PARÂMETROS!$A$8:$A$907,C637,PARÂMETROS!$G$8:$G$907,J637),SUMIFS(PARÂMETROS!$E$8:$E$907,PARÂMETROS!$A$8:$A$907,C637,PARÂMETROS!$G$8:$G$907,J637))</f>
        <v>2.2018348623853212E-2</v>
      </c>
      <c r="E637" s="20">
        <f>SUMIFS(SETORES!$D:$D,SETORES!$A:$A,A637,SETORES!$F:$F,J637)</f>
        <v>23776.09</v>
      </c>
      <c r="F637" s="20">
        <f t="shared" si="33"/>
        <v>523.51023853211018</v>
      </c>
      <c r="G637" s="9">
        <f>SUMIFS(PARÂMETROS!$F$8:$F$907,PARÂMETROS!$A$8:$A$907,C637,PARÂMETROS!$G$8:$G$907,J637)</f>
        <v>0</v>
      </c>
      <c r="H637" s="20">
        <f t="shared" si="34"/>
        <v>0</v>
      </c>
      <c r="I637" s="20">
        <f t="shared" si="35"/>
        <v>523.51023853211018</v>
      </c>
      <c r="J637" s="11" t="s">
        <v>21</v>
      </c>
    </row>
    <row r="638" spans="1:10" ht="14.25" hidden="1" customHeight="1" x14ac:dyDescent="0.3">
      <c r="A638" s="2" t="s">
        <v>55</v>
      </c>
      <c r="B638" s="2" t="str">
        <f>INDEX(SETORES!$B:$B,MATCH(A638,SETORES!$A:$A,0))</f>
        <v>Funcionários</v>
      </c>
      <c r="C638" s="2" t="s">
        <v>18</v>
      </c>
      <c r="D638" s="14">
        <f>IF(B638="Clientes",SUMIFS(PARÂMETROS!$D$8:$D$907,PARÂMETROS!$A$8:$A$907,C638,PARÂMETROS!$G$8:$G$907,J638),SUMIFS(PARÂMETROS!$E$8:$E$907,PARÂMETROS!$A$8:$A$907,C638,PARÂMETROS!$G$8:$G$907,J638))</f>
        <v>0.83119266055045871</v>
      </c>
      <c r="E638" s="21">
        <f>SUMIFS(SETORES!$D:$D,SETORES!$A:$A,A638,SETORES!$F:$F,J638)</f>
        <v>23776.09</v>
      </c>
      <c r="F638" s="21">
        <f t="shared" si="33"/>
        <v>19762.511504587157</v>
      </c>
      <c r="G638" s="14">
        <f>SUMIFS(PARÂMETROS!$F$8:$F$907,PARÂMETROS!$A$8:$A$907,C638,PARÂMETROS!$G$8:$G$907,J638)</f>
        <v>0</v>
      </c>
      <c r="H638" s="21">
        <f t="shared" si="34"/>
        <v>0</v>
      </c>
      <c r="I638" s="21">
        <f t="shared" si="35"/>
        <v>19762.511504587157</v>
      </c>
      <c r="J638" s="2" t="s">
        <v>21</v>
      </c>
    </row>
    <row r="639" spans="1:10" ht="14.25" customHeight="1" x14ac:dyDescent="0.3"/>
    <row r="640" spans="1:10" ht="14.25" customHeight="1" x14ac:dyDescent="0.3"/>
    <row r="641" spans="1:7" ht="14.25" customHeight="1" x14ac:dyDescent="0.3">
      <c r="A641" s="4" t="s">
        <v>56</v>
      </c>
    </row>
    <row r="642" spans="1:7" ht="14.25" customHeight="1" x14ac:dyDescent="0.3">
      <c r="A642" s="22" t="s">
        <v>57</v>
      </c>
      <c r="B642" s="22" t="s">
        <v>58</v>
      </c>
    </row>
    <row r="643" spans="1:7" ht="14.25" customHeight="1" x14ac:dyDescent="0.3">
      <c r="A643" s="22" t="s">
        <v>59</v>
      </c>
      <c r="B643" s="22" t="s">
        <v>60</v>
      </c>
    </row>
    <row r="644" spans="1:7" ht="14.25" customHeight="1" x14ac:dyDescent="0.3">
      <c r="A644" s="22" t="s">
        <v>61</v>
      </c>
      <c r="B644" s="22" t="s">
        <v>62</v>
      </c>
    </row>
    <row r="645" spans="1:7" ht="14.25" customHeight="1" x14ac:dyDescent="0.3">
      <c r="A645" s="22" t="s">
        <v>63</v>
      </c>
      <c r="B645" s="22" t="s">
        <v>64</v>
      </c>
    </row>
    <row r="646" spans="1:7" ht="14.25" customHeight="1" x14ac:dyDescent="0.3"/>
    <row r="647" spans="1:7" ht="14.25" customHeight="1" x14ac:dyDescent="0.3">
      <c r="A647" s="52" t="s">
        <v>65</v>
      </c>
      <c r="B647" s="52"/>
      <c r="C647" s="52"/>
      <c r="D647" s="52"/>
      <c r="E647" s="52"/>
      <c r="F647" s="52"/>
      <c r="G647" s="52"/>
    </row>
    <row r="648" spans="1:7" ht="14.25" customHeight="1" x14ac:dyDescent="0.3">
      <c r="A648" s="51" t="s">
        <v>66</v>
      </c>
      <c r="B648" s="51"/>
      <c r="C648" s="51"/>
      <c r="D648" s="51"/>
      <c r="E648" s="51"/>
      <c r="F648" s="51"/>
      <c r="G648" s="51"/>
    </row>
    <row r="649" spans="1:7" ht="14.25" customHeight="1" x14ac:dyDescent="0.3">
      <c r="A649" s="51" t="s">
        <v>67</v>
      </c>
      <c r="B649" s="51"/>
      <c r="C649" s="51"/>
      <c r="D649" s="51"/>
      <c r="E649" s="51"/>
      <c r="F649" s="51"/>
      <c r="G649" s="51"/>
    </row>
    <row r="650" spans="1:7" ht="14.25" customHeight="1" x14ac:dyDescent="0.3">
      <c r="A650" s="51" t="s">
        <v>68</v>
      </c>
      <c r="B650" s="51"/>
      <c r="C650" s="51"/>
      <c r="D650" s="51"/>
      <c r="E650" s="51"/>
      <c r="F650" s="51"/>
      <c r="G650" s="51"/>
    </row>
    <row r="651" spans="1:7" ht="14.25" customHeight="1" x14ac:dyDescent="0.3">
      <c r="A651" s="51" t="s">
        <v>69</v>
      </c>
      <c r="B651" s="51"/>
      <c r="C651" s="51"/>
      <c r="D651" s="51"/>
      <c r="E651" s="51"/>
      <c r="F651" s="51"/>
      <c r="G651" s="51"/>
    </row>
    <row r="652" spans="1:7" ht="14.25" customHeight="1" x14ac:dyDescent="0.3">
      <c r="A652" s="51" t="s">
        <v>70</v>
      </c>
      <c r="B652" s="51"/>
      <c r="C652" s="51"/>
      <c r="D652" s="51"/>
      <c r="E652" s="51"/>
      <c r="F652" s="51"/>
      <c r="G652" s="51"/>
    </row>
    <row r="653" spans="1:7" ht="14.25" customHeight="1" x14ac:dyDescent="0.3">
      <c r="A653" s="51" t="s">
        <v>71</v>
      </c>
      <c r="B653" s="51"/>
      <c r="C653" s="51"/>
      <c r="D653" s="51"/>
      <c r="E653" s="51"/>
      <c r="F653" s="51"/>
      <c r="G653" s="51"/>
    </row>
    <row r="654" spans="1:7" ht="14.25" customHeight="1" x14ac:dyDescent="0.3">
      <c r="A654" s="51" t="s">
        <v>72</v>
      </c>
      <c r="B654" s="51"/>
      <c r="C654" s="51"/>
      <c r="D654" s="51"/>
      <c r="E654" s="51"/>
      <c r="F654" s="51"/>
      <c r="G654" s="51"/>
    </row>
    <row r="655" spans="1:7" ht="14.25" customHeight="1" x14ac:dyDescent="0.3">
      <c r="A655" s="51" t="s">
        <v>73</v>
      </c>
      <c r="B655" s="51"/>
      <c r="C655" s="51"/>
      <c r="D655" s="51"/>
      <c r="E655" s="51"/>
      <c r="F655" s="51"/>
      <c r="G655" s="51"/>
    </row>
    <row r="656" spans="1:7" ht="14.25" customHeight="1" x14ac:dyDescent="0.3">
      <c r="A656" s="51" t="s">
        <v>74</v>
      </c>
      <c r="B656" s="51"/>
      <c r="C656" s="51"/>
      <c r="D656" s="51"/>
      <c r="E656" s="51"/>
      <c r="F656" s="51"/>
      <c r="G656" s="51"/>
    </row>
    <row r="657" spans="1:10" ht="14.25" customHeight="1" x14ac:dyDescent="0.3">
      <c r="A657" s="51" t="s">
        <v>75</v>
      </c>
      <c r="B657" s="51"/>
      <c r="C657" s="51"/>
      <c r="D657" s="51"/>
      <c r="E657" s="51"/>
      <c r="F657" s="51"/>
      <c r="G657" s="51"/>
    </row>
    <row r="658" spans="1:10" ht="14.25" customHeight="1" x14ac:dyDescent="0.3">
      <c r="A658" s="51" t="s">
        <v>76</v>
      </c>
      <c r="B658" s="51"/>
      <c r="C658" s="51"/>
      <c r="D658" s="51"/>
      <c r="E658" s="51"/>
      <c r="F658" s="51"/>
      <c r="G658" s="51"/>
    </row>
    <row r="659" spans="1:10" ht="14.25" customHeight="1" x14ac:dyDescent="0.3">
      <c r="A659" t="s">
        <v>77</v>
      </c>
    </row>
    <row r="660" spans="1:10" ht="14.25" customHeight="1" x14ac:dyDescent="0.3">
      <c r="A660" t="s">
        <v>78</v>
      </c>
      <c r="B660" t="str">
        <f>INDEX(SETORES!$B:$B,MATCH(A660,SETORES!$A:$A,0))</f>
        <v>Clientes</v>
      </c>
      <c r="C660" t="s">
        <v>10</v>
      </c>
      <c r="D660" s="23">
        <f>IF(B660="Clientes",SUMIFS(PARÂMETROS!$D$8:$D$907,PARÂMETROS!$A$8:$A$907,C660,PARÂMETROS!$G$8:$G$907,J660),SUMIFS(PARÂMETROS!$E$8:$E$907,PARÂMETROS!$A$8:$A$907,C660,PARÂMETROS!$G$8:$G$907,J660))</f>
        <v>3.2823386139959339E-2</v>
      </c>
      <c r="E660" s="24">
        <f>SUMIFS(SETORES!$D:$D,SETORES!$A:$A,A660,SETORES!$F:$F,J660)</f>
        <v>83174.848399999988</v>
      </c>
      <c r="F660" s="24">
        <v>0</v>
      </c>
      <c r="G660" s="23">
        <f>SUMIFS(PARÂMETROS!$F$8:$F$907,PARÂMETROS!$A$8:$A$907,C660,PARÂMETROS!$G$8:$G$907,J660)</f>
        <v>0</v>
      </c>
      <c r="H660" s="24">
        <f t="shared" ref="H660:H723" si="36">IFERROR(F660*G660,0)</f>
        <v>0</v>
      </c>
      <c r="I660" s="24">
        <f t="shared" ref="I660:I723" si="37">F660+H660</f>
        <v>0</v>
      </c>
      <c r="J660" t="s">
        <v>20</v>
      </c>
    </row>
    <row r="661" spans="1:10" ht="14.25" customHeight="1" x14ac:dyDescent="0.3">
      <c r="A661" t="s">
        <v>78</v>
      </c>
      <c r="B661" t="str">
        <f>INDEX(SETORES!$B:$B,MATCH(A661,SETORES!$A:$A,0))</f>
        <v>Clientes</v>
      </c>
      <c r="C661" t="s">
        <v>12</v>
      </c>
      <c r="D661" s="23">
        <f>IF(B661="Clientes",SUMIFS(PARÂMETROS!$D$8:$D$907,PARÂMETROS!$A$8:$A$907,C661,PARÂMETROS!$G$8:$G$907,J661),SUMIFS(PARÂMETROS!$E$8:$E$907,PARÂMETROS!$A$8:$A$907,C661,PARÂMETROS!$G$8:$G$907,J661))</f>
        <v>7.0047614816518319E-2</v>
      </c>
      <c r="E661" s="24">
        <f>SUMIFS(SETORES!$D:$D,SETORES!$A:$A,A661,SETORES!$F:$F,J661)</f>
        <v>83174.848399999988</v>
      </c>
      <c r="F661" s="24">
        <v>0</v>
      </c>
      <c r="G661" s="23">
        <f>SUMIFS(PARÂMETROS!$F$8:$F$907,PARÂMETROS!$A$8:$A$907,C661,PARÂMETROS!$G$8:$G$907,J661)</f>
        <v>0</v>
      </c>
      <c r="H661" s="24">
        <f t="shared" si="36"/>
        <v>0</v>
      </c>
      <c r="I661" s="24">
        <f t="shared" si="37"/>
        <v>0</v>
      </c>
      <c r="J661" t="s">
        <v>20</v>
      </c>
    </row>
    <row r="662" spans="1:10" ht="14.25" customHeight="1" x14ac:dyDescent="0.3">
      <c r="A662" t="s">
        <v>78</v>
      </c>
      <c r="B662" t="str">
        <f>INDEX(SETORES!$B:$B,MATCH(A662,SETORES!$A:$A,0))</f>
        <v>Clientes</v>
      </c>
      <c r="C662" t="s">
        <v>13</v>
      </c>
      <c r="D662" s="23">
        <f>IF(B662="Clientes",SUMIFS(PARÂMETROS!$D$8:$D$907,PARÂMETROS!$A$8:$A$907,C662,PARÂMETROS!$G$8:$G$907,J662),SUMIFS(PARÂMETROS!$E$8:$E$907,PARÂMETROS!$A$8:$A$907,C662,PARÂMETROS!$G$8:$G$907,J662))</f>
        <v>7.4903176237540961E-2</v>
      </c>
      <c r="E662" s="24">
        <f>SUMIFS(SETORES!$D:$D,SETORES!$A:$A,A662,SETORES!$F:$F,J662)</f>
        <v>83174.848399999988</v>
      </c>
      <c r="F662" s="24">
        <v>7542.6819999999998</v>
      </c>
      <c r="G662" s="23">
        <f>SUMIFS(PARÂMETROS!$F$8:$F$907,PARÂMETROS!$A$8:$A$907,C662,PARÂMETROS!$G$8:$G$907,J662)</f>
        <v>0</v>
      </c>
      <c r="H662" s="24">
        <f t="shared" si="36"/>
        <v>0</v>
      </c>
      <c r="I662" s="24">
        <f t="shared" si="37"/>
        <v>7542.6819999999998</v>
      </c>
      <c r="J662" t="s">
        <v>20</v>
      </c>
    </row>
    <row r="663" spans="1:10" ht="14.25" customHeight="1" x14ac:dyDescent="0.3">
      <c r="A663" t="s">
        <v>78</v>
      </c>
      <c r="B663" t="str">
        <f>INDEX(SETORES!$B:$B,MATCH(A663,SETORES!$A:$A,0))</f>
        <v>Clientes</v>
      </c>
      <c r="C663" t="s">
        <v>14</v>
      </c>
      <c r="D663" s="23">
        <f>IF(B663="Clientes",SUMIFS(PARÂMETROS!$D$8:$D$907,PARÂMETROS!$A$8:$A$907,C663,PARÂMETROS!$G$8:$G$907,J663),SUMIFS(PARÂMETROS!$E$8:$E$907,PARÂMETROS!$A$8:$A$907,C663,PARÂMETROS!$G$8:$G$907,J663))</f>
        <v>1.907728653039038E-2</v>
      </c>
      <c r="E663" s="24">
        <f>SUMIFS(SETORES!$D:$D,SETORES!$A:$A,A663,SETORES!$F:$F,J663)</f>
        <v>83174.848399999988</v>
      </c>
      <c r="F663" s="24">
        <v>1921.0654999999999</v>
      </c>
      <c r="G663" s="23">
        <f>SUMIFS(PARÂMETROS!$F$8:$F$907,PARÂMETROS!$A$8:$A$907,C663,PARÂMETROS!$G$8:$G$907,J663)</f>
        <v>0</v>
      </c>
      <c r="H663" s="24">
        <f t="shared" si="36"/>
        <v>0</v>
      </c>
      <c r="I663" s="24">
        <f t="shared" si="37"/>
        <v>1921.0654999999999</v>
      </c>
      <c r="J663" t="s">
        <v>20</v>
      </c>
    </row>
    <row r="664" spans="1:10" ht="14.25" customHeight="1" x14ac:dyDescent="0.3">
      <c r="A664" t="s">
        <v>78</v>
      </c>
      <c r="B664" t="str">
        <f>INDEX(SETORES!$B:$B,MATCH(A664,SETORES!$A:$A,0))</f>
        <v>Clientes</v>
      </c>
      <c r="C664" t="s">
        <v>15</v>
      </c>
      <c r="D664" s="23">
        <f>IF(B664="Clientes",SUMIFS(PARÂMETROS!$D$8:$D$907,PARÂMETROS!$A$8:$A$907,C664,PARÂMETROS!$G$8:$G$907,J664),SUMIFS(PARÂMETROS!$E$8:$E$907,PARÂMETROS!$A$8:$A$907,C664,PARÂMETROS!$G$8:$G$907,J664))</f>
        <v>3.3429677985856672E-2</v>
      </c>
      <c r="E664" s="24">
        <f>SUMIFS(SETORES!$D:$D,SETORES!$A:$A,A664,SETORES!$F:$F,J664)</f>
        <v>83174.848399999988</v>
      </c>
      <c r="F664" s="24">
        <v>3366.3382999999999</v>
      </c>
      <c r="G664" s="23">
        <f>SUMIFS(PARÂMETROS!$F$8:$F$907,PARÂMETROS!$A$8:$A$907,C664,PARÂMETROS!$G$8:$G$907,J664)</f>
        <v>0</v>
      </c>
      <c r="H664" s="24">
        <f t="shared" si="36"/>
        <v>0</v>
      </c>
      <c r="I664" s="24">
        <f t="shared" si="37"/>
        <v>3366.3382999999999</v>
      </c>
      <c r="J664" t="s">
        <v>20</v>
      </c>
    </row>
    <row r="665" spans="1:10" ht="14.25" customHeight="1" x14ac:dyDescent="0.3">
      <c r="A665" t="s">
        <v>78</v>
      </c>
      <c r="B665" t="str">
        <f>INDEX(SETORES!$B:$B,MATCH(A665,SETORES!$A:$A,0))</f>
        <v>Clientes</v>
      </c>
      <c r="C665" t="s">
        <v>16</v>
      </c>
      <c r="D665" s="23">
        <f>IF(B665="Clientes",SUMIFS(PARÂMETROS!$D$8:$D$907,PARÂMETROS!$A$8:$A$907,C665,PARÂMETROS!$G$8:$G$907,J665),SUMIFS(PARÂMETROS!$E$8:$E$907,PARÂMETROS!$A$8:$A$907,C665,PARÂMETROS!$G$8:$G$907,J665))</f>
        <v>2.4722072681848353E-2</v>
      </c>
      <c r="E665" s="24">
        <f>SUMIFS(SETORES!$D:$D,SETORES!$A:$A,A665,SETORES!$F:$F,J665)</f>
        <v>83174.848399999988</v>
      </c>
      <c r="F665" s="24">
        <v>0</v>
      </c>
      <c r="G665" s="23">
        <f>SUMIFS(PARÂMETROS!$F$8:$F$907,PARÂMETROS!$A$8:$A$907,C665,PARÂMETROS!$G$8:$G$907,J665)</f>
        <v>0</v>
      </c>
      <c r="H665" s="24">
        <f t="shared" si="36"/>
        <v>0</v>
      </c>
      <c r="I665" s="24">
        <f t="shared" si="37"/>
        <v>0</v>
      </c>
      <c r="J665" t="s">
        <v>20</v>
      </c>
    </row>
    <row r="666" spans="1:10" ht="14.25" customHeight="1" x14ac:dyDescent="0.3">
      <c r="A666" t="s">
        <v>78</v>
      </c>
      <c r="B666" t="str">
        <f>INDEX(SETORES!$B:$B,MATCH(A666,SETORES!$A:$A,0))</f>
        <v>Clientes</v>
      </c>
      <c r="C666" t="s">
        <v>17</v>
      </c>
      <c r="D666" s="23">
        <f>IF(B666="Clientes",SUMIFS(PARÂMETROS!$D$8:$D$907,PARÂMETROS!$A$8:$A$907,C666,PARÂMETROS!$G$8:$G$907,J666),SUMIFS(PARÂMETROS!$E$8:$E$907,PARÂMETROS!$A$8:$A$907,C666,PARÂMETROS!$G$8:$G$907,J666))</f>
        <v>2.4993858681733368E-2</v>
      </c>
      <c r="E666" s="24">
        <f>SUMIFS(SETORES!$D:$D,SETORES!$A:$A,A666,SETORES!$F:$F,J666)</f>
        <v>83174.848399999988</v>
      </c>
      <c r="F666" s="24">
        <v>2516.8589000000002</v>
      </c>
      <c r="G666" s="23">
        <f>SUMIFS(PARÂMETROS!$F$8:$F$907,PARÂMETROS!$A$8:$A$907,C666,PARÂMETROS!$G$8:$G$907,J666)</f>
        <v>0</v>
      </c>
      <c r="H666" s="24">
        <f t="shared" si="36"/>
        <v>0</v>
      </c>
      <c r="I666" s="24">
        <f t="shared" si="37"/>
        <v>2516.8589000000002</v>
      </c>
      <c r="J666" t="s">
        <v>20</v>
      </c>
    </row>
    <row r="667" spans="1:10" ht="14.25" customHeight="1" x14ac:dyDescent="0.3">
      <c r="A667" t="s">
        <v>78</v>
      </c>
      <c r="B667" t="str">
        <f>INDEX(SETORES!$B:$B,MATCH(A667,SETORES!$A:$A,0))</f>
        <v>Clientes</v>
      </c>
      <c r="C667" t="s">
        <v>18</v>
      </c>
      <c r="D667" s="23">
        <f>IF(B667="Clientes",SUMIFS(PARÂMETROS!$D$8:$D$907,PARÂMETROS!$A$8:$A$907,C667,PARÂMETROS!$G$8:$G$907,J667),SUMIFS(PARÂMETROS!$E$8:$E$907,PARÂMETROS!$A$8:$A$907,C667,PARÂMETROS!$G$8:$G$907,J667))</f>
        <v>0.72000292692615264</v>
      </c>
      <c r="E667" s="24">
        <f>SUMIFS(SETORES!$D:$D,SETORES!$A:$A,A667,SETORES!$F:$F,J667)</f>
        <v>83174.848399999988</v>
      </c>
      <c r="F667" s="24">
        <f>IFERROR(D667*E667,0)</f>
        <v>59886.134294639014</v>
      </c>
      <c r="G667" s="23">
        <f>SUMIFS(PARÂMETROS!$F$8:$F$907,PARÂMETROS!$A$8:$A$907,C667,PARÂMETROS!$G$8:$G$907,J667)</f>
        <v>0</v>
      </c>
      <c r="H667" s="24">
        <f t="shared" si="36"/>
        <v>0</v>
      </c>
      <c r="I667" s="24">
        <f t="shared" si="37"/>
        <v>59886.134294639014</v>
      </c>
      <c r="J667" t="s">
        <v>20</v>
      </c>
    </row>
    <row r="668" spans="1:10" ht="14.25" customHeight="1" x14ac:dyDescent="0.3">
      <c r="A668" t="s">
        <v>78</v>
      </c>
      <c r="B668" t="str">
        <f>INDEX(SETORES!$B:$B,MATCH(A668,SETORES!$A:$A,0))</f>
        <v>Clientes</v>
      </c>
      <c r="C668" t="s">
        <v>10</v>
      </c>
      <c r="D668" s="23">
        <f>IF(B668="Clientes",SUMIFS(PARÂMETROS!$D$8:$D$907,PARÂMETROS!$A$8:$A$907,C668,PARÂMETROS!$G$8:$G$907,J668),SUMIFS(PARÂMETROS!$E$8:$E$907,PARÂMETROS!$A$8:$A$907,C668,PARÂMETROS!$G$8:$G$907,J668))</f>
        <v>3.3077914012820578E-2</v>
      </c>
      <c r="E668" s="24">
        <f>SUMIFS(SETORES!$D:$D,SETORES!$A:$A,A668,SETORES!$F:$F,J668)</f>
        <v>94839.631500000003</v>
      </c>
      <c r="F668" s="24">
        <v>0</v>
      </c>
      <c r="G668" s="23">
        <f>SUMIFS(PARÂMETROS!$F$8:$F$907,PARÂMETROS!$A$8:$A$907,C668,PARÂMETROS!$G$8:$G$907,J668)</f>
        <v>0</v>
      </c>
      <c r="H668" s="24">
        <f t="shared" si="36"/>
        <v>0</v>
      </c>
      <c r="I668" s="24">
        <f t="shared" si="37"/>
        <v>0</v>
      </c>
      <c r="J668" t="s">
        <v>11</v>
      </c>
    </row>
    <row r="669" spans="1:10" ht="14.25" customHeight="1" x14ac:dyDescent="0.3">
      <c r="A669" t="s">
        <v>78</v>
      </c>
      <c r="B669" t="str">
        <f>INDEX(SETORES!$B:$B,MATCH(A669,SETORES!$A:$A,0))</f>
        <v>Clientes</v>
      </c>
      <c r="C669" t="s">
        <v>12</v>
      </c>
      <c r="D669" s="23">
        <f>IF(B669="Clientes",SUMIFS(PARÂMETROS!$D$8:$D$907,PARÂMETROS!$A$8:$A$907,C669,PARÂMETROS!$G$8:$G$907,J669),SUMIFS(PARÂMETROS!$E$8:$E$907,PARÂMETROS!$A$8:$A$907,C669,PARÂMETROS!$G$8:$G$907,J669))</f>
        <v>6.886570212940675E-2</v>
      </c>
      <c r="E669" s="24">
        <f>SUMIFS(SETORES!$D:$D,SETORES!$A:$A,A669,SETORES!$F:$F,J669)</f>
        <v>94839.631500000003</v>
      </c>
      <c r="F669" s="24">
        <v>0</v>
      </c>
      <c r="G669" s="23">
        <f>SUMIFS(PARÂMETROS!$F$8:$F$907,PARÂMETROS!$A$8:$A$907,C669,PARÂMETROS!$G$8:$G$907,J669)</f>
        <v>0</v>
      </c>
      <c r="H669" s="24">
        <f t="shared" si="36"/>
        <v>0</v>
      </c>
      <c r="I669" s="24">
        <f t="shared" si="37"/>
        <v>0</v>
      </c>
      <c r="J669" t="s">
        <v>11</v>
      </c>
    </row>
    <row r="670" spans="1:10" ht="14.25" customHeight="1" x14ac:dyDescent="0.3">
      <c r="A670" t="s">
        <v>78</v>
      </c>
      <c r="B670" t="str">
        <f>INDEX(SETORES!$B:$B,MATCH(A670,SETORES!$A:$A,0))</f>
        <v>Clientes</v>
      </c>
      <c r="C670" t="s">
        <v>13</v>
      </c>
      <c r="D670" s="23">
        <f>IF(B670="Clientes",SUMIFS(PARÂMETROS!$D$8:$D$907,PARÂMETROS!$A$8:$A$907,C670,PARÂMETROS!$G$8:$G$907,J670),SUMIFS(PARÂMETROS!$E$8:$E$907,PARÂMETROS!$A$8:$A$907,C670,PARÂMETROS!$G$8:$G$907,J670))</f>
        <v>7.4116083205452599E-2</v>
      </c>
      <c r="E670" s="24">
        <f>SUMIFS(SETORES!$D:$D,SETORES!$A:$A,A670,SETORES!$F:$F,J670)</f>
        <v>94839.631500000003</v>
      </c>
      <c r="F670" s="24">
        <v>8141.6566999999995</v>
      </c>
      <c r="G670" s="23">
        <f>SUMIFS(PARÂMETROS!$F$8:$F$907,PARÂMETROS!$A$8:$A$907,C670,PARÂMETROS!$G$8:$G$907,J670)</f>
        <v>0</v>
      </c>
      <c r="H670" s="24">
        <f t="shared" si="36"/>
        <v>0</v>
      </c>
      <c r="I670" s="24">
        <f t="shared" si="37"/>
        <v>8141.6566999999995</v>
      </c>
      <c r="J670" t="s">
        <v>11</v>
      </c>
    </row>
    <row r="671" spans="1:10" ht="14.25" customHeight="1" x14ac:dyDescent="0.3">
      <c r="A671" t="s">
        <v>78</v>
      </c>
      <c r="B671" t="str">
        <f>INDEX(SETORES!$B:$B,MATCH(A671,SETORES!$A:$A,0))</f>
        <v>Clientes</v>
      </c>
      <c r="C671" t="s">
        <v>14</v>
      </c>
      <c r="D671" s="23">
        <f>IF(B671="Clientes",SUMIFS(PARÂMETROS!$D$8:$D$907,PARÂMETROS!$A$8:$A$907,C671,PARÂMETROS!$G$8:$G$907,J671),SUMIFS(PARÂMETROS!$E$8:$E$907,PARÂMETROS!$A$8:$A$907,C671,PARÂMETROS!$G$8:$G$907,J671))</f>
        <v>1.9010177424901076E-2</v>
      </c>
      <c r="E671" s="24">
        <f>SUMIFS(SETORES!$D:$D,SETORES!$A:$A,A671,SETORES!$F:$F,J671)</f>
        <v>94839.631500000003</v>
      </c>
      <c r="F671" s="24">
        <v>2088.2692999999999</v>
      </c>
      <c r="G671" s="23">
        <f>SUMIFS(PARÂMETROS!$F$8:$F$907,PARÂMETROS!$A$8:$A$907,C671,PARÂMETROS!$G$8:$G$907,J671)</f>
        <v>0</v>
      </c>
      <c r="H671" s="24">
        <f t="shared" si="36"/>
        <v>0</v>
      </c>
      <c r="I671" s="24">
        <f t="shared" si="37"/>
        <v>2088.2692999999999</v>
      </c>
      <c r="J671" t="s">
        <v>11</v>
      </c>
    </row>
    <row r="672" spans="1:10" ht="14.25" customHeight="1" x14ac:dyDescent="0.3">
      <c r="A672" t="s">
        <v>78</v>
      </c>
      <c r="B672" t="str">
        <f>INDEX(SETORES!$B:$B,MATCH(A672,SETORES!$A:$A,0))</f>
        <v>Clientes</v>
      </c>
      <c r="C672" t="s">
        <v>15</v>
      </c>
      <c r="D672" s="23">
        <f>IF(B672="Clientes",SUMIFS(PARÂMETROS!$D$8:$D$907,PARÂMETROS!$A$8:$A$907,C672,PARÂMETROS!$G$8:$G$907,J672),SUMIFS(PARÂMETROS!$E$8:$E$907,PARÂMETROS!$A$8:$A$907,C672,PARÂMETROS!$G$8:$G$907,J672))</f>
        <v>3.302145830232546E-2</v>
      </c>
      <c r="E672" s="24">
        <f>SUMIFS(SETORES!$D:$D,SETORES!$A:$A,A672,SETORES!$F:$F,J672)</f>
        <v>94839.631500000003</v>
      </c>
      <c r="F672" s="24">
        <v>3627.4094</v>
      </c>
      <c r="G672" s="23">
        <f>SUMIFS(PARÂMETROS!$F$8:$F$907,PARÂMETROS!$A$8:$A$907,C672,PARÂMETROS!$G$8:$G$907,J672)</f>
        <v>0</v>
      </c>
      <c r="H672" s="24">
        <f t="shared" si="36"/>
        <v>0</v>
      </c>
      <c r="I672" s="24">
        <f t="shared" si="37"/>
        <v>3627.4094</v>
      </c>
      <c r="J672" t="s">
        <v>11</v>
      </c>
    </row>
    <row r="673" spans="1:10" ht="14.25" customHeight="1" x14ac:dyDescent="0.3">
      <c r="A673" t="s">
        <v>78</v>
      </c>
      <c r="B673" t="str">
        <f>INDEX(SETORES!$B:$B,MATCH(A673,SETORES!$A:$A,0))</f>
        <v>Clientes</v>
      </c>
      <c r="C673" t="s">
        <v>16</v>
      </c>
      <c r="D673" s="23">
        <f>IF(B673="Clientes",SUMIFS(PARÂMETROS!$D$8:$D$907,PARÂMETROS!$A$8:$A$907,C673,PARÂMETROS!$G$8:$G$907,J673),SUMIFS(PARÂMETROS!$E$8:$E$907,PARÂMETROS!$A$8:$A$907,C673,PARÂMETROS!$G$8:$G$907,J673))</f>
        <v>2.437346992193715E-2</v>
      </c>
      <c r="E673" s="24">
        <f>SUMIFS(SETORES!$D:$D,SETORES!$A:$A,A673,SETORES!$F:$F,J673)</f>
        <v>94839.631500000003</v>
      </c>
      <c r="F673" s="24">
        <v>0</v>
      </c>
      <c r="G673" s="23">
        <f>SUMIFS(PARÂMETROS!$F$8:$F$907,PARÂMETROS!$A$8:$A$907,C673,PARÂMETROS!$G$8:$G$907,J673)</f>
        <v>0</v>
      </c>
      <c r="H673" s="24">
        <f t="shared" si="36"/>
        <v>0</v>
      </c>
      <c r="I673" s="24">
        <f t="shared" si="37"/>
        <v>0</v>
      </c>
      <c r="J673" t="s">
        <v>11</v>
      </c>
    </row>
    <row r="674" spans="1:10" ht="14.25" customHeight="1" x14ac:dyDescent="0.3">
      <c r="A674" t="s">
        <v>78</v>
      </c>
      <c r="B674" t="str">
        <f>INDEX(SETORES!$B:$B,MATCH(A674,SETORES!$A:$A,0))</f>
        <v>Clientes</v>
      </c>
      <c r="C674" t="s">
        <v>17</v>
      </c>
      <c r="D674" s="23">
        <f>IF(B674="Clientes",SUMIFS(PARÂMETROS!$D$8:$D$907,PARÂMETROS!$A$8:$A$907,C674,PARÂMETROS!$G$8:$G$907,J674),SUMIFS(PARÂMETROS!$E$8:$E$907,PARÂMETROS!$A$8:$A$907,C674,PARÂMETROS!$G$8:$G$907,J674))</f>
        <v>2.460955743855309E-2</v>
      </c>
      <c r="E674" s="24">
        <f>SUMIFS(SETORES!$D:$D,SETORES!$A:$A,A674,SETORES!$F:$F,J674)</f>
        <v>94839.631500000003</v>
      </c>
      <c r="F674" s="24">
        <v>2703.3615</v>
      </c>
      <c r="G674" s="23">
        <f>SUMIFS(PARÂMETROS!$F$8:$F$907,PARÂMETROS!$A$8:$A$907,C674,PARÂMETROS!$G$8:$G$907,J674)</f>
        <v>0</v>
      </c>
      <c r="H674" s="24">
        <f t="shared" si="36"/>
        <v>0</v>
      </c>
      <c r="I674" s="24">
        <f t="shared" si="37"/>
        <v>2703.3615</v>
      </c>
      <c r="J674" t="s">
        <v>11</v>
      </c>
    </row>
    <row r="675" spans="1:10" ht="14.25" customHeight="1" x14ac:dyDescent="0.3">
      <c r="A675" t="s">
        <v>78</v>
      </c>
      <c r="B675" t="str">
        <f>INDEX(SETORES!$B:$B,MATCH(A675,SETORES!$A:$A,0))</f>
        <v>Clientes</v>
      </c>
      <c r="C675" t="s">
        <v>18</v>
      </c>
      <c r="D675" s="23">
        <f>IF(B675="Clientes",SUMIFS(PARÂMETROS!$D$8:$D$907,PARÂMETROS!$A$8:$A$907,C675,PARÂMETROS!$G$8:$G$907,J675),SUMIFS(PARÂMETROS!$E$8:$E$907,PARÂMETROS!$A$8:$A$907,C675,PARÂMETROS!$G$8:$G$907,J675))</f>
        <v>0.72292563756460326</v>
      </c>
      <c r="E675" s="24">
        <f>SUMIFS(SETORES!$D:$D,SETORES!$A:$A,A675,SETORES!$F:$F,J675)</f>
        <v>94839.631500000003</v>
      </c>
      <c r="F675" s="24">
        <f>IFERROR(D675*E675,0)</f>
        <v>68562.001068529527</v>
      </c>
      <c r="G675" s="23">
        <f>SUMIFS(PARÂMETROS!$F$8:$F$907,PARÂMETROS!$A$8:$A$907,C675,PARÂMETROS!$G$8:$G$907,J675)</f>
        <v>0</v>
      </c>
      <c r="H675" s="24">
        <f t="shared" si="36"/>
        <v>0</v>
      </c>
      <c r="I675" s="24">
        <f t="shared" si="37"/>
        <v>68562.001068529527</v>
      </c>
      <c r="J675" t="s">
        <v>11</v>
      </c>
    </row>
    <row r="676" spans="1:10" ht="14.25" customHeight="1" x14ac:dyDescent="0.3">
      <c r="A676" t="s">
        <v>78</v>
      </c>
      <c r="B676" t="str">
        <f>INDEX(SETORES!$B:$B,MATCH(A676,SETORES!$A:$A,0))</f>
        <v>Clientes</v>
      </c>
      <c r="C676" t="s">
        <v>10</v>
      </c>
      <c r="D676" s="23">
        <f>IF(B676="Clientes",SUMIFS(PARÂMETROS!$D$8:$D$907,PARÂMETROS!$A$8:$A$907,C676,PARÂMETROS!$G$8:$G$907,J676),SUMIFS(PARÂMETROS!$E$8:$E$907,PARÂMETROS!$A$8:$A$907,C676,PARÂMETROS!$G$8:$G$907,J676))</f>
        <v>3.2696249460273663E-2</v>
      </c>
      <c r="E676" s="24">
        <f>SUMIFS(SETORES!$D:$D,SETORES!$A:$A,A676,SETORES!$F:$F,J676)</f>
        <v>78661.700600000011</v>
      </c>
      <c r="F676" s="24">
        <v>0</v>
      </c>
      <c r="G676" s="23">
        <f>SUMIFS(PARÂMETROS!$F$8:$F$907,PARÂMETROS!$A$8:$A$907,C676,PARÂMETROS!$G$8:$G$907,J676)</f>
        <v>0</v>
      </c>
      <c r="H676" s="24">
        <f t="shared" si="36"/>
        <v>0</v>
      </c>
      <c r="I676" s="24">
        <f t="shared" si="37"/>
        <v>0</v>
      </c>
      <c r="J676" t="s">
        <v>21</v>
      </c>
    </row>
    <row r="677" spans="1:10" ht="14.25" customHeight="1" x14ac:dyDescent="0.3">
      <c r="A677" t="s">
        <v>78</v>
      </c>
      <c r="B677" t="str">
        <f>INDEX(SETORES!$B:$B,MATCH(A677,SETORES!$A:$A,0))</f>
        <v>Clientes</v>
      </c>
      <c r="C677" t="s">
        <v>12</v>
      </c>
      <c r="D677" s="23">
        <f>IF(B677="Clientes",SUMIFS(PARÂMETROS!$D$8:$D$907,PARÂMETROS!$A$8:$A$907,C677,PARÂMETROS!$G$8:$G$907,J677),SUMIFS(PARÂMETROS!$E$8:$E$907,PARÂMETROS!$A$8:$A$907,C677,PARÂMETROS!$G$8:$G$907,J677))</f>
        <v>6.7149401213950008E-2</v>
      </c>
      <c r="E677" s="24">
        <f>SUMIFS(SETORES!$D:$D,SETORES!$A:$A,A677,SETORES!$F:$F,J677)</f>
        <v>78661.700600000011</v>
      </c>
      <c r="F677" s="24">
        <v>0</v>
      </c>
      <c r="G677" s="23">
        <f>SUMIFS(PARÂMETROS!$F$8:$F$907,PARÂMETROS!$A$8:$A$907,C677,PARÂMETROS!$G$8:$G$907,J677)</f>
        <v>0</v>
      </c>
      <c r="H677" s="24">
        <f t="shared" si="36"/>
        <v>0</v>
      </c>
      <c r="I677" s="24">
        <f t="shared" si="37"/>
        <v>0</v>
      </c>
      <c r="J677" t="s">
        <v>21</v>
      </c>
    </row>
    <row r="678" spans="1:10" ht="14.25" customHeight="1" x14ac:dyDescent="0.3">
      <c r="A678" t="s">
        <v>78</v>
      </c>
      <c r="B678" t="str">
        <f>INDEX(SETORES!$B:$B,MATCH(A678,SETORES!$A:$A,0))</f>
        <v>Clientes</v>
      </c>
      <c r="C678" t="s">
        <v>13</v>
      </c>
      <c r="D678" s="23">
        <f>IF(B678="Clientes",SUMIFS(PARÂMETROS!$D$8:$D$907,PARÂMETROS!$A$8:$A$907,C678,PARÂMETROS!$G$8:$G$907,J678),SUMIFS(PARÂMETROS!$E$8:$E$907,PARÂMETROS!$A$8:$A$907,C678,PARÂMETROS!$G$8:$G$907,J678))</f>
        <v>7.2901519174553703E-2</v>
      </c>
      <c r="E678" s="24">
        <f>SUMIFS(SETORES!$D:$D,SETORES!$A:$A,A678,SETORES!$F:$F,J678)</f>
        <v>78661.700600000011</v>
      </c>
      <c r="F678" s="24">
        <v>6316.27</v>
      </c>
      <c r="G678" s="23">
        <f>SUMIFS(PARÂMETROS!$F$8:$F$907,PARÂMETROS!$A$8:$A$907,C678,PARÂMETROS!$G$8:$G$907,J678)</f>
        <v>0</v>
      </c>
      <c r="H678" s="24">
        <f t="shared" si="36"/>
        <v>0</v>
      </c>
      <c r="I678" s="24">
        <f t="shared" si="37"/>
        <v>6316.27</v>
      </c>
      <c r="J678" t="s">
        <v>21</v>
      </c>
    </row>
    <row r="679" spans="1:10" ht="14.25" customHeight="1" x14ac:dyDescent="0.3">
      <c r="A679" t="s">
        <v>78</v>
      </c>
      <c r="B679" t="str">
        <f>INDEX(SETORES!$B:$B,MATCH(A679,SETORES!$A:$A,0))</f>
        <v>Clientes</v>
      </c>
      <c r="C679" t="s">
        <v>14</v>
      </c>
      <c r="D679" s="23">
        <f>IF(B679="Clientes",SUMIFS(PARÂMETROS!$D$8:$D$907,PARÂMETROS!$A$8:$A$907,C679,PARÂMETROS!$G$8:$G$907,J679),SUMIFS(PARÂMETROS!$E$8:$E$907,PARÂMETROS!$A$8:$A$907,C679,PARÂMETROS!$G$8:$G$907,J679))</f>
        <v>1.8685698120511587E-2</v>
      </c>
      <c r="E679" s="24">
        <f>SUMIFS(SETORES!$D:$D,SETORES!$A:$A,A679,SETORES!$F:$F,J679)</f>
        <v>78661.700600000011</v>
      </c>
      <c r="F679" s="24">
        <v>1618.95</v>
      </c>
      <c r="G679" s="23">
        <f>SUMIFS(PARÂMETROS!$F$8:$F$907,PARÂMETROS!$A$8:$A$907,C679,PARÂMETROS!$G$8:$G$907,J679)</f>
        <v>0</v>
      </c>
      <c r="H679" s="24">
        <f t="shared" si="36"/>
        <v>0</v>
      </c>
      <c r="I679" s="24">
        <f t="shared" si="37"/>
        <v>1618.95</v>
      </c>
      <c r="J679" t="s">
        <v>21</v>
      </c>
    </row>
    <row r="680" spans="1:10" ht="14.25" customHeight="1" x14ac:dyDescent="0.3">
      <c r="A680" t="s">
        <v>78</v>
      </c>
      <c r="B680" t="str">
        <f>INDEX(SETORES!$B:$B,MATCH(A680,SETORES!$A:$A,0))</f>
        <v>Clientes</v>
      </c>
      <c r="C680" t="s">
        <v>15</v>
      </c>
      <c r="D680" s="23">
        <f>IF(B680="Clientes",SUMIFS(PARÂMETROS!$D$8:$D$907,PARÂMETROS!$A$8:$A$907,C680,PARÂMETROS!$G$8:$G$907,J680),SUMIFS(PARÂMETROS!$E$8:$E$907,PARÂMETROS!$A$8:$A$907,C680,PARÂMETROS!$G$8:$G$907,J680))</f>
        <v>3.2596989443697238E-2</v>
      </c>
      <c r="E680" s="24">
        <f>SUMIFS(SETORES!$D:$D,SETORES!$A:$A,A680,SETORES!$F:$F,J680)</f>
        <v>78661.700600000011</v>
      </c>
      <c r="F680" s="24">
        <v>0</v>
      </c>
      <c r="G680" s="23">
        <f>SUMIFS(PARÂMETROS!$F$8:$F$907,PARÂMETROS!$A$8:$A$907,C680,PARÂMETROS!$G$8:$G$907,J680)</f>
        <v>0</v>
      </c>
      <c r="H680" s="24">
        <f t="shared" si="36"/>
        <v>0</v>
      </c>
      <c r="I680" s="24">
        <f t="shared" si="37"/>
        <v>0</v>
      </c>
      <c r="J680" t="s">
        <v>21</v>
      </c>
    </row>
    <row r="681" spans="1:10" ht="14.25" customHeight="1" x14ac:dyDescent="0.3">
      <c r="A681" t="s">
        <v>78</v>
      </c>
      <c r="B681" t="str">
        <f>INDEX(SETORES!$B:$B,MATCH(A681,SETORES!$A:$A,0))</f>
        <v>Clientes</v>
      </c>
      <c r="C681" t="s">
        <v>16</v>
      </c>
      <c r="D681" s="23">
        <f>IF(B681="Clientes",SUMIFS(PARÂMETROS!$D$8:$D$907,PARÂMETROS!$A$8:$A$907,C681,PARÂMETROS!$G$8:$G$907,J681),SUMIFS(PARÂMETROS!$E$8:$E$907,PARÂMETROS!$A$8:$A$907,C681,PARÂMETROS!$G$8:$G$907,J681))</f>
        <v>2.3847218982485568E-2</v>
      </c>
      <c r="E681" s="24">
        <f>SUMIFS(SETORES!$D:$D,SETORES!$A:$A,A681,SETORES!$F:$F,J681)</f>
        <v>78661.700600000011</v>
      </c>
      <c r="F681" s="24">
        <v>0</v>
      </c>
      <c r="G681" s="23">
        <f>SUMIFS(PARÂMETROS!$F$8:$F$907,PARÂMETROS!$A$8:$A$907,C681,PARÂMETROS!$G$8:$G$907,J681)</f>
        <v>0</v>
      </c>
      <c r="H681" s="24">
        <f t="shared" si="36"/>
        <v>0</v>
      </c>
      <c r="I681" s="24">
        <f t="shared" si="37"/>
        <v>0</v>
      </c>
      <c r="J681" t="s">
        <v>21</v>
      </c>
    </row>
    <row r="682" spans="1:10" ht="14.25" customHeight="1" x14ac:dyDescent="0.3">
      <c r="A682" t="s">
        <v>78</v>
      </c>
      <c r="B682" t="str">
        <f>INDEX(SETORES!$B:$B,MATCH(A682,SETORES!$A:$A,0))</f>
        <v>Clientes</v>
      </c>
      <c r="C682" t="s">
        <v>17</v>
      </c>
      <c r="D682" s="23">
        <f>IF(B682="Clientes",SUMIFS(PARÂMETROS!$D$8:$D$907,PARÂMETROS!$A$8:$A$907,C682,PARÂMETROS!$G$8:$G$907,J682),SUMIFS(PARÂMETROS!$E$8:$E$907,PARÂMETROS!$A$8:$A$907,C682,PARÂMETROS!$G$8:$G$907,J682))</f>
        <v>2.3852181983314392E-2</v>
      </c>
      <c r="E682" s="24">
        <f>SUMIFS(SETORES!$D:$D,SETORES!$A:$A,A682,SETORES!$F:$F,J682)</f>
        <v>78661.700600000011</v>
      </c>
      <c r="F682" s="24">
        <v>2066.58</v>
      </c>
      <c r="G682" s="23">
        <f>SUMIFS(PARÂMETROS!$F$8:$F$907,PARÂMETROS!$A$8:$A$907,C682,PARÂMETROS!$G$8:$G$907,J682)</f>
        <v>0</v>
      </c>
      <c r="H682" s="24">
        <f t="shared" si="36"/>
        <v>0</v>
      </c>
      <c r="I682" s="24">
        <f t="shared" si="37"/>
        <v>2066.58</v>
      </c>
      <c r="J682" t="s">
        <v>21</v>
      </c>
    </row>
    <row r="683" spans="1:10" ht="14.25" customHeight="1" x14ac:dyDescent="0.3">
      <c r="A683" t="s">
        <v>78</v>
      </c>
      <c r="B683" t="str">
        <f>INDEX(SETORES!$B:$B,MATCH(A683,SETORES!$A:$A,0))</f>
        <v>Clientes</v>
      </c>
      <c r="C683" t="s">
        <v>18</v>
      </c>
      <c r="D683" s="23">
        <f>IF(B683="Clientes",SUMIFS(PARÂMETROS!$D$8:$D$907,PARÂMETROS!$A$8:$A$907,C683,PARÂMETROS!$G$8:$G$907,J683),SUMIFS(PARÂMETROS!$E$8:$E$907,PARÂMETROS!$A$8:$A$907,C683,PARÂMETROS!$G$8:$G$907,J683))</f>
        <v>0.72827074162121386</v>
      </c>
      <c r="E683" s="24">
        <f>SUMIFS(SETORES!$D:$D,SETORES!$A:$A,A683,SETORES!$F:$F,J683)</f>
        <v>78661.700600000011</v>
      </c>
      <c r="F683" s="24">
        <f t="shared" ref="F683:F746" si="38">IFERROR(D683*E683,0)</f>
        <v>57287.015033147894</v>
      </c>
      <c r="G683" s="23">
        <f>SUMIFS(PARÂMETROS!$F$8:$F$907,PARÂMETROS!$A$8:$A$907,C683,PARÂMETROS!$G$8:$G$907,J683)</f>
        <v>0</v>
      </c>
      <c r="H683" s="24">
        <f t="shared" si="36"/>
        <v>0</v>
      </c>
      <c r="I683" s="24">
        <f t="shared" si="37"/>
        <v>57287.015033147894</v>
      </c>
      <c r="J683" t="s">
        <v>21</v>
      </c>
    </row>
    <row r="684" spans="1:10" ht="14.25" customHeight="1" x14ac:dyDescent="0.3">
      <c r="A684" t="s">
        <v>79</v>
      </c>
      <c r="B684" t="str">
        <f>INDEX(SETORES!$B:$B,MATCH(A684,SETORES!$A:$A,0))</f>
        <v>Funcionários</v>
      </c>
      <c r="C684" t="s">
        <v>10</v>
      </c>
      <c r="D684" s="23">
        <f>IF(B684="Clientes",SUMIFS(PARÂMETROS!$D$8:$D$907,PARÂMETROS!$A$8:$A$907,C684,PARÂMETROS!$G$8:$G$907,J684),SUMIFS(PARÂMETROS!$E$8:$E$907,PARÂMETROS!$A$8:$A$907,C684,PARÂMETROS!$G$8:$G$907,J684))</f>
        <v>3.3238366571699908E-2</v>
      </c>
      <c r="E684" s="24">
        <f>SUMIFS(SETORES!$D:$D,SETORES!$A:$A,A684,SETORES!$F:$F,J684)</f>
        <v>28357.9892</v>
      </c>
      <c r="F684" s="24">
        <f t="shared" si="38"/>
        <v>942.57324026590697</v>
      </c>
      <c r="G684" s="23">
        <f>SUMIFS(PARÂMETROS!$F$8:$F$907,PARÂMETROS!$A$8:$A$907,C684,PARÂMETROS!$G$8:$G$907,J684)</f>
        <v>0</v>
      </c>
      <c r="H684" s="24">
        <f t="shared" si="36"/>
        <v>0</v>
      </c>
      <c r="I684" s="24">
        <f t="shared" si="37"/>
        <v>942.57324026590697</v>
      </c>
      <c r="J684" t="s">
        <v>20</v>
      </c>
    </row>
    <row r="685" spans="1:10" ht="14.25" customHeight="1" x14ac:dyDescent="0.3">
      <c r="A685" t="s">
        <v>79</v>
      </c>
      <c r="B685" t="str">
        <f>INDEX(SETORES!$B:$B,MATCH(A685,SETORES!$A:$A,0))</f>
        <v>Funcionários</v>
      </c>
      <c r="C685" t="s">
        <v>12</v>
      </c>
      <c r="D685" s="23">
        <f>IF(B685="Clientes",SUMIFS(PARÂMETROS!$D$8:$D$907,PARÂMETROS!$A$8:$A$907,C685,PARÂMETROS!$G$8:$G$907,J685),SUMIFS(PARÂMETROS!$E$8:$E$907,PARÂMETROS!$A$8:$A$907,C685,PARÂMETROS!$G$8:$G$907,J685))</f>
        <v>3.3238366571699908E-2</v>
      </c>
      <c r="E685" s="24">
        <f>SUMIFS(SETORES!$D:$D,SETORES!$A:$A,A685,SETORES!$F:$F,J685)</f>
        <v>28357.9892</v>
      </c>
      <c r="F685" s="24">
        <f t="shared" si="38"/>
        <v>942.57324026590697</v>
      </c>
      <c r="G685" s="23">
        <f>SUMIFS(PARÂMETROS!$F$8:$F$907,PARÂMETROS!$A$8:$A$907,C685,PARÂMETROS!$G$8:$G$907,J685)</f>
        <v>0</v>
      </c>
      <c r="H685" s="24">
        <f t="shared" si="36"/>
        <v>0</v>
      </c>
      <c r="I685" s="24">
        <f t="shared" si="37"/>
        <v>942.57324026590697</v>
      </c>
      <c r="J685" t="s">
        <v>20</v>
      </c>
    </row>
    <row r="686" spans="1:10" ht="14.25" customHeight="1" x14ac:dyDescent="0.3">
      <c r="A686" t="s">
        <v>79</v>
      </c>
      <c r="B686" t="str">
        <f>INDEX(SETORES!$B:$B,MATCH(A686,SETORES!$A:$A,0))</f>
        <v>Funcionários</v>
      </c>
      <c r="C686" t="s">
        <v>13</v>
      </c>
      <c r="D686" s="23">
        <f>IF(B686="Clientes",SUMIFS(PARÂMETROS!$D$8:$D$907,PARÂMETROS!$A$8:$A$907,C686,PARÂMETROS!$G$8:$G$907,J686),SUMIFS(PARÂMETROS!$E$8:$E$907,PARÂMETROS!$A$8:$A$907,C686,PARÂMETROS!$G$8:$G$907,J686))</f>
        <v>3.9886039886039885E-2</v>
      </c>
      <c r="E686" s="24">
        <f>SUMIFS(SETORES!$D:$D,SETORES!$A:$A,A686,SETORES!$F:$F,J686)</f>
        <v>28357.9892</v>
      </c>
      <c r="F686" s="24">
        <f t="shared" si="38"/>
        <v>1131.0878883190883</v>
      </c>
      <c r="G686" s="23">
        <f>SUMIFS(PARÂMETROS!$F$8:$F$907,PARÂMETROS!$A$8:$A$907,C686,PARÂMETROS!$G$8:$G$907,J686)</f>
        <v>0</v>
      </c>
      <c r="H686" s="24">
        <f t="shared" si="36"/>
        <v>0</v>
      </c>
      <c r="I686" s="24">
        <f t="shared" si="37"/>
        <v>1131.0878883190883</v>
      </c>
      <c r="J686" t="s">
        <v>20</v>
      </c>
    </row>
    <row r="687" spans="1:10" ht="14.25" customHeight="1" x14ac:dyDescent="0.3">
      <c r="A687" t="s">
        <v>79</v>
      </c>
      <c r="B687" t="str">
        <f>INDEX(SETORES!$B:$B,MATCH(A687,SETORES!$A:$A,0))</f>
        <v>Funcionários</v>
      </c>
      <c r="C687" t="s">
        <v>14</v>
      </c>
      <c r="D687" s="23">
        <f>IF(B687="Clientes",SUMIFS(PARÂMETROS!$D$8:$D$907,PARÂMETROS!$A$8:$A$907,C687,PARÂMETROS!$G$8:$G$907,J687),SUMIFS(PARÂMETROS!$E$8:$E$907,PARÂMETROS!$A$8:$A$907,C687,PARÂMETROS!$G$8:$G$907,J687))</f>
        <v>1.0446343779677113E-2</v>
      </c>
      <c r="E687" s="24">
        <f>SUMIFS(SETORES!$D:$D,SETORES!$A:$A,A687,SETORES!$F:$F,J687)</f>
        <v>28357.9892</v>
      </c>
      <c r="F687" s="24">
        <f t="shared" si="38"/>
        <v>296.23730408357073</v>
      </c>
      <c r="G687" s="23">
        <f>SUMIFS(PARÂMETROS!$F$8:$F$907,PARÂMETROS!$A$8:$A$907,C687,PARÂMETROS!$G$8:$G$907,J687)</f>
        <v>0</v>
      </c>
      <c r="H687" s="24">
        <f t="shared" si="36"/>
        <v>0</v>
      </c>
      <c r="I687" s="24">
        <f t="shared" si="37"/>
        <v>296.23730408357073</v>
      </c>
      <c r="J687" t="s">
        <v>20</v>
      </c>
    </row>
    <row r="688" spans="1:10" ht="14.25" customHeight="1" x14ac:dyDescent="0.3">
      <c r="A688" t="s">
        <v>79</v>
      </c>
      <c r="B688" t="str">
        <f>INDEX(SETORES!$B:$B,MATCH(A688,SETORES!$A:$A,0))</f>
        <v>Funcionários</v>
      </c>
      <c r="C688" t="s">
        <v>15</v>
      </c>
      <c r="D688" s="23">
        <f>IF(B688="Clientes",SUMIFS(PARÂMETROS!$D$8:$D$907,PARÂMETROS!$A$8:$A$907,C688,PARÂMETROS!$G$8:$G$907,J688),SUMIFS(PARÂMETROS!$E$8:$E$907,PARÂMETROS!$A$8:$A$907,C688,PARÂMETROS!$G$8:$G$907,J688))</f>
        <v>3.9886039886039885E-2</v>
      </c>
      <c r="E688" s="24">
        <f>SUMIFS(SETORES!$D:$D,SETORES!$A:$A,A688,SETORES!$F:$F,J688)</f>
        <v>28357.9892</v>
      </c>
      <c r="F688" s="24">
        <f t="shared" si="38"/>
        <v>1131.0878883190883</v>
      </c>
      <c r="G688" s="23">
        <f>SUMIFS(PARÂMETROS!$F$8:$F$907,PARÂMETROS!$A$8:$A$907,C688,PARÂMETROS!$G$8:$G$907,J688)</f>
        <v>0</v>
      </c>
      <c r="H688" s="24">
        <f t="shared" si="36"/>
        <v>0</v>
      </c>
      <c r="I688" s="24">
        <f t="shared" si="37"/>
        <v>1131.0878883190883</v>
      </c>
      <c r="J688" t="s">
        <v>20</v>
      </c>
    </row>
    <row r="689" spans="1:10" ht="14.25" customHeight="1" x14ac:dyDescent="0.3">
      <c r="A689" t="s">
        <v>79</v>
      </c>
      <c r="B689" t="str">
        <f>INDEX(SETORES!$B:$B,MATCH(A689,SETORES!$A:$A,0))</f>
        <v>Funcionários</v>
      </c>
      <c r="C689" t="s">
        <v>16</v>
      </c>
      <c r="D689" s="23">
        <f>IF(B689="Clientes",SUMIFS(PARÂMETROS!$D$8:$D$907,PARÂMETROS!$A$8:$A$907,C689,PARÂMETROS!$G$8:$G$907,J689),SUMIFS(PARÂMETROS!$E$8:$E$907,PARÂMETROS!$A$8:$A$907,C689,PARÂMETROS!$G$8:$G$907,J689))</f>
        <v>1.7094017094017096E-2</v>
      </c>
      <c r="E689" s="24">
        <f>SUMIFS(SETORES!$D:$D,SETORES!$A:$A,A689,SETORES!$F:$F,J689)</f>
        <v>28357.9892</v>
      </c>
      <c r="F689" s="24">
        <f t="shared" si="38"/>
        <v>484.75195213675221</v>
      </c>
      <c r="G689" s="23">
        <f>SUMIFS(PARÂMETROS!$F$8:$F$907,PARÂMETROS!$A$8:$A$907,C689,PARÂMETROS!$G$8:$G$907,J689)</f>
        <v>0</v>
      </c>
      <c r="H689" s="24">
        <f t="shared" si="36"/>
        <v>0</v>
      </c>
      <c r="I689" s="24">
        <f t="shared" si="37"/>
        <v>484.75195213675221</v>
      </c>
      <c r="J689" t="s">
        <v>20</v>
      </c>
    </row>
    <row r="690" spans="1:10" ht="14.25" customHeight="1" x14ac:dyDescent="0.3">
      <c r="A690" t="s">
        <v>79</v>
      </c>
      <c r="B690" t="str">
        <f>INDEX(SETORES!$B:$B,MATCH(A690,SETORES!$A:$A,0))</f>
        <v>Funcionários</v>
      </c>
      <c r="C690" t="s">
        <v>17</v>
      </c>
      <c r="D690" s="23">
        <f>IF(B690="Clientes",SUMIFS(PARÂMETROS!$D$8:$D$907,PARÂMETROS!$A$8:$A$907,C690,PARÂMETROS!$G$8:$G$907,J690),SUMIFS(PARÂMETROS!$E$8:$E$907,PARÂMETROS!$A$8:$A$907,C690,PARÂMETROS!$G$8:$G$907,J690))</f>
        <v>1.8993352326685659E-2</v>
      </c>
      <c r="E690" s="24">
        <f>SUMIFS(SETORES!$D:$D,SETORES!$A:$A,A690,SETORES!$F:$F,J690)</f>
        <v>28357.9892</v>
      </c>
      <c r="F690" s="24">
        <f t="shared" si="38"/>
        <v>538.61328015194681</v>
      </c>
      <c r="G690" s="23">
        <f>SUMIFS(PARÂMETROS!$F$8:$F$907,PARÂMETROS!$A$8:$A$907,C690,PARÂMETROS!$G$8:$G$907,J690)</f>
        <v>0</v>
      </c>
      <c r="H690" s="24">
        <f t="shared" si="36"/>
        <v>0</v>
      </c>
      <c r="I690" s="24">
        <f t="shared" si="37"/>
        <v>538.61328015194681</v>
      </c>
      <c r="J690" t="s">
        <v>20</v>
      </c>
    </row>
    <row r="691" spans="1:10" ht="14.25" customHeight="1" x14ac:dyDescent="0.3">
      <c r="A691" t="s">
        <v>79</v>
      </c>
      <c r="B691" t="str">
        <f>INDEX(SETORES!$B:$B,MATCH(A691,SETORES!$A:$A,0))</f>
        <v>Funcionários</v>
      </c>
      <c r="C691" t="s">
        <v>18</v>
      </c>
      <c r="D691" s="23">
        <f>IF(B691="Clientes",SUMIFS(PARÂMETROS!$D$8:$D$907,PARÂMETROS!$A$8:$A$907,C691,PARÂMETROS!$G$8:$G$907,J691),SUMIFS(PARÂMETROS!$E$8:$E$907,PARÂMETROS!$A$8:$A$907,C691,PARÂMETROS!$G$8:$G$907,J691))</f>
        <v>0.80721747388414056</v>
      </c>
      <c r="E691" s="24">
        <f>SUMIFS(SETORES!$D:$D,SETORES!$A:$A,A691,SETORES!$F:$F,J691)</f>
        <v>28357.9892</v>
      </c>
      <c r="F691" s="24">
        <f t="shared" si="38"/>
        <v>22891.064406457739</v>
      </c>
      <c r="G691" s="23">
        <f>SUMIFS(PARÂMETROS!$F$8:$F$907,PARÂMETROS!$A$8:$A$907,C691,PARÂMETROS!$G$8:$G$907,J691)</f>
        <v>0</v>
      </c>
      <c r="H691" s="24">
        <f t="shared" si="36"/>
        <v>0</v>
      </c>
      <c r="I691" s="24">
        <f t="shared" si="37"/>
        <v>22891.064406457739</v>
      </c>
      <c r="J691" t="s">
        <v>20</v>
      </c>
    </row>
    <row r="692" spans="1:10" ht="14.25" customHeight="1" x14ac:dyDescent="0.3">
      <c r="A692" t="s">
        <v>79</v>
      </c>
      <c r="B692" t="str">
        <f>INDEX(SETORES!$B:$B,MATCH(A692,SETORES!$A:$A,0))</f>
        <v>Funcionários</v>
      </c>
      <c r="C692" t="s">
        <v>10</v>
      </c>
      <c r="D692" s="23">
        <f>IF(B692="Clientes",SUMIFS(PARÂMETROS!$D$8:$D$907,PARÂMETROS!$A$8:$A$907,C692,PARÂMETROS!$G$8:$G$907,J692),SUMIFS(PARÂMETROS!$E$8:$E$907,PARÂMETROS!$A$8:$A$907,C692,PARÂMETROS!$G$8:$G$907,J692))</f>
        <v>3.2411820781696854E-2</v>
      </c>
      <c r="E692" s="24">
        <f>SUMIFS(SETORES!$D:$D,SETORES!$A:$A,A692,SETORES!$F:$F,J692)</f>
        <v>47063.980699999993</v>
      </c>
      <c r="F692" s="24">
        <f t="shared" si="38"/>
        <v>1525.4293077216394</v>
      </c>
      <c r="G692" s="23">
        <f>SUMIFS(PARÂMETROS!$F$8:$F$907,PARÂMETROS!$A$8:$A$907,C692,PARÂMETROS!$G$8:$G$907,J692)</f>
        <v>0</v>
      </c>
      <c r="H692" s="24">
        <f t="shared" si="36"/>
        <v>0</v>
      </c>
      <c r="I692" s="24">
        <f t="shared" si="37"/>
        <v>1525.4293077216394</v>
      </c>
      <c r="J692" t="s">
        <v>11</v>
      </c>
    </row>
    <row r="693" spans="1:10" ht="14.25" customHeight="1" x14ac:dyDescent="0.3">
      <c r="A693" t="s">
        <v>79</v>
      </c>
      <c r="B693" t="str">
        <f>INDEX(SETORES!$B:$B,MATCH(A693,SETORES!$A:$A,0))</f>
        <v>Funcionários</v>
      </c>
      <c r="C693" t="s">
        <v>12</v>
      </c>
      <c r="D693" s="23">
        <f>IF(B693="Clientes",SUMIFS(PARÂMETROS!$D$8:$D$907,PARÂMETROS!$A$8:$A$907,C693,PARÂMETROS!$G$8:$G$907,J693),SUMIFS(PARÂMETROS!$E$8:$E$907,PARÂMETROS!$A$8:$A$907,C693,PARÂMETROS!$G$8:$G$907,J693))</f>
        <v>3.0505243088655862E-2</v>
      </c>
      <c r="E693" s="24">
        <f>SUMIFS(SETORES!$D:$D,SETORES!$A:$A,A693,SETORES!$F:$F,J693)</f>
        <v>47063.980699999993</v>
      </c>
      <c r="F693" s="24">
        <f t="shared" si="38"/>
        <v>1435.6981719733076</v>
      </c>
      <c r="G693" s="23">
        <f>SUMIFS(PARÂMETROS!$F$8:$F$907,PARÂMETROS!$A$8:$A$907,C693,PARÂMETROS!$G$8:$G$907,J693)</f>
        <v>0</v>
      </c>
      <c r="H693" s="24">
        <f t="shared" si="36"/>
        <v>0</v>
      </c>
      <c r="I693" s="24">
        <f t="shared" si="37"/>
        <v>1435.6981719733076</v>
      </c>
      <c r="J693" t="s">
        <v>11</v>
      </c>
    </row>
    <row r="694" spans="1:10" ht="14.25" customHeight="1" x14ac:dyDescent="0.3">
      <c r="A694" t="s">
        <v>79</v>
      </c>
      <c r="B694" t="str">
        <f>INDEX(SETORES!$B:$B,MATCH(A694,SETORES!$A:$A,0))</f>
        <v>Funcionários</v>
      </c>
      <c r="C694" t="s">
        <v>13</v>
      </c>
      <c r="D694" s="23">
        <f>IF(B694="Clientes",SUMIFS(PARÂMETROS!$D$8:$D$907,PARÂMETROS!$A$8:$A$907,C694,PARÂMETROS!$G$8:$G$907,J694),SUMIFS(PARÂMETROS!$E$8:$E$907,PARÂMETROS!$A$8:$A$907,C694,PARÂMETROS!$G$8:$G$907,J694))</f>
        <v>4.0038131553860823E-2</v>
      </c>
      <c r="E694" s="24">
        <f>SUMIFS(SETORES!$D:$D,SETORES!$A:$A,A694,SETORES!$F:$F,J694)</f>
        <v>47063.980699999993</v>
      </c>
      <c r="F694" s="24">
        <f t="shared" si="38"/>
        <v>1884.3538507149665</v>
      </c>
      <c r="G694" s="23">
        <f>SUMIFS(PARÂMETROS!$F$8:$F$907,PARÂMETROS!$A$8:$A$907,C694,PARÂMETROS!$G$8:$G$907,J694)</f>
        <v>0</v>
      </c>
      <c r="H694" s="24">
        <f t="shared" si="36"/>
        <v>0</v>
      </c>
      <c r="I694" s="24">
        <f t="shared" si="37"/>
        <v>1884.3538507149665</v>
      </c>
      <c r="J694" t="s">
        <v>11</v>
      </c>
    </row>
    <row r="695" spans="1:10" ht="14.25" customHeight="1" x14ac:dyDescent="0.3">
      <c r="A695" t="s">
        <v>79</v>
      </c>
      <c r="B695" t="str">
        <f>INDEX(SETORES!$B:$B,MATCH(A695,SETORES!$A:$A,0))</f>
        <v>Funcionários</v>
      </c>
      <c r="C695" t="s">
        <v>14</v>
      </c>
      <c r="D695" s="23">
        <f>IF(B695="Clientes",SUMIFS(PARÂMETROS!$D$8:$D$907,PARÂMETROS!$A$8:$A$907,C695,PARÂMETROS!$G$8:$G$907,J695),SUMIFS(PARÂMETROS!$E$8:$E$907,PARÂMETROS!$A$8:$A$907,C695,PARÂMETROS!$G$8:$G$907,J695))</f>
        <v>1.0486177311725452E-2</v>
      </c>
      <c r="E695" s="24">
        <f>SUMIFS(SETORES!$D:$D,SETORES!$A:$A,A695,SETORES!$F:$F,J695)</f>
        <v>47063.980699999993</v>
      </c>
      <c r="F695" s="24">
        <f t="shared" si="38"/>
        <v>493.52124661582451</v>
      </c>
      <c r="G695" s="23">
        <f>SUMIFS(PARÂMETROS!$F$8:$F$907,PARÂMETROS!$A$8:$A$907,C695,PARÂMETROS!$G$8:$G$907,J695)</f>
        <v>0</v>
      </c>
      <c r="H695" s="24">
        <f t="shared" si="36"/>
        <v>0</v>
      </c>
      <c r="I695" s="24">
        <f t="shared" si="37"/>
        <v>493.52124661582451</v>
      </c>
      <c r="J695" t="s">
        <v>11</v>
      </c>
    </row>
    <row r="696" spans="1:10" ht="14.25" customHeight="1" x14ac:dyDescent="0.3">
      <c r="A696" t="s">
        <v>79</v>
      </c>
      <c r="B696" t="str">
        <f>INDEX(SETORES!$B:$B,MATCH(A696,SETORES!$A:$A,0))</f>
        <v>Funcionários</v>
      </c>
      <c r="C696" t="s">
        <v>15</v>
      </c>
      <c r="D696" s="23">
        <f>IF(B696="Clientes",SUMIFS(PARÂMETROS!$D$8:$D$907,PARÂMETROS!$A$8:$A$907,C696,PARÂMETROS!$G$8:$G$907,J696),SUMIFS(PARÂMETROS!$E$8:$E$907,PARÂMETROS!$A$8:$A$907,C696,PARÂMETROS!$G$8:$G$907,J696))</f>
        <v>4.0038131553860823E-2</v>
      </c>
      <c r="E696" s="24">
        <f>SUMIFS(SETORES!$D:$D,SETORES!$A:$A,A696,SETORES!$F:$F,J696)</f>
        <v>47063.980699999993</v>
      </c>
      <c r="F696" s="24">
        <f t="shared" si="38"/>
        <v>1884.3538507149665</v>
      </c>
      <c r="G696" s="23">
        <f>SUMIFS(PARÂMETROS!$F$8:$F$907,PARÂMETROS!$A$8:$A$907,C696,PARÂMETROS!$G$8:$G$907,J696)</f>
        <v>0</v>
      </c>
      <c r="H696" s="24">
        <f t="shared" si="36"/>
        <v>0</v>
      </c>
      <c r="I696" s="24">
        <f t="shared" si="37"/>
        <v>1884.3538507149665</v>
      </c>
      <c r="J696" t="s">
        <v>11</v>
      </c>
    </row>
    <row r="697" spans="1:10" ht="14.25" customHeight="1" x14ac:dyDescent="0.3">
      <c r="A697" t="s">
        <v>79</v>
      </c>
      <c r="B697" t="str">
        <f>INDEX(SETORES!$B:$B,MATCH(A697,SETORES!$A:$A,0))</f>
        <v>Funcionários</v>
      </c>
      <c r="C697" t="s">
        <v>16</v>
      </c>
      <c r="D697" s="23">
        <f>IF(B697="Clientes",SUMIFS(PARÂMETROS!$D$8:$D$907,PARÂMETROS!$A$8:$A$907,C697,PARÂMETROS!$G$8:$G$907,J697),SUMIFS(PARÂMETROS!$E$8:$E$907,PARÂMETROS!$A$8:$A$907,C697,PARÂMETROS!$G$8:$G$907,J697))</f>
        <v>1.7159199237368923E-2</v>
      </c>
      <c r="E697" s="24">
        <f>SUMIFS(SETORES!$D:$D,SETORES!$A:$A,A697,SETORES!$F:$F,J697)</f>
        <v>47063.980699999993</v>
      </c>
      <c r="F697" s="24">
        <f t="shared" si="38"/>
        <v>807.58022173498557</v>
      </c>
      <c r="G697" s="23">
        <f>SUMIFS(PARÂMETROS!$F$8:$F$907,PARÂMETROS!$A$8:$A$907,C697,PARÂMETROS!$G$8:$G$907,J697)</f>
        <v>0</v>
      </c>
      <c r="H697" s="24">
        <f t="shared" si="36"/>
        <v>0</v>
      </c>
      <c r="I697" s="24">
        <f t="shared" si="37"/>
        <v>807.58022173498557</v>
      </c>
      <c r="J697" t="s">
        <v>11</v>
      </c>
    </row>
    <row r="698" spans="1:10" ht="14.25" customHeight="1" x14ac:dyDescent="0.3">
      <c r="A698" t="s">
        <v>79</v>
      </c>
      <c r="B698" t="str">
        <f>INDEX(SETORES!$B:$B,MATCH(A698,SETORES!$A:$A,0))</f>
        <v>Funcionários</v>
      </c>
      <c r="C698" t="s">
        <v>17</v>
      </c>
      <c r="D698" s="23">
        <f>IF(B698="Clientes",SUMIFS(PARÂMETROS!$D$8:$D$907,PARÂMETROS!$A$8:$A$907,C698,PARÂMETROS!$G$8:$G$907,J698),SUMIFS(PARÂMETROS!$E$8:$E$907,PARÂMETROS!$A$8:$A$907,C698,PARÂMETROS!$G$8:$G$907,J698))</f>
        <v>1.6205910390848427E-2</v>
      </c>
      <c r="E698" s="24">
        <f>SUMIFS(SETORES!$D:$D,SETORES!$A:$A,A698,SETORES!$F:$F,J698)</f>
        <v>47063.980699999993</v>
      </c>
      <c r="F698" s="24">
        <f t="shared" si="38"/>
        <v>762.71465386081968</v>
      </c>
      <c r="G698" s="23">
        <f>SUMIFS(PARÂMETROS!$F$8:$F$907,PARÂMETROS!$A$8:$A$907,C698,PARÂMETROS!$G$8:$G$907,J698)</f>
        <v>0</v>
      </c>
      <c r="H698" s="24">
        <f t="shared" si="36"/>
        <v>0</v>
      </c>
      <c r="I698" s="24">
        <f t="shared" si="37"/>
        <v>762.71465386081968</v>
      </c>
      <c r="J698" t="s">
        <v>11</v>
      </c>
    </row>
    <row r="699" spans="1:10" ht="14.25" customHeight="1" x14ac:dyDescent="0.3">
      <c r="A699" t="s">
        <v>79</v>
      </c>
      <c r="B699" t="str">
        <f>INDEX(SETORES!$B:$B,MATCH(A699,SETORES!$A:$A,0))</f>
        <v>Funcionários</v>
      </c>
      <c r="C699" t="s">
        <v>18</v>
      </c>
      <c r="D699" s="23">
        <f>IF(B699="Clientes",SUMIFS(PARÂMETROS!$D$8:$D$907,PARÂMETROS!$A$8:$A$907,C699,PARÂMETROS!$G$8:$G$907,J699),SUMIFS(PARÂMETROS!$E$8:$E$907,PARÂMETROS!$A$8:$A$907,C699,PARÂMETROS!$G$8:$G$907,J699))</f>
        <v>0.81315538608198279</v>
      </c>
      <c r="E699" s="24">
        <f>SUMIFS(SETORES!$D:$D,SETORES!$A:$A,A699,SETORES!$F:$F,J699)</f>
        <v>47063.980699999993</v>
      </c>
      <c r="F699" s="24">
        <f t="shared" si="38"/>
        <v>38270.329396663481</v>
      </c>
      <c r="G699" s="23">
        <f>SUMIFS(PARÂMETROS!$F$8:$F$907,PARÂMETROS!$A$8:$A$907,C699,PARÂMETROS!$G$8:$G$907,J699)</f>
        <v>0</v>
      </c>
      <c r="H699" s="24">
        <f t="shared" si="36"/>
        <v>0</v>
      </c>
      <c r="I699" s="24">
        <f t="shared" si="37"/>
        <v>38270.329396663481</v>
      </c>
      <c r="J699" t="s">
        <v>11</v>
      </c>
    </row>
    <row r="700" spans="1:10" ht="14.25" customHeight="1" x14ac:dyDescent="0.3">
      <c r="A700" t="s">
        <v>79</v>
      </c>
      <c r="B700" t="str">
        <f>INDEX(SETORES!$B:$B,MATCH(A700,SETORES!$A:$A,0))</f>
        <v>Funcionários</v>
      </c>
      <c r="C700" t="s">
        <v>10</v>
      </c>
      <c r="D700" s="23">
        <f>IF(B700="Clientes",SUMIFS(PARÂMETROS!$D$8:$D$907,PARÂMETROS!$A$8:$A$907,C700,PARÂMETROS!$G$8:$G$907,J700),SUMIFS(PARÂMETROS!$E$8:$E$907,PARÂMETROS!$A$8:$A$907,C700,PARÂMETROS!$G$8:$G$907,J700))</f>
        <v>3.1192660550458717E-2</v>
      </c>
      <c r="E700" s="24">
        <f>SUMIFS(SETORES!$D:$D,SETORES!$A:$A,A700,SETORES!$F:$F,J700)</f>
        <v>120488.69450000001</v>
      </c>
      <c r="F700" s="24">
        <f t="shared" si="38"/>
        <v>3758.3629477064228</v>
      </c>
      <c r="G700" s="23">
        <f>SUMIFS(PARÂMETROS!$F$8:$F$907,PARÂMETROS!$A$8:$A$907,C700,PARÂMETROS!$G$8:$G$907,J700)</f>
        <v>0</v>
      </c>
      <c r="H700" s="24">
        <f t="shared" si="36"/>
        <v>0</v>
      </c>
      <c r="I700" s="24">
        <f t="shared" si="37"/>
        <v>3758.3629477064228</v>
      </c>
      <c r="J700" t="s">
        <v>21</v>
      </c>
    </row>
    <row r="701" spans="1:10" ht="14.25" customHeight="1" x14ac:dyDescent="0.3">
      <c r="A701" t="s">
        <v>79</v>
      </c>
      <c r="B701" t="str">
        <f>INDEX(SETORES!$B:$B,MATCH(A701,SETORES!$A:$A,0))</f>
        <v>Funcionários</v>
      </c>
      <c r="C701" t="s">
        <v>12</v>
      </c>
      <c r="D701" s="23">
        <f>IF(B701="Clientes",SUMIFS(PARÂMETROS!$D$8:$D$907,PARÂMETROS!$A$8:$A$907,C701,PARÂMETROS!$G$8:$G$907,J701),SUMIFS(PARÂMETROS!$E$8:$E$907,PARÂMETROS!$A$8:$A$907,C701,PARÂMETROS!$G$8:$G$907,J701))</f>
        <v>0</v>
      </c>
      <c r="E701" s="24">
        <f>SUMIFS(SETORES!$D:$D,SETORES!$A:$A,A701,SETORES!$F:$F,J701)</f>
        <v>120488.69450000001</v>
      </c>
      <c r="F701" s="24">
        <f t="shared" si="38"/>
        <v>0</v>
      </c>
      <c r="G701" s="23">
        <f>SUMIFS(PARÂMETROS!$F$8:$F$907,PARÂMETROS!$A$8:$A$907,C701,PARÂMETROS!$G$8:$G$907,J701)</f>
        <v>0</v>
      </c>
      <c r="H701" s="24">
        <f t="shared" si="36"/>
        <v>0</v>
      </c>
      <c r="I701" s="24">
        <f t="shared" si="37"/>
        <v>0</v>
      </c>
      <c r="J701" t="s">
        <v>21</v>
      </c>
    </row>
    <row r="702" spans="1:10" ht="14.25" customHeight="1" x14ac:dyDescent="0.3">
      <c r="A702" t="s">
        <v>79</v>
      </c>
      <c r="B702" t="str">
        <f>INDEX(SETORES!$B:$B,MATCH(A702,SETORES!$A:$A,0))</f>
        <v>Funcionários</v>
      </c>
      <c r="C702" t="s">
        <v>13</v>
      </c>
      <c r="D702" s="23">
        <f>IF(B702="Clientes",SUMIFS(PARÂMETROS!$D$8:$D$907,PARÂMETROS!$A$8:$A$907,C702,PARÂMETROS!$G$8:$G$907,J702),SUMIFS(PARÂMETROS!$E$8:$E$907,PARÂMETROS!$A$8:$A$907,C702,PARÂMETROS!$G$8:$G$907,J702))</f>
        <v>4.3119266055045874E-2</v>
      </c>
      <c r="E702" s="24">
        <f>SUMIFS(SETORES!$D:$D,SETORES!$A:$A,A702,SETORES!$F:$F,J702)</f>
        <v>120488.69450000001</v>
      </c>
      <c r="F702" s="24">
        <f t="shared" si="38"/>
        <v>5195.3840747706427</v>
      </c>
      <c r="G702" s="23">
        <f>SUMIFS(PARÂMETROS!$F$8:$F$907,PARÂMETROS!$A$8:$A$907,C702,PARÂMETROS!$G$8:$G$907,J702)</f>
        <v>0</v>
      </c>
      <c r="H702" s="24">
        <f t="shared" si="36"/>
        <v>0</v>
      </c>
      <c r="I702" s="24">
        <f t="shared" si="37"/>
        <v>5195.3840747706427</v>
      </c>
      <c r="J702" t="s">
        <v>21</v>
      </c>
    </row>
    <row r="703" spans="1:10" ht="14.25" customHeight="1" x14ac:dyDescent="0.3">
      <c r="A703" t="s">
        <v>79</v>
      </c>
      <c r="B703" t="str">
        <f>INDEX(SETORES!$B:$B,MATCH(A703,SETORES!$A:$A,0))</f>
        <v>Funcionários</v>
      </c>
      <c r="C703" t="s">
        <v>14</v>
      </c>
      <c r="D703" s="23">
        <f>IF(B703="Clientes",SUMIFS(PARÂMETROS!$D$8:$D$907,PARÂMETROS!$A$8:$A$907,C703,PARÂMETROS!$G$8:$G$907,J703),SUMIFS(PARÂMETROS!$E$8:$E$907,PARÂMETROS!$A$8:$A$907,C703,PARÂMETROS!$G$8:$G$907,J703))</f>
        <v>1.0091743119266056E-2</v>
      </c>
      <c r="E703" s="24">
        <f>SUMIFS(SETORES!$D:$D,SETORES!$A:$A,A703,SETORES!$F:$F,J703)</f>
        <v>120488.69450000001</v>
      </c>
      <c r="F703" s="24">
        <f t="shared" si="38"/>
        <v>1215.9409536697249</v>
      </c>
      <c r="G703" s="23">
        <f>SUMIFS(PARÂMETROS!$F$8:$F$907,PARÂMETROS!$A$8:$A$907,C703,PARÂMETROS!$G$8:$G$907,J703)</f>
        <v>0</v>
      </c>
      <c r="H703" s="24">
        <f t="shared" si="36"/>
        <v>0</v>
      </c>
      <c r="I703" s="24">
        <f t="shared" si="37"/>
        <v>1215.9409536697249</v>
      </c>
      <c r="J703" t="s">
        <v>21</v>
      </c>
    </row>
    <row r="704" spans="1:10" ht="14.25" customHeight="1" x14ac:dyDescent="0.3">
      <c r="A704" t="s">
        <v>79</v>
      </c>
      <c r="B704" t="str">
        <f>INDEX(SETORES!$B:$B,MATCH(A704,SETORES!$A:$A,0))</f>
        <v>Funcionários</v>
      </c>
      <c r="C704" t="s">
        <v>15</v>
      </c>
      <c r="D704" s="23">
        <f>IF(B704="Clientes",SUMIFS(PARÂMETROS!$D$8:$D$907,PARÂMETROS!$A$8:$A$907,C704,PARÂMETROS!$G$8:$G$907,J704),SUMIFS(PARÂMETROS!$E$8:$E$907,PARÂMETROS!$A$8:$A$907,C704,PARÂMETROS!$G$8:$G$907,J704))</f>
        <v>4.5871559633027525E-2</v>
      </c>
      <c r="E704" s="24">
        <f>SUMIFS(SETORES!$D:$D,SETORES!$A:$A,A704,SETORES!$F:$F,J704)</f>
        <v>120488.69450000001</v>
      </c>
      <c r="F704" s="24">
        <f t="shared" si="38"/>
        <v>5527.0043348623858</v>
      </c>
      <c r="G704" s="23">
        <f>SUMIFS(PARÂMETROS!$F$8:$F$907,PARÂMETROS!$A$8:$A$907,C704,PARÂMETROS!$G$8:$G$907,J704)</f>
        <v>0</v>
      </c>
      <c r="H704" s="24">
        <f t="shared" si="36"/>
        <v>0</v>
      </c>
      <c r="I704" s="24">
        <f t="shared" si="37"/>
        <v>5527.0043348623858</v>
      </c>
      <c r="J704" t="s">
        <v>21</v>
      </c>
    </row>
    <row r="705" spans="1:10" ht="14.25" customHeight="1" x14ac:dyDescent="0.3">
      <c r="A705" t="s">
        <v>79</v>
      </c>
      <c r="B705" t="str">
        <f>INDEX(SETORES!$B:$B,MATCH(A705,SETORES!$A:$A,0))</f>
        <v>Funcionários</v>
      </c>
      <c r="C705" t="s">
        <v>16</v>
      </c>
      <c r="D705" s="23">
        <f>IF(B705="Clientes",SUMIFS(PARÂMETROS!$D$8:$D$907,PARÂMETROS!$A$8:$A$907,C705,PARÂMETROS!$G$8:$G$907,J705),SUMIFS(PARÂMETROS!$E$8:$E$907,PARÂMETROS!$A$8:$A$907,C705,PARÂMETROS!$G$8:$G$907,J705))</f>
        <v>1.6513761467889909E-2</v>
      </c>
      <c r="E705" s="24">
        <f>SUMIFS(SETORES!$D:$D,SETORES!$A:$A,A705,SETORES!$F:$F,J705)</f>
        <v>120488.69450000001</v>
      </c>
      <c r="F705" s="24">
        <f t="shared" si="38"/>
        <v>1989.7215605504591</v>
      </c>
      <c r="G705" s="23">
        <f>SUMIFS(PARÂMETROS!$F$8:$F$907,PARÂMETROS!$A$8:$A$907,C705,PARÂMETROS!$G$8:$G$907,J705)</f>
        <v>0</v>
      </c>
      <c r="H705" s="24">
        <f t="shared" si="36"/>
        <v>0</v>
      </c>
      <c r="I705" s="24">
        <f t="shared" si="37"/>
        <v>1989.7215605504591</v>
      </c>
      <c r="J705" t="s">
        <v>21</v>
      </c>
    </row>
    <row r="706" spans="1:10" ht="14.25" customHeight="1" x14ac:dyDescent="0.3">
      <c r="A706" t="s">
        <v>79</v>
      </c>
      <c r="B706" t="str">
        <f>INDEX(SETORES!$B:$B,MATCH(A706,SETORES!$A:$A,0))</f>
        <v>Funcionários</v>
      </c>
      <c r="C706" t="s">
        <v>17</v>
      </c>
      <c r="D706" s="23">
        <f>IF(B706="Clientes",SUMIFS(PARÂMETROS!$D$8:$D$907,PARÂMETROS!$A$8:$A$907,C706,PARÂMETROS!$G$8:$G$907,J706),SUMIFS(PARÂMETROS!$E$8:$E$907,PARÂMETROS!$A$8:$A$907,C706,PARÂMETROS!$G$8:$G$907,J706))</f>
        <v>2.2018348623853212E-2</v>
      </c>
      <c r="E706" s="24">
        <f>SUMIFS(SETORES!$D:$D,SETORES!$A:$A,A706,SETORES!$F:$F,J706)</f>
        <v>120488.69450000001</v>
      </c>
      <c r="F706" s="24">
        <f t="shared" si="38"/>
        <v>2652.9620807339452</v>
      </c>
      <c r="G706" s="23">
        <f>SUMIFS(PARÂMETROS!$F$8:$F$907,PARÂMETROS!$A$8:$A$907,C706,PARÂMETROS!$G$8:$G$907,J706)</f>
        <v>0</v>
      </c>
      <c r="H706" s="24">
        <f t="shared" si="36"/>
        <v>0</v>
      </c>
      <c r="I706" s="24">
        <f t="shared" si="37"/>
        <v>2652.9620807339452</v>
      </c>
      <c r="J706" t="s">
        <v>21</v>
      </c>
    </row>
    <row r="707" spans="1:10" ht="14.25" customHeight="1" x14ac:dyDescent="0.3">
      <c r="A707" t="s">
        <v>79</v>
      </c>
      <c r="B707" t="str">
        <f>INDEX(SETORES!$B:$B,MATCH(A707,SETORES!$A:$A,0))</f>
        <v>Funcionários</v>
      </c>
      <c r="C707" t="s">
        <v>18</v>
      </c>
      <c r="D707" s="23">
        <f>IF(B707="Clientes",SUMIFS(PARÂMETROS!$D$8:$D$907,PARÂMETROS!$A$8:$A$907,C707,PARÂMETROS!$G$8:$G$907,J707),SUMIFS(PARÂMETROS!$E$8:$E$907,PARÂMETROS!$A$8:$A$907,C707,PARÂMETROS!$G$8:$G$907,J707))</f>
        <v>0.83119266055045871</v>
      </c>
      <c r="E707" s="24">
        <f>SUMIFS(SETORES!$D:$D,SETORES!$A:$A,A707,SETORES!$F:$F,J707)</f>
        <v>120488.69450000001</v>
      </c>
      <c r="F707" s="24">
        <f t="shared" si="38"/>
        <v>100149.31854770643</v>
      </c>
      <c r="G707" s="23">
        <f>SUMIFS(PARÂMETROS!$F$8:$F$907,PARÂMETROS!$A$8:$A$907,C707,PARÂMETROS!$G$8:$G$907,J707)</f>
        <v>0</v>
      </c>
      <c r="H707" s="24">
        <f t="shared" si="36"/>
        <v>0</v>
      </c>
      <c r="I707" s="24">
        <f t="shared" si="37"/>
        <v>100149.31854770643</v>
      </c>
      <c r="J707" t="s">
        <v>21</v>
      </c>
    </row>
    <row r="708" spans="1:10" ht="14.25" customHeight="1" x14ac:dyDescent="0.3">
      <c r="A708" t="s">
        <v>80</v>
      </c>
      <c r="B708" t="str">
        <f>INDEX(SETORES!$B:$B,MATCH(A708,SETORES!$A:$A,0))</f>
        <v>Clientes</v>
      </c>
      <c r="C708" t="s">
        <v>10</v>
      </c>
      <c r="D708" s="23">
        <f>IF(B708="Clientes",SUMIFS(PARÂMETROS!$D$8:$D$907,PARÂMETROS!$A$8:$A$907,C708,PARÂMETROS!$G$8:$G$907,J708),SUMIFS(PARÂMETROS!$E$8:$E$907,PARÂMETROS!$A$8:$A$907,C708,PARÂMETROS!$G$8:$G$907,J708))</f>
        <v>3.2823386139959339E-2</v>
      </c>
      <c r="E708" s="24">
        <f>SUMIFS(SETORES!$D:$D,SETORES!$A:$A,A708,SETORES!$F:$F,J708)</f>
        <v>29568.365732999999</v>
      </c>
      <c r="F708" s="24">
        <f t="shared" si="38"/>
        <v>970.53388598180084</v>
      </c>
      <c r="G708" s="23">
        <f>SUMIFS(PARÂMETROS!$F$8:$F$907,PARÂMETROS!$A$8:$A$907,C708,PARÂMETROS!$G$8:$G$907,J708)</f>
        <v>0</v>
      </c>
      <c r="H708" s="24">
        <f t="shared" si="36"/>
        <v>0</v>
      </c>
      <c r="I708" s="24">
        <f t="shared" si="37"/>
        <v>970.53388598180084</v>
      </c>
      <c r="J708" t="s">
        <v>20</v>
      </c>
    </row>
    <row r="709" spans="1:10" ht="14.25" customHeight="1" x14ac:dyDescent="0.3">
      <c r="A709" t="s">
        <v>80</v>
      </c>
      <c r="B709" t="str">
        <f>INDEX(SETORES!$B:$B,MATCH(A709,SETORES!$A:$A,0))</f>
        <v>Clientes</v>
      </c>
      <c r="C709" t="s">
        <v>12</v>
      </c>
      <c r="D709" s="23">
        <f>IF(B709="Clientes",SUMIFS(PARÂMETROS!$D$8:$D$907,PARÂMETROS!$A$8:$A$907,C709,PARÂMETROS!$G$8:$G$907,J709),SUMIFS(PARÂMETROS!$E$8:$E$907,PARÂMETROS!$A$8:$A$907,C709,PARÂMETROS!$G$8:$G$907,J709))</f>
        <v>7.0047614816518319E-2</v>
      </c>
      <c r="E709" s="24">
        <f>SUMIFS(SETORES!$D:$D,SETORES!$A:$A,A709,SETORES!$F:$F,J709)</f>
        <v>29568.365732999999</v>
      </c>
      <c r="F709" s="24">
        <f t="shared" si="38"/>
        <v>2071.1934936191233</v>
      </c>
      <c r="G709" s="23">
        <f>SUMIFS(PARÂMETROS!$F$8:$F$907,PARÂMETROS!$A$8:$A$907,C709,PARÂMETROS!$G$8:$G$907,J709)</f>
        <v>0</v>
      </c>
      <c r="H709" s="24">
        <f t="shared" si="36"/>
        <v>0</v>
      </c>
      <c r="I709" s="24">
        <f t="shared" si="37"/>
        <v>2071.1934936191233</v>
      </c>
      <c r="J709" t="s">
        <v>20</v>
      </c>
    </row>
    <row r="710" spans="1:10" ht="14.25" customHeight="1" x14ac:dyDescent="0.3">
      <c r="A710" t="s">
        <v>80</v>
      </c>
      <c r="B710" t="str">
        <f>INDEX(SETORES!$B:$B,MATCH(A710,SETORES!$A:$A,0))</f>
        <v>Clientes</v>
      </c>
      <c r="C710" t="s">
        <v>13</v>
      </c>
      <c r="D710" s="23">
        <f>IF(B710="Clientes",SUMIFS(PARÂMETROS!$D$8:$D$907,PARÂMETROS!$A$8:$A$907,C710,PARÂMETROS!$G$8:$G$907,J710),SUMIFS(PARÂMETROS!$E$8:$E$907,PARÂMETROS!$A$8:$A$907,C710,PARÂMETROS!$G$8:$G$907,J710))</f>
        <v>7.4903176237540961E-2</v>
      </c>
      <c r="E710" s="24">
        <f>SUMIFS(SETORES!$D:$D,SETORES!$A:$A,A710,SETORES!$F:$F,J710)</f>
        <v>29568.365732999999</v>
      </c>
      <c r="F710" s="24">
        <f t="shared" si="38"/>
        <v>2214.764509554966</v>
      </c>
      <c r="G710" s="23">
        <f>SUMIFS(PARÂMETROS!$F$8:$F$907,PARÂMETROS!$A$8:$A$907,C710,PARÂMETROS!$G$8:$G$907,J710)</f>
        <v>0</v>
      </c>
      <c r="H710" s="24">
        <f t="shared" si="36"/>
        <v>0</v>
      </c>
      <c r="I710" s="24">
        <f t="shared" si="37"/>
        <v>2214.764509554966</v>
      </c>
      <c r="J710" t="s">
        <v>20</v>
      </c>
    </row>
    <row r="711" spans="1:10" ht="14.25" customHeight="1" x14ac:dyDescent="0.3">
      <c r="A711" t="s">
        <v>80</v>
      </c>
      <c r="B711" t="str">
        <f>INDEX(SETORES!$B:$B,MATCH(A711,SETORES!$A:$A,0))</f>
        <v>Clientes</v>
      </c>
      <c r="C711" t="s">
        <v>14</v>
      </c>
      <c r="D711" s="23">
        <f>IF(B711="Clientes",SUMIFS(PARÂMETROS!$D$8:$D$907,PARÂMETROS!$A$8:$A$907,C711,PARÂMETROS!$G$8:$G$907,J711),SUMIFS(PARÂMETROS!$E$8:$E$907,PARÂMETROS!$A$8:$A$907,C711,PARÂMETROS!$G$8:$G$907,J711))</f>
        <v>1.907728653039038E-2</v>
      </c>
      <c r="E711" s="24">
        <f>SUMIFS(SETORES!$D:$D,SETORES!$A:$A,A711,SETORES!$F:$F,J711)</f>
        <v>29568.365732999999</v>
      </c>
      <c r="F711" s="24">
        <f t="shared" si="38"/>
        <v>564.08418532381734</v>
      </c>
      <c r="G711" s="23">
        <f>SUMIFS(PARÂMETROS!$F$8:$F$907,PARÂMETROS!$A$8:$A$907,C711,PARÂMETROS!$G$8:$G$907,J711)</f>
        <v>0</v>
      </c>
      <c r="H711" s="24">
        <f t="shared" si="36"/>
        <v>0</v>
      </c>
      <c r="I711" s="24">
        <f t="shared" si="37"/>
        <v>564.08418532381734</v>
      </c>
      <c r="J711" t="s">
        <v>20</v>
      </c>
    </row>
    <row r="712" spans="1:10" ht="14.25" customHeight="1" x14ac:dyDescent="0.3">
      <c r="A712" t="s">
        <v>80</v>
      </c>
      <c r="B712" t="str">
        <f>INDEX(SETORES!$B:$B,MATCH(A712,SETORES!$A:$A,0))</f>
        <v>Clientes</v>
      </c>
      <c r="C712" t="s">
        <v>15</v>
      </c>
      <c r="D712" s="23">
        <f>IF(B712="Clientes",SUMIFS(PARÂMETROS!$D$8:$D$907,PARÂMETROS!$A$8:$A$907,C712,PARÂMETROS!$G$8:$G$907,J712),SUMIFS(PARÂMETROS!$E$8:$E$907,PARÂMETROS!$A$8:$A$907,C712,PARÂMETROS!$G$8:$G$907,J712))</f>
        <v>3.3429677985856672E-2</v>
      </c>
      <c r="E712" s="24">
        <f>SUMIFS(SETORES!$D:$D,SETORES!$A:$A,A712,SETORES!$F:$F,J712)</f>
        <v>29568.365732999999</v>
      </c>
      <c r="F712" s="24">
        <f t="shared" si="38"/>
        <v>988.46094502222888</v>
      </c>
      <c r="G712" s="23">
        <f>SUMIFS(PARÂMETROS!$F$8:$F$907,PARÂMETROS!$A$8:$A$907,C712,PARÂMETROS!$G$8:$G$907,J712)</f>
        <v>0</v>
      </c>
      <c r="H712" s="24">
        <f t="shared" si="36"/>
        <v>0</v>
      </c>
      <c r="I712" s="24">
        <f t="shared" si="37"/>
        <v>988.46094502222888</v>
      </c>
      <c r="J712" t="s">
        <v>20</v>
      </c>
    </row>
    <row r="713" spans="1:10" ht="14.25" customHeight="1" x14ac:dyDescent="0.3">
      <c r="A713" t="s">
        <v>80</v>
      </c>
      <c r="B713" t="str">
        <f>INDEX(SETORES!$B:$B,MATCH(A713,SETORES!$A:$A,0))</f>
        <v>Clientes</v>
      </c>
      <c r="C713" t="s">
        <v>16</v>
      </c>
      <c r="D713" s="23">
        <f>IF(B713="Clientes",SUMIFS(PARÂMETROS!$D$8:$D$907,PARÂMETROS!$A$8:$A$907,C713,PARÂMETROS!$G$8:$G$907,J713),SUMIFS(PARÂMETROS!$E$8:$E$907,PARÂMETROS!$A$8:$A$907,C713,PARÂMETROS!$G$8:$G$907,J713))</f>
        <v>2.4722072681848353E-2</v>
      </c>
      <c r="E713" s="24">
        <f>SUMIFS(SETORES!$D:$D,SETORES!$A:$A,A713,SETORES!$F:$F,J713)</f>
        <v>29568.365732999999</v>
      </c>
      <c r="F713" s="24">
        <f t="shared" si="38"/>
        <v>730.99128673470022</v>
      </c>
      <c r="G713" s="23">
        <f>SUMIFS(PARÂMETROS!$F$8:$F$907,PARÂMETROS!$A$8:$A$907,C713,PARÂMETROS!$G$8:$G$907,J713)</f>
        <v>0</v>
      </c>
      <c r="H713" s="24">
        <f t="shared" si="36"/>
        <v>0</v>
      </c>
      <c r="I713" s="24">
        <f t="shared" si="37"/>
        <v>730.99128673470022</v>
      </c>
      <c r="J713" t="s">
        <v>20</v>
      </c>
    </row>
    <row r="714" spans="1:10" ht="14.25" customHeight="1" x14ac:dyDescent="0.3">
      <c r="A714" t="s">
        <v>80</v>
      </c>
      <c r="B714" t="str">
        <f>INDEX(SETORES!$B:$B,MATCH(A714,SETORES!$A:$A,0))</f>
        <v>Clientes</v>
      </c>
      <c r="C714" t="s">
        <v>17</v>
      </c>
      <c r="D714" s="23">
        <f>IF(B714="Clientes",SUMIFS(PARÂMETROS!$D$8:$D$907,PARÂMETROS!$A$8:$A$907,C714,PARÂMETROS!$G$8:$G$907,J714),SUMIFS(PARÂMETROS!$E$8:$E$907,PARÂMETROS!$A$8:$A$907,C714,PARÂMETROS!$G$8:$G$907,J714))</f>
        <v>2.4993858681733368E-2</v>
      </c>
      <c r="E714" s="24">
        <f>SUMIFS(SETORES!$D:$D,SETORES!$A:$A,A714,SETORES!$F:$F,J714)</f>
        <v>29568.365732999999</v>
      </c>
      <c r="F714" s="24">
        <f t="shared" si="38"/>
        <v>739.0275545804094</v>
      </c>
      <c r="G714" s="23">
        <f>SUMIFS(PARÂMETROS!$F$8:$F$907,PARÂMETROS!$A$8:$A$907,C714,PARÂMETROS!$G$8:$G$907,J714)</f>
        <v>0</v>
      </c>
      <c r="H714" s="24">
        <f t="shared" si="36"/>
        <v>0</v>
      </c>
      <c r="I714" s="24">
        <f t="shared" si="37"/>
        <v>739.0275545804094</v>
      </c>
      <c r="J714" t="s">
        <v>20</v>
      </c>
    </row>
    <row r="715" spans="1:10" ht="14.25" customHeight="1" x14ac:dyDescent="0.3">
      <c r="A715" t="s">
        <v>80</v>
      </c>
      <c r="B715" t="str">
        <f>INDEX(SETORES!$B:$B,MATCH(A715,SETORES!$A:$A,0))</f>
        <v>Clientes</v>
      </c>
      <c r="C715" t="s">
        <v>18</v>
      </c>
      <c r="D715" s="23">
        <f>IF(B715="Clientes",SUMIFS(PARÂMETROS!$D$8:$D$907,PARÂMETROS!$A$8:$A$907,C715,PARÂMETROS!$G$8:$G$907,J715),SUMIFS(PARÂMETROS!$E$8:$E$907,PARÂMETROS!$A$8:$A$907,C715,PARÂMETROS!$G$8:$G$907,J715))</f>
        <v>0.72000292692615264</v>
      </c>
      <c r="E715" s="24">
        <f>SUMIFS(SETORES!$D:$D,SETORES!$A:$A,A715,SETORES!$F:$F,J715)</f>
        <v>29568.365732999999</v>
      </c>
      <c r="F715" s="24">
        <f t="shared" si="38"/>
        <v>21289.309872182956</v>
      </c>
      <c r="G715" s="23">
        <f>SUMIFS(PARÂMETROS!$F$8:$F$907,PARÂMETROS!$A$8:$A$907,C715,PARÂMETROS!$G$8:$G$907,J715)</f>
        <v>0</v>
      </c>
      <c r="H715" s="24">
        <f t="shared" si="36"/>
        <v>0</v>
      </c>
      <c r="I715" s="24">
        <f t="shared" si="37"/>
        <v>21289.309872182956</v>
      </c>
      <c r="J715" t="s">
        <v>20</v>
      </c>
    </row>
    <row r="716" spans="1:10" ht="14.25" customHeight="1" x14ac:dyDescent="0.3">
      <c r="A716" t="s">
        <v>80</v>
      </c>
      <c r="B716" t="str">
        <f>INDEX(SETORES!$B:$B,MATCH(A716,SETORES!$A:$A,0))</f>
        <v>Clientes</v>
      </c>
      <c r="C716" t="s">
        <v>10</v>
      </c>
      <c r="D716" s="23">
        <f>IF(B716="Clientes",SUMIFS(PARÂMETROS!$D$8:$D$907,PARÂMETROS!$A$8:$A$907,C716,PARÂMETROS!$G$8:$G$907,J716),SUMIFS(PARÂMETROS!$E$8:$E$907,PARÂMETROS!$A$8:$A$907,C716,PARÂMETROS!$G$8:$G$907,J716))</f>
        <v>3.3077914012820578E-2</v>
      </c>
      <c r="E716" s="24">
        <f>SUMIFS(SETORES!$D:$D,SETORES!$A:$A,A716,SETORES!$F:$F,J716)</f>
        <v>29374.965692000002</v>
      </c>
      <c r="F716" s="24">
        <f t="shared" si="38"/>
        <v>971.66258928953062</v>
      </c>
      <c r="G716" s="23">
        <f>SUMIFS(PARÂMETROS!$F$8:$F$907,PARÂMETROS!$A$8:$A$907,C716,PARÂMETROS!$G$8:$G$907,J716)</f>
        <v>0</v>
      </c>
      <c r="H716" s="24">
        <f t="shared" si="36"/>
        <v>0</v>
      </c>
      <c r="I716" s="24">
        <f t="shared" si="37"/>
        <v>971.66258928953062</v>
      </c>
      <c r="J716" t="s">
        <v>11</v>
      </c>
    </row>
    <row r="717" spans="1:10" ht="14.25" customHeight="1" x14ac:dyDescent="0.3">
      <c r="A717" t="s">
        <v>80</v>
      </c>
      <c r="B717" t="str">
        <f>INDEX(SETORES!$B:$B,MATCH(A717,SETORES!$A:$A,0))</f>
        <v>Clientes</v>
      </c>
      <c r="C717" t="s">
        <v>12</v>
      </c>
      <c r="D717" s="23">
        <f>IF(B717="Clientes",SUMIFS(PARÂMETROS!$D$8:$D$907,PARÂMETROS!$A$8:$A$907,C717,PARÂMETROS!$G$8:$G$907,J717),SUMIFS(PARÂMETROS!$E$8:$E$907,PARÂMETROS!$A$8:$A$907,C717,PARÂMETROS!$G$8:$G$907,J717))</f>
        <v>6.886570212940675E-2</v>
      </c>
      <c r="E717" s="24">
        <f>SUMIFS(SETORES!$D:$D,SETORES!$A:$A,A717,SETORES!$F:$F,J717)</f>
        <v>29374.965692000002</v>
      </c>
      <c r="F717" s="24">
        <f t="shared" si="38"/>
        <v>2022.9276374068147</v>
      </c>
      <c r="G717" s="23">
        <f>SUMIFS(PARÂMETROS!$F$8:$F$907,PARÂMETROS!$A$8:$A$907,C717,PARÂMETROS!$G$8:$G$907,J717)</f>
        <v>0</v>
      </c>
      <c r="H717" s="24">
        <f t="shared" si="36"/>
        <v>0</v>
      </c>
      <c r="I717" s="24">
        <f t="shared" si="37"/>
        <v>2022.9276374068147</v>
      </c>
      <c r="J717" t="s">
        <v>11</v>
      </c>
    </row>
    <row r="718" spans="1:10" ht="14.25" customHeight="1" x14ac:dyDescent="0.3">
      <c r="A718" t="s">
        <v>80</v>
      </c>
      <c r="B718" t="str">
        <f>INDEX(SETORES!$B:$B,MATCH(A718,SETORES!$A:$A,0))</f>
        <v>Clientes</v>
      </c>
      <c r="C718" t="s">
        <v>13</v>
      </c>
      <c r="D718" s="23">
        <f>IF(B718="Clientes",SUMIFS(PARÂMETROS!$D$8:$D$907,PARÂMETROS!$A$8:$A$907,C718,PARÂMETROS!$G$8:$G$907,J718),SUMIFS(PARÂMETROS!$E$8:$E$907,PARÂMETROS!$A$8:$A$907,C718,PARÂMETROS!$G$8:$G$907,J718))</f>
        <v>7.4116083205452599E-2</v>
      </c>
      <c r="E718" s="24">
        <f>SUMIFS(SETORES!$D:$D,SETORES!$A:$A,A718,SETORES!$F:$F,J718)</f>
        <v>29374.965692000002</v>
      </c>
      <c r="F718" s="24">
        <f t="shared" si="38"/>
        <v>2177.1574013855875</v>
      </c>
      <c r="G718" s="23">
        <f>SUMIFS(PARÂMETROS!$F$8:$F$907,PARÂMETROS!$A$8:$A$907,C718,PARÂMETROS!$G$8:$G$907,J718)</f>
        <v>0</v>
      </c>
      <c r="H718" s="24">
        <f t="shared" si="36"/>
        <v>0</v>
      </c>
      <c r="I718" s="24">
        <f t="shared" si="37"/>
        <v>2177.1574013855875</v>
      </c>
      <c r="J718" t="s">
        <v>11</v>
      </c>
    </row>
    <row r="719" spans="1:10" ht="14.25" customHeight="1" x14ac:dyDescent="0.3">
      <c r="A719" t="s">
        <v>80</v>
      </c>
      <c r="B719" t="str">
        <f>INDEX(SETORES!$B:$B,MATCH(A719,SETORES!$A:$A,0))</f>
        <v>Clientes</v>
      </c>
      <c r="C719" t="s">
        <v>14</v>
      </c>
      <c r="D719" s="23">
        <f>IF(B719="Clientes",SUMIFS(PARÂMETROS!$D$8:$D$907,PARÂMETROS!$A$8:$A$907,C719,PARÂMETROS!$G$8:$G$907,J719),SUMIFS(PARÂMETROS!$E$8:$E$907,PARÂMETROS!$A$8:$A$907,C719,PARÂMETROS!$G$8:$G$907,J719))</f>
        <v>1.9010177424901076E-2</v>
      </c>
      <c r="E719" s="24">
        <f>SUMIFS(SETORES!$D:$D,SETORES!$A:$A,A719,SETORES!$F:$F,J719)</f>
        <v>29374.965692000002</v>
      </c>
      <c r="F719" s="24">
        <f t="shared" si="38"/>
        <v>558.42330965530209</v>
      </c>
      <c r="G719" s="23">
        <f>SUMIFS(PARÂMETROS!$F$8:$F$907,PARÂMETROS!$A$8:$A$907,C719,PARÂMETROS!$G$8:$G$907,J719)</f>
        <v>0</v>
      </c>
      <c r="H719" s="24">
        <f t="shared" si="36"/>
        <v>0</v>
      </c>
      <c r="I719" s="24">
        <f t="shared" si="37"/>
        <v>558.42330965530209</v>
      </c>
      <c r="J719" t="s">
        <v>11</v>
      </c>
    </row>
    <row r="720" spans="1:10" ht="14.25" customHeight="1" x14ac:dyDescent="0.3">
      <c r="A720" t="s">
        <v>80</v>
      </c>
      <c r="B720" t="str">
        <f>INDEX(SETORES!$B:$B,MATCH(A720,SETORES!$A:$A,0))</f>
        <v>Clientes</v>
      </c>
      <c r="C720" t="s">
        <v>15</v>
      </c>
      <c r="D720" s="23">
        <f>IF(B720="Clientes",SUMIFS(PARÂMETROS!$D$8:$D$907,PARÂMETROS!$A$8:$A$907,C720,PARÂMETROS!$G$8:$G$907,J720),SUMIFS(PARÂMETROS!$E$8:$E$907,PARÂMETROS!$A$8:$A$907,C720,PARÂMETROS!$G$8:$G$907,J720))</f>
        <v>3.302145830232546E-2</v>
      </c>
      <c r="E720" s="24">
        <f>SUMIFS(SETORES!$D:$D,SETORES!$A:$A,A720,SETORES!$F:$F,J720)</f>
        <v>29374.965692000002</v>
      </c>
      <c r="F720" s="24">
        <f t="shared" si="38"/>
        <v>970.00420473061899</v>
      </c>
      <c r="G720" s="23">
        <f>SUMIFS(PARÂMETROS!$F$8:$F$907,PARÂMETROS!$A$8:$A$907,C720,PARÂMETROS!$G$8:$G$907,J720)</f>
        <v>0</v>
      </c>
      <c r="H720" s="24">
        <f t="shared" si="36"/>
        <v>0</v>
      </c>
      <c r="I720" s="24">
        <f t="shared" si="37"/>
        <v>970.00420473061899</v>
      </c>
      <c r="J720" t="s">
        <v>11</v>
      </c>
    </row>
    <row r="721" spans="1:10" ht="14.25" customHeight="1" x14ac:dyDescent="0.3">
      <c r="A721" t="s">
        <v>80</v>
      </c>
      <c r="B721" t="str">
        <f>INDEX(SETORES!$B:$B,MATCH(A721,SETORES!$A:$A,0))</f>
        <v>Clientes</v>
      </c>
      <c r="C721" t="s">
        <v>16</v>
      </c>
      <c r="D721" s="23">
        <f>IF(B721="Clientes",SUMIFS(PARÂMETROS!$D$8:$D$907,PARÂMETROS!$A$8:$A$907,C721,PARÂMETROS!$G$8:$G$907,J721),SUMIFS(PARÂMETROS!$E$8:$E$907,PARÂMETROS!$A$8:$A$907,C721,PARÂMETROS!$G$8:$G$907,J721))</f>
        <v>2.437346992193715E-2</v>
      </c>
      <c r="E721" s="24">
        <f>SUMIFS(SETORES!$D:$D,SETORES!$A:$A,A721,SETORES!$F:$F,J721)</f>
        <v>29374.965692000002</v>
      </c>
      <c r="F721" s="24">
        <f t="shared" si="38"/>
        <v>715.96984275189777</v>
      </c>
      <c r="G721" s="23">
        <f>SUMIFS(PARÂMETROS!$F$8:$F$907,PARÂMETROS!$A$8:$A$907,C721,PARÂMETROS!$G$8:$G$907,J721)</f>
        <v>0</v>
      </c>
      <c r="H721" s="24">
        <f t="shared" si="36"/>
        <v>0</v>
      </c>
      <c r="I721" s="24">
        <f t="shared" si="37"/>
        <v>715.96984275189777</v>
      </c>
      <c r="J721" t="s">
        <v>11</v>
      </c>
    </row>
    <row r="722" spans="1:10" ht="14.25" customHeight="1" x14ac:dyDescent="0.3">
      <c r="A722" t="s">
        <v>80</v>
      </c>
      <c r="B722" t="str">
        <f>INDEX(SETORES!$B:$B,MATCH(A722,SETORES!$A:$A,0))</f>
        <v>Clientes</v>
      </c>
      <c r="C722" t="s">
        <v>17</v>
      </c>
      <c r="D722" s="23">
        <f>IF(B722="Clientes",SUMIFS(PARÂMETROS!$D$8:$D$907,PARÂMETROS!$A$8:$A$907,C722,PARÂMETROS!$G$8:$G$907,J722),SUMIFS(PARÂMETROS!$E$8:$E$907,PARÂMETROS!$A$8:$A$907,C722,PARÂMETROS!$G$8:$G$907,J722))</f>
        <v>2.460955743855309E-2</v>
      </c>
      <c r="E722" s="24">
        <f>SUMIFS(SETORES!$D:$D,SETORES!$A:$A,A722,SETORES!$F:$F,J722)</f>
        <v>29374.965692000002</v>
      </c>
      <c r="F722" s="24">
        <f t="shared" si="38"/>
        <v>722.90490545280045</v>
      </c>
      <c r="G722" s="23">
        <f>SUMIFS(PARÂMETROS!$F$8:$F$907,PARÂMETROS!$A$8:$A$907,C722,PARÂMETROS!$G$8:$G$907,J722)</f>
        <v>0</v>
      </c>
      <c r="H722" s="24">
        <f t="shared" si="36"/>
        <v>0</v>
      </c>
      <c r="I722" s="24">
        <f t="shared" si="37"/>
        <v>722.90490545280045</v>
      </c>
      <c r="J722" t="s">
        <v>11</v>
      </c>
    </row>
    <row r="723" spans="1:10" ht="14.25" customHeight="1" x14ac:dyDescent="0.3">
      <c r="A723" t="s">
        <v>80</v>
      </c>
      <c r="B723" t="str">
        <f>INDEX(SETORES!$B:$B,MATCH(A723,SETORES!$A:$A,0))</f>
        <v>Clientes</v>
      </c>
      <c r="C723" t="s">
        <v>18</v>
      </c>
      <c r="D723" s="23">
        <f>IF(B723="Clientes",SUMIFS(PARÂMETROS!$D$8:$D$907,PARÂMETROS!$A$8:$A$907,C723,PARÂMETROS!$G$8:$G$907,J723),SUMIFS(PARÂMETROS!$E$8:$E$907,PARÂMETROS!$A$8:$A$907,C723,PARÂMETROS!$G$8:$G$907,J723))</f>
        <v>0.72292563756460326</v>
      </c>
      <c r="E723" s="24">
        <f>SUMIFS(SETORES!$D:$D,SETORES!$A:$A,A723,SETORES!$F:$F,J723)</f>
        <v>29374.965692000002</v>
      </c>
      <c r="F723" s="24">
        <f t="shared" si="38"/>
        <v>21235.91580132745</v>
      </c>
      <c r="G723" s="23">
        <f>SUMIFS(PARÂMETROS!$F$8:$F$907,PARÂMETROS!$A$8:$A$907,C723,PARÂMETROS!$G$8:$G$907,J723)</f>
        <v>0</v>
      </c>
      <c r="H723" s="24">
        <f t="shared" si="36"/>
        <v>0</v>
      </c>
      <c r="I723" s="24">
        <f t="shared" si="37"/>
        <v>21235.91580132745</v>
      </c>
      <c r="J723" t="s">
        <v>11</v>
      </c>
    </row>
    <row r="724" spans="1:10" ht="14.25" customHeight="1" x14ac:dyDescent="0.3">
      <c r="A724" t="s">
        <v>80</v>
      </c>
      <c r="B724" t="str">
        <f>INDEX(SETORES!$B:$B,MATCH(A724,SETORES!$A:$A,0))</f>
        <v>Clientes</v>
      </c>
      <c r="C724" t="s">
        <v>10</v>
      </c>
      <c r="D724" s="23">
        <f>IF(B724="Clientes",SUMIFS(PARÂMETROS!$D$8:$D$907,PARÂMETROS!$A$8:$A$907,C724,PARÂMETROS!$G$8:$G$907,J724),SUMIFS(PARÂMETROS!$E$8:$E$907,PARÂMETROS!$A$8:$A$907,C724,PARÂMETROS!$G$8:$G$907,J724))</f>
        <v>3.2696249460273663E-2</v>
      </c>
      <c r="E724" s="24">
        <f>SUMIFS(SETORES!$D:$D,SETORES!$A:$A,A724,SETORES!$F:$F,J724)</f>
        <v>29274.582976000002</v>
      </c>
      <c r="F724" s="24">
        <f t="shared" si="38"/>
        <v>957.16906782877663</v>
      </c>
      <c r="G724" s="23">
        <f>SUMIFS(PARÂMETROS!$F$8:$F$907,PARÂMETROS!$A$8:$A$907,C724,PARÂMETROS!$G$8:$G$907,J724)</f>
        <v>0</v>
      </c>
      <c r="H724" s="24">
        <f t="shared" ref="H724:H787" si="39">IFERROR(F724*G724,0)</f>
        <v>0</v>
      </c>
      <c r="I724" s="24">
        <f t="shared" ref="I724:I787" si="40">F724+H724</f>
        <v>957.16906782877663</v>
      </c>
      <c r="J724" t="s">
        <v>21</v>
      </c>
    </row>
    <row r="725" spans="1:10" ht="14.25" customHeight="1" x14ac:dyDescent="0.3">
      <c r="A725" t="s">
        <v>80</v>
      </c>
      <c r="B725" t="str">
        <f>INDEX(SETORES!$B:$B,MATCH(A725,SETORES!$A:$A,0))</f>
        <v>Clientes</v>
      </c>
      <c r="C725" t="s">
        <v>12</v>
      </c>
      <c r="D725" s="23">
        <f>IF(B725="Clientes",SUMIFS(PARÂMETROS!$D$8:$D$907,PARÂMETROS!$A$8:$A$907,C725,PARÂMETROS!$G$8:$G$907,J725),SUMIFS(PARÂMETROS!$E$8:$E$907,PARÂMETROS!$A$8:$A$907,C725,PARÂMETROS!$G$8:$G$907,J725))</f>
        <v>6.7149401213950008E-2</v>
      </c>
      <c r="E725" s="24">
        <f>SUMIFS(SETORES!$D:$D,SETORES!$A:$A,A725,SETORES!$F:$F,J725)</f>
        <v>29274.582976000002</v>
      </c>
      <c r="F725" s="24">
        <f t="shared" si="38"/>
        <v>1965.7707176264948</v>
      </c>
      <c r="G725" s="23">
        <f>SUMIFS(PARÂMETROS!$F$8:$F$907,PARÂMETROS!$A$8:$A$907,C725,PARÂMETROS!$G$8:$G$907,J725)</f>
        <v>0</v>
      </c>
      <c r="H725" s="24">
        <f t="shared" si="39"/>
        <v>0</v>
      </c>
      <c r="I725" s="24">
        <f t="shared" si="40"/>
        <v>1965.7707176264948</v>
      </c>
      <c r="J725" t="s">
        <v>21</v>
      </c>
    </row>
    <row r="726" spans="1:10" ht="14.25" customHeight="1" x14ac:dyDescent="0.3">
      <c r="A726" t="s">
        <v>80</v>
      </c>
      <c r="B726" t="str">
        <f>INDEX(SETORES!$B:$B,MATCH(A726,SETORES!$A:$A,0))</f>
        <v>Clientes</v>
      </c>
      <c r="C726" t="s">
        <v>13</v>
      </c>
      <c r="D726" s="23">
        <f>IF(B726="Clientes",SUMIFS(PARÂMETROS!$D$8:$D$907,PARÂMETROS!$A$8:$A$907,C726,PARÂMETROS!$G$8:$G$907,J726),SUMIFS(PARÂMETROS!$E$8:$E$907,PARÂMETROS!$A$8:$A$907,C726,PARÂMETROS!$G$8:$G$907,J726))</f>
        <v>7.2901519174553703E-2</v>
      </c>
      <c r="E726" s="24">
        <f>SUMIFS(SETORES!$D:$D,SETORES!$A:$A,A726,SETORES!$F:$F,J726)</f>
        <v>29274.582976000002</v>
      </c>
      <c r="F726" s="24">
        <f t="shared" si="38"/>
        <v>2134.1615721519274</v>
      </c>
      <c r="G726" s="23">
        <f>SUMIFS(PARÂMETROS!$F$8:$F$907,PARÂMETROS!$A$8:$A$907,C726,PARÂMETROS!$G$8:$G$907,J726)</f>
        <v>0</v>
      </c>
      <c r="H726" s="24">
        <f t="shared" si="39"/>
        <v>0</v>
      </c>
      <c r="I726" s="24">
        <f t="shared" si="40"/>
        <v>2134.1615721519274</v>
      </c>
      <c r="J726" t="s">
        <v>21</v>
      </c>
    </row>
    <row r="727" spans="1:10" ht="14.25" customHeight="1" x14ac:dyDescent="0.3">
      <c r="A727" t="s">
        <v>80</v>
      </c>
      <c r="B727" t="str">
        <f>INDEX(SETORES!$B:$B,MATCH(A727,SETORES!$A:$A,0))</f>
        <v>Clientes</v>
      </c>
      <c r="C727" t="s">
        <v>14</v>
      </c>
      <c r="D727" s="23">
        <f>IF(B727="Clientes",SUMIFS(PARÂMETROS!$D$8:$D$907,PARÂMETROS!$A$8:$A$907,C727,PARÂMETROS!$G$8:$G$907,J727),SUMIFS(PARÂMETROS!$E$8:$E$907,PARÂMETROS!$A$8:$A$907,C727,PARÂMETROS!$G$8:$G$907,J727))</f>
        <v>1.8685698120511587E-2</v>
      </c>
      <c r="E727" s="24">
        <f>SUMIFS(SETORES!$D:$D,SETORES!$A:$A,A727,SETORES!$F:$F,J727)</f>
        <v>29274.582976000002</v>
      </c>
      <c r="F727" s="24">
        <f t="shared" si="38"/>
        <v>547.01602009340377</v>
      </c>
      <c r="G727" s="23">
        <f>SUMIFS(PARÂMETROS!$F$8:$F$907,PARÂMETROS!$A$8:$A$907,C727,PARÂMETROS!$G$8:$G$907,J727)</f>
        <v>0</v>
      </c>
      <c r="H727" s="24">
        <f t="shared" si="39"/>
        <v>0</v>
      </c>
      <c r="I727" s="24">
        <f t="shared" si="40"/>
        <v>547.01602009340377</v>
      </c>
      <c r="J727" t="s">
        <v>21</v>
      </c>
    </row>
    <row r="728" spans="1:10" ht="14.25" customHeight="1" x14ac:dyDescent="0.3">
      <c r="A728" t="s">
        <v>80</v>
      </c>
      <c r="B728" t="str">
        <f>INDEX(SETORES!$B:$B,MATCH(A728,SETORES!$A:$A,0))</f>
        <v>Clientes</v>
      </c>
      <c r="C728" t="s">
        <v>15</v>
      </c>
      <c r="D728" s="23">
        <f>IF(B728="Clientes",SUMIFS(PARÂMETROS!$D$8:$D$907,PARÂMETROS!$A$8:$A$907,C728,PARÂMETROS!$G$8:$G$907,J728),SUMIFS(PARÂMETROS!$E$8:$E$907,PARÂMETROS!$A$8:$A$907,C728,PARÂMETROS!$G$8:$G$907,J728))</f>
        <v>3.2596989443697238E-2</v>
      </c>
      <c r="E728" s="24">
        <f>SUMIFS(SETORES!$D:$D,SETORES!$A:$A,A728,SETORES!$F:$F,J728)</f>
        <v>29274.582976000002</v>
      </c>
      <c r="F728" s="24">
        <f t="shared" si="38"/>
        <v>954.26327223731096</v>
      </c>
      <c r="G728" s="23">
        <f>SUMIFS(PARÂMETROS!$F$8:$F$907,PARÂMETROS!$A$8:$A$907,C728,PARÂMETROS!$G$8:$G$907,J728)</f>
        <v>0</v>
      </c>
      <c r="H728" s="24">
        <f t="shared" si="39"/>
        <v>0</v>
      </c>
      <c r="I728" s="24">
        <f t="shared" si="40"/>
        <v>954.26327223731096</v>
      </c>
      <c r="J728" t="s">
        <v>21</v>
      </c>
    </row>
    <row r="729" spans="1:10" ht="14.25" customHeight="1" x14ac:dyDescent="0.3">
      <c r="A729" t="s">
        <v>80</v>
      </c>
      <c r="B729" t="str">
        <f>INDEX(SETORES!$B:$B,MATCH(A729,SETORES!$A:$A,0))</f>
        <v>Clientes</v>
      </c>
      <c r="C729" t="s">
        <v>16</v>
      </c>
      <c r="D729" s="23">
        <f>IF(B729="Clientes",SUMIFS(PARÂMETROS!$D$8:$D$907,PARÂMETROS!$A$8:$A$907,C729,PARÂMETROS!$G$8:$G$907,J729),SUMIFS(PARÂMETROS!$E$8:$E$907,PARÂMETROS!$A$8:$A$907,C729,PARÂMETROS!$G$8:$G$907,J729))</f>
        <v>2.3847218982485568E-2</v>
      </c>
      <c r="E729" s="24">
        <f>SUMIFS(SETORES!$D:$D,SETORES!$A:$A,A729,SETORES!$F:$F,J729)</f>
        <v>29274.582976000002</v>
      </c>
      <c r="F729" s="24">
        <f t="shared" si="38"/>
        <v>698.11739084961607</v>
      </c>
      <c r="G729" s="23">
        <f>SUMIFS(PARÂMETROS!$F$8:$F$907,PARÂMETROS!$A$8:$A$907,C729,PARÂMETROS!$G$8:$G$907,J729)</f>
        <v>0</v>
      </c>
      <c r="H729" s="24">
        <f t="shared" si="39"/>
        <v>0</v>
      </c>
      <c r="I729" s="24">
        <f t="shared" si="40"/>
        <v>698.11739084961607</v>
      </c>
      <c r="J729" t="s">
        <v>21</v>
      </c>
    </row>
    <row r="730" spans="1:10" ht="14.25" customHeight="1" x14ac:dyDescent="0.3">
      <c r="A730" t="s">
        <v>80</v>
      </c>
      <c r="B730" t="str">
        <f>INDEX(SETORES!$B:$B,MATCH(A730,SETORES!$A:$A,0))</f>
        <v>Clientes</v>
      </c>
      <c r="C730" t="s">
        <v>17</v>
      </c>
      <c r="D730" s="23">
        <f>IF(B730="Clientes",SUMIFS(PARÂMETROS!$D$8:$D$907,PARÂMETROS!$A$8:$A$907,C730,PARÂMETROS!$G$8:$G$907,J730),SUMIFS(PARÂMETROS!$E$8:$E$907,PARÂMETROS!$A$8:$A$907,C730,PARÂMETROS!$G$8:$G$907,J730))</f>
        <v>2.3852181983314392E-2</v>
      </c>
      <c r="E730" s="24">
        <f>SUMIFS(SETORES!$D:$D,SETORES!$A:$A,A730,SETORES!$F:$F,J730)</f>
        <v>29274.582976000002</v>
      </c>
      <c r="F730" s="24">
        <f t="shared" si="38"/>
        <v>698.26268062918939</v>
      </c>
      <c r="G730" s="23">
        <f>SUMIFS(PARÂMETROS!$F$8:$F$907,PARÂMETROS!$A$8:$A$907,C730,PARÂMETROS!$G$8:$G$907,J730)</f>
        <v>0</v>
      </c>
      <c r="H730" s="24">
        <f t="shared" si="39"/>
        <v>0</v>
      </c>
      <c r="I730" s="24">
        <f t="shared" si="40"/>
        <v>698.26268062918939</v>
      </c>
      <c r="J730" t="s">
        <v>21</v>
      </c>
    </row>
    <row r="731" spans="1:10" ht="14.25" customHeight="1" x14ac:dyDescent="0.3">
      <c r="A731" t="s">
        <v>80</v>
      </c>
      <c r="B731" t="str">
        <f>INDEX(SETORES!$B:$B,MATCH(A731,SETORES!$A:$A,0))</f>
        <v>Clientes</v>
      </c>
      <c r="C731" t="s">
        <v>18</v>
      </c>
      <c r="D731" s="23">
        <f>IF(B731="Clientes",SUMIFS(PARÂMETROS!$D$8:$D$907,PARÂMETROS!$A$8:$A$907,C731,PARÂMETROS!$G$8:$G$907,J731),SUMIFS(PARÂMETROS!$E$8:$E$907,PARÂMETROS!$A$8:$A$907,C731,PARÂMETROS!$G$8:$G$907,J731))</f>
        <v>0.72827074162121386</v>
      </c>
      <c r="E731" s="24">
        <f>SUMIFS(SETORES!$D:$D,SETORES!$A:$A,A731,SETORES!$F:$F,J731)</f>
        <v>29274.582976000002</v>
      </c>
      <c r="F731" s="24">
        <f t="shared" si="38"/>
        <v>21319.822254583283</v>
      </c>
      <c r="G731" s="23">
        <f>SUMIFS(PARÂMETROS!$F$8:$F$907,PARÂMETROS!$A$8:$A$907,C731,PARÂMETROS!$G$8:$G$907,J731)</f>
        <v>0</v>
      </c>
      <c r="H731" s="24">
        <f t="shared" si="39"/>
        <v>0</v>
      </c>
      <c r="I731" s="24">
        <f t="shared" si="40"/>
        <v>21319.822254583283</v>
      </c>
      <c r="J731" t="s">
        <v>21</v>
      </c>
    </row>
    <row r="732" spans="1:10" ht="14.25" customHeight="1" x14ac:dyDescent="0.3">
      <c r="A732" t="s">
        <v>81</v>
      </c>
      <c r="B732" t="str">
        <f>INDEX(SETORES!$B:$B,MATCH(A732,SETORES!$A:$A,0))</f>
        <v>Clientes</v>
      </c>
      <c r="C732" t="s">
        <v>10</v>
      </c>
      <c r="D732" s="23">
        <f>IF(B732="Clientes",SUMIFS(PARÂMETROS!$D$8:$D$907,PARÂMETROS!$A$8:$A$907,C732,PARÂMETROS!$G$8:$G$907,J732),SUMIFS(PARÂMETROS!$E$8:$E$907,PARÂMETROS!$A$8:$A$907,C732,PARÂMETROS!$G$8:$G$907,J732))</f>
        <v>3.2823386139959339E-2</v>
      </c>
      <c r="E732" s="24">
        <f>SUMIFS(SETORES!$D:$D,SETORES!$A:$A,A732,SETORES!$F:$F,J732)</f>
        <v>9882.542222</v>
      </c>
      <c r="F732" s="24">
        <f t="shared" si="38"/>
        <v>324.37849939715778</v>
      </c>
      <c r="G732" s="23">
        <f>SUMIFS(PARÂMETROS!$F$8:$F$907,PARÂMETROS!$A$8:$A$907,C732,PARÂMETROS!$G$8:$G$907,J732)</f>
        <v>0</v>
      </c>
      <c r="H732" s="24">
        <f t="shared" si="39"/>
        <v>0</v>
      </c>
      <c r="I732" s="24">
        <f t="shared" si="40"/>
        <v>324.37849939715778</v>
      </c>
      <c r="J732" t="s">
        <v>20</v>
      </c>
    </row>
    <row r="733" spans="1:10" ht="14.25" customHeight="1" x14ac:dyDescent="0.3">
      <c r="A733" t="s">
        <v>81</v>
      </c>
      <c r="B733" t="str">
        <f>INDEX(SETORES!$B:$B,MATCH(A733,SETORES!$A:$A,0))</f>
        <v>Clientes</v>
      </c>
      <c r="C733" t="s">
        <v>12</v>
      </c>
      <c r="D733" s="23">
        <f>IF(B733="Clientes",SUMIFS(PARÂMETROS!$D$8:$D$907,PARÂMETROS!$A$8:$A$907,C733,PARÂMETROS!$G$8:$G$907,J733),SUMIFS(PARÂMETROS!$E$8:$E$907,PARÂMETROS!$A$8:$A$907,C733,PARÂMETROS!$G$8:$G$907,J733))</f>
        <v>7.0047614816518319E-2</v>
      </c>
      <c r="E733" s="24">
        <f>SUMIFS(SETORES!$D:$D,SETORES!$A:$A,A733,SETORES!$F:$F,J733)</f>
        <v>9882.542222</v>
      </c>
      <c r="F733" s="24">
        <f t="shared" si="38"/>
        <v>692.24851097463511</v>
      </c>
      <c r="G733" s="23">
        <f>SUMIFS(PARÂMETROS!$F$8:$F$907,PARÂMETROS!$A$8:$A$907,C733,PARÂMETROS!$G$8:$G$907,J733)</f>
        <v>0</v>
      </c>
      <c r="H733" s="24">
        <f t="shared" si="39"/>
        <v>0</v>
      </c>
      <c r="I733" s="24">
        <f t="shared" si="40"/>
        <v>692.24851097463511</v>
      </c>
      <c r="J733" t="s">
        <v>20</v>
      </c>
    </row>
    <row r="734" spans="1:10" ht="14.25" customHeight="1" x14ac:dyDescent="0.3">
      <c r="A734" t="s">
        <v>81</v>
      </c>
      <c r="B734" t="str">
        <f>INDEX(SETORES!$B:$B,MATCH(A734,SETORES!$A:$A,0))</f>
        <v>Clientes</v>
      </c>
      <c r="C734" t="s">
        <v>13</v>
      </c>
      <c r="D734" s="23">
        <f>IF(B734="Clientes",SUMIFS(PARÂMETROS!$D$8:$D$907,PARÂMETROS!$A$8:$A$907,C734,PARÂMETROS!$G$8:$G$907,J734),SUMIFS(PARÂMETROS!$E$8:$E$907,PARÂMETROS!$A$8:$A$907,C734,PARÂMETROS!$G$8:$G$907,J734))</f>
        <v>7.4903176237540961E-2</v>
      </c>
      <c r="E734" s="24">
        <f>SUMIFS(SETORES!$D:$D,SETORES!$A:$A,A734,SETORES!$F:$F,J734)</f>
        <v>9882.542222</v>
      </c>
      <c r="F734" s="24">
        <f t="shared" si="38"/>
        <v>740.23380172940563</v>
      </c>
      <c r="G734" s="23">
        <f>SUMIFS(PARÂMETROS!$F$8:$F$907,PARÂMETROS!$A$8:$A$907,C734,PARÂMETROS!$G$8:$G$907,J734)</f>
        <v>0</v>
      </c>
      <c r="H734" s="24">
        <f t="shared" si="39"/>
        <v>0</v>
      </c>
      <c r="I734" s="24">
        <f t="shared" si="40"/>
        <v>740.23380172940563</v>
      </c>
      <c r="J734" t="s">
        <v>20</v>
      </c>
    </row>
    <row r="735" spans="1:10" ht="14.25" customHeight="1" x14ac:dyDescent="0.3">
      <c r="A735" t="s">
        <v>81</v>
      </c>
      <c r="B735" t="str">
        <f>INDEX(SETORES!$B:$B,MATCH(A735,SETORES!$A:$A,0))</f>
        <v>Clientes</v>
      </c>
      <c r="C735" t="s">
        <v>14</v>
      </c>
      <c r="D735" s="23">
        <f>IF(B735="Clientes",SUMIFS(PARÂMETROS!$D$8:$D$907,PARÂMETROS!$A$8:$A$907,C735,PARÂMETROS!$G$8:$G$907,J735),SUMIFS(PARÂMETROS!$E$8:$E$907,PARÂMETROS!$A$8:$A$907,C735,PARÂMETROS!$G$8:$G$907,J735))</f>
        <v>1.907728653039038E-2</v>
      </c>
      <c r="E735" s="24">
        <f>SUMIFS(SETORES!$D:$D,SETORES!$A:$A,A735,SETORES!$F:$F,J735)</f>
        <v>9882.542222</v>
      </c>
      <c r="F735" s="24">
        <f t="shared" si="38"/>
        <v>188.5320896177748</v>
      </c>
      <c r="G735" s="23">
        <f>SUMIFS(PARÂMETROS!$F$8:$F$907,PARÂMETROS!$A$8:$A$907,C735,PARÂMETROS!$G$8:$G$907,J735)</f>
        <v>0</v>
      </c>
      <c r="H735" s="24">
        <f t="shared" si="39"/>
        <v>0</v>
      </c>
      <c r="I735" s="24">
        <f t="shared" si="40"/>
        <v>188.5320896177748</v>
      </c>
      <c r="J735" t="s">
        <v>20</v>
      </c>
    </row>
    <row r="736" spans="1:10" ht="14.25" customHeight="1" x14ac:dyDescent="0.3">
      <c r="A736" t="s">
        <v>81</v>
      </c>
      <c r="B736" t="str">
        <f>INDEX(SETORES!$B:$B,MATCH(A736,SETORES!$A:$A,0))</f>
        <v>Clientes</v>
      </c>
      <c r="C736" t="s">
        <v>15</v>
      </c>
      <c r="D736" s="23">
        <f>IF(B736="Clientes",SUMIFS(PARÂMETROS!$D$8:$D$907,PARÂMETROS!$A$8:$A$907,C736,PARÂMETROS!$G$8:$G$907,J736),SUMIFS(PARÂMETROS!$E$8:$E$907,PARÂMETROS!$A$8:$A$907,C736,PARÂMETROS!$G$8:$G$907,J736))</f>
        <v>3.3429677985856672E-2</v>
      </c>
      <c r="E736" s="24">
        <f>SUMIFS(SETORES!$D:$D,SETORES!$A:$A,A736,SETORES!$F:$F,J736)</f>
        <v>9882.542222</v>
      </c>
      <c r="F736" s="24">
        <f t="shared" si="38"/>
        <v>330.37020416309247</v>
      </c>
      <c r="G736" s="23">
        <f>SUMIFS(PARÂMETROS!$F$8:$F$907,PARÂMETROS!$A$8:$A$907,C736,PARÂMETROS!$G$8:$G$907,J736)</f>
        <v>0</v>
      </c>
      <c r="H736" s="24">
        <f t="shared" si="39"/>
        <v>0</v>
      </c>
      <c r="I736" s="24">
        <f t="shared" si="40"/>
        <v>330.37020416309247</v>
      </c>
      <c r="J736" t="s">
        <v>20</v>
      </c>
    </row>
    <row r="737" spans="1:10" ht="14.25" customHeight="1" x14ac:dyDescent="0.3">
      <c r="A737" t="s">
        <v>81</v>
      </c>
      <c r="B737" t="str">
        <f>INDEX(SETORES!$B:$B,MATCH(A737,SETORES!$A:$A,0))</f>
        <v>Clientes</v>
      </c>
      <c r="C737" t="s">
        <v>16</v>
      </c>
      <c r="D737" s="23">
        <f>IF(B737="Clientes",SUMIFS(PARÂMETROS!$D$8:$D$907,PARÂMETROS!$A$8:$A$907,C737,PARÂMETROS!$G$8:$G$907,J737),SUMIFS(PARÂMETROS!$E$8:$E$907,PARÂMETROS!$A$8:$A$907,C737,PARÂMETROS!$G$8:$G$907,J737))</f>
        <v>2.4722072681848353E-2</v>
      </c>
      <c r="E737" s="24">
        <f>SUMIFS(SETORES!$D:$D,SETORES!$A:$A,A737,SETORES!$F:$F,J737)</f>
        <v>9882.542222</v>
      </c>
      <c r="F737" s="24">
        <f t="shared" si="38"/>
        <v>244.31692709371913</v>
      </c>
      <c r="G737" s="23">
        <f>SUMIFS(PARÂMETROS!$F$8:$F$907,PARÂMETROS!$A$8:$A$907,C737,PARÂMETROS!$G$8:$G$907,J737)</f>
        <v>0</v>
      </c>
      <c r="H737" s="24">
        <f t="shared" si="39"/>
        <v>0</v>
      </c>
      <c r="I737" s="24">
        <f t="shared" si="40"/>
        <v>244.31692709371913</v>
      </c>
      <c r="J737" t="s">
        <v>20</v>
      </c>
    </row>
    <row r="738" spans="1:10" ht="14.25" customHeight="1" x14ac:dyDescent="0.3">
      <c r="A738" t="s">
        <v>81</v>
      </c>
      <c r="B738" t="str">
        <f>INDEX(SETORES!$B:$B,MATCH(A738,SETORES!$A:$A,0))</f>
        <v>Clientes</v>
      </c>
      <c r="C738" t="s">
        <v>17</v>
      </c>
      <c r="D738" s="23">
        <f>IF(B738="Clientes",SUMIFS(PARÂMETROS!$D$8:$D$907,PARÂMETROS!$A$8:$A$907,C738,PARÂMETROS!$G$8:$G$907,J738),SUMIFS(PARÂMETROS!$E$8:$E$907,PARÂMETROS!$A$8:$A$907,C738,PARÂMETROS!$G$8:$G$907,J738))</f>
        <v>2.4993858681733368E-2</v>
      </c>
      <c r="E738" s="24">
        <f>SUMIFS(SETORES!$D:$D,SETORES!$A:$A,A738,SETORES!$F:$F,J738)</f>
        <v>9882.542222</v>
      </c>
      <c r="F738" s="24">
        <f t="shared" si="38"/>
        <v>247.00286371293129</v>
      </c>
      <c r="G738" s="23">
        <f>SUMIFS(PARÂMETROS!$F$8:$F$907,PARÂMETROS!$A$8:$A$907,C738,PARÂMETROS!$G$8:$G$907,J738)</f>
        <v>0</v>
      </c>
      <c r="H738" s="24">
        <f t="shared" si="39"/>
        <v>0</v>
      </c>
      <c r="I738" s="24">
        <f t="shared" si="40"/>
        <v>247.00286371293129</v>
      </c>
      <c r="J738" t="s">
        <v>20</v>
      </c>
    </row>
    <row r="739" spans="1:10" ht="14.25" customHeight="1" x14ac:dyDescent="0.3">
      <c r="A739" t="s">
        <v>81</v>
      </c>
      <c r="B739" t="str">
        <f>INDEX(SETORES!$B:$B,MATCH(A739,SETORES!$A:$A,0))</f>
        <v>Clientes</v>
      </c>
      <c r="C739" t="s">
        <v>18</v>
      </c>
      <c r="D739" s="23">
        <f>IF(B739="Clientes",SUMIFS(PARÂMETROS!$D$8:$D$907,PARÂMETROS!$A$8:$A$907,C739,PARÂMETROS!$G$8:$G$907,J739),SUMIFS(PARÂMETROS!$E$8:$E$907,PARÂMETROS!$A$8:$A$907,C739,PARÂMETROS!$G$8:$G$907,J739))</f>
        <v>0.72000292692615264</v>
      </c>
      <c r="E739" s="24">
        <f>SUMIFS(SETORES!$D:$D,SETORES!$A:$A,A739,SETORES!$F:$F,J739)</f>
        <v>9882.542222</v>
      </c>
      <c r="F739" s="24">
        <f t="shared" si="38"/>
        <v>7115.4593253112844</v>
      </c>
      <c r="G739" s="23">
        <f>SUMIFS(PARÂMETROS!$F$8:$F$907,PARÂMETROS!$A$8:$A$907,C739,PARÂMETROS!$G$8:$G$907,J739)</f>
        <v>0</v>
      </c>
      <c r="H739" s="24">
        <f t="shared" si="39"/>
        <v>0</v>
      </c>
      <c r="I739" s="24">
        <f t="shared" si="40"/>
        <v>7115.4593253112844</v>
      </c>
      <c r="J739" t="s">
        <v>20</v>
      </c>
    </row>
    <row r="740" spans="1:10" ht="14.25" customHeight="1" x14ac:dyDescent="0.3">
      <c r="A740" t="s">
        <v>81</v>
      </c>
      <c r="B740" t="str">
        <f>INDEX(SETORES!$B:$B,MATCH(A740,SETORES!$A:$A,0))</f>
        <v>Clientes</v>
      </c>
      <c r="C740" t="s">
        <v>10</v>
      </c>
      <c r="D740" s="23">
        <f>IF(B740="Clientes",SUMIFS(PARÂMETROS!$D$8:$D$907,PARÂMETROS!$A$8:$A$907,C740,PARÂMETROS!$G$8:$G$907,J740),SUMIFS(PARÂMETROS!$E$8:$E$907,PARÂMETROS!$A$8:$A$907,C740,PARÂMETROS!$G$8:$G$907,J740))</f>
        <v>3.3077914012820578E-2</v>
      </c>
      <c r="E740" s="24">
        <f>SUMIFS(SETORES!$D:$D,SETORES!$A:$A,A740,SETORES!$F:$F,J740)</f>
        <v>13388.392728000001</v>
      </c>
      <c r="F740" s="24">
        <f t="shared" si="38"/>
        <v>442.86010342665634</v>
      </c>
      <c r="G740" s="23">
        <f>SUMIFS(PARÂMETROS!$F$8:$F$907,PARÂMETROS!$A$8:$A$907,C740,PARÂMETROS!$G$8:$G$907,J740)</f>
        <v>0</v>
      </c>
      <c r="H740" s="24">
        <f t="shared" si="39"/>
        <v>0</v>
      </c>
      <c r="I740" s="24">
        <f t="shared" si="40"/>
        <v>442.86010342665634</v>
      </c>
      <c r="J740" t="s">
        <v>11</v>
      </c>
    </row>
    <row r="741" spans="1:10" ht="14.25" customHeight="1" x14ac:dyDescent="0.3">
      <c r="A741" t="s">
        <v>81</v>
      </c>
      <c r="B741" t="str">
        <f>INDEX(SETORES!$B:$B,MATCH(A741,SETORES!$A:$A,0))</f>
        <v>Clientes</v>
      </c>
      <c r="C741" t="s">
        <v>12</v>
      </c>
      <c r="D741" s="23">
        <f>IF(B741="Clientes",SUMIFS(PARÂMETROS!$D$8:$D$907,PARÂMETROS!$A$8:$A$907,C741,PARÂMETROS!$G$8:$G$907,J741),SUMIFS(PARÂMETROS!$E$8:$E$907,PARÂMETROS!$A$8:$A$907,C741,PARÂMETROS!$G$8:$G$907,J741))</f>
        <v>6.886570212940675E-2</v>
      </c>
      <c r="E741" s="24">
        <f>SUMIFS(SETORES!$D:$D,SETORES!$A:$A,A741,SETORES!$F:$F,J741)</f>
        <v>13388.392728000001</v>
      </c>
      <c r="F741" s="24">
        <f t="shared" si="38"/>
        <v>922.00106559796347</v>
      </c>
      <c r="G741" s="23">
        <f>SUMIFS(PARÂMETROS!$F$8:$F$907,PARÂMETROS!$A$8:$A$907,C741,PARÂMETROS!$G$8:$G$907,J741)</f>
        <v>0</v>
      </c>
      <c r="H741" s="24">
        <f t="shared" si="39"/>
        <v>0</v>
      </c>
      <c r="I741" s="24">
        <f t="shared" si="40"/>
        <v>922.00106559796347</v>
      </c>
      <c r="J741" t="s">
        <v>11</v>
      </c>
    </row>
    <row r="742" spans="1:10" ht="14.25" customHeight="1" x14ac:dyDescent="0.3">
      <c r="A742" t="s">
        <v>81</v>
      </c>
      <c r="B742" t="str">
        <f>INDEX(SETORES!$B:$B,MATCH(A742,SETORES!$A:$A,0))</f>
        <v>Clientes</v>
      </c>
      <c r="C742" t="s">
        <v>13</v>
      </c>
      <c r="D742" s="23">
        <f>IF(B742="Clientes",SUMIFS(PARÂMETROS!$D$8:$D$907,PARÂMETROS!$A$8:$A$907,C742,PARÂMETROS!$G$8:$G$907,J742),SUMIFS(PARÂMETROS!$E$8:$E$907,PARÂMETROS!$A$8:$A$907,C742,PARÂMETROS!$G$8:$G$907,J742))</f>
        <v>7.4116083205452599E-2</v>
      </c>
      <c r="E742" s="24">
        <f>SUMIFS(SETORES!$D:$D,SETORES!$A:$A,A742,SETORES!$F:$F,J742)</f>
        <v>13388.392728000001</v>
      </c>
      <c r="F742" s="24">
        <f t="shared" si="38"/>
        <v>992.29522941572452</v>
      </c>
      <c r="G742" s="23">
        <f>SUMIFS(PARÂMETROS!$F$8:$F$907,PARÂMETROS!$A$8:$A$907,C742,PARÂMETROS!$G$8:$G$907,J742)</f>
        <v>0</v>
      </c>
      <c r="H742" s="24">
        <f t="shared" si="39"/>
        <v>0</v>
      </c>
      <c r="I742" s="24">
        <f t="shared" si="40"/>
        <v>992.29522941572452</v>
      </c>
      <c r="J742" t="s">
        <v>11</v>
      </c>
    </row>
    <row r="743" spans="1:10" ht="14.25" customHeight="1" x14ac:dyDescent="0.3">
      <c r="A743" t="s">
        <v>81</v>
      </c>
      <c r="B743" t="str">
        <f>INDEX(SETORES!$B:$B,MATCH(A743,SETORES!$A:$A,0))</f>
        <v>Clientes</v>
      </c>
      <c r="C743" t="s">
        <v>14</v>
      </c>
      <c r="D743" s="23">
        <f>IF(B743="Clientes",SUMIFS(PARÂMETROS!$D$8:$D$907,PARÂMETROS!$A$8:$A$907,C743,PARÂMETROS!$G$8:$G$907,J743),SUMIFS(PARÂMETROS!$E$8:$E$907,PARÂMETROS!$A$8:$A$907,C743,PARÂMETROS!$G$8:$G$907,J743))</f>
        <v>1.9010177424901076E-2</v>
      </c>
      <c r="E743" s="24">
        <f>SUMIFS(SETORES!$D:$D,SETORES!$A:$A,A743,SETORES!$F:$F,J743)</f>
        <v>13388.392728000001</v>
      </c>
      <c r="F743" s="24">
        <f t="shared" si="38"/>
        <v>254.51572119353534</v>
      </c>
      <c r="G743" s="23">
        <f>SUMIFS(PARÂMETROS!$F$8:$F$907,PARÂMETROS!$A$8:$A$907,C743,PARÂMETROS!$G$8:$G$907,J743)</f>
        <v>0</v>
      </c>
      <c r="H743" s="24">
        <f t="shared" si="39"/>
        <v>0</v>
      </c>
      <c r="I743" s="24">
        <f t="shared" si="40"/>
        <v>254.51572119353534</v>
      </c>
      <c r="J743" t="s">
        <v>11</v>
      </c>
    </row>
    <row r="744" spans="1:10" ht="14.25" customHeight="1" x14ac:dyDescent="0.3">
      <c r="A744" t="s">
        <v>81</v>
      </c>
      <c r="B744" t="str">
        <f>INDEX(SETORES!$B:$B,MATCH(A744,SETORES!$A:$A,0))</f>
        <v>Clientes</v>
      </c>
      <c r="C744" t="s">
        <v>15</v>
      </c>
      <c r="D744" s="23">
        <f>IF(B744="Clientes",SUMIFS(PARÂMETROS!$D$8:$D$907,PARÂMETROS!$A$8:$A$907,C744,PARÂMETROS!$G$8:$G$907,J744),SUMIFS(PARÂMETROS!$E$8:$E$907,PARÂMETROS!$A$8:$A$907,C744,PARÂMETROS!$G$8:$G$907,J744))</f>
        <v>3.302145830232546E-2</v>
      </c>
      <c r="E744" s="24">
        <f>SUMIFS(SETORES!$D:$D,SETORES!$A:$A,A744,SETORES!$F:$F,J744)</f>
        <v>13388.392728000001</v>
      </c>
      <c r="F744" s="24">
        <f t="shared" si="38"/>
        <v>442.10425220280945</v>
      </c>
      <c r="G744" s="23">
        <f>SUMIFS(PARÂMETROS!$F$8:$F$907,PARÂMETROS!$A$8:$A$907,C744,PARÂMETROS!$G$8:$G$907,J744)</f>
        <v>0</v>
      </c>
      <c r="H744" s="24">
        <f t="shared" si="39"/>
        <v>0</v>
      </c>
      <c r="I744" s="24">
        <f t="shared" si="40"/>
        <v>442.10425220280945</v>
      </c>
      <c r="J744" t="s">
        <v>11</v>
      </c>
    </row>
    <row r="745" spans="1:10" ht="14.25" customHeight="1" x14ac:dyDescent="0.3">
      <c r="A745" t="s">
        <v>81</v>
      </c>
      <c r="B745" t="str">
        <f>INDEX(SETORES!$B:$B,MATCH(A745,SETORES!$A:$A,0))</f>
        <v>Clientes</v>
      </c>
      <c r="C745" t="s">
        <v>16</v>
      </c>
      <c r="D745" s="23">
        <f>IF(B745="Clientes",SUMIFS(PARÂMETROS!$D$8:$D$907,PARÂMETROS!$A$8:$A$907,C745,PARÂMETROS!$G$8:$G$907,J745),SUMIFS(PARÂMETROS!$E$8:$E$907,PARÂMETROS!$A$8:$A$907,C745,PARÂMETROS!$G$8:$G$907,J745))</f>
        <v>2.437346992193715E-2</v>
      </c>
      <c r="E745" s="24">
        <f>SUMIFS(SETORES!$D:$D,SETORES!$A:$A,A745,SETORES!$F:$F,J745)</f>
        <v>13388.392728000001</v>
      </c>
      <c r="F745" s="24">
        <f t="shared" si="38"/>
        <v>326.32158745899011</v>
      </c>
      <c r="G745" s="23">
        <f>SUMIFS(PARÂMETROS!$F$8:$F$907,PARÂMETROS!$A$8:$A$907,C745,PARÂMETROS!$G$8:$G$907,J745)</f>
        <v>0</v>
      </c>
      <c r="H745" s="24">
        <f t="shared" si="39"/>
        <v>0</v>
      </c>
      <c r="I745" s="24">
        <f t="shared" si="40"/>
        <v>326.32158745899011</v>
      </c>
      <c r="J745" t="s">
        <v>11</v>
      </c>
    </row>
    <row r="746" spans="1:10" ht="14.25" customHeight="1" x14ac:dyDescent="0.3">
      <c r="A746" t="s">
        <v>81</v>
      </c>
      <c r="B746" t="str">
        <f>INDEX(SETORES!$B:$B,MATCH(A746,SETORES!$A:$A,0))</f>
        <v>Clientes</v>
      </c>
      <c r="C746" t="s">
        <v>17</v>
      </c>
      <c r="D746" s="23">
        <f>IF(B746="Clientes",SUMIFS(PARÂMETROS!$D$8:$D$907,PARÂMETROS!$A$8:$A$907,C746,PARÂMETROS!$G$8:$G$907,J746),SUMIFS(PARÂMETROS!$E$8:$E$907,PARÂMETROS!$A$8:$A$907,C746,PARÂMETROS!$G$8:$G$907,J746))</f>
        <v>2.460955743855309E-2</v>
      </c>
      <c r="E746" s="24">
        <f>SUMIFS(SETORES!$D:$D,SETORES!$A:$A,A746,SETORES!$F:$F,J746)</f>
        <v>13388.392728000001</v>
      </c>
      <c r="F746" s="24">
        <f t="shared" si="38"/>
        <v>329.48241984962254</v>
      </c>
      <c r="G746" s="23">
        <f>SUMIFS(PARÂMETROS!$F$8:$F$907,PARÂMETROS!$A$8:$A$907,C746,PARÂMETROS!$G$8:$G$907,J746)</f>
        <v>0</v>
      </c>
      <c r="H746" s="24">
        <f t="shared" si="39"/>
        <v>0</v>
      </c>
      <c r="I746" s="24">
        <f t="shared" si="40"/>
        <v>329.48241984962254</v>
      </c>
      <c r="J746" t="s">
        <v>11</v>
      </c>
    </row>
    <row r="747" spans="1:10" ht="14.25" customHeight="1" x14ac:dyDescent="0.3">
      <c r="A747" t="s">
        <v>81</v>
      </c>
      <c r="B747" t="str">
        <f>INDEX(SETORES!$B:$B,MATCH(A747,SETORES!$A:$A,0))</f>
        <v>Clientes</v>
      </c>
      <c r="C747" t="s">
        <v>18</v>
      </c>
      <c r="D747" s="23">
        <f>IF(B747="Clientes",SUMIFS(PARÂMETROS!$D$8:$D$907,PARÂMETROS!$A$8:$A$907,C747,PARÂMETROS!$G$8:$G$907,J747),SUMIFS(PARÂMETROS!$E$8:$E$907,PARÂMETROS!$A$8:$A$907,C747,PARÂMETROS!$G$8:$G$907,J747))</f>
        <v>0.72292563756460326</v>
      </c>
      <c r="E747" s="24">
        <f>SUMIFS(SETORES!$D:$D,SETORES!$A:$A,A747,SETORES!$F:$F,J747)</f>
        <v>13388.392728000001</v>
      </c>
      <c r="F747" s="24">
        <f t="shared" ref="F747:F810" si="41">IFERROR(D747*E747,0)</f>
        <v>9678.8123488546989</v>
      </c>
      <c r="G747" s="23">
        <f>SUMIFS(PARÂMETROS!$F$8:$F$907,PARÂMETROS!$A$8:$A$907,C747,PARÂMETROS!$G$8:$G$907,J747)</f>
        <v>0</v>
      </c>
      <c r="H747" s="24">
        <f t="shared" si="39"/>
        <v>0</v>
      </c>
      <c r="I747" s="24">
        <f t="shared" si="40"/>
        <v>9678.8123488546989</v>
      </c>
      <c r="J747" t="s">
        <v>11</v>
      </c>
    </row>
    <row r="748" spans="1:10" ht="14.25" customHeight="1" x14ac:dyDescent="0.3">
      <c r="A748" t="s">
        <v>81</v>
      </c>
      <c r="B748" t="str">
        <f>INDEX(SETORES!$B:$B,MATCH(A748,SETORES!$A:$A,0))</f>
        <v>Clientes</v>
      </c>
      <c r="C748" t="s">
        <v>10</v>
      </c>
      <c r="D748" s="23">
        <f>IF(B748="Clientes",SUMIFS(PARÂMETROS!$D$8:$D$907,PARÂMETROS!$A$8:$A$907,C748,PARÂMETROS!$G$8:$G$907,J748),SUMIFS(PARÂMETROS!$E$8:$E$907,PARÂMETROS!$A$8:$A$907,C748,PARÂMETROS!$G$8:$G$907,J748))</f>
        <v>3.2696249460273663E-2</v>
      </c>
      <c r="E748" s="24">
        <f>SUMIFS(SETORES!$D:$D,SETORES!$A:$A,A748,SETORES!$F:$F,J748)</f>
        <v>14339.651176000001</v>
      </c>
      <c r="F748" s="24">
        <f t="shared" si="41"/>
        <v>468.85281202380264</v>
      </c>
      <c r="G748" s="23">
        <f>SUMIFS(PARÂMETROS!$F$8:$F$907,PARÂMETROS!$A$8:$A$907,C748,PARÂMETROS!$G$8:$G$907,J748)</f>
        <v>0</v>
      </c>
      <c r="H748" s="24">
        <f t="shared" si="39"/>
        <v>0</v>
      </c>
      <c r="I748" s="24">
        <f t="shared" si="40"/>
        <v>468.85281202380264</v>
      </c>
      <c r="J748" t="s">
        <v>21</v>
      </c>
    </row>
    <row r="749" spans="1:10" ht="14.25" customHeight="1" x14ac:dyDescent="0.3">
      <c r="A749" t="s">
        <v>81</v>
      </c>
      <c r="B749" t="str">
        <f>INDEX(SETORES!$B:$B,MATCH(A749,SETORES!$A:$A,0))</f>
        <v>Clientes</v>
      </c>
      <c r="C749" t="s">
        <v>12</v>
      </c>
      <c r="D749" s="23">
        <f>IF(B749="Clientes",SUMIFS(PARÂMETROS!$D$8:$D$907,PARÂMETROS!$A$8:$A$907,C749,PARÂMETROS!$G$8:$G$907,J749),SUMIFS(PARÂMETROS!$E$8:$E$907,PARÂMETROS!$A$8:$A$907,C749,PARÂMETROS!$G$8:$G$907,J749))</f>
        <v>6.7149401213950008E-2</v>
      </c>
      <c r="E749" s="24">
        <f>SUMIFS(SETORES!$D:$D,SETORES!$A:$A,A749,SETORES!$F:$F,J749)</f>
        <v>14339.651176000001</v>
      </c>
      <c r="F749" s="24">
        <f t="shared" si="41"/>
        <v>962.89899008531415</v>
      </c>
      <c r="G749" s="23">
        <f>SUMIFS(PARÂMETROS!$F$8:$F$907,PARÂMETROS!$A$8:$A$907,C749,PARÂMETROS!$G$8:$G$907,J749)</f>
        <v>0</v>
      </c>
      <c r="H749" s="24">
        <f t="shared" si="39"/>
        <v>0</v>
      </c>
      <c r="I749" s="24">
        <f t="shared" si="40"/>
        <v>962.89899008531415</v>
      </c>
      <c r="J749" t="s">
        <v>21</v>
      </c>
    </row>
    <row r="750" spans="1:10" ht="14.25" customHeight="1" x14ac:dyDescent="0.3">
      <c r="A750" t="s">
        <v>81</v>
      </c>
      <c r="B750" t="str">
        <f>INDEX(SETORES!$B:$B,MATCH(A750,SETORES!$A:$A,0))</f>
        <v>Clientes</v>
      </c>
      <c r="C750" t="s">
        <v>13</v>
      </c>
      <c r="D750" s="23">
        <f>IF(B750="Clientes",SUMIFS(PARÂMETROS!$D$8:$D$907,PARÂMETROS!$A$8:$A$907,C750,PARÂMETROS!$G$8:$G$907,J750),SUMIFS(PARÂMETROS!$E$8:$E$907,PARÂMETROS!$A$8:$A$907,C750,PARÂMETROS!$G$8:$G$907,J750))</f>
        <v>7.2901519174553703E-2</v>
      </c>
      <c r="E750" s="24">
        <f>SUMIFS(SETORES!$D:$D,SETORES!$A:$A,A750,SETORES!$F:$F,J750)</f>
        <v>14339.651176000001</v>
      </c>
      <c r="F750" s="24">
        <f t="shared" si="41"/>
        <v>1045.3823551635755</v>
      </c>
      <c r="G750" s="23">
        <f>SUMIFS(PARÂMETROS!$F$8:$F$907,PARÂMETROS!$A$8:$A$907,C750,PARÂMETROS!$G$8:$G$907,J750)</f>
        <v>0</v>
      </c>
      <c r="H750" s="24">
        <f t="shared" si="39"/>
        <v>0</v>
      </c>
      <c r="I750" s="24">
        <f t="shared" si="40"/>
        <v>1045.3823551635755</v>
      </c>
      <c r="J750" t="s">
        <v>21</v>
      </c>
    </row>
    <row r="751" spans="1:10" ht="14.25" customHeight="1" x14ac:dyDescent="0.3">
      <c r="A751" t="s">
        <v>81</v>
      </c>
      <c r="B751" t="str">
        <f>INDEX(SETORES!$B:$B,MATCH(A751,SETORES!$A:$A,0))</f>
        <v>Clientes</v>
      </c>
      <c r="C751" t="s">
        <v>14</v>
      </c>
      <c r="D751" s="23">
        <f>IF(B751="Clientes",SUMIFS(PARÂMETROS!$D$8:$D$907,PARÂMETROS!$A$8:$A$907,C751,PARÂMETROS!$G$8:$G$907,J751),SUMIFS(PARÂMETROS!$E$8:$E$907,PARÂMETROS!$A$8:$A$907,C751,PARÂMETROS!$G$8:$G$907,J751))</f>
        <v>1.8685698120511587E-2</v>
      </c>
      <c r="E751" s="24">
        <f>SUMIFS(SETORES!$D:$D,SETORES!$A:$A,A751,SETORES!$F:$F,J751)</f>
        <v>14339.651176000001</v>
      </c>
      <c r="F751" s="24">
        <f t="shared" si="41"/>
        <v>267.94639302817501</v>
      </c>
      <c r="G751" s="23">
        <f>SUMIFS(PARÂMETROS!$F$8:$F$907,PARÂMETROS!$A$8:$A$907,C751,PARÂMETROS!$G$8:$G$907,J751)</f>
        <v>0</v>
      </c>
      <c r="H751" s="24">
        <f t="shared" si="39"/>
        <v>0</v>
      </c>
      <c r="I751" s="24">
        <f t="shared" si="40"/>
        <v>267.94639302817501</v>
      </c>
      <c r="J751" t="s">
        <v>21</v>
      </c>
    </row>
    <row r="752" spans="1:10" ht="14.25" customHeight="1" x14ac:dyDescent="0.3">
      <c r="A752" t="s">
        <v>81</v>
      </c>
      <c r="B752" t="str">
        <f>INDEX(SETORES!$B:$B,MATCH(A752,SETORES!$A:$A,0))</f>
        <v>Clientes</v>
      </c>
      <c r="C752" t="s">
        <v>15</v>
      </c>
      <c r="D752" s="23">
        <f>IF(B752="Clientes",SUMIFS(PARÂMETROS!$D$8:$D$907,PARÂMETROS!$A$8:$A$907,C752,PARÂMETROS!$G$8:$G$907,J752),SUMIFS(PARÂMETROS!$E$8:$E$907,PARÂMETROS!$A$8:$A$907,C752,PARÂMETROS!$G$8:$G$907,J752))</f>
        <v>3.2596989443697238E-2</v>
      </c>
      <c r="E752" s="24">
        <f>SUMIFS(SETORES!$D:$D,SETORES!$A:$A,A752,SETORES!$F:$F,J752)</f>
        <v>14339.651176000001</v>
      </c>
      <c r="F752" s="24">
        <f t="shared" si="41"/>
        <v>467.42945801037274</v>
      </c>
      <c r="G752" s="23">
        <f>SUMIFS(PARÂMETROS!$F$8:$F$907,PARÂMETROS!$A$8:$A$907,C752,PARÂMETROS!$G$8:$G$907,J752)</f>
        <v>0</v>
      </c>
      <c r="H752" s="24">
        <f t="shared" si="39"/>
        <v>0</v>
      </c>
      <c r="I752" s="24">
        <f t="shared" si="40"/>
        <v>467.42945801037274</v>
      </c>
      <c r="J752" t="s">
        <v>21</v>
      </c>
    </row>
    <row r="753" spans="1:10" ht="14.25" customHeight="1" x14ac:dyDescent="0.3">
      <c r="A753" t="s">
        <v>81</v>
      </c>
      <c r="B753" t="str">
        <f>INDEX(SETORES!$B:$B,MATCH(A753,SETORES!$A:$A,0))</f>
        <v>Clientes</v>
      </c>
      <c r="C753" t="s">
        <v>16</v>
      </c>
      <c r="D753" s="23">
        <f>IF(B753="Clientes",SUMIFS(PARÂMETROS!$D$8:$D$907,PARÂMETROS!$A$8:$A$907,C753,PARÂMETROS!$G$8:$G$907,J753),SUMIFS(PARÂMETROS!$E$8:$E$907,PARÂMETROS!$A$8:$A$907,C753,PARÂMETROS!$G$8:$G$907,J753))</f>
        <v>2.3847218982485568E-2</v>
      </c>
      <c r="E753" s="24">
        <f>SUMIFS(SETORES!$D:$D,SETORES!$A:$A,A753,SETORES!$F:$F,J753)</f>
        <v>14339.651176000001</v>
      </c>
      <c r="F753" s="24">
        <f t="shared" si="41"/>
        <v>341.96080172652876</v>
      </c>
      <c r="G753" s="23">
        <f>SUMIFS(PARÂMETROS!$F$8:$F$907,PARÂMETROS!$A$8:$A$907,C753,PARÂMETROS!$G$8:$G$907,J753)</f>
        <v>0</v>
      </c>
      <c r="H753" s="24">
        <f t="shared" si="39"/>
        <v>0</v>
      </c>
      <c r="I753" s="24">
        <f t="shared" si="40"/>
        <v>341.96080172652876</v>
      </c>
      <c r="J753" t="s">
        <v>21</v>
      </c>
    </row>
    <row r="754" spans="1:10" ht="14.25" customHeight="1" x14ac:dyDescent="0.3">
      <c r="A754" t="s">
        <v>81</v>
      </c>
      <c r="B754" t="str">
        <f>INDEX(SETORES!$B:$B,MATCH(A754,SETORES!$A:$A,0))</f>
        <v>Clientes</v>
      </c>
      <c r="C754" t="s">
        <v>17</v>
      </c>
      <c r="D754" s="23">
        <f>IF(B754="Clientes",SUMIFS(PARÂMETROS!$D$8:$D$907,PARÂMETROS!$A$8:$A$907,C754,PARÂMETROS!$G$8:$G$907,J754),SUMIFS(PARÂMETROS!$E$8:$E$907,PARÂMETROS!$A$8:$A$907,C754,PARÂMETROS!$G$8:$G$907,J754))</f>
        <v>2.3852181983314392E-2</v>
      </c>
      <c r="E754" s="24">
        <f>SUMIFS(SETORES!$D:$D,SETORES!$A:$A,A754,SETORES!$F:$F,J754)</f>
        <v>14339.651176000001</v>
      </c>
      <c r="F754" s="24">
        <f t="shared" si="41"/>
        <v>342.03196942720024</v>
      </c>
      <c r="G754" s="23">
        <f>SUMIFS(PARÂMETROS!$F$8:$F$907,PARÂMETROS!$A$8:$A$907,C754,PARÂMETROS!$G$8:$G$907,J754)</f>
        <v>0</v>
      </c>
      <c r="H754" s="24">
        <f t="shared" si="39"/>
        <v>0</v>
      </c>
      <c r="I754" s="24">
        <f t="shared" si="40"/>
        <v>342.03196942720024</v>
      </c>
      <c r="J754" t="s">
        <v>21</v>
      </c>
    </row>
    <row r="755" spans="1:10" ht="14.25" customHeight="1" x14ac:dyDescent="0.3">
      <c r="A755" t="s">
        <v>81</v>
      </c>
      <c r="B755" t="str">
        <f>INDEX(SETORES!$B:$B,MATCH(A755,SETORES!$A:$A,0))</f>
        <v>Clientes</v>
      </c>
      <c r="C755" t="s">
        <v>18</v>
      </c>
      <c r="D755" s="23">
        <f>IF(B755="Clientes",SUMIFS(PARÂMETROS!$D$8:$D$907,PARÂMETROS!$A$8:$A$907,C755,PARÂMETROS!$G$8:$G$907,J755),SUMIFS(PARÂMETROS!$E$8:$E$907,PARÂMETROS!$A$8:$A$907,C755,PARÂMETROS!$G$8:$G$907,J755))</f>
        <v>0.72827074162121386</v>
      </c>
      <c r="E755" s="24">
        <f>SUMIFS(SETORES!$D:$D,SETORES!$A:$A,A755,SETORES!$F:$F,J755)</f>
        <v>14339.651176000001</v>
      </c>
      <c r="F755" s="24">
        <f t="shared" si="41"/>
        <v>10443.148396535033</v>
      </c>
      <c r="G755" s="23">
        <f>SUMIFS(PARÂMETROS!$F$8:$F$907,PARÂMETROS!$A$8:$A$907,C755,PARÂMETROS!$G$8:$G$907,J755)</f>
        <v>0</v>
      </c>
      <c r="H755" s="24">
        <f t="shared" si="39"/>
        <v>0</v>
      </c>
      <c r="I755" s="24">
        <f t="shared" si="40"/>
        <v>10443.148396535033</v>
      </c>
      <c r="J755" t="s">
        <v>21</v>
      </c>
    </row>
    <row r="756" spans="1:10" ht="14.25" customHeight="1" x14ac:dyDescent="0.3">
      <c r="A756" t="s">
        <v>82</v>
      </c>
      <c r="B756" t="str">
        <f>INDEX(SETORES!$B:$B,MATCH(A756,SETORES!$A:$A,0))</f>
        <v>Clientes</v>
      </c>
      <c r="C756" t="s">
        <v>10</v>
      </c>
      <c r="D756" s="23">
        <f>IF(B756="Clientes",SUMIFS(PARÂMETROS!$D$8:$D$907,PARÂMETROS!$A$8:$A$907,C756,PARÂMETROS!$G$8:$G$907,J756),SUMIFS(PARÂMETROS!$E$8:$E$907,PARÂMETROS!$A$8:$A$907,C756,PARÂMETROS!$G$8:$G$907,J756))</f>
        <v>3.2823386139959339E-2</v>
      </c>
      <c r="E756" s="24">
        <f>SUMIFS(SETORES!$D:$D,SETORES!$A:$A,A756,SETORES!$F:$F,J756)</f>
        <v>73811.97</v>
      </c>
      <c r="F756" s="24">
        <f t="shared" si="41"/>
        <v>2422.7587930610944</v>
      </c>
      <c r="G756" s="23">
        <f>SUMIFS(PARÂMETROS!$F$8:$F$907,PARÂMETROS!$A$8:$A$907,C756,PARÂMETROS!$G$8:$G$907,J756)</f>
        <v>0</v>
      </c>
      <c r="H756" s="24">
        <f t="shared" si="39"/>
        <v>0</v>
      </c>
      <c r="I756" s="24">
        <f t="shared" si="40"/>
        <v>2422.7587930610944</v>
      </c>
      <c r="J756" t="s">
        <v>20</v>
      </c>
    </row>
    <row r="757" spans="1:10" ht="14.25" customHeight="1" x14ac:dyDescent="0.3">
      <c r="A757" t="s">
        <v>82</v>
      </c>
      <c r="B757" t="str">
        <f>INDEX(SETORES!$B:$B,MATCH(A757,SETORES!$A:$A,0))</f>
        <v>Clientes</v>
      </c>
      <c r="C757" t="s">
        <v>12</v>
      </c>
      <c r="D757" s="23">
        <f>IF(B757="Clientes",SUMIFS(PARÂMETROS!$D$8:$D$907,PARÂMETROS!$A$8:$A$907,C757,PARÂMETROS!$G$8:$G$907,J757),SUMIFS(PARÂMETROS!$E$8:$E$907,PARÂMETROS!$A$8:$A$907,C757,PARÂMETROS!$G$8:$G$907,J757))</f>
        <v>7.0047614816518319E-2</v>
      </c>
      <c r="E757" s="24">
        <f>SUMIFS(SETORES!$D:$D,SETORES!$A:$A,A757,SETORES!$F:$F,J757)</f>
        <v>73811.97</v>
      </c>
      <c r="F757" s="24">
        <f t="shared" si="41"/>
        <v>5170.3524434084056</v>
      </c>
      <c r="G757" s="23">
        <f>SUMIFS(PARÂMETROS!$F$8:$F$907,PARÂMETROS!$A$8:$A$907,C757,PARÂMETROS!$G$8:$G$907,J757)</f>
        <v>0</v>
      </c>
      <c r="H757" s="24">
        <f t="shared" si="39"/>
        <v>0</v>
      </c>
      <c r="I757" s="24">
        <f t="shared" si="40"/>
        <v>5170.3524434084056</v>
      </c>
      <c r="J757" t="s">
        <v>20</v>
      </c>
    </row>
    <row r="758" spans="1:10" ht="14.25" customHeight="1" x14ac:dyDescent="0.3">
      <c r="A758" t="s">
        <v>82</v>
      </c>
      <c r="B758" t="str">
        <f>INDEX(SETORES!$B:$B,MATCH(A758,SETORES!$A:$A,0))</f>
        <v>Clientes</v>
      </c>
      <c r="C758" t="s">
        <v>13</v>
      </c>
      <c r="D758" s="23">
        <f>IF(B758="Clientes",SUMIFS(PARÂMETROS!$D$8:$D$907,PARÂMETROS!$A$8:$A$907,C758,PARÂMETROS!$G$8:$G$907,J758),SUMIFS(PARÂMETROS!$E$8:$E$907,PARÂMETROS!$A$8:$A$907,C758,PARÂMETROS!$G$8:$G$907,J758))</f>
        <v>7.4903176237540961E-2</v>
      </c>
      <c r="E758" s="24">
        <f>SUMIFS(SETORES!$D:$D,SETORES!$A:$A,A758,SETORES!$F:$F,J758)</f>
        <v>73811.97</v>
      </c>
      <c r="F758" s="24">
        <f t="shared" si="41"/>
        <v>5528.7509973500864</v>
      </c>
      <c r="G758" s="23">
        <f>SUMIFS(PARÂMETROS!$F$8:$F$907,PARÂMETROS!$A$8:$A$907,C758,PARÂMETROS!$G$8:$G$907,J758)</f>
        <v>0</v>
      </c>
      <c r="H758" s="24">
        <f t="shared" si="39"/>
        <v>0</v>
      </c>
      <c r="I758" s="24">
        <f t="shared" si="40"/>
        <v>5528.7509973500864</v>
      </c>
      <c r="J758" t="s">
        <v>20</v>
      </c>
    </row>
    <row r="759" spans="1:10" ht="14.25" customHeight="1" x14ac:dyDescent="0.3">
      <c r="A759" t="s">
        <v>82</v>
      </c>
      <c r="B759" t="str">
        <f>INDEX(SETORES!$B:$B,MATCH(A759,SETORES!$A:$A,0))</f>
        <v>Clientes</v>
      </c>
      <c r="C759" t="s">
        <v>14</v>
      </c>
      <c r="D759" s="23">
        <f>IF(B759="Clientes",SUMIFS(PARÂMETROS!$D$8:$D$907,PARÂMETROS!$A$8:$A$907,C759,PARÂMETROS!$G$8:$G$907,J759),SUMIFS(PARÂMETROS!$E$8:$E$907,PARÂMETROS!$A$8:$A$907,C759,PARÂMETROS!$G$8:$G$907,J759))</f>
        <v>1.907728653039038E-2</v>
      </c>
      <c r="E759" s="24">
        <f>SUMIFS(SETORES!$D:$D,SETORES!$A:$A,A759,SETORES!$F:$F,J759)</f>
        <v>73811.97</v>
      </c>
      <c r="F759" s="24">
        <f t="shared" si="41"/>
        <v>1408.1321010625788</v>
      </c>
      <c r="G759" s="23">
        <f>SUMIFS(PARÂMETROS!$F$8:$F$907,PARÂMETROS!$A$8:$A$907,C759,PARÂMETROS!$G$8:$G$907,J759)</f>
        <v>0</v>
      </c>
      <c r="H759" s="24">
        <f t="shared" si="39"/>
        <v>0</v>
      </c>
      <c r="I759" s="24">
        <f t="shared" si="40"/>
        <v>1408.1321010625788</v>
      </c>
      <c r="J759" t="s">
        <v>20</v>
      </c>
    </row>
    <row r="760" spans="1:10" ht="14.25" customHeight="1" x14ac:dyDescent="0.3">
      <c r="A760" t="s">
        <v>82</v>
      </c>
      <c r="B760" t="str">
        <f>INDEX(SETORES!$B:$B,MATCH(A760,SETORES!$A:$A,0))</f>
        <v>Clientes</v>
      </c>
      <c r="C760" t="s">
        <v>15</v>
      </c>
      <c r="D760" s="23">
        <f>IF(B760="Clientes",SUMIFS(PARÂMETROS!$D$8:$D$907,PARÂMETROS!$A$8:$A$907,C760,PARÂMETROS!$G$8:$G$907,J760),SUMIFS(PARÂMETROS!$E$8:$E$907,PARÂMETROS!$A$8:$A$907,C760,PARÂMETROS!$G$8:$G$907,J760))</f>
        <v>3.3429677985856672E-2</v>
      </c>
      <c r="E760" s="24">
        <f>SUMIFS(SETORES!$D:$D,SETORES!$A:$A,A760,SETORES!$F:$F,J760)</f>
        <v>73811.97</v>
      </c>
      <c r="F760" s="24">
        <f t="shared" si="41"/>
        <v>2467.5103886017132</v>
      </c>
      <c r="G760" s="23">
        <f>SUMIFS(PARÂMETROS!$F$8:$F$907,PARÂMETROS!$A$8:$A$907,C760,PARÂMETROS!$G$8:$G$907,J760)</f>
        <v>0</v>
      </c>
      <c r="H760" s="24">
        <f t="shared" si="39"/>
        <v>0</v>
      </c>
      <c r="I760" s="24">
        <f t="shared" si="40"/>
        <v>2467.5103886017132</v>
      </c>
      <c r="J760" t="s">
        <v>20</v>
      </c>
    </row>
    <row r="761" spans="1:10" ht="14.25" customHeight="1" x14ac:dyDescent="0.3">
      <c r="A761" t="s">
        <v>82</v>
      </c>
      <c r="B761" t="str">
        <f>INDEX(SETORES!$B:$B,MATCH(A761,SETORES!$A:$A,0))</f>
        <v>Clientes</v>
      </c>
      <c r="C761" t="s">
        <v>16</v>
      </c>
      <c r="D761" s="23">
        <f>IF(B761="Clientes",SUMIFS(PARÂMETROS!$D$8:$D$907,PARÂMETROS!$A$8:$A$907,C761,PARÂMETROS!$G$8:$G$907,J761),SUMIFS(PARÂMETROS!$E$8:$E$907,PARÂMETROS!$A$8:$A$907,C761,PARÂMETROS!$G$8:$G$907,J761))</f>
        <v>2.4722072681848353E-2</v>
      </c>
      <c r="E761" s="24">
        <f>SUMIFS(SETORES!$D:$D,SETORES!$A:$A,A761,SETORES!$F:$F,J761)</f>
        <v>73811.97</v>
      </c>
      <c r="F761" s="24">
        <f t="shared" si="41"/>
        <v>1824.7848871304102</v>
      </c>
      <c r="G761" s="23">
        <f>SUMIFS(PARÂMETROS!$F$8:$F$907,PARÂMETROS!$A$8:$A$907,C761,PARÂMETROS!$G$8:$G$907,J761)</f>
        <v>0</v>
      </c>
      <c r="H761" s="24">
        <f t="shared" si="39"/>
        <v>0</v>
      </c>
      <c r="I761" s="24">
        <f t="shared" si="40"/>
        <v>1824.7848871304102</v>
      </c>
      <c r="J761" t="s">
        <v>20</v>
      </c>
    </row>
    <row r="762" spans="1:10" ht="14.25" customHeight="1" x14ac:dyDescent="0.3">
      <c r="A762" t="s">
        <v>82</v>
      </c>
      <c r="B762" t="str">
        <f>INDEX(SETORES!$B:$B,MATCH(A762,SETORES!$A:$A,0))</f>
        <v>Clientes</v>
      </c>
      <c r="C762" t="s">
        <v>17</v>
      </c>
      <c r="D762" s="23">
        <f>IF(B762="Clientes",SUMIFS(PARÂMETROS!$D$8:$D$907,PARÂMETROS!$A$8:$A$907,C762,PARÂMETROS!$G$8:$G$907,J762),SUMIFS(PARÂMETROS!$E$8:$E$907,PARÂMETROS!$A$8:$A$907,C762,PARÂMETROS!$G$8:$G$907,J762))</f>
        <v>2.4993858681733368E-2</v>
      </c>
      <c r="E762" s="24">
        <f>SUMIFS(SETORES!$D:$D,SETORES!$A:$A,A762,SETORES!$F:$F,J762)</f>
        <v>73811.97</v>
      </c>
      <c r="F762" s="24">
        <f t="shared" si="41"/>
        <v>1844.8459472003431</v>
      </c>
      <c r="G762" s="23">
        <f>SUMIFS(PARÂMETROS!$F$8:$F$907,PARÂMETROS!$A$8:$A$907,C762,PARÂMETROS!$G$8:$G$907,J762)</f>
        <v>0</v>
      </c>
      <c r="H762" s="24">
        <f t="shared" si="39"/>
        <v>0</v>
      </c>
      <c r="I762" s="24">
        <f t="shared" si="40"/>
        <v>1844.8459472003431</v>
      </c>
      <c r="J762" t="s">
        <v>20</v>
      </c>
    </row>
    <row r="763" spans="1:10" ht="14.25" customHeight="1" x14ac:dyDescent="0.3">
      <c r="A763" t="s">
        <v>82</v>
      </c>
      <c r="B763" t="str">
        <f>INDEX(SETORES!$B:$B,MATCH(A763,SETORES!$A:$A,0))</f>
        <v>Clientes</v>
      </c>
      <c r="C763" t="s">
        <v>18</v>
      </c>
      <c r="D763" s="23">
        <f>IF(B763="Clientes",SUMIFS(PARÂMETROS!$D$8:$D$907,PARÂMETROS!$A$8:$A$907,C763,PARÂMETROS!$G$8:$G$907,J763),SUMIFS(PARÂMETROS!$E$8:$E$907,PARÂMETROS!$A$8:$A$907,C763,PARÂMETROS!$G$8:$G$907,J763))</f>
        <v>0.72000292692615264</v>
      </c>
      <c r="E763" s="24">
        <f>SUMIFS(SETORES!$D:$D,SETORES!$A:$A,A763,SETORES!$F:$F,J763)</f>
        <v>73811.97</v>
      </c>
      <c r="F763" s="24">
        <f t="shared" si="41"/>
        <v>53144.834442185369</v>
      </c>
      <c r="G763" s="23">
        <f>SUMIFS(PARÂMETROS!$F$8:$F$907,PARÂMETROS!$A$8:$A$907,C763,PARÂMETROS!$G$8:$G$907,J763)</f>
        <v>0</v>
      </c>
      <c r="H763" s="24">
        <f t="shared" si="39"/>
        <v>0</v>
      </c>
      <c r="I763" s="24">
        <f t="shared" si="40"/>
        <v>53144.834442185369</v>
      </c>
      <c r="J763" t="s">
        <v>20</v>
      </c>
    </row>
    <row r="764" spans="1:10" ht="14.25" customHeight="1" x14ac:dyDescent="0.3">
      <c r="A764" t="s">
        <v>82</v>
      </c>
      <c r="B764" t="str">
        <f>INDEX(SETORES!$B:$B,MATCH(A764,SETORES!$A:$A,0))</f>
        <v>Clientes</v>
      </c>
      <c r="C764" t="s">
        <v>10</v>
      </c>
      <c r="D764" s="23">
        <f>IF(B764="Clientes",SUMIFS(PARÂMETROS!$D$8:$D$907,PARÂMETROS!$A$8:$A$907,C764,PARÂMETROS!$G$8:$G$907,J764),SUMIFS(PARÂMETROS!$E$8:$E$907,PARÂMETROS!$A$8:$A$907,C764,PARÂMETROS!$G$8:$G$907,J764))</f>
        <v>3.3077914012820578E-2</v>
      </c>
      <c r="E764" s="24">
        <f>SUMIFS(SETORES!$D:$D,SETORES!$A:$A,A764,SETORES!$F:$F,J764)</f>
        <v>106633.76999999999</v>
      </c>
      <c r="F764" s="24">
        <f t="shared" si="41"/>
        <v>3527.2226749228862</v>
      </c>
      <c r="G764" s="23">
        <f>SUMIFS(PARÂMETROS!$F$8:$F$907,PARÂMETROS!$A$8:$A$907,C764,PARÂMETROS!$G$8:$G$907,J764)</f>
        <v>0</v>
      </c>
      <c r="H764" s="24">
        <f t="shared" si="39"/>
        <v>0</v>
      </c>
      <c r="I764" s="24">
        <f t="shared" si="40"/>
        <v>3527.2226749228862</v>
      </c>
      <c r="J764" t="s">
        <v>11</v>
      </c>
    </row>
    <row r="765" spans="1:10" ht="14.25" customHeight="1" x14ac:dyDescent="0.3">
      <c r="A765" t="s">
        <v>82</v>
      </c>
      <c r="B765" t="str">
        <f>INDEX(SETORES!$B:$B,MATCH(A765,SETORES!$A:$A,0))</f>
        <v>Clientes</v>
      </c>
      <c r="C765" t="s">
        <v>12</v>
      </c>
      <c r="D765" s="23">
        <f>IF(B765="Clientes",SUMIFS(PARÂMETROS!$D$8:$D$907,PARÂMETROS!$A$8:$A$907,C765,PARÂMETROS!$G$8:$G$907,J765),SUMIFS(PARÂMETROS!$E$8:$E$907,PARÂMETROS!$A$8:$A$907,C765,PARÂMETROS!$G$8:$G$907,J765))</f>
        <v>6.886570212940675E-2</v>
      </c>
      <c r="E765" s="24">
        <f>SUMIFS(SETORES!$D:$D,SETORES!$A:$A,A765,SETORES!$F:$F,J765)</f>
        <v>106633.76999999999</v>
      </c>
      <c r="F765" s="24">
        <f t="shared" si="41"/>
        <v>7343.4094417556689</v>
      </c>
      <c r="G765" s="23">
        <f>SUMIFS(PARÂMETROS!$F$8:$F$907,PARÂMETROS!$A$8:$A$907,C765,PARÂMETROS!$G$8:$G$907,J765)</f>
        <v>0</v>
      </c>
      <c r="H765" s="24">
        <f t="shared" si="39"/>
        <v>0</v>
      </c>
      <c r="I765" s="24">
        <f t="shared" si="40"/>
        <v>7343.4094417556689</v>
      </c>
      <c r="J765" t="s">
        <v>11</v>
      </c>
    </row>
    <row r="766" spans="1:10" ht="14.25" customHeight="1" x14ac:dyDescent="0.3">
      <c r="A766" t="s">
        <v>82</v>
      </c>
      <c r="B766" t="str">
        <f>INDEX(SETORES!$B:$B,MATCH(A766,SETORES!$A:$A,0))</f>
        <v>Clientes</v>
      </c>
      <c r="C766" t="s">
        <v>13</v>
      </c>
      <c r="D766" s="23">
        <f>IF(B766="Clientes",SUMIFS(PARÂMETROS!$D$8:$D$907,PARÂMETROS!$A$8:$A$907,C766,PARÂMETROS!$G$8:$G$907,J766),SUMIFS(PARÂMETROS!$E$8:$E$907,PARÂMETROS!$A$8:$A$907,C766,PARÂMETROS!$G$8:$G$907,J766))</f>
        <v>7.4116083205452599E-2</v>
      </c>
      <c r="E766" s="24">
        <f>SUMIFS(SETORES!$D:$D,SETORES!$A:$A,A766,SETORES!$F:$F,J766)</f>
        <v>106633.76999999999</v>
      </c>
      <c r="F766" s="24">
        <f t="shared" si="41"/>
        <v>7903.2773698310948</v>
      </c>
      <c r="G766" s="23">
        <f>SUMIFS(PARÂMETROS!$F$8:$F$907,PARÂMETROS!$A$8:$A$907,C766,PARÂMETROS!$G$8:$G$907,J766)</f>
        <v>0</v>
      </c>
      <c r="H766" s="24">
        <f t="shared" si="39"/>
        <v>0</v>
      </c>
      <c r="I766" s="24">
        <f t="shared" si="40"/>
        <v>7903.2773698310948</v>
      </c>
      <c r="J766" t="s">
        <v>11</v>
      </c>
    </row>
    <row r="767" spans="1:10" ht="14.25" customHeight="1" x14ac:dyDescent="0.3">
      <c r="A767" t="s">
        <v>82</v>
      </c>
      <c r="B767" t="str">
        <f>INDEX(SETORES!$B:$B,MATCH(A767,SETORES!$A:$A,0))</f>
        <v>Clientes</v>
      </c>
      <c r="C767" t="s">
        <v>14</v>
      </c>
      <c r="D767" s="23">
        <f>IF(B767="Clientes",SUMIFS(PARÂMETROS!$D$8:$D$907,PARÂMETROS!$A$8:$A$907,C767,PARÂMETROS!$G$8:$G$907,J767),SUMIFS(PARÂMETROS!$E$8:$E$907,PARÂMETROS!$A$8:$A$907,C767,PARÂMETROS!$G$8:$G$907,J767))</f>
        <v>1.9010177424901076E-2</v>
      </c>
      <c r="E767" s="24">
        <f>SUMIFS(SETORES!$D:$D,SETORES!$A:$A,A767,SETORES!$F:$F,J767)</f>
        <v>106633.76999999999</v>
      </c>
      <c r="F767" s="24">
        <f t="shared" si="41"/>
        <v>2027.1268871860934</v>
      </c>
      <c r="G767" s="23">
        <f>SUMIFS(PARÂMETROS!$F$8:$F$907,PARÂMETROS!$A$8:$A$907,C767,PARÂMETROS!$G$8:$G$907,J767)</f>
        <v>0</v>
      </c>
      <c r="H767" s="24">
        <f t="shared" si="39"/>
        <v>0</v>
      </c>
      <c r="I767" s="24">
        <f t="shared" si="40"/>
        <v>2027.1268871860934</v>
      </c>
      <c r="J767" t="s">
        <v>11</v>
      </c>
    </row>
    <row r="768" spans="1:10" ht="14.25" customHeight="1" x14ac:dyDescent="0.3">
      <c r="A768" t="s">
        <v>82</v>
      </c>
      <c r="B768" t="str">
        <f>INDEX(SETORES!$B:$B,MATCH(A768,SETORES!$A:$A,0))</f>
        <v>Clientes</v>
      </c>
      <c r="C768" t="s">
        <v>15</v>
      </c>
      <c r="D768" s="23">
        <f>IF(B768="Clientes",SUMIFS(PARÂMETROS!$D$8:$D$907,PARÂMETROS!$A$8:$A$907,C768,PARÂMETROS!$G$8:$G$907,J768),SUMIFS(PARÂMETROS!$E$8:$E$907,PARÂMETROS!$A$8:$A$907,C768,PARÂMETROS!$G$8:$G$907,J768))</f>
        <v>3.302145830232546E-2</v>
      </c>
      <c r="E768" s="24">
        <f>SUMIFS(SETORES!$D:$D,SETORES!$A:$A,A768,SETORES!$F:$F,J768)</f>
        <v>106633.76999999999</v>
      </c>
      <c r="F768" s="24">
        <f t="shared" si="41"/>
        <v>3521.2025896747632</v>
      </c>
      <c r="G768" s="23">
        <f>SUMIFS(PARÂMETROS!$F$8:$F$907,PARÂMETROS!$A$8:$A$907,C768,PARÂMETROS!$G$8:$G$907,J768)</f>
        <v>0</v>
      </c>
      <c r="H768" s="24">
        <f t="shared" si="39"/>
        <v>0</v>
      </c>
      <c r="I768" s="24">
        <f t="shared" si="40"/>
        <v>3521.2025896747632</v>
      </c>
      <c r="J768" t="s">
        <v>11</v>
      </c>
    </row>
    <row r="769" spans="1:10" ht="14.25" customHeight="1" x14ac:dyDescent="0.3">
      <c r="A769" t="s">
        <v>82</v>
      </c>
      <c r="B769" t="str">
        <f>INDEX(SETORES!$B:$B,MATCH(A769,SETORES!$A:$A,0))</f>
        <v>Clientes</v>
      </c>
      <c r="C769" t="s">
        <v>16</v>
      </c>
      <c r="D769" s="23">
        <f>IF(B769="Clientes",SUMIFS(PARÂMETROS!$D$8:$D$907,PARÂMETROS!$A$8:$A$907,C769,PARÂMETROS!$G$8:$G$907,J769),SUMIFS(PARÂMETROS!$E$8:$E$907,PARÂMETROS!$A$8:$A$907,C769,PARÂMETROS!$G$8:$G$907,J769))</f>
        <v>2.437346992193715E-2</v>
      </c>
      <c r="E769" s="24">
        <f>SUMIFS(SETORES!$D:$D,SETORES!$A:$A,A769,SETORES!$F:$F,J769)</f>
        <v>106633.76999999999</v>
      </c>
      <c r="F769" s="24">
        <f t="shared" si="41"/>
        <v>2599.0349857577639</v>
      </c>
      <c r="G769" s="23">
        <f>SUMIFS(PARÂMETROS!$F$8:$F$907,PARÂMETROS!$A$8:$A$907,C769,PARÂMETROS!$G$8:$G$907,J769)</f>
        <v>0</v>
      </c>
      <c r="H769" s="24">
        <f t="shared" si="39"/>
        <v>0</v>
      </c>
      <c r="I769" s="24">
        <f t="shared" si="40"/>
        <v>2599.0349857577639</v>
      </c>
      <c r="J769" t="s">
        <v>11</v>
      </c>
    </row>
    <row r="770" spans="1:10" ht="14.25" customHeight="1" x14ac:dyDescent="0.3">
      <c r="A770" t="s">
        <v>82</v>
      </c>
      <c r="B770" t="str">
        <f>INDEX(SETORES!$B:$B,MATCH(A770,SETORES!$A:$A,0))</f>
        <v>Clientes</v>
      </c>
      <c r="C770" t="s">
        <v>17</v>
      </c>
      <c r="D770" s="23">
        <f>IF(B770="Clientes",SUMIFS(PARÂMETROS!$D$8:$D$907,PARÂMETROS!$A$8:$A$907,C770,PARÂMETROS!$G$8:$G$907,J770),SUMIFS(PARÂMETROS!$E$8:$E$907,PARÂMETROS!$A$8:$A$907,C770,PARÂMETROS!$G$8:$G$907,J770))</f>
        <v>2.460955743855309E-2</v>
      </c>
      <c r="E770" s="24">
        <f>SUMIFS(SETORES!$D:$D,SETORES!$A:$A,A770,SETORES!$F:$F,J770)</f>
        <v>106633.76999999999</v>
      </c>
      <c r="F770" s="24">
        <f t="shared" si="41"/>
        <v>2624.2098877044591</v>
      </c>
      <c r="G770" s="23">
        <f>SUMIFS(PARÂMETROS!$F$8:$F$907,PARÂMETROS!$A$8:$A$907,C770,PARÂMETROS!$G$8:$G$907,J770)</f>
        <v>0</v>
      </c>
      <c r="H770" s="24">
        <f t="shared" si="39"/>
        <v>0</v>
      </c>
      <c r="I770" s="24">
        <f t="shared" si="40"/>
        <v>2624.2098877044591</v>
      </c>
      <c r="J770" t="s">
        <v>11</v>
      </c>
    </row>
    <row r="771" spans="1:10" ht="14.25" customHeight="1" x14ac:dyDescent="0.3">
      <c r="A771" t="s">
        <v>82</v>
      </c>
      <c r="B771" t="str">
        <f>INDEX(SETORES!$B:$B,MATCH(A771,SETORES!$A:$A,0))</f>
        <v>Clientes</v>
      </c>
      <c r="C771" t="s">
        <v>18</v>
      </c>
      <c r="D771" s="23">
        <f>IF(B771="Clientes",SUMIFS(PARÂMETROS!$D$8:$D$907,PARÂMETROS!$A$8:$A$907,C771,PARÂMETROS!$G$8:$G$907,J771),SUMIFS(PARÂMETROS!$E$8:$E$907,PARÂMETROS!$A$8:$A$907,C771,PARÂMETROS!$G$8:$G$907,J771))</f>
        <v>0.72292563756460326</v>
      </c>
      <c r="E771" s="24">
        <f>SUMIFS(SETORES!$D:$D,SETORES!$A:$A,A771,SETORES!$F:$F,J771)</f>
        <v>106633.76999999999</v>
      </c>
      <c r="F771" s="24">
        <f t="shared" si="41"/>
        <v>77088.286163167257</v>
      </c>
      <c r="G771" s="23">
        <f>SUMIFS(PARÂMETROS!$F$8:$F$907,PARÂMETROS!$A$8:$A$907,C771,PARÂMETROS!$G$8:$G$907,J771)</f>
        <v>0</v>
      </c>
      <c r="H771" s="24">
        <f t="shared" si="39"/>
        <v>0</v>
      </c>
      <c r="I771" s="24">
        <f t="shared" si="40"/>
        <v>77088.286163167257</v>
      </c>
      <c r="J771" t="s">
        <v>11</v>
      </c>
    </row>
    <row r="772" spans="1:10" ht="14.25" customHeight="1" x14ac:dyDescent="0.3">
      <c r="A772" t="s">
        <v>82</v>
      </c>
      <c r="B772" t="str">
        <f>INDEX(SETORES!$B:$B,MATCH(A772,SETORES!$A:$A,0))</f>
        <v>Clientes</v>
      </c>
      <c r="C772" t="s">
        <v>10</v>
      </c>
      <c r="D772" s="23">
        <f>IF(B772="Clientes",SUMIFS(PARÂMETROS!$D$8:$D$907,PARÂMETROS!$A$8:$A$907,C772,PARÂMETROS!$G$8:$G$907,J772),SUMIFS(PARÂMETROS!$E$8:$E$907,PARÂMETROS!$A$8:$A$907,C772,PARÂMETROS!$G$8:$G$907,J772))</f>
        <v>3.2696249460273663E-2</v>
      </c>
      <c r="E772" s="24">
        <f>SUMIFS(SETORES!$D:$D,SETORES!$A:$A,A772,SETORES!$F:$F,J772)</f>
        <v>75864.529999999984</v>
      </c>
      <c r="F772" s="24">
        <f t="shared" si="41"/>
        <v>2480.4855980664147</v>
      </c>
      <c r="G772" s="23">
        <f>SUMIFS(PARÂMETROS!$F$8:$F$907,PARÂMETROS!$A$8:$A$907,C772,PARÂMETROS!$G$8:$G$907,J772)</f>
        <v>0</v>
      </c>
      <c r="H772" s="24">
        <f t="shared" si="39"/>
        <v>0</v>
      </c>
      <c r="I772" s="24">
        <f t="shared" si="40"/>
        <v>2480.4855980664147</v>
      </c>
      <c r="J772" t="s">
        <v>21</v>
      </c>
    </row>
    <row r="773" spans="1:10" ht="14.25" customHeight="1" x14ac:dyDescent="0.3">
      <c r="A773" t="s">
        <v>82</v>
      </c>
      <c r="B773" t="str">
        <f>INDEX(SETORES!$B:$B,MATCH(A773,SETORES!$A:$A,0))</f>
        <v>Clientes</v>
      </c>
      <c r="C773" t="s">
        <v>12</v>
      </c>
      <c r="D773" s="23">
        <f>IF(B773="Clientes",SUMIFS(PARÂMETROS!$D$8:$D$907,PARÂMETROS!$A$8:$A$907,C773,PARÂMETROS!$G$8:$G$907,J773),SUMIFS(PARÂMETROS!$E$8:$E$907,PARÂMETROS!$A$8:$A$907,C773,PARÂMETROS!$G$8:$G$907,J773))</f>
        <v>6.7149401213950008E-2</v>
      </c>
      <c r="E773" s="24">
        <f>SUMIFS(SETORES!$D:$D,SETORES!$A:$A,A773,SETORES!$F:$F,J773)</f>
        <v>75864.529999999984</v>
      </c>
      <c r="F773" s="24">
        <f t="shared" si="41"/>
        <v>5094.2577628777453</v>
      </c>
      <c r="G773" s="23">
        <f>SUMIFS(PARÂMETROS!$F$8:$F$907,PARÂMETROS!$A$8:$A$907,C773,PARÂMETROS!$G$8:$G$907,J773)</f>
        <v>0</v>
      </c>
      <c r="H773" s="24">
        <f t="shared" si="39"/>
        <v>0</v>
      </c>
      <c r="I773" s="24">
        <f t="shared" si="40"/>
        <v>5094.2577628777453</v>
      </c>
      <c r="J773" t="s">
        <v>21</v>
      </c>
    </row>
    <row r="774" spans="1:10" ht="14.25" customHeight="1" x14ac:dyDescent="0.3">
      <c r="A774" t="s">
        <v>82</v>
      </c>
      <c r="B774" t="str">
        <f>INDEX(SETORES!$B:$B,MATCH(A774,SETORES!$A:$A,0))</f>
        <v>Clientes</v>
      </c>
      <c r="C774" t="s">
        <v>13</v>
      </c>
      <c r="D774" s="23">
        <f>IF(B774="Clientes",SUMIFS(PARÂMETROS!$D$8:$D$907,PARÂMETROS!$A$8:$A$907,C774,PARÂMETROS!$G$8:$G$907,J774),SUMIFS(PARÂMETROS!$E$8:$E$907,PARÂMETROS!$A$8:$A$907,C774,PARÂMETROS!$G$8:$G$907,J774))</f>
        <v>7.2901519174553703E-2</v>
      </c>
      <c r="E774" s="24">
        <f>SUMIFS(SETORES!$D:$D,SETORES!$A:$A,A774,SETORES!$F:$F,J774)</f>
        <v>75864.529999999984</v>
      </c>
      <c r="F774" s="24">
        <f t="shared" si="41"/>
        <v>5530.6394884635038</v>
      </c>
      <c r="G774" s="23">
        <f>SUMIFS(PARÂMETROS!$F$8:$F$907,PARÂMETROS!$A$8:$A$907,C774,PARÂMETROS!$G$8:$G$907,J774)</f>
        <v>0</v>
      </c>
      <c r="H774" s="24">
        <f t="shared" si="39"/>
        <v>0</v>
      </c>
      <c r="I774" s="24">
        <f t="shared" si="40"/>
        <v>5530.6394884635038</v>
      </c>
      <c r="J774" t="s">
        <v>21</v>
      </c>
    </row>
    <row r="775" spans="1:10" ht="14.25" customHeight="1" x14ac:dyDescent="0.3">
      <c r="A775" t="s">
        <v>82</v>
      </c>
      <c r="B775" t="str">
        <f>INDEX(SETORES!$B:$B,MATCH(A775,SETORES!$A:$A,0))</f>
        <v>Clientes</v>
      </c>
      <c r="C775" t="s">
        <v>14</v>
      </c>
      <c r="D775" s="23">
        <f>IF(B775="Clientes",SUMIFS(PARÂMETROS!$D$8:$D$907,PARÂMETROS!$A$8:$A$907,C775,PARÂMETROS!$G$8:$G$907,J775),SUMIFS(PARÂMETROS!$E$8:$E$907,PARÂMETROS!$A$8:$A$907,C775,PARÂMETROS!$G$8:$G$907,J775))</f>
        <v>1.8685698120511587E-2</v>
      </c>
      <c r="E775" s="24">
        <f>SUMIFS(SETORES!$D:$D,SETORES!$A:$A,A775,SETORES!$F:$F,J775)</f>
        <v>75864.529999999984</v>
      </c>
      <c r="F775" s="24">
        <f t="shared" si="41"/>
        <v>1417.5817056344947</v>
      </c>
      <c r="G775" s="23">
        <f>SUMIFS(PARÂMETROS!$F$8:$F$907,PARÂMETROS!$A$8:$A$907,C775,PARÂMETROS!$G$8:$G$907,J775)</f>
        <v>0</v>
      </c>
      <c r="H775" s="24">
        <f t="shared" si="39"/>
        <v>0</v>
      </c>
      <c r="I775" s="24">
        <f t="shared" si="40"/>
        <v>1417.5817056344947</v>
      </c>
      <c r="J775" t="s">
        <v>21</v>
      </c>
    </row>
    <row r="776" spans="1:10" ht="14.25" customHeight="1" x14ac:dyDescent="0.3">
      <c r="A776" t="s">
        <v>82</v>
      </c>
      <c r="B776" t="str">
        <f>INDEX(SETORES!$B:$B,MATCH(A776,SETORES!$A:$A,0))</f>
        <v>Clientes</v>
      </c>
      <c r="C776" t="s">
        <v>15</v>
      </c>
      <c r="D776" s="23">
        <f>IF(B776="Clientes",SUMIFS(PARÂMETROS!$D$8:$D$907,PARÂMETROS!$A$8:$A$907,C776,PARÂMETROS!$G$8:$G$907,J776),SUMIFS(PARÂMETROS!$E$8:$E$907,PARÂMETROS!$A$8:$A$907,C776,PARÂMETROS!$G$8:$G$907,J776))</f>
        <v>3.2596989443697238E-2</v>
      </c>
      <c r="E776" s="24">
        <f>SUMIFS(SETORES!$D:$D,SETORES!$A:$A,A776,SETORES!$F:$F,J776)</f>
        <v>75864.529999999984</v>
      </c>
      <c r="F776" s="24">
        <f t="shared" si="41"/>
        <v>2472.9552835610521</v>
      </c>
      <c r="G776" s="23">
        <f>SUMIFS(PARÂMETROS!$F$8:$F$907,PARÂMETROS!$A$8:$A$907,C776,PARÂMETROS!$G$8:$G$907,J776)</f>
        <v>0</v>
      </c>
      <c r="H776" s="24">
        <f t="shared" si="39"/>
        <v>0</v>
      </c>
      <c r="I776" s="24">
        <f t="shared" si="40"/>
        <v>2472.9552835610521</v>
      </c>
      <c r="J776" t="s">
        <v>21</v>
      </c>
    </row>
    <row r="777" spans="1:10" ht="14.25" customHeight="1" x14ac:dyDescent="0.3">
      <c r="A777" t="s">
        <v>82</v>
      </c>
      <c r="B777" t="str">
        <f>INDEX(SETORES!$B:$B,MATCH(A777,SETORES!$A:$A,0))</f>
        <v>Clientes</v>
      </c>
      <c r="C777" t="s">
        <v>16</v>
      </c>
      <c r="D777" s="23">
        <f>IF(B777="Clientes",SUMIFS(PARÂMETROS!$D$8:$D$907,PARÂMETROS!$A$8:$A$907,C777,PARÂMETROS!$G$8:$G$907,J777),SUMIFS(PARÂMETROS!$E$8:$E$907,PARÂMETROS!$A$8:$A$907,C777,PARÂMETROS!$G$8:$G$907,J777))</f>
        <v>2.3847218982485568E-2</v>
      </c>
      <c r="E777" s="24">
        <f>SUMIFS(SETORES!$D:$D,SETORES!$A:$A,A777,SETORES!$F:$F,J777)</f>
        <v>75864.529999999984</v>
      </c>
      <c r="F777" s="24">
        <f t="shared" si="41"/>
        <v>1809.1580599133456</v>
      </c>
      <c r="G777" s="23">
        <f>SUMIFS(PARÂMETROS!$F$8:$F$907,PARÂMETROS!$A$8:$A$907,C777,PARÂMETROS!$G$8:$G$907,J777)</f>
        <v>0</v>
      </c>
      <c r="H777" s="24">
        <f t="shared" si="39"/>
        <v>0</v>
      </c>
      <c r="I777" s="24">
        <f t="shared" si="40"/>
        <v>1809.1580599133456</v>
      </c>
      <c r="J777" t="s">
        <v>21</v>
      </c>
    </row>
    <row r="778" spans="1:10" ht="14.25" customHeight="1" x14ac:dyDescent="0.3">
      <c r="A778" t="s">
        <v>82</v>
      </c>
      <c r="B778" t="str">
        <f>INDEX(SETORES!$B:$B,MATCH(A778,SETORES!$A:$A,0))</f>
        <v>Clientes</v>
      </c>
      <c r="C778" t="s">
        <v>17</v>
      </c>
      <c r="D778" s="23">
        <f>IF(B778="Clientes",SUMIFS(PARÂMETROS!$D$8:$D$907,PARÂMETROS!$A$8:$A$907,C778,PARÂMETROS!$G$8:$G$907,J778),SUMIFS(PARÂMETROS!$E$8:$E$907,PARÂMETROS!$A$8:$A$907,C778,PARÂMETROS!$G$8:$G$907,J778))</f>
        <v>2.3852181983314392E-2</v>
      </c>
      <c r="E778" s="24">
        <f>SUMIFS(SETORES!$D:$D,SETORES!$A:$A,A778,SETORES!$F:$F,J778)</f>
        <v>75864.529999999984</v>
      </c>
      <c r="F778" s="24">
        <f t="shared" si="41"/>
        <v>1809.5345756386139</v>
      </c>
      <c r="G778" s="23">
        <f>SUMIFS(PARÂMETROS!$F$8:$F$907,PARÂMETROS!$A$8:$A$907,C778,PARÂMETROS!$G$8:$G$907,J778)</f>
        <v>0</v>
      </c>
      <c r="H778" s="24">
        <f t="shared" si="39"/>
        <v>0</v>
      </c>
      <c r="I778" s="24">
        <f t="shared" si="40"/>
        <v>1809.5345756386139</v>
      </c>
      <c r="J778" t="s">
        <v>21</v>
      </c>
    </row>
    <row r="779" spans="1:10" ht="14.25" customHeight="1" x14ac:dyDescent="0.3">
      <c r="A779" t="s">
        <v>82</v>
      </c>
      <c r="B779" t="str">
        <f>INDEX(SETORES!$B:$B,MATCH(A779,SETORES!$A:$A,0))</f>
        <v>Clientes</v>
      </c>
      <c r="C779" t="s">
        <v>18</v>
      </c>
      <c r="D779" s="23">
        <f>IF(B779="Clientes",SUMIFS(PARÂMETROS!$D$8:$D$907,PARÂMETROS!$A$8:$A$907,C779,PARÂMETROS!$G$8:$G$907,J779),SUMIFS(PARÂMETROS!$E$8:$E$907,PARÂMETROS!$A$8:$A$907,C779,PARÂMETROS!$G$8:$G$907,J779))</f>
        <v>0.72827074162121386</v>
      </c>
      <c r="E779" s="24">
        <f>SUMIFS(SETORES!$D:$D,SETORES!$A:$A,A779,SETORES!$F:$F,J779)</f>
        <v>75864.529999999984</v>
      </c>
      <c r="F779" s="24">
        <f t="shared" si="41"/>
        <v>55249.917525844816</v>
      </c>
      <c r="G779" s="23">
        <f>SUMIFS(PARÂMETROS!$F$8:$F$907,PARÂMETROS!$A$8:$A$907,C779,PARÂMETROS!$G$8:$G$907,J779)</f>
        <v>0</v>
      </c>
      <c r="H779" s="24">
        <f t="shared" si="39"/>
        <v>0</v>
      </c>
      <c r="I779" s="24">
        <f t="shared" si="40"/>
        <v>55249.917525844816</v>
      </c>
      <c r="J779" t="s">
        <v>21</v>
      </c>
    </row>
    <row r="780" spans="1:10" ht="14.25" customHeight="1" x14ac:dyDescent="0.3">
      <c r="A780" t="s">
        <v>83</v>
      </c>
      <c r="B780" t="str">
        <f>INDEX(SETORES!$B:$B,MATCH(A780,SETORES!$A:$A,0))</f>
        <v>Clientes</v>
      </c>
      <c r="C780" t="s">
        <v>10</v>
      </c>
      <c r="D780" s="23">
        <f>IF(B780="Clientes",SUMIFS(PARÂMETROS!$D$8:$D$907,PARÂMETROS!$A$8:$A$907,C780,PARÂMETROS!$G$8:$G$907,J780),SUMIFS(PARÂMETROS!$E$8:$E$907,PARÂMETROS!$A$8:$A$907,C780,PARÂMETROS!$G$8:$G$907,J780))</f>
        <v>3.2823386139959339E-2</v>
      </c>
      <c r="E780" s="24">
        <f>SUMIFS(SETORES!$D:$D,SETORES!$A:$A,A780,SETORES!$F:$F,J780)</f>
        <v>12631.53</v>
      </c>
      <c r="F780" s="24">
        <f t="shared" si="41"/>
        <v>414.60958672848062</v>
      </c>
      <c r="G780" s="23">
        <f>SUMIFS(PARÂMETROS!$F$8:$F$907,PARÂMETROS!$A$8:$A$907,C780,PARÂMETROS!$G$8:$G$907,J780)</f>
        <v>0</v>
      </c>
      <c r="H780" s="24">
        <f t="shared" si="39"/>
        <v>0</v>
      </c>
      <c r="I780" s="24">
        <f t="shared" si="40"/>
        <v>414.60958672848062</v>
      </c>
      <c r="J780" t="s">
        <v>20</v>
      </c>
    </row>
    <row r="781" spans="1:10" ht="14.25" customHeight="1" x14ac:dyDescent="0.3">
      <c r="A781" t="s">
        <v>83</v>
      </c>
      <c r="B781" t="str">
        <f>INDEX(SETORES!$B:$B,MATCH(A781,SETORES!$A:$A,0))</f>
        <v>Clientes</v>
      </c>
      <c r="C781" t="s">
        <v>12</v>
      </c>
      <c r="D781" s="23">
        <f>IF(B781="Clientes",SUMIFS(PARÂMETROS!$D$8:$D$907,PARÂMETROS!$A$8:$A$907,C781,PARÂMETROS!$G$8:$G$907,J781),SUMIFS(PARÂMETROS!$E$8:$E$907,PARÂMETROS!$A$8:$A$907,C781,PARÂMETROS!$G$8:$G$907,J781))</f>
        <v>7.0047614816518319E-2</v>
      </c>
      <c r="E781" s="24">
        <f>SUMIFS(SETORES!$D:$D,SETORES!$A:$A,A781,SETORES!$F:$F,J781)</f>
        <v>12631.53</v>
      </c>
      <c r="F781" s="24">
        <f t="shared" si="41"/>
        <v>884.80854798329574</v>
      </c>
      <c r="G781" s="23">
        <f>SUMIFS(PARÂMETROS!$F$8:$F$907,PARÂMETROS!$A$8:$A$907,C781,PARÂMETROS!$G$8:$G$907,J781)</f>
        <v>0</v>
      </c>
      <c r="H781" s="24">
        <f t="shared" si="39"/>
        <v>0</v>
      </c>
      <c r="I781" s="24">
        <f t="shared" si="40"/>
        <v>884.80854798329574</v>
      </c>
      <c r="J781" t="s">
        <v>20</v>
      </c>
    </row>
    <row r="782" spans="1:10" ht="14.25" customHeight="1" x14ac:dyDescent="0.3">
      <c r="A782" t="s">
        <v>83</v>
      </c>
      <c r="B782" t="str">
        <f>INDEX(SETORES!$B:$B,MATCH(A782,SETORES!$A:$A,0))</f>
        <v>Clientes</v>
      </c>
      <c r="C782" t="s">
        <v>13</v>
      </c>
      <c r="D782" s="23">
        <f>IF(B782="Clientes",SUMIFS(PARÂMETROS!$D$8:$D$907,PARÂMETROS!$A$8:$A$907,C782,PARÂMETROS!$G$8:$G$907,J782),SUMIFS(PARÂMETROS!$E$8:$E$907,PARÂMETROS!$A$8:$A$907,C782,PARÂMETROS!$G$8:$G$907,J782))</f>
        <v>7.4903176237540961E-2</v>
      </c>
      <c r="E782" s="24">
        <f>SUMIFS(SETORES!$D:$D,SETORES!$A:$A,A782,SETORES!$F:$F,J782)</f>
        <v>12631.53</v>
      </c>
      <c r="F782" s="24">
        <f t="shared" si="41"/>
        <v>946.1417177397858</v>
      </c>
      <c r="G782" s="23">
        <f>SUMIFS(PARÂMETROS!$F$8:$F$907,PARÂMETROS!$A$8:$A$907,C782,PARÂMETROS!$G$8:$G$907,J782)</f>
        <v>0</v>
      </c>
      <c r="H782" s="24">
        <f t="shared" si="39"/>
        <v>0</v>
      </c>
      <c r="I782" s="24">
        <f t="shared" si="40"/>
        <v>946.1417177397858</v>
      </c>
      <c r="J782" t="s">
        <v>20</v>
      </c>
    </row>
    <row r="783" spans="1:10" ht="14.25" customHeight="1" x14ac:dyDescent="0.3">
      <c r="A783" t="s">
        <v>83</v>
      </c>
      <c r="B783" t="str">
        <f>INDEX(SETORES!$B:$B,MATCH(A783,SETORES!$A:$A,0))</f>
        <v>Clientes</v>
      </c>
      <c r="C783" t="s">
        <v>14</v>
      </c>
      <c r="D783" s="23">
        <f>IF(B783="Clientes",SUMIFS(PARÂMETROS!$D$8:$D$907,PARÂMETROS!$A$8:$A$907,C783,PARÂMETROS!$G$8:$G$907,J783),SUMIFS(PARÂMETROS!$E$8:$E$907,PARÂMETROS!$A$8:$A$907,C783,PARÂMETROS!$G$8:$G$907,J783))</f>
        <v>1.907728653039038E-2</v>
      </c>
      <c r="E783" s="24">
        <f>SUMIFS(SETORES!$D:$D,SETORES!$A:$A,A783,SETORES!$F:$F,J783)</f>
        <v>12631.53</v>
      </c>
      <c r="F783" s="24">
        <f t="shared" si="41"/>
        <v>240.97531712722201</v>
      </c>
      <c r="G783" s="23">
        <f>SUMIFS(PARÂMETROS!$F$8:$F$907,PARÂMETROS!$A$8:$A$907,C783,PARÂMETROS!$G$8:$G$907,J783)</f>
        <v>0</v>
      </c>
      <c r="H783" s="24">
        <f t="shared" si="39"/>
        <v>0</v>
      </c>
      <c r="I783" s="24">
        <f t="shared" si="40"/>
        <v>240.97531712722201</v>
      </c>
      <c r="J783" t="s">
        <v>20</v>
      </c>
    </row>
    <row r="784" spans="1:10" ht="14.25" customHeight="1" x14ac:dyDescent="0.3">
      <c r="A784" t="s">
        <v>83</v>
      </c>
      <c r="B784" t="str">
        <f>INDEX(SETORES!$B:$B,MATCH(A784,SETORES!$A:$A,0))</f>
        <v>Clientes</v>
      </c>
      <c r="C784" t="s">
        <v>15</v>
      </c>
      <c r="D784" s="23">
        <f>IF(B784="Clientes",SUMIFS(PARÂMETROS!$D$8:$D$907,PARÂMETROS!$A$8:$A$907,C784,PARÂMETROS!$G$8:$G$907,J784),SUMIFS(PARÂMETROS!$E$8:$E$907,PARÂMETROS!$A$8:$A$907,C784,PARÂMETROS!$G$8:$G$907,J784))</f>
        <v>3.3429677985856672E-2</v>
      </c>
      <c r="E784" s="24">
        <f>SUMIFS(SETORES!$D:$D,SETORES!$A:$A,A784,SETORES!$F:$F,J784)</f>
        <v>12631.53</v>
      </c>
      <c r="F784" s="24">
        <f t="shared" si="41"/>
        <v>422.26798036868814</v>
      </c>
      <c r="G784" s="23">
        <f>SUMIFS(PARÂMETROS!$F$8:$F$907,PARÂMETROS!$A$8:$A$907,C784,PARÂMETROS!$G$8:$G$907,J784)</f>
        <v>0</v>
      </c>
      <c r="H784" s="24">
        <f t="shared" si="39"/>
        <v>0</v>
      </c>
      <c r="I784" s="24">
        <f t="shared" si="40"/>
        <v>422.26798036868814</v>
      </c>
      <c r="J784" t="s">
        <v>20</v>
      </c>
    </row>
    <row r="785" spans="1:10" ht="14.25" customHeight="1" x14ac:dyDescent="0.3">
      <c r="A785" t="s">
        <v>83</v>
      </c>
      <c r="B785" t="str">
        <f>INDEX(SETORES!$B:$B,MATCH(A785,SETORES!$A:$A,0))</f>
        <v>Clientes</v>
      </c>
      <c r="C785" t="s">
        <v>16</v>
      </c>
      <c r="D785" s="23">
        <f>IF(B785="Clientes",SUMIFS(PARÂMETROS!$D$8:$D$907,PARÂMETROS!$A$8:$A$907,C785,PARÂMETROS!$G$8:$G$907,J785),SUMIFS(PARÂMETROS!$E$8:$E$907,PARÂMETROS!$A$8:$A$907,C785,PARÂMETROS!$G$8:$G$907,J785))</f>
        <v>2.4722072681848353E-2</v>
      </c>
      <c r="E785" s="24">
        <f>SUMIFS(SETORES!$D:$D,SETORES!$A:$A,A785,SETORES!$F:$F,J785)</f>
        <v>12631.53</v>
      </c>
      <c r="F785" s="24">
        <f t="shared" si="41"/>
        <v>312.27760274294792</v>
      </c>
      <c r="G785" s="23">
        <f>SUMIFS(PARÂMETROS!$F$8:$F$907,PARÂMETROS!$A$8:$A$907,C785,PARÂMETROS!$G$8:$G$907,J785)</f>
        <v>0</v>
      </c>
      <c r="H785" s="24">
        <f t="shared" si="39"/>
        <v>0</v>
      </c>
      <c r="I785" s="24">
        <f t="shared" si="40"/>
        <v>312.27760274294792</v>
      </c>
      <c r="J785" t="s">
        <v>20</v>
      </c>
    </row>
    <row r="786" spans="1:10" ht="14.25" customHeight="1" x14ac:dyDescent="0.3">
      <c r="A786" t="s">
        <v>83</v>
      </c>
      <c r="B786" t="str">
        <f>INDEX(SETORES!$B:$B,MATCH(A786,SETORES!$A:$A,0))</f>
        <v>Clientes</v>
      </c>
      <c r="C786" t="s">
        <v>17</v>
      </c>
      <c r="D786" s="23">
        <f>IF(B786="Clientes",SUMIFS(PARÂMETROS!$D$8:$D$907,PARÂMETROS!$A$8:$A$907,C786,PARÂMETROS!$G$8:$G$907,J786),SUMIFS(PARÂMETROS!$E$8:$E$907,PARÂMETROS!$A$8:$A$907,C786,PARÂMETROS!$G$8:$G$907,J786))</f>
        <v>2.4993858681733368E-2</v>
      </c>
      <c r="E786" s="24">
        <f>SUMIFS(SETORES!$D:$D,SETORES!$A:$A,A786,SETORES!$F:$F,J786)</f>
        <v>12631.53</v>
      </c>
      <c r="F786" s="24">
        <f t="shared" si="41"/>
        <v>315.71067575407551</v>
      </c>
      <c r="G786" s="23">
        <f>SUMIFS(PARÂMETROS!$F$8:$F$907,PARÂMETROS!$A$8:$A$907,C786,PARÂMETROS!$G$8:$G$907,J786)</f>
        <v>0</v>
      </c>
      <c r="H786" s="24">
        <f t="shared" si="39"/>
        <v>0</v>
      </c>
      <c r="I786" s="24">
        <f t="shared" si="40"/>
        <v>315.71067575407551</v>
      </c>
      <c r="J786" t="s">
        <v>20</v>
      </c>
    </row>
    <row r="787" spans="1:10" ht="14.25" customHeight="1" x14ac:dyDescent="0.3">
      <c r="A787" t="s">
        <v>83</v>
      </c>
      <c r="B787" t="str">
        <f>INDEX(SETORES!$B:$B,MATCH(A787,SETORES!$A:$A,0))</f>
        <v>Clientes</v>
      </c>
      <c r="C787" t="s">
        <v>18</v>
      </c>
      <c r="D787" s="23">
        <f>IF(B787="Clientes",SUMIFS(PARÂMETROS!$D$8:$D$907,PARÂMETROS!$A$8:$A$907,C787,PARÂMETROS!$G$8:$G$907,J787),SUMIFS(PARÂMETROS!$E$8:$E$907,PARÂMETROS!$A$8:$A$907,C787,PARÂMETROS!$G$8:$G$907,J787))</f>
        <v>0.72000292692615264</v>
      </c>
      <c r="E787" s="24">
        <f>SUMIFS(SETORES!$D:$D,SETORES!$A:$A,A787,SETORES!$F:$F,J787)</f>
        <v>12631.53</v>
      </c>
      <c r="F787" s="24">
        <f t="shared" si="41"/>
        <v>9094.7385715555047</v>
      </c>
      <c r="G787" s="23">
        <f>SUMIFS(PARÂMETROS!$F$8:$F$907,PARÂMETROS!$A$8:$A$907,C787,PARÂMETROS!$G$8:$G$907,J787)</f>
        <v>0</v>
      </c>
      <c r="H787" s="24">
        <f t="shared" si="39"/>
        <v>0</v>
      </c>
      <c r="I787" s="24">
        <f t="shared" si="40"/>
        <v>9094.7385715555047</v>
      </c>
      <c r="J787" t="s">
        <v>20</v>
      </c>
    </row>
    <row r="788" spans="1:10" ht="14.25" customHeight="1" x14ac:dyDescent="0.3">
      <c r="A788" t="s">
        <v>83</v>
      </c>
      <c r="B788" t="str">
        <f>INDEX(SETORES!$B:$B,MATCH(A788,SETORES!$A:$A,0))</f>
        <v>Clientes</v>
      </c>
      <c r="C788" t="s">
        <v>10</v>
      </c>
      <c r="D788" s="23">
        <f>IF(B788="Clientes",SUMIFS(PARÂMETROS!$D$8:$D$907,PARÂMETROS!$A$8:$A$907,C788,PARÂMETROS!$G$8:$G$907,J788),SUMIFS(PARÂMETROS!$E$8:$E$907,PARÂMETROS!$A$8:$A$907,C788,PARÂMETROS!$G$8:$G$907,J788))</f>
        <v>3.3077914012820578E-2</v>
      </c>
      <c r="E788" s="24">
        <f>SUMIFS(SETORES!$D:$D,SETORES!$A:$A,A788,SETORES!$F:$F,J788)</f>
        <v>15557.95</v>
      </c>
      <c r="F788" s="24">
        <f t="shared" si="41"/>
        <v>514.62453231576194</v>
      </c>
      <c r="G788" s="23">
        <f>SUMIFS(PARÂMETROS!$F$8:$F$907,PARÂMETROS!$A$8:$A$907,C788,PARÂMETROS!$G$8:$G$907,J788)</f>
        <v>0</v>
      </c>
      <c r="H788" s="24">
        <f t="shared" ref="H788:H851" si="42">IFERROR(F788*G788,0)</f>
        <v>0</v>
      </c>
      <c r="I788" s="24">
        <f t="shared" ref="I788:I851" si="43">F788+H788</f>
        <v>514.62453231576194</v>
      </c>
      <c r="J788" t="s">
        <v>11</v>
      </c>
    </row>
    <row r="789" spans="1:10" ht="14.25" customHeight="1" x14ac:dyDescent="0.3">
      <c r="A789" t="s">
        <v>83</v>
      </c>
      <c r="B789" t="str">
        <f>INDEX(SETORES!$B:$B,MATCH(A789,SETORES!$A:$A,0))</f>
        <v>Clientes</v>
      </c>
      <c r="C789" t="s">
        <v>12</v>
      </c>
      <c r="D789" s="23">
        <f>IF(B789="Clientes",SUMIFS(PARÂMETROS!$D$8:$D$907,PARÂMETROS!$A$8:$A$907,C789,PARÂMETROS!$G$8:$G$907,J789),SUMIFS(PARÂMETROS!$E$8:$E$907,PARÂMETROS!$A$8:$A$907,C789,PARÂMETROS!$G$8:$G$907,J789))</f>
        <v>6.886570212940675E-2</v>
      </c>
      <c r="E789" s="24">
        <f>SUMIFS(SETORES!$D:$D,SETORES!$A:$A,A789,SETORES!$F:$F,J789)</f>
        <v>15557.95</v>
      </c>
      <c r="F789" s="24">
        <f t="shared" si="41"/>
        <v>1071.4091504442038</v>
      </c>
      <c r="G789" s="23">
        <f>SUMIFS(PARÂMETROS!$F$8:$F$907,PARÂMETROS!$A$8:$A$907,C789,PARÂMETROS!$G$8:$G$907,J789)</f>
        <v>0</v>
      </c>
      <c r="H789" s="24">
        <f t="shared" si="42"/>
        <v>0</v>
      </c>
      <c r="I789" s="24">
        <f t="shared" si="43"/>
        <v>1071.4091504442038</v>
      </c>
      <c r="J789" t="s">
        <v>11</v>
      </c>
    </row>
    <row r="790" spans="1:10" ht="14.25" customHeight="1" x14ac:dyDescent="0.3">
      <c r="A790" t="s">
        <v>83</v>
      </c>
      <c r="B790" t="str">
        <f>INDEX(SETORES!$B:$B,MATCH(A790,SETORES!$A:$A,0))</f>
        <v>Clientes</v>
      </c>
      <c r="C790" t="s">
        <v>13</v>
      </c>
      <c r="D790" s="23">
        <f>IF(B790="Clientes",SUMIFS(PARÂMETROS!$D$8:$D$907,PARÂMETROS!$A$8:$A$907,C790,PARÂMETROS!$G$8:$G$907,J790),SUMIFS(PARÂMETROS!$E$8:$E$907,PARÂMETROS!$A$8:$A$907,C790,PARÂMETROS!$G$8:$G$907,J790))</f>
        <v>7.4116083205452599E-2</v>
      </c>
      <c r="E790" s="24">
        <f>SUMIFS(SETORES!$D:$D,SETORES!$A:$A,A790,SETORES!$F:$F,J790)</f>
        <v>15557.95</v>
      </c>
      <c r="F790" s="24">
        <f t="shared" si="41"/>
        <v>1153.0943167062712</v>
      </c>
      <c r="G790" s="23">
        <f>SUMIFS(PARÂMETROS!$F$8:$F$907,PARÂMETROS!$A$8:$A$907,C790,PARÂMETROS!$G$8:$G$907,J790)</f>
        <v>0</v>
      </c>
      <c r="H790" s="24">
        <f t="shared" si="42"/>
        <v>0</v>
      </c>
      <c r="I790" s="24">
        <f t="shared" si="43"/>
        <v>1153.0943167062712</v>
      </c>
      <c r="J790" t="s">
        <v>11</v>
      </c>
    </row>
    <row r="791" spans="1:10" ht="14.25" customHeight="1" x14ac:dyDescent="0.3">
      <c r="A791" t="s">
        <v>83</v>
      </c>
      <c r="B791" t="str">
        <f>INDEX(SETORES!$B:$B,MATCH(A791,SETORES!$A:$A,0))</f>
        <v>Clientes</v>
      </c>
      <c r="C791" t="s">
        <v>14</v>
      </c>
      <c r="D791" s="23">
        <f>IF(B791="Clientes",SUMIFS(PARÂMETROS!$D$8:$D$907,PARÂMETROS!$A$8:$A$907,C791,PARÂMETROS!$G$8:$G$907,J791),SUMIFS(PARÂMETROS!$E$8:$E$907,PARÂMETROS!$A$8:$A$907,C791,PARÂMETROS!$G$8:$G$907,J791))</f>
        <v>1.9010177424901076E-2</v>
      </c>
      <c r="E791" s="24">
        <f>SUMIFS(SETORES!$D:$D,SETORES!$A:$A,A791,SETORES!$F:$F,J791)</f>
        <v>15557.95</v>
      </c>
      <c r="F791" s="24">
        <f t="shared" si="41"/>
        <v>295.75938986773969</v>
      </c>
      <c r="G791" s="23">
        <f>SUMIFS(PARÂMETROS!$F$8:$F$907,PARÂMETROS!$A$8:$A$907,C791,PARÂMETROS!$G$8:$G$907,J791)</f>
        <v>0</v>
      </c>
      <c r="H791" s="24">
        <f t="shared" si="42"/>
        <v>0</v>
      </c>
      <c r="I791" s="24">
        <f t="shared" si="43"/>
        <v>295.75938986773969</v>
      </c>
      <c r="J791" t="s">
        <v>11</v>
      </c>
    </row>
    <row r="792" spans="1:10" ht="14.25" customHeight="1" x14ac:dyDescent="0.3">
      <c r="A792" t="s">
        <v>83</v>
      </c>
      <c r="B792" t="str">
        <f>INDEX(SETORES!$B:$B,MATCH(A792,SETORES!$A:$A,0))</f>
        <v>Clientes</v>
      </c>
      <c r="C792" t="s">
        <v>15</v>
      </c>
      <c r="D792" s="23">
        <f>IF(B792="Clientes",SUMIFS(PARÂMETROS!$D$8:$D$907,PARÂMETROS!$A$8:$A$907,C792,PARÂMETROS!$G$8:$G$907,J792),SUMIFS(PARÂMETROS!$E$8:$E$907,PARÂMETROS!$A$8:$A$907,C792,PARÂMETROS!$G$8:$G$907,J792))</f>
        <v>3.302145830232546E-2</v>
      </c>
      <c r="E792" s="24">
        <f>SUMIFS(SETORES!$D:$D,SETORES!$A:$A,A792,SETORES!$F:$F,J792)</f>
        <v>15557.95</v>
      </c>
      <c r="F792" s="24">
        <f t="shared" si="41"/>
        <v>513.74619719466443</v>
      </c>
      <c r="G792" s="23">
        <f>SUMIFS(PARÂMETROS!$F$8:$F$907,PARÂMETROS!$A$8:$A$907,C792,PARÂMETROS!$G$8:$G$907,J792)</f>
        <v>0</v>
      </c>
      <c r="H792" s="24">
        <f t="shared" si="42"/>
        <v>0</v>
      </c>
      <c r="I792" s="24">
        <f t="shared" si="43"/>
        <v>513.74619719466443</v>
      </c>
      <c r="J792" t="s">
        <v>11</v>
      </c>
    </row>
    <row r="793" spans="1:10" ht="14.25" customHeight="1" x14ac:dyDescent="0.3">
      <c r="A793" t="s">
        <v>83</v>
      </c>
      <c r="B793" t="str">
        <f>INDEX(SETORES!$B:$B,MATCH(A793,SETORES!$A:$A,0))</f>
        <v>Clientes</v>
      </c>
      <c r="C793" t="s">
        <v>16</v>
      </c>
      <c r="D793" s="23">
        <f>IF(B793="Clientes",SUMIFS(PARÂMETROS!$D$8:$D$907,PARÂMETROS!$A$8:$A$907,C793,PARÂMETROS!$G$8:$G$907,J793),SUMIFS(PARÂMETROS!$E$8:$E$907,PARÂMETROS!$A$8:$A$907,C793,PARÂMETROS!$G$8:$G$907,J793))</f>
        <v>2.437346992193715E-2</v>
      </c>
      <c r="E793" s="24">
        <f>SUMIFS(SETORES!$D:$D,SETORES!$A:$A,A793,SETORES!$F:$F,J793)</f>
        <v>15557.95</v>
      </c>
      <c r="F793" s="24">
        <f t="shared" si="41"/>
        <v>379.20122637200211</v>
      </c>
      <c r="G793" s="23">
        <f>SUMIFS(PARÂMETROS!$F$8:$F$907,PARÂMETROS!$A$8:$A$907,C793,PARÂMETROS!$G$8:$G$907,J793)</f>
        <v>0</v>
      </c>
      <c r="H793" s="24">
        <f t="shared" si="42"/>
        <v>0</v>
      </c>
      <c r="I793" s="24">
        <f t="shared" si="43"/>
        <v>379.20122637200211</v>
      </c>
      <c r="J793" t="s">
        <v>11</v>
      </c>
    </row>
    <row r="794" spans="1:10" ht="14.25" customHeight="1" x14ac:dyDescent="0.3">
      <c r="A794" t="s">
        <v>83</v>
      </c>
      <c r="B794" t="str">
        <f>INDEX(SETORES!$B:$B,MATCH(A794,SETORES!$A:$A,0))</f>
        <v>Clientes</v>
      </c>
      <c r="C794" t="s">
        <v>17</v>
      </c>
      <c r="D794" s="23">
        <f>IF(B794="Clientes",SUMIFS(PARÂMETROS!$D$8:$D$907,PARÂMETROS!$A$8:$A$907,C794,PARÂMETROS!$G$8:$G$907,J794),SUMIFS(PARÂMETROS!$E$8:$E$907,PARÂMETROS!$A$8:$A$907,C794,PARÂMETROS!$G$8:$G$907,J794))</f>
        <v>2.460955743855309E-2</v>
      </c>
      <c r="E794" s="24">
        <f>SUMIFS(SETORES!$D:$D,SETORES!$A:$A,A794,SETORES!$F:$F,J794)</f>
        <v>15557.95</v>
      </c>
      <c r="F794" s="24">
        <f t="shared" si="41"/>
        <v>382.87426415113708</v>
      </c>
      <c r="G794" s="23">
        <f>SUMIFS(PARÂMETROS!$F$8:$F$907,PARÂMETROS!$A$8:$A$907,C794,PARÂMETROS!$G$8:$G$907,J794)</f>
        <v>0</v>
      </c>
      <c r="H794" s="24">
        <f t="shared" si="42"/>
        <v>0</v>
      </c>
      <c r="I794" s="24">
        <f t="shared" si="43"/>
        <v>382.87426415113708</v>
      </c>
      <c r="J794" t="s">
        <v>11</v>
      </c>
    </row>
    <row r="795" spans="1:10" ht="14.25" customHeight="1" x14ac:dyDescent="0.3">
      <c r="A795" t="s">
        <v>83</v>
      </c>
      <c r="B795" t="str">
        <f>INDEX(SETORES!$B:$B,MATCH(A795,SETORES!$A:$A,0))</f>
        <v>Clientes</v>
      </c>
      <c r="C795" t="s">
        <v>18</v>
      </c>
      <c r="D795" s="23">
        <f>IF(B795="Clientes",SUMIFS(PARÂMETROS!$D$8:$D$907,PARÂMETROS!$A$8:$A$907,C795,PARÂMETROS!$G$8:$G$907,J795),SUMIFS(PARÂMETROS!$E$8:$E$907,PARÂMETROS!$A$8:$A$907,C795,PARÂMETROS!$G$8:$G$907,J795))</f>
        <v>0.72292563756460326</v>
      </c>
      <c r="E795" s="24">
        <f>SUMIFS(SETORES!$D:$D,SETORES!$A:$A,A795,SETORES!$F:$F,J795)</f>
        <v>15557.95</v>
      </c>
      <c r="F795" s="24">
        <f t="shared" si="41"/>
        <v>11247.24092294822</v>
      </c>
      <c r="G795" s="23">
        <f>SUMIFS(PARÂMETROS!$F$8:$F$907,PARÂMETROS!$A$8:$A$907,C795,PARÂMETROS!$G$8:$G$907,J795)</f>
        <v>0</v>
      </c>
      <c r="H795" s="24">
        <f t="shared" si="42"/>
        <v>0</v>
      </c>
      <c r="I795" s="24">
        <f t="shared" si="43"/>
        <v>11247.24092294822</v>
      </c>
      <c r="J795" t="s">
        <v>11</v>
      </c>
    </row>
    <row r="796" spans="1:10" ht="14.25" customHeight="1" x14ac:dyDescent="0.3">
      <c r="A796" t="s">
        <v>83</v>
      </c>
      <c r="B796" t="str">
        <f>INDEX(SETORES!$B:$B,MATCH(A796,SETORES!$A:$A,0))</f>
        <v>Clientes</v>
      </c>
      <c r="C796" t="s">
        <v>10</v>
      </c>
      <c r="D796" s="23">
        <f>IF(B796="Clientes",SUMIFS(PARÂMETROS!$D$8:$D$907,PARÂMETROS!$A$8:$A$907,C796,PARÂMETROS!$G$8:$G$907,J796),SUMIFS(PARÂMETROS!$E$8:$E$907,PARÂMETROS!$A$8:$A$907,C796,PARÂMETROS!$G$8:$G$907,J796))</f>
        <v>3.2696249460273663E-2</v>
      </c>
      <c r="E796" s="24">
        <f>SUMIFS(SETORES!$D:$D,SETORES!$A:$A,A796,SETORES!$F:$F,J796)</f>
        <v>15993.409999999998</v>
      </c>
      <c r="F796" s="24">
        <f t="shared" si="41"/>
        <v>522.92452308043539</v>
      </c>
      <c r="G796" s="23">
        <f>SUMIFS(PARÂMETROS!$F$8:$F$907,PARÂMETROS!$A$8:$A$907,C796,PARÂMETROS!$G$8:$G$907,J796)</f>
        <v>0</v>
      </c>
      <c r="H796" s="24">
        <f t="shared" si="42"/>
        <v>0</v>
      </c>
      <c r="I796" s="24">
        <f t="shared" si="43"/>
        <v>522.92452308043539</v>
      </c>
      <c r="J796" t="s">
        <v>21</v>
      </c>
    </row>
    <row r="797" spans="1:10" ht="14.25" customHeight="1" x14ac:dyDescent="0.3">
      <c r="A797" t="s">
        <v>83</v>
      </c>
      <c r="B797" t="str">
        <f>INDEX(SETORES!$B:$B,MATCH(A797,SETORES!$A:$A,0))</f>
        <v>Clientes</v>
      </c>
      <c r="C797" t="s">
        <v>12</v>
      </c>
      <c r="D797" s="23">
        <f>IF(B797="Clientes",SUMIFS(PARÂMETROS!$D$8:$D$907,PARÂMETROS!$A$8:$A$907,C797,PARÂMETROS!$G$8:$G$907,J797),SUMIFS(PARÂMETROS!$E$8:$E$907,PARÂMETROS!$A$8:$A$907,C797,PARÂMETROS!$G$8:$G$907,J797))</f>
        <v>6.7149401213950008E-2</v>
      </c>
      <c r="E797" s="24">
        <f>SUMIFS(SETORES!$D:$D,SETORES!$A:$A,A797,SETORES!$F:$F,J797)</f>
        <v>15993.409999999998</v>
      </c>
      <c r="F797" s="24">
        <f t="shared" si="41"/>
        <v>1073.9479048692001</v>
      </c>
      <c r="G797" s="23">
        <f>SUMIFS(PARÂMETROS!$F$8:$F$907,PARÂMETROS!$A$8:$A$907,C797,PARÂMETROS!$G$8:$G$907,J797)</f>
        <v>0</v>
      </c>
      <c r="H797" s="24">
        <f t="shared" si="42"/>
        <v>0</v>
      </c>
      <c r="I797" s="24">
        <f t="shared" si="43"/>
        <v>1073.9479048692001</v>
      </c>
      <c r="J797" t="s">
        <v>21</v>
      </c>
    </row>
    <row r="798" spans="1:10" ht="14.25" customHeight="1" x14ac:dyDescent="0.3">
      <c r="A798" t="s">
        <v>83</v>
      </c>
      <c r="B798" t="str">
        <f>INDEX(SETORES!$B:$B,MATCH(A798,SETORES!$A:$A,0))</f>
        <v>Clientes</v>
      </c>
      <c r="C798" t="s">
        <v>13</v>
      </c>
      <c r="D798" s="23">
        <f>IF(B798="Clientes",SUMIFS(PARÂMETROS!$D$8:$D$907,PARÂMETROS!$A$8:$A$907,C798,PARÂMETROS!$G$8:$G$907,J798),SUMIFS(PARÂMETROS!$E$8:$E$907,PARÂMETROS!$A$8:$A$907,C798,PARÂMETROS!$G$8:$G$907,J798))</f>
        <v>7.2901519174553703E-2</v>
      </c>
      <c r="E798" s="24">
        <f>SUMIFS(SETORES!$D:$D,SETORES!$A:$A,A798,SETORES!$F:$F,J798)</f>
        <v>15993.409999999998</v>
      </c>
      <c r="F798" s="24">
        <f t="shared" si="41"/>
        <v>1165.9438857814987</v>
      </c>
      <c r="G798" s="23">
        <f>SUMIFS(PARÂMETROS!$F$8:$F$907,PARÂMETROS!$A$8:$A$907,C798,PARÂMETROS!$G$8:$G$907,J798)</f>
        <v>0</v>
      </c>
      <c r="H798" s="24">
        <f t="shared" si="42"/>
        <v>0</v>
      </c>
      <c r="I798" s="24">
        <f t="shared" si="43"/>
        <v>1165.9438857814987</v>
      </c>
      <c r="J798" t="s">
        <v>21</v>
      </c>
    </row>
    <row r="799" spans="1:10" ht="14.25" customHeight="1" x14ac:dyDescent="0.3">
      <c r="A799" t="s">
        <v>83</v>
      </c>
      <c r="B799" t="str">
        <f>INDEX(SETORES!$B:$B,MATCH(A799,SETORES!$A:$A,0))</f>
        <v>Clientes</v>
      </c>
      <c r="C799" t="s">
        <v>14</v>
      </c>
      <c r="D799" s="23">
        <f>IF(B799="Clientes",SUMIFS(PARÂMETROS!$D$8:$D$907,PARÂMETROS!$A$8:$A$907,C799,PARÂMETROS!$G$8:$G$907,J799),SUMIFS(PARÂMETROS!$E$8:$E$907,PARÂMETROS!$A$8:$A$907,C799,PARÂMETROS!$G$8:$G$907,J799))</f>
        <v>1.8685698120511587E-2</v>
      </c>
      <c r="E799" s="24">
        <f>SUMIFS(SETORES!$D:$D,SETORES!$A:$A,A799,SETORES!$F:$F,J799)</f>
        <v>15993.409999999998</v>
      </c>
      <c r="F799" s="24">
        <f t="shared" si="41"/>
        <v>298.84803117757122</v>
      </c>
      <c r="G799" s="23">
        <f>SUMIFS(PARÂMETROS!$F$8:$F$907,PARÂMETROS!$A$8:$A$907,C799,PARÂMETROS!$G$8:$G$907,J799)</f>
        <v>0</v>
      </c>
      <c r="H799" s="24">
        <f t="shared" si="42"/>
        <v>0</v>
      </c>
      <c r="I799" s="24">
        <f t="shared" si="43"/>
        <v>298.84803117757122</v>
      </c>
      <c r="J799" t="s">
        <v>21</v>
      </c>
    </row>
    <row r="800" spans="1:10" ht="14.25" customHeight="1" x14ac:dyDescent="0.3">
      <c r="A800" t="s">
        <v>83</v>
      </c>
      <c r="B800" t="str">
        <f>INDEX(SETORES!$B:$B,MATCH(A800,SETORES!$A:$A,0))</f>
        <v>Clientes</v>
      </c>
      <c r="C800" t="s">
        <v>15</v>
      </c>
      <c r="D800" s="23">
        <f>IF(B800="Clientes",SUMIFS(PARÂMETROS!$D$8:$D$907,PARÂMETROS!$A$8:$A$907,C800,PARÂMETROS!$G$8:$G$907,J800),SUMIFS(PARÂMETROS!$E$8:$E$907,PARÂMETROS!$A$8:$A$907,C800,PARÂMETROS!$G$8:$G$907,J800))</f>
        <v>3.2596989443697238E-2</v>
      </c>
      <c r="E800" s="24">
        <f>SUMIFS(SETORES!$D:$D,SETORES!$A:$A,A800,SETORES!$F:$F,J800)</f>
        <v>15993.409999999998</v>
      </c>
      <c r="F800" s="24">
        <f t="shared" si="41"/>
        <v>521.33701693872183</v>
      </c>
      <c r="G800" s="23">
        <f>SUMIFS(PARÂMETROS!$F$8:$F$907,PARÂMETROS!$A$8:$A$907,C800,PARÂMETROS!$G$8:$G$907,J800)</f>
        <v>0</v>
      </c>
      <c r="H800" s="24">
        <f t="shared" si="42"/>
        <v>0</v>
      </c>
      <c r="I800" s="24">
        <f t="shared" si="43"/>
        <v>521.33701693872183</v>
      </c>
      <c r="J800" t="s">
        <v>21</v>
      </c>
    </row>
    <row r="801" spans="1:10" ht="14.25" customHeight="1" x14ac:dyDescent="0.3">
      <c r="A801" t="s">
        <v>83</v>
      </c>
      <c r="B801" t="str">
        <f>INDEX(SETORES!$B:$B,MATCH(A801,SETORES!$A:$A,0))</f>
        <v>Clientes</v>
      </c>
      <c r="C801" t="s">
        <v>16</v>
      </c>
      <c r="D801" s="23">
        <f>IF(B801="Clientes",SUMIFS(PARÂMETROS!$D$8:$D$907,PARÂMETROS!$A$8:$A$907,C801,PARÂMETROS!$G$8:$G$907,J801),SUMIFS(PARÂMETROS!$E$8:$E$907,PARÂMETROS!$A$8:$A$907,C801,PARÂMETROS!$G$8:$G$907,J801))</f>
        <v>2.3847218982485568E-2</v>
      </c>
      <c r="E801" s="24">
        <f>SUMIFS(SETORES!$D:$D,SETORES!$A:$A,A801,SETORES!$F:$F,J801)</f>
        <v>15993.409999999998</v>
      </c>
      <c r="F801" s="24">
        <f t="shared" si="41"/>
        <v>381.39835054667446</v>
      </c>
      <c r="G801" s="23">
        <f>SUMIFS(PARÂMETROS!$F$8:$F$907,PARÂMETROS!$A$8:$A$907,C801,PARÂMETROS!$G$8:$G$907,J801)</f>
        <v>0</v>
      </c>
      <c r="H801" s="24">
        <f t="shared" si="42"/>
        <v>0</v>
      </c>
      <c r="I801" s="24">
        <f t="shared" si="43"/>
        <v>381.39835054667446</v>
      </c>
      <c r="J801" t="s">
        <v>21</v>
      </c>
    </row>
    <row r="802" spans="1:10" ht="14.25" customHeight="1" x14ac:dyDescent="0.3">
      <c r="A802" t="s">
        <v>83</v>
      </c>
      <c r="B802" t="str">
        <f>INDEX(SETORES!$B:$B,MATCH(A802,SETORES!$A:$A,0))</f>
        <v>Clientes</v>
      </c>
      <c r="C802" t="s">
        <v>17</v>
      </c>
      <c r="D802" s="23">
        <f>IF(B802="Clientes",SUMIFS(PARÂMETROS!$D$8:$D$907,PARÂMETROS!$A$8:$A$907,C802,PARÂMETROS!$G$8:$G$907,J802),SUMIFS(PARÂMETROS!$E$8:$E$907,PARÂMETROS!$A$8:$A$907,C802,PARÂMETROS!$G$8:$G$907,J802))</f>
        <v>2.3852181983314392E-2</v>
      </c>
      <c r="E802" s="24">
        <f>SUMIFS(SETORES!$D:$D,SETORES!$A:$A,A802,SETORES!$F:$F,J802)</f>
        <v>15993.409999999998</v>
      </c>
      <c r="F802" s="24">
        <f t="shared" si="41"/>
        <v>381.47772585376021</v>
      </c>
      <c r="G802" s="23">
        <f>SUMIFS(PARÂMETROS!$F$8:$F$907,PARÂMETROS!$A$8:$A$907,C802,PARÂMETROS!$G$8:$G$907,J802)</f>
        <v>0</v>
      </c>
      <c r="H802" s="24">
        <f t="shared" si="42"/>
        <v>0</v>
      </c>
      <c r="I802" s="24">
        <f t="shared" si="43"/>
        <v>381.47772585376021</v>
      </c>
      <c r="J802" t="s">
        <v>21</v>
      </c>
    </row>
    <row r="803" spans="1:10" ht="14.25" customHeight="1" x14ac:dyDescent="0.3">
      <c r="A803" t="s">
        <v>83</v>
      </c>
      <c r="B803" t="str">
        <f>INDEX(SETORES!$B:$B,MATCH(A803,SETORES!$A:$A,0))</f>
        <v>Clientes</v>
      </c>
      <c r="C803" t="s">
        <v>18</v>
      </c>
      <c r="D803" s="23">
        <f>IF(B803="Clientes",SUMIFS(PARÂMETROS!$D$8:$D$907,PARÂMETROS!$A$8:$A$907,C803,PARÂMETROS!$G$8:$G$907,J803),SUMIFS(PARÂMETROS!$E$8:$E$907,PARÂMETROS!$A$8:$A$907,C803,PARÂMETROS!$G$8:$G$907,J803))</f>
        <v>0.72827074162121386</v>
      </c>
      <c r="E803" s="24">
        <f>SUMIFS(SETORES!$D:$D,SETORES!$A:$A,A803,SETORES!$F:$F,J803)</f>
        <v>15993.409999999998</v>
      </c>
      <c r="F803" s="24">
        <f t="shared" si="41"/>
        <v>11647.532561752136</v>
      </c>
      <c r="G803" s="23">
        <f>SUMIFS(PARÂMETROS!$F$8:$F$907,PARÂMETROS!$A$8:$A$907,C803,PARÂMETROS!$G$8:$G$907,J803)</f>
        <v>0</v>
      </c>
      <c r="H803" s="24">
        <f t="shared" si="42"/>
        <v>0</v>
      </c>
      <c r="I803" s="24">
        <f t="shared" si="43"/>
        <v>11647.532561752136</v>
      </c>
      <c r="J803" t="s">
        <v>21</v>
      </c>
    </row>
    <row r="804" spans="1:10" ht="14.25" customHeight="1" x14ac:dyDescent="0.3">
      <c r="A804" t="s">
        <v>84</v>
      </c>
      <c r="B804" t="str">
        <f>INDEX(SETORES!$B:$B,MATCH(A804,SETORES!$A:$A,0))</f>
        <v>Clientes</v>
      </c>
      <c r="C804" t="s">
        <v>10</v>
      </c>
      <c r="D804" s="23">
        <f>IF(B804="Clientes",SUMIFS(PARÂMETROS!$D$8:$D$907,PARÂMETROS!$A$8:$A$907,C804,PARÂMETROS!$G$8:$G$907,J804),SUMIFS(PARÂMETROS!$E$8:$E$907,PARÂMETROS!$A$8:$A$907,C804,PARÂMETROS!$G$8:$G$907,J804))</f>
        <v>3.2823386139959339E-2</v>
      </c>
      <c r="E804" s="24">
        <f>SUMIFS(SETORES!$D:$D,SETORES!$A:$A,A804,SETORES!$F:$F,J804)</f>
        <v>146025.91000000003</v>
      </c>
      <c r="F804" s="24">
        <f t="shared" si="41"/>
        <v>4793.0648303689513</v>
      </c>
      <c r="G804" s="23">
        <f>SUMIFS(PARÂMETROS!$F$8:$F$907,PARÂMETROS!$A$8:$A$907,C804,PARÂMETROS!$G$8:$G$907,J804)</f>
        <v>0</v>
      </c>
      <c r="H804" s="24">
        <f t="shared" si="42"/>
        <v>0</v>
      </c>
      <c r="I804" s="24">
        <f t="shared" si="43"/>
        <v>4793.0648303689513</v>
      </c>
      <c r="J804" t="s">
        <v>20</v>
      </c>
    </row>
    <row r="805" spans="1:10" ht="14.25" customHeight="1" x14ac:dyDescent="0.3">
      <c r="A805" t="s">
        <v>84</v>
      </c>
      <c r="B805" t="str">
        <f>INDEX(SETORES!$B:$B,MATCH(A805,SETORES!$A:$A,0))</f>
        <v>Clientes</v>
      </c>
      <c r="C805" t="s">
        <v>12</v>
      </c>
      <c r="D805" s="23">
        <f>IF(B805="Clientes",SUMIFS(PARÂMETROS!$D$8:$D$907,PARÂMETROS!$A$8:$A$907,C805,PARÂMETROS!$G$8:$G$907,J805),SUMIFS(PARÂMETROS!$E$8:$E$907,PARÂMETROS!$A$8:$A$907,C805,PARÂMETROS!$G$8:$G$907,J805))</f>
        <v>7.0047614816518319E-2</v>
      </c>
      <c r="E805" s="24">
        <f>SUMIFS(SETORES!$D:$D,SETORES!$A:$A,A805,SETORES!$F:$F,J805)</f>
        <v>146025.91000000003</v>
      </c>
      <c r="F805" s="24">
        <f t="shared" si="41"/>
        <v>10228.766696911573</v>
      </c>
      <c r="G805" s="23">
        <f>SUMIFS(PARÂMETROS!$F$8:$F$907,PARÂMETROS!$A$8:$A$907,C805,PARÂMETROS!$G$8:$G$907,J805)</f>
        <v>0</v>
      </c>
      <c r="H805" s="24">
        <f t="shared" si="42"/>
        <v>0</v>
      </c>
      <c r="I805" s="24">
        <f t="shared" si="43"/>
        <v>10228.766696911573</v>
      </c>
      <c r="J805" t="s">
        <v>20</v>
      </c>
    </row>
    <row r="806" spans="1:10" ht="14.25" customHeight="1" x14ac:dyDescent="0.3">
      <c r="A806" t="s">
        <v>84</v>
      </c>
      <c r="B806" t="str">
        <f>INDEX(SETORES!$B:$B,MATCH(A806,SETORES!$A:$A,0))</f>
        <v>Clientes</v>
      </c>
      <c r="C806" t="s">
        <v>13</v>
      </c>
      <c r="D806" s="23">
        <f>IF(B806="Clientes",SUMIFS(PARÂMETROS!$D$8:$D$907,PARÂMETROS!$A$8:$A$907,C806,PARÂMETROS!$G$8:$G$907,J806),SUMIFS(PARÂMETROS!$E$8:$E$907,PARÂMETROS!$A$8:$A$907,C806,PARÂMETROS!$G$8:$G$907,J806))</f>
        <v>7.4903176237540961E-2</v>
      </c>
      <c r="E806" s="24">
        <f>SUMIFS(SETORES!$D:$D,SETORES!$A:$A,A806,SETORES!$F:$F,J806)</f>
        <v>146025.91000000003</v>
      </c>
      <c r="F806" s="24">
        <f t="shared" si="41"/>
        <v>10937.804471977297</v>
      </c>
      <c r="G806" s="23">
        <f>SUMIFS(PARÂMETROS!$F$8:$F$907,PARÂMETROS!$A$8:$A$907,C806,PARÂMETROS!$G$8:$G$907,J806)</f>
        <v>0</v>
      </c>
      <c r="H806" s="24">
        <f t="shared" si="42"/>
        <v>0</v>
      </c>
      <c r="I806" s="24">
        <f t="shared" si="43"/>
        <v>10937.804471977297</v>
      </c>
      <c r="J806" t="s">
        <v>20</v>
      </c>
    </row>
    <row r="807" spans="1:10" ht="14.25" customHeight="1" x14ac:dyDescent="0.3">
      <c r="A807" t="s">
        <v>84</v>
      </c>
      <c r="B807" t="str">
        <f>INDEX(SETORES!$B:$B,MATCH(A807,SETORES!$A:$A,0))</f>
        <v>Clientes</v>
      </c>
      <c r="C807" t="s">
        <v>14</v>
      </c>
      <c r="D807" s="23">
        <f>IF(B807="Clientes",SUMIFS(PARÂMETROS!$D$8:$D$907,PARÂMETROS!$A$8:$A$907,C807,PARÂMETROS!$G$8:$G$907,J807),SUMIFS(PARÂMETROS!$E$8:$E$907,PARÂMETROS!$A$8:$A$907,C807,PARÂMETROS!$G$8:$G$907,J807))</f>
        <v>1.907728653039038E-2</v>
      </c>
      <c r="E807" s="24">
        <f>SUMIFS(SETORES!$D:$D,SETORES!$A:$A,A807,SETORES!$F:$F,J807)</f>
        <v>146025.91000000003</v>
      </c>
      <c r="F807" s="24">
        <f t="shared" si="41"/>
        <v>2785.7781259309986</v>
      </c>
      <c r="G807" s="23">
        <f>SUMIFS(PARÂMETROS!$F$8:$F$907,PARÂMETROS!$A$8:$A$907,C807,PARÂMETROS!$G$8:$G$907,J807)</f>
        <v>0</v>
      </c>
      <c r="H807" s="24">
        <f t="shared" si="42"/>
        <v>0</v>
      </c>
      <c r="I807" s="24">
        <f t="shared" si="43"/>
        <v>2785.7781259309986</v>
      </c>
      <c r="J807" t="s">
        <v>20</v>
      </c>
    </row>
    <row r="808" spans="1:10" ht="14.25" customHeight="1" x14ac:dyDescent="0.3">
      <c r="A808" t="s">
        <v>84</v>
      </c>
      <c r="B808" t="str">
        <f>INDEX(SETORES!$B:$B,MATCH(A808,SETORES!$A:$A,0))</f>
        <v>Clientes</v>
      </c>
      <c r="C808" t="s">
        <v>15</v>
      </c>
      <c r="D808" s="23">
        <f>IF(B808="Clientes",SUMIFS(PARÂMETROS!$D$8:$D$907,PARÂMETROS!$A$8:$A$907,C808,PARÂMETROS!$G$8:$G$907,J808),SUMIFS(PARÂMETROS!$E$8:$E$907,PARÂMETROS!$A$8:$A$907,C808,PARÂMETROS!$G$8:$G$907,J808))</f>
        <v>3.3429677985856672E-2</v>
      </c>
      <c r="E808" s="24">
        <f>SUMIFS(SETORES!$D:$D,SETORES!$A:$A,A808,SETORES!$F:$F,J808)</f>
        <v>146025.91000000003</v>
      </c>
      <c r="F808" s="24">
        <f t="shared" si="41"/>
        <v>4881.5991488916889</v>
      </c>
      <c r="G808" s="23">
        <f>SUMIFS(PARÂMETROS!$F$8:$F$907,PARÂMETROS!$A$8:$A$907,C808,PARÂMETROS!$G$8:$G$907,J808)</f>
        <v>0</v>
      </c>
      <c r="H808" s="24">
        <f t="shared" si="42"/>
        <v>0</v>
      </c>
      <c r="I808" s="24">
        <f t="shared" si="43"/>
        <v>4881.5991488916889</v>
      </c>
      <c r="J808" t="s">
        <v>20</v>
      </c>
    </row>
    <row r="809" spans="1:10" ht="14.25" customHeight="1" x14ac:dyDescent="0.3">
      <c r="A809" t="s">
        <v>84</v>
      </c>
      <c r="B809" t="str">
        <f>INDEX(SETORES!$B:$B,MATCH(A809,SETORES!$A:$A,0))</f>
        <v>Clientes</v>
      </c>
      <c r="C809" t="s">
        <v>16</v>
      </c>
      <c r="D809" s="23">
        <f>IF(B809="Clientes",SUMIFS(PARÂMETROS!$D$8:$D$907,PARÂMETROS!$A$8:$A$907,C809,PARÂMETROS!$G$8:$G$907,J809),SUMIFS(PARÂMETROS!$E$8:$E$907,PARÂMETROS!$A$8:$A$907,C809,PARÂMETROS!$G$8:$G$907,J809))</f>
        <v>2.4722072681848353E-2</v>
      </c>
      <c r="E809" s="24">
        <f>SUMIFS(SETORES!$D:$D,SETORES!$A:$A,A809,SETORES!$F:$F,J809)</f>
        <v>146025.91000000003</v>
      </c>
      <c r="F809" s="24">
        <f t="shared" si="41"/>
        <v>3610.0631604530472</v>
      </c>
      <c r="G809" s="23">
        <f>SUMIFS(PARÂMETROS!$F$8:$F$907,PARÂMETROS!$A$8:$A$907,C809,PARÂMETROS!$G$8:$G$907,J809)</f>
        <v>0</v>
      </c>
      <c r="H809" s="24">
        <f t="shared" si="42"/>
        <v>0</v>
      </c>
      <c r="I809" s="24">
        <f t="shared" si="43"/>
        <v>3610.0631604530472</v>
      </c>
      <c r="J809" t="s">
        <v>20</v>
      </c>
    </row>
    <row r="810" spans="1:10" ht="14.25" customHeight="1" x14ac:dyDescent="0.3">
      <c r="A810" t="s">
        <v>84</v>
      </c>
      <c r="B810" t="str">
        <f>INDEX(SETORES!$B:$B,MATCH(A810,SETORES!$A:$A,0))</f>
        <v>Clientes</v>
      </c>
      <c r="C810" t="s">
        <v>17</v>
      </c>
      <c r="D810" s="23">
        <f>IF(B810="Clientes",SUMIFS(PARÂMETROS!$D$8:$D$907,PARÂMETROS!$A$8:$A$907,C810,PARÂMETROS!$G$8:$G$907,J810),SUMIFS(PARÂMETROS!$E$8:$E$907,PARÂMETROS!$A$8:$A$907,C810,PARÂMETROS!$G$8:$G$907,J810))</f>
        <v>2.4993858681733368E-2</v>
      </c>
      <c r="E810" s="24">
        <f>SUMIFS(SETORES!$D:$D,SETORES!$A:$A,A810,SETORES!$F:$F,J810)</f>
        <v>146025.91000000003</v>
      </c>
      <c r="F810" s="24">
        <f t="shared" si="41"/>
        <v>3649.7509584115164</v>
      </c>
      <c r="G810" s="23">
        <f>SUMIFS(PARÂMETROS!$F$8:$F$907,PARÂMETROS!$A$8:$A$907,C810,PARÂMETROS!$G$8:$G$907,J810)</f>
        <v>0</v>
      </c>
      <c r="H810" s="24">
        <f t="shared" si="42"/>
        <v>0</v>
      </c>
      <c r="I810" s="24">
        <f t="shared" si="43"/>
        <v>3649.7509584115164</v>
      </c>
      <c r="J810" t="s">
        <v>20</v>
      </c>
    </row>
    <row r="811" spans="1:10" ht="14.25" customHeight="1" x14ac:dyDescent="0.3">
      <c r="A811" t="s">
        <v>84</v>
      </c>
      <c r="B811" t="str">
        <f>INDEX(SETORES!$B:$B,MATCH(A811,SETORES!$A:$A,0))</f>
        <v>Clientes</v>
      </c>
      <c r="C811" t="s">
        <v>18</v>
      </c>
      <c r="D811" s="23">
        <f>IF(B811="Clientes",SUMIFS(PARÂMETROS!$D$8:$D$907,PARÂMETROS!$A$8:$A$907,C811,PARÂMETROS!$G$8:$G$907,J811),SUMIFS(PARÂMETROS!$E$8:$E$907,PARÂMETROS!$A$8:$A$907,C811,PARÂMETROS!$G$8:$G$907,J811))</f>
        <v>0.72000292692615264</v>
      </c>
      <c r="E811" s="24">
        <f>SUMIFS(SETORES!$D:$D,SETORES!$A:$A,A811,SETORES!$F:$F,J811)</f>
        <v>146025.91000000003</v>
      </c>
      <c r="F811" s="24">
        <f t="shared" ref="F811:F874" si="44">IFERROR(D811*E811,0)</f>
        <v>105139.08260705497</v>
      </c>
      <c r="G811" s="23">
        <f>SUMIFS(PARÂMETROS!$F$8:$F$907,PARÂMETROS!$A$8:$A$907,C811,PARÂMETROS!$G$8:$G$907,J811)</f>
        <v>0</v>
      </c>
      <c r="H811" s="24">
        <f t="shared" si="42"/>
        <v>0</v>
      </c>
      <c r="I811" s="24">
        <f t="shared" si="43"/>
        <v>105139.08260705497</v>
      </c>
      <c r="J811" t="s">
        <v>20</v>
      </c>
    </row>
    <row r="812" spans="1:10" ht="14.25" customHeight="1" x14ac:dyDescent="0.3">
      <c r="A812" t="s">
        <v>84</v>
      </c>
      <c r="B812" t="str">
        <f>INDEX(SETORES!$B:$B,MATCH(A812,SETORES!$A:$A,0))</f>
        <v>Clientes</v>
      </c>
      <c r="C812" t="s">
        <v>10</v>
      </c>
      <c r="D812" s="23">
        <f>IF(B812="Clientes",SUMIFS(PARÂMETROS!$D$8:$D$907,PARÂMETROS!$A$8:$A$907,C812,PARÂMETROS!$G$8:$G$907,J812),SUMIFS(PARÂMETROS!$E$8:$E$907,PARÂMETROS!$A$8:$A$907,C812,PARÂMETROS!$G$8:$G$907,J812))</f>
        <v>3.3077914012820578E-2</v>
      </c>
      <c r="E812" s="24">
        <f>SUMIFS(SETORES!$D:$D,SETORES!$A:$A,A812,SETORES!$F:$F,J812)</f>
        <v>162834.54</v>
      </c>
      <c r="F812" s="24">
        <f t="shared" si="44"/>
        <v>5386.2269124371933</v>
      </c>
      <c r="G812" s="23">
        <f>SUMIFS(PARÂMETROS!$F$8:$F$907,PARÂMETROS!$A$8:$A$907,C812,PARÂMETROS!$G$8:$G$907,J812)</f>
        <v>0</v>
      </c>
      <c r="H812" s="24">
        <f t="shared" si="42"/>
        <v>0</v>
      </c>
      <c r="I812" s="24">
        <f t="shared" si="43"/>
        <v>5386.2269124371933</v>
      </c>
      <c r="J812" t="s">
        <v>11</v>
      </c>
    </row>
    <row r="813" spans="1:10" ht="14.25" customHeight="1" x14ac:dyDescent="0.3">
      <c r="A813" t="s">
        <v>84</v>
      </c>
      <c r="B813" t="str">
        <f>INDEX(SETORES!$B:$B,MATCH(A813,SETORES!$A:$A,0))</f>
        <v>Clientes</v>
      </c>
      <c r="C813" t="s">
        <v>12</v>
      </c>
      <c r="D813" s="23">
        <f>IF(B813="Clientes",SUMIFS(PARÂMETROS!$D$8:$D$907,PARÂMETROS!$A$8:$A$907,C813,PARÂMETROS!$G$8:$G$907,J813),SUMIFS(PARÂMETROS!$E$8:$E$907,PARÂMETROS!$A$8:$A$907,C813,PARÂMETROS!$G$8:$G$907,J813))</f>
        <v>6.886570212940675E-2</v>
      </c>
      <c r="E813" s="24">
        <f>SUMIFS(SETORES!$D:$D,SETORES!$A:$A,A813,SETORES!$F:$F,J813)</f>
        <v>162834.54</v>
      </c>
      <c r="F813" s="24">
        <f t="shared" si="44"/>
        <v>11213.71492801897</v>
      </c>
      <c r="G813" s="23">
        <f>SUMIFS(PARÂMETROS!$F$8:$F$907,PARÂMETROS!$A$8:$A$907,C813,PARÂMETROS!$G$8:$G$907,J813)</f>
        <v>0</v>
      </c>
      <c r="H813" s="24">
        <f t="shared" si="42"/>
        <v>0</v>
      </c>
      <c r="I813" s="24">
        <f t="shared" si="43"/>
        <v>11213.71492801897</v>
      </c>
      <c r="J813" t="s">
        <v>11</v>
      </c>
    </row>
    <row r="814" spans="1:10" ht="14.25" customHeight="1" x14ac:dyDescent="0.3">
      <c r="A814" t="s">
        <v>84</v>
      </c>
      <c r="B814" t="str">
        <f>INDEX(SETORES!$B:$B,MATCH(A814,SETORES!$A:$A,0))</f>
        <v>Clientes</v>
      </c>
      <c r="C814" t="s">
        <v>13</v>
      </c>
      <c r="D814" s="23">
        <f>IF(B814="Clientes",SUMIFS(PARÂMETROS!$D$8:$D$907,PARÂMETROS!$A$8:$A$907,C814,PARÂMETROS!$G$8:$G$907,J814),SUMIFS(PARÂMETROS!$E$8:$E$907,PARÂMETROS!$A$8:$A$907,C814,PARÂMETROS!$G$8:$G$907,J814))</f>
        <v>7.4116083205452599E-2</v>
      </c>
      <c r="E814" s="24">
        <f>SUMIFS(SETORES!$D:$D,SETORES!$A:$A,A814,SETORES!$F:$F,J814)</f>
        <v>162834.54</v>
      </c>
      <c r="F814" s="24">
        <f t="shared" si="44"/>
        <v>12068.658315361599</v>
      </c>
      <c r="G814" s="23">
        <f>SUMIFS(PARÂMETROS!$F$8:$F$907,PARÂMETROS!$A$8:$A$907,C814,PARÂMETROS!$G$8:$G$907,J814)</f>
        <v>0</v>
      </c>
      <c r="H814" s="24">
        <f t="shared" si="42"/>
        <v>0</v>
      </c>
      <c r="I814" s="24">
        <f t="shared" si="43"/>
        <v>12068.658315361599</v>
      </c>
      <c r="J814" t="s">
        <v>11</v>
      </c>
    </row>
    <row r="815" spans="1:10" ht="14.25" customHeight="1" x14ac:dyDescent="0.3">
      <c r="A815" t="s">
        <v>84</v>
      </c>
      <c r="B815" t="str">
        <f>INDEX(SETORES!$B:$B,MATCH(A815,SETORES!$A:$A,0))</f>
        <v>Clientes</v>
      </c>
      <c r="C815" t="s">
        <v>14</v>
      </c>
      <c r="D815" s="23">
        <f>IF(B815="Clientes",SUMIFS(PARÂMETROS!$D$8:$D$907,PARÂMETROS!$A$8:$A$907,C815,PARÂMETROS!$G$8:$G$907,J815),SUMIFS(PARÂMETROS!$E$8:$E$907,PARÂMETROS!$A$8:$A$907,C815,PARÂMETROS!$G$8:$G$907,J815))</f>
        <v>1.9010177424901076E-2</v>
      </c>
      <c r="E815" s="24">
        <f>SUMIFS(SETORES!$D:$D,SETORES!$A:$A,A815,SETORES!$F:$F,J815)</f>
        <v>162834.54</v>
      </c>
      <c r="F815" s="24">
        <f t="shared" si="44"/>
        <v>3095.5134963021515</v>
      </c>
      <c r="G815" s="23">
        <f>SUMIFS(PARÂMETROS!$F$8:$F$907,PARÂMETROS!$A$8:$A$907,C815,PARÂMETROS!$G$8:$G$907,J815)</f>
        <v>0</v>
      </c>
      <c r="H815" s="24">
        <f t="shared" si="42"/>
        <v>0</v>
      </c>
      <c r="I815" s="24">
        <f t="shared" si="43"/>
        <v>3095.5134963021515</v>
      </c>
      <c r="J815" t="s">
        <v>11</v>
      </c>
    </row>
    <row r="816" spans="1:10" ht="14.25" customHeight="1" x14ac:dyDescent="0.3">
      <c r="A816" t="s">
        <v>84</v>
      </c>
      <c r="B816" t="str">
        <f>INDEX(SETORES!$B:$B,MATCH(A816,SETORES!$A:$A,0))</f>
        <v>Clientes</v>
      </c>
      <c r="C816" t="s">
        <v>15</v>
      </c>
      <c r="D816" s="23">
        <f>IF(B816="Clientes",SUMIFS(PARÂMETROS!$D$8:$D$907,PARÂMETROS!$A$8:$A$907,C816,PARÂMETROS!$G$8:$G$907,J816),SUMIFS(PARÂMETROS!$E$8:$E$907,PARÂMETROS!$A$8:$A$907,C816,PARÂMETROS!$G$8:$G$907,J816))</f>
        <v>3.302145830232546E-2</v>
      </c>
      <c r="E816" s="24">
        <f>SUMIFS(SETORES!$D:$D,SETORES!$A:$A,A816,SETORES!$F:$F,J816)</f>
        <v>162834.54</v>
      </c>
      <c r="F816" s="24">
        <f t="shared" si="44"/>
        <v>5377.0339727883475</v>
      </c>
      <c r="G816" s="23">
        <f>SUMIFS(PARÂMETROS!$F$8:$F$907,PARÂMETROS!$A$8:$A$907,C816,PARÂMETROS!$G$8:$G$907,J816)</f>
        <v>0</v>
      </c>
      <c r="H816" s="24">
        <f t="shared" si="42"/>
        <v>0</v>
      </c>
      <c r="I816" s="24">
        <f t="shared" si="43"/>
        <v>5377.0339727883475</v>
      </c>
      <c r="J816" t="s">
        <v>11</v>
      </c>
    </row>
    <row r="817" spans="1:10" ht="14.25" customHeight="1" x14ac:dyDescent="0.3">
      <c r="A817" t="s">
        <v>84</v>
      </c>
      <c r="B817" t="str">
        <f>INDEX(SETORES!$B:$B,MATCH(A817,SETORES!$A:$A,0))</f>
        <v>Clientes</v>
      </c>
      <c r="C817" t="s">
        <v>16</v>
      </c>
      <c r="D817" s="23">
        <f>IF(B817="Clientes",SUMIFS(PARÂMETROS!$D$8:$D$907,PARÂMETROS!$A$8:$A$907,C817,PARÂMETROS!$G$8:$G$907,J817),SUMIFS(PARÂMETROS!$E$8:$E$907,PARÂMETROS!$A$8:$A$907,C817,PARÂMETROS!$G$8:$G$907,J817))</f>
        <v>2.437346992193715E-2</v>
      </c>
      <c r="E817" s="24">
        <f>SUMIFS(SETORES!$D:$D,SETORES!$A:$A,A817,SETORES!$F:$F,J817)</f>
        <v>162834.54</v>
      </c>
      <c r="F817" s="24">
        <f t="shared" si="44"/>
        <v>3968.8427629424718</v>
      </c>
      <c r="G817" s="23">
        <f>SUMIFS(PARÂMETROS!$F$8:$F$907,PARÂMETROS!$A$8:$A$907,C817,PARÂMETROS!$G$8:$G$907,J817)</f>
        <v>0</v>
      </c>
      <c r="H817" s="24">
        <f t="shared" si="42"/>
        <v>0</v>
      </c>
      <c r="I817" s="24">
        <f t="shared" si="43"/>
        <v>3968.8427629424718</v>
      </c>
      <c r="J817" t="s">
        <v>11</v>
      </c>
    </row>
    <row r="818" spans="1:10" ht="14.25" customHeight="1" x14ac:dyDescent="0.3">
      <c r="A818" t="s">
        <v>84</v>
      </c>
      <c r="B818" t="str">
        <f>INDEX(SETORES!$B:$B,MATCH(A818,SETORES!$A:$A,0))</f>
        <v>Clientes</v>
      </c>
      <c r="C818" t="s">
        <v>17</v>
      </c>
      <c r="D818" s="23">
        <f>IF(B818="Clientes",SUMIFS(PARÂMETROS!$D$8:$D$907,PARÂMETROS!$A$8:$A$907,C818,PARÂMETROS!$G$8:$G$907,J818),SUMIFS(PARÂMETROS!$E$8:$E$907,PARÂMETROS!$A$8:$A$907,C818,PARÂMETROS!$G$8:$G$907,J818))</f>
        <v>2.460955743855309E-2</v>
      </c>
      <c r="E818" s="24">
        <f>SUMIFS(SETORES!$D:$D,SETORES!$A:$A,A818,SETORES!$F:$F,J818)</f>
        <v>162834.54</v>
      </c>
      <c r="F818" s="24">
        <f t="shared" si="44"/>
        <v>4007.2859651103709</v>
      </c>
      <c r="G818" s="23">
        <f>SUMIFS(PARÂMETROS!$F$8:$F$907,PARÂMETROS!$A$8:$A$907,C818,PARÂMETROS!$G$8:$G$907,J818)</f>
        <v>0</v>
      </c>
      <c r="H818" s="24">
        <f t="shared" si="42"/>
        <v>0</v>
      </c>
      <c r="I818" s="24">
        <f t="shared" si="43"/>
        <v>4007.2859651103709</v>
      </c>
      <c r="J818" t="s">
        <v>11</v>
      </c>
    </row>
    <row r="819" spans="1:10" ht="14.25" customHeight="1" x14ac:dyDescent="0.3">
      <c r="A819" t="s">
        <v>84</v>
      </c>
      <c r="B819" t="str">
        <f>INDEX(SETORES!$B:$B,MATCH(A819,SETORES!$A:$A,0))</f>
        <v>Clientes</v>
      </c>
      <c r="C819" t="s">
        <v>18</v>
      </c>
      <c r="D819" s="23">
        <f>IF(B819="Clientes",SUMIFS(PARÂMETROS!$D$8:$D$907,PARÂMETROS!$A$8:$A$907,C819,PARÂMETROS!$G$8:$G$907,J819),SUMIFS(PARÂMETROS!$E$8:$E$907,PARÂMETROS!$A$8:$A$907,C819,PARÂMETROS!$G$8:$G$907,J819))</f>
        <v>0.72292563756460326</v>
      </c>
      <c r="E819" s="24">
        <f>SUMIFS(SETORES!$D:$D,SETORES!$A:$A,A819,SETORES!$F:$F,J819)</f>
        <v>162834.54</v>
      </c>
      <c r="F819" s="24">
        <f t="shared" si="44"/>
        <v>117717.2636470389</v>
      </c>
      <c r="G819" s="23">
        <f>SUMIFS(PARÂMETROS!$F$8:$F$907,PARÂMETROS!$A$8:$A$907,C819,PARÂMETROS!$G$8:$G$907,J819)</f>
        <v>0</v>
      </c>
      <c r="H819" s="24">
        <f t="shared" si="42"/>
        <v>0</v>
      </c>
      <c r="I819" s="24">
        <f t="shared" si="43"/>
        <v>117717.2636470389</v>
      </c>
      <c r="J819" t="s">
        <v>11</v>
      </c>
    </row>
    <row r="820" spans="1:10" ht="14.25" customHeight="1" x14ac:dyDescent="0.3">
      <c r="A820" t="s">
        <v>84</v>
      </c>
      <c r="B820" t="str">
        <f>INDEX(SETORES!$B:$B,MATCH(A820,SETORES!$A:$A,0))</f>
        <v>Clientes</v>
      </c>
      <c r="C820" t="s">
        <v>10</v>
      </c>
      <c r="D820" s="23">
        <f>IF(B820="Clientes",SUMIFS(PARÂMETROS!$D$8:$D$907,PARÂMETROS!$A$8:$A$907,C820,PARÂMETROS!$G$8:$G$907,J820),SUMIFS(PARÂMETROS!$E$8:$E$907,PARÂMETROS!$A$8:$A$907,C820,PARÂMETROS!$G$8:$G$907,J820))</f>
        <v>3.2696249460273663E-2</v>
      </c>
      <c r="E820" s="24">
        <f>SUMIFS(SETORES!$D:$D,SETORES!$A:$A,A820,SETORES!$F:$F,J820)</f>
        <v>180159.93</v>
      </c>
      <c r="F820" s="24">
        <f t="shared" si="44"/>
        <v>5890.5540140254407</v>
      </c>
      <c r="G820" s="23">
        <f>SUMIFS(PARÂMETROS!$F$8:$F$907,PARÂMETROS!$A$8:$A$907,C820,PARÂMETROS!$G$8:$G$907,J820)</f>
        <v>0</v>
      </c>
      <c r="H820" s="24">
        <f t="shared" si="42"/>
        <v>0</v>
      </c>
      <c r="I820" s="24">
        <f t="shared" si="43"/>
        <v>5890.5540140254407</v>
      </c>
      <c r="J820" t="s">
        <v>21</v>
      </c>
    </row>
    <row r="821" spans="1:10" ht="14.25" customHeight="1" x14ac:dyDescent="0.3">
      <c r="A821" t="s">
        <v>84</v>
      </c>
      <c r="B821" t="str">
        <f>INDEX(SETORES!$B:$B,MATCH(A821,SETORES!$A:$A,0))</f>
        <v>Clientes</v>
      </c>
      <c r="C821" t="s">
        <v>12</v>
      </c>
      <c r="D821" s="23">
        <f>IF(B821="Clientes",SUMIFS(PARÂMETROS!$D$8:$D$907,PARÂMETROS!$A$8:$A$907,C821,PARÂMETROS!$G$8:$G$907,J821),SUMIFS(PARÂMETROS!$E$8:$E$907,PARÂMETROS!$A$8:$A$907,C821,PARÂMETROS!$G$8:$G$907,J821))</f>
        <v>6.7149401213950008E-2</v>
      </c>
      <c r="E821" s="24">
        <f>SUMIFS(SETORES!$D:$D,SETORES!$A:$A,A821,SETORES!$F:$F,J821)</f>
        <v>180159.93</v>
      </c>
      <c r="F821" s="24">
        <f t="shared" si="44"/>
        <v>12097.631422247148</v>
      </c>
      <c r="G821" s="23">
        <f>SUMIFS(PARÂMETROS!$F$8:$F$907,PARÂMETROS!$A$8:$A$907,C821,PARÂMETROS!$G$8:$G$907,J821)</f>
        <v>0</v>
      </c>
      <c r="H821" s="24">
        <f t="shared" si="42"/>
        <v>0</v>
      </c>
      <c r="I821" s="24">
        <f t="shared" si="43"/>
        <v>12097.631422247148</v>
      </c>
      <c r="J821" t="s">
        <v>21</v>
      </c>
    </row>
    <row r="822" spans="1:10" ht="14.25" customHeight="1" x14ac:dyDescent="0.3">
      <c r="A822" t="s">
        <v>84</v>
      </c>
      <c r="B822" t="str">
        <f>INDEX(SETORES!$B:$B,MATCH(A822,SETORES!$A:$A,0))</f>
        <v>Clientes</v>
      </c>
      <c r="C822" t="s">
        <v>13</v>
      </c>
      <c r="D822" s="23">
        <f>IF(B822="Clientes",SUMIFS(PARÂMETROS!$D$8:$D$907,PARÂMETROS!$A$8:$A$907,C822,PARÂMETROS!$G$8:$G$907,J822),SUMIFS(PARÂMETROS!$E$8:$E$907,PARÂMETROS!$A$8:$A$907,C822,PARÂMETROS!$G$8:$G$907,J822))</f>
        <v>7.2901519174553703E-2</v>
      </c>
      <c r="E822" s="24">
        <f>SUMIFS(SETORES!$D:$D,SETORES!$A:$A,A822,SETORES!$F:$F,J822)</f>
        <v>180159.93</v>
      </c>
      <c r="F822" s="24">
        <f t="shared" si="44"/>
        <v>13133.932591381252</v>
      </c>
      <c r="G822" s="23">
        <f>SUMIFS(PARÂMETROS!$F$8:$F$907,PARÂMETROS!$A$8:$A$907,C822,PARÂMETROS!$G$8:$G$907,J822)</f>
        <v>0</v>
      </c>
      <c r="H822" s="24">
        <f t="shared" si="42"/>
        <v>0</v>
      </c>
      <c r="I822" s="24">
        <f t="shared" si="43"/>
        <v>13133.932591381252</v>
      </c>
      <c r="J822" t="s">
        <v>21</v>
      </c>
    </row>
    <row r="823" spans="1:10" ht="14.25" customHeight="1" x14ac:dyDescent="0.3">
      <c r="A823" t="s">
        <v>84</v>
      </c>
      <c r="B823" t="str">
        <f>INDEX(SETORES!$B:$B,MATCH(A823,SETORES!$A:$A,0))</f>
        <v>Clientes</v>
      </c>
      <c r="C823" t="s">
        <v>14</v>
      </c>
      <c r="D823" s="23">
        <f>IF(B823="Clientes",SUMIFS(PARÂMETROS!$D$8:$D$907,PARÂMETROS!$A$8:$A$907,C823,PARÂMETROS!$G$8:$G$907,J823),SUMIFS(PARÂMETROS!$E$8:$E$907,PARÂMETROS!$A$8:$A$907,C823,PARÂMETROS!$G$8:$G$907,J823))</f>
        <v>1.8685698120511587E-2</v>
      </c>
      <c r="E823" s="24">
        <f>SUMIFS(SETORES!$D:$D,SETORES!$A:$A,A823,SETORES!$F:$F,J823)</f>
        <v>180159.93</v>
      </c>
      <c r="F823" s="24">
        <f t="shared" si="44"/>
        <v>3366.4140653924992</v>
      </c>
      <c r="G823" s="23">
        <f>SUMIFS(PARÂMETROS!$F$8:$F$907,PARÂMETROS!$A$8:$A$907,C823,PARÂMETROS!$G$8:$G$907,J823)</f>
        <v>0</v>
      </c>
      <c r="H823" s="24">
        <f t="shared" si="42"/>
        <v>0</v>
      </c>
      <c r="I823" s="24">
        <f t="shared" si="43"/>
        <v>3366.4140653924992</v>
      </c>
      <c r="J823" t="s">
        <v>21</v>
      </c>
    </row>
    <row r="824" spans="1:10" ht="14.25" customHeight="1" x14ac:dyDescent="0.3">
      <c r="A824" t="s">
        <v>84</v>
      </c>
      <c r="B824" t="str">
        <f>INDEX(SETORES!$B:$B,MATCH(A824,SETORES!$A:$A,0))</f>
        <v>Clientes</v>
      </c>
      <c r="C824" t="s">
        <v>15</v>
      </c>
      <c r="D824" s="23">
        <f>IF(B824="Clientes",SUMIFS(PARÂMETROS!$D$8:$D$907,PARÂMETROS!$A$8:$A$907,C824,PARÂMETROS!$G$8:$G$907,J824),SUMIFS(PARÂMETROS!$E$8:$E$907,PARÂMETROS!$A$8:$A$907,C824,PARÂMETROS!$G$8:$G$907,J824))</f>
        <v>3.2596989443697238E-2</v>
      </c>
      <c r="E824" s="24">
        <f>SUMIFS(SETORES!$D:$D,SETORES!$A:$A,A824,SETORES!$F:$F,J824)</f>
        <v>180159.93</v>
      </c>
      <c r="F824" s="24">
        <f t="shared" si="44"/>
        <v>5872.6713363872332</v>
      </c>
      <c r="G824" s="23">
        <f>SUMIFS(PARÂMETROS!$F$8:$F$907,PARÂMETROS!$A$8:$A$907,C824,PARÂMETROS!$G$8:$G$907,J824)</f>
        <v>0</v>
      </c>
      <c r="H824" s="24">
        <f t="shared" si="42"/>
        <v>0</v>
      </c>
      <c r="I824" s="24">
        <f t="shared" si="43"/>
        <v>5872.6713363872332</v>
      </c>
      <c r="J824" t="s">
        <v>21</v>
      </c>
    </row>
    <row r="825" spans="1:10" ht="14.25" customHeight="1" x14ac:dyDescent="0.3">
      <c r="A825" t="s">
        <v>84</v>
      </c>
      <c r="B825" t="str">
        <f>INDEX(SETORES!$B:$B,MATCH(A825,SETORES!$A:$A,0))</f>
        <v>Clientes</v>
      </c>
      <c r="C825" t="s">
        <v>16</v>
      </c>
      <c r="D825" s="23">
        <f>IF(B825="Clientes",SUMIFS(PARÂMETROS!$D$8:$D$907,PARÂMETROS!$A$8:$A$907,C825,PARÂMETROS!$G$8:$G$907,J825),SUMIFS(PARÂMETROS!$E$8:$E$907,PARÂMETROS!$A$8:$A$907,C825,PARÂMETROS!$G$8:$G$907,J825))</f>
        <v>2.3847218982485568E-2</v>
      </c>
      <c r="E825" s="24">
        <f>SUMIFS(SETORES!$D:$D,SETORES!$A:$A,A825,SETORES!$F:$F,J825)</f>
        <v>180159.93</v>
      </c>
      <c r="F825" s="24">
        <f t="shared" si="44"/>
        <v>4296.3133025792713</v>
      </c>
      <c r="G825" s="23">
        <f>SUMIFS(PARÂMETROS!$F$8:$F$907,PARÂMETROS!$A$8:$A$907,C825,PARÂMETROS!$G$8:$G$907,J825)</f>
        <v>0</v>
      </c>
      <c r="H825" s="24">
        <f t="shared" si="42"/>
        <v>0</v>
      </c>
      <c r="I825" s="24">
        <f t="shared" si="43"/>
        <v>4296.3133025792713</v>
      </c>
      <c r="J825" t="s">
        <v>21</v>
      </c>
    </row>
    <row r="826" spans="1:10" ht="14.25" customHeight="1" x14ac:dyDescent="0.3">
      <c r="A826" t="s">
        <v>84</v>
      </c>
      <c r="B826" t="str">
        <f>INDEX(SETORES!$B:$B,MATCH(A826,SETORES!$A:$A,0))</f>
        <v>Clientes</v>
      </c>
      <c r="C826" t="s">
        <v>17</v>
      </c>
      <c r="D826" s="23">
        <f>IF(B826="Clientes",SUMIFS(PARÂMETROS!$D$8:$D$907,PARÂMETROS!$A$8:$A$907,C826,PARÂMETROS!$G$8:$G$907,J826),SUMIFS(PARÂMETROS!$E$8:$E$907,PARÂMETROS!$A$8:$A$907,C826,PARÂMETROS!$G$8:$G$907,J826))</f>
        <v>2.3852181983314392E-2</v>
      </c>
      <c r="E826" s="24">
        <f>SUMIFS(SETORES!$D:$D,SETORES!$A:$A,A826,SETORES!$F:$F,J826)</f>
        <v>180159.93</v>
      </c>
      <c r="F826" s="24">
        <f t="shared" si="44"/>
        <v>4297.2074364611817</v>
      </c>
      <c r="G826" s="23">
        <f>SUMIFS(PARÂMETROS!$F$8:$F$907,PARÂMETROS!$A$8:$A$907,C826,PARÂMETROS!$G$8:$G$907,J826)</f>
        <v>0</v>
      </c>
      <c r="H826" s="24">
        <f t="shared" si="42"/>
        <v>0</v>
      </c>
      <c r="I826" s="24">
        <f t="shared" si="43"/>
        <v>4297.2074364611817</v>
      </c>
      <c r="J826" t="s">
        <v>21</v>
      </c>
    </row>
    <row r="827" spans="1:10" ht="14.25" customHeight="1" x14ac:dyDescent="0.3">
      <c r="A827" t="s">
        <v>84</v>
      </c>
      <c r="B827" t="str">
        <f>INDEX(SETORES!$B:$B,MATCH(A827,SETORES!$A:$A,0))</f>
        <v>Clientes</v>
      </c>
      <c r="C827" t="s">
        <v>18</v>
      </c>
      <c r="D827" s="23">
        <f>IF(B827="Clientes",SUMIFS(PARÂMETROS!$D$8:$D$907,PARÂMETROS!$A$8:$A$907,C827,PARÂMETROS!$G$8:$G$907,J827),SUMIFS(PARÂMETROS!$E$8:$E$907,PARÂMETROS!$A$8:$A$907,C827,PARÂMETROS!$G$8:$G$907,J827))</f>
        <v>0.72827074162121386</v>
      </c>
      <c r="E827" s="24">
        <f>SUMIFS(SETORES!$D:$D,SETORES!$A:$A,A827,SETORES!$F:$F,J827)</f>
        <v>180159.93</v>
      </c>
      <c r="F827" s="24">
        <f t="shared" si="44"/>
        <v>131205.20583152596</v>
      </c>
      <c r="G827" s="23">
        <f>SUMIFS(PARÂMETROS!$F$8:$F$907,PARÂMETROS!$A$8:$A$907,C827,PARÂMETROS!$G$8:$G$907,J827)</f>
        <v>0</v>
      </c>
      <c r="H827" s="24">
        <f t="shared" si="42"/>
        <v>0</v>
      </c>
      <c r="I827" s="24">
        <f t="shared" si="43"/>
        <v>131205.20583152596</v>
      </c>
      <c r="J827" t="s">
        <v>21</v>
      </c>
    </row>
    <row r="828" spans="1:10" ht="14.25" customHeight="1" x14ac:dyDescent="0.3">
      <c r="A828" t="s">
        <v>85</v>
      </c>
      <c r="B828" t="str">
        <f>INDEX(SETORES!$B:$B,MATCH(A828,SETORES!$A:$A,0))</f>
        <v>Clientes</v>
      </c>
      <c r="C828" t="s">
        <v>10</v>
      </c>
      <c r="D828" s="23">
        <f>IF(B828="Clientes",SUMIFS(PARÂMETROS!$D$8:$D$907,PARÂMETROS!$A$8:$A$907,C828,PARÂMETROS!$G$8:$G$907,J828),SUMIFS(PARÂMETROS!$E$8:$E$907,PARÂMETROS!$A$8:$A$907,C828,PARÂMETROS!$G$8:$G$907,J828))</f>
        <v>3.2823386139959339E-2</v>
      </c>
      <c r="E828" s="24">
        <f>SUMIFS(SETORES!$D:$D,SETORES!$A:$A,A828,SETORES!$F:$F,J828)</f>
        <v>61122.089499999995</v>
      </c>
      <c r="F828" s="24">
        <f t="shared" si="44"/>
        <v>2006.2339453396542</v>
      </c>
      <c r="G828" s="23">
        <f>SUMIFS(PARÂMETROS!$F$8:$F$907,PARÂMETROS!$A$8:$A$907,C828,PARÂMETROS!$G$8:$G$907,J828)</f>
        <v>0</v>
      </c>
      <c r="H828" s="24">
        <f t="shared" si="42"/>
        <v>0</v>
      </c>
      <c r="I828" s="24">
        <f t="shared" si="43"/>
        <v>2006.2339453396542</v>
      </c>
      <c r="J828" t="s">
        <v>20</v>
      </c>
    </row>
    <row r="829" spans="1:10" ht="14.25" customHeight="1" x14ac:dyDescent="0.3">
      <c r="A829" t="s">
        <v>85</v>
      </c>
      <c r="B829" t="str">
        <f>INDEX(SETORES!$B:$B,MATCH(A829,SETORES!$A:$A,0))</f>
        <v>Clientes</v>
      </c>
      <c r="C829" t="s">
        <v>12</v>
      </c>
      <c r="D829" s="23">
        <f>IF(B829="Clientes",SUMIFS(PARÂMETROS!$D$8:$D$907,PARÂMETROS!$A$8:$A$907,C829,PARÂMETROS!$G$8:$G$907,J829),SUMIFS(PARÂMETROS!$E$8:$E$907,PARÂMETROS!$A$8:$A$907,C829,PARÂMETROS!$G$8:$G$907,J829))</f>
        <v>7.0047614816518319E-2</v>
      </c>
      <c r="E829" s="24">
        <f>SUMIFS(SETORES!$D:$D,SETORES!$A:$A,A829,SETORES!$F:$F,J829)</f>
        <v>61122.089499999995</v>
      </c>
      <c r="F829" s="24">
        <f t="shared" si="44"/>
        <v>4281.4565820767584</v>
      </c>
      <c r="G829" s="23">
        <f>SUMIFS(PARÂMETROS!$F$8:$F$907,PARÂMETROS!$A$8:$A$907,C829,PARÂMETROS!$G$8:$G$907,J829)</f>
        <v>0</v>
      </c>
      <c r="H829" s="24">
        <f t="shared" si="42"/>
        <v>0</v>
      </c>
      <c r="I829" s="24">
        <f t="shared" si="43"/>
        <v>4281.4565820767584</v>
      </c>
      <c r="J829" t="s">
        <v>20</v>
      </c>
    </row>
    <row r="830" spans="1:10" ht="14.25" customHeight="1" x14ac:dyDescent="0.3">
      <c r="A830" t="s">
        <v>85</v>
      </c>
      <c r="B830" t="str">
        <f>INDEX(SETORES!$B:$B,MATCH(A830,SETORES!$A:$A,0))</f>
        <v>Clientes</v>
      </c>
      <c r="C830" t="s">
        <v>13</v>
      </c>
      <c r="D830" s="23">
        <f>IF(B830="Clientes",SUMIFS(PARÂMETROS!$D$8:$D$907,PARÂMETROS!$A$8:$A$907,C830,PARÂMETROS!$G$8:$G$907,J830),SUMIFS(PARÂMETROS!$E$8:$E$907,PARÂMETROS!$A$8:$A$907,C830,PARÂMETROS!$G$8:$G$907,J830))</f>
        <v>7.4903176237540961E-2</v>
      </c>
      <c r="E830" s="24">
        <f>SUMIFS(SETORES!$D:$D,SETORES!$A:$A,A830,SETORES!$F:$F,J830)</f>
        <v>61122.089499999995</v>
      </c>
      <c r="F830" s="24">
        <f t="shared" si="44"/>
        <v>4578.2386418252518</v>
      </c>
      <c r="G830" s="23">
        <f>SUMIFS(PARÂMETROS!$F$8:$F$907,PARÂMETROS!$A$8:$A$907,C830,PARÂMETROS!$G$8:$G$907,J830)</f>
        <v>0</v>
      </c>
      <c r="H830" s="24">
        <f t="shared" si="42"/>
        <v>0</v>
      </c>
      <c r="I830" s="24">
        <f t="shared" si="43"/>
        <v>4578.2386418252518</v>
      </c>
      <c r="J830" t="s">
        <v>20</v>
      </c>
    </row>
    <row r="831" spans="1:10" ht="14.25" customHeight="1" x14ac:dyDescent="0.3">
      <c r="A831" t="s">
        <v>85</v>
      </c>
      <c r="B831" t="str">
        <f>INDEX(SETORES!$B:$B,MATCH(A831,SETORES!$A:$A,0))</f>
        <v>Clientes</v>
      </c>
      <c r="C831" t="s">
        <v>14</v>
      </c>
      <c r="D831" s="23">
        <f>IF(B831="Clientes",SUMIFS(PARÂMETROS!$D$8:$D$907,PARÂMETROS!$A$8:$A$907,C831,PARÂMETROS!$G$8:$G$907,J831),SUMIFS(PARÂMETROS!$E$8:$E$907,PARÂMETROS!$A$8:$A$907,C831,PARÂMETROS!$G$8:$G$907,J831))</f>
        <v>1.907728653039038E-2</v>
      </c>
      <c r="E831" s="24">
        <f>SUMIFS(SETORES!$D:$D,SETORES!$A:$A,A831,SETORES!$F:$F,J831)</f>
        <v>61122.089499999995</v>
      </c>
      <c r="F831" s="24">
        <f t="shared" si="44"/>
        <v>1166.0436147276653</v>
      </c>
      <c r="G831" s="23">
        <f>SUMIFS(PARÂMETROS!$F$8:$F$907,PARÂMETROS!$A$8:$A$907,C831,PARÂMETROS!$G$8:$G$907,J831)</f>
        <v>0</v>
      </c>
      <c r="H831" s="24">
        <f t="shared" si="42"/>
        <v>0</v>
      </c>
      <c r="I831" s="24">
        <f t="shared" si="43"/>
        <v>1166.0436147276653</v>
      </c>
      <c r="J831" t="s">
        <v>20</v>
      </c>
    </row>
    <row r="832" spans="1:10" ht="14.25" customHeight="1" x14ac:dyDescent="0.3">
      <c r="A832" t="s">
        <v>85</v>
      </c>
      <c r="B832" t="str">
        <f>INDEX(SETORES!$B:$B,MATCH(A832,SETORES!$A:$A,0))</f>
        <v>Clientes</v>
      </c>
      <c r="C832" t="s">
        <v>15</v>
      </c>
      <c r="D832" s="23">
        <f>IF(B832="Clientes",SUMIFS(PARÂMETROS!$D$8:$D$907,PARÂMETROS!$A$8:$A$907,C832,PARÂMETROS!$G$8:$G$907,J832),SUMIFS(PARÂMETROS!$E$8:$E$907,PARÂMETROS!$A$8:$A$907,C832,PARÂMETROS!$G$8:$G$907,J832))</f>
        <v>3.3429677985856672E-2</v>
      </c>
      <c r="E832" s="24">
        <f>SUMIFS(SETORES!$D:$D,SETORES!$A:$A,A832,SETORES!$F:$F,J832)</f>
        <v>61122.089499999995</v>
      </c>
      <c r="F832" s="24">
        <f t="shared" si="44"/>
        <v>2043.291769807711</v>
      </c>
      <c r="G832" s="23">
        <f>SUMIFS(PARÂMETROS!$F$8:$F$907,PARÂMETROS!$A$8:$A$907,C832,PARÂMETROS!$G$8:$G$907,J832)</f>
        <v>0</v>
      </c>
      <c r="H832" s="24">
        <f t="shared" si="42"/>
        <v>0</v>
      </c>
      <c r="I832" s="24">
        <f t="shared" si="43"/>
        <v>2043.291769807711</v>
      </c>
      <c r="J832" t="s">
        <v>20</v>
      </c>
    </row>
    <row r="833" spans="1:10" ht="14.25" customHeight="1" x14ac:dyDescent="0.3">
      <c r="A833" t="s">
        <v>85</v>
      </c>
      <c r="B833" t="str">
        <f>INDEX(SETORES!$B:$B,MATCH(A833,SETORES!$A:$A,0))</f>
        <v>Clientes</v>
      </c>
      <c r="C833" t="s">
        <v>16</v>
      </c>
      <c r="D833" s="23">
        <f>IF(B833="Clientes",SUMIFS(PARÂMETROS!$D$8:$D$907,PARÂMETROS!$A$8:$A$907,C833,PARÂMETROS!$G$8:$G$907,J833),SUMIFS(PARÂMETROS!$E$8:$E$907,PARÂMETROS!$A$8:$A$907,C833,PARÂMETROS!$G$8:$G$907,J833))</f>
        <v>2.4722072681848353E-2</v>
      </c>
      <c r="E833" s="24">
        <f>SUMIFS(SETORES!$D:$D,SETORES!$A:$A,A833,SETORES!$F:$F,J833)</f>
        <v>61122.089499999995</v>
      </c>
      <c r="F833" s="24">
        <f t="shared" si="44"/>
        <v>1511.0647390854399</v>
      </c>
      <c r="G833" s="23">
        <f>SUMIFS(PARÂMETROS!$F$8:$F$907,PARÂMETROS!$A$8:$A$907,C833,PARÂMETROS!$G$8:$G$907,J833)</f>
        <v>0</v>
      </c>
      <c r="H833" s="24">
        <f t="shared" si="42"/>
        <v>0</v>
      </c>
      <c r="I833" s="24">
        <f t="shared" si="43"/>
        <v>1511.0647390854399</v>
      </c>
      <c r="J833" t="s">
        <v>20</v>
      </c>
    </row>
    <row r="834" spans="1:10" ht="14.25" customHeight="1" x14ac:dyDescent="0.3">
      <c r="A834" t="s">
        <v>85</v>
      </c>
      <c r="B834" t="str">
        <f>INDEX(SETORES!$B:$B,MATCH(A834,SETORES!$A:$A,0))</f>
        <v>Clientes</v>
      </c>
      <c r="C834" t="s">
        <v>17</v>
      </c>
      <c r="D834" s="23">
        <f>IF(B834="Clientes",SUMIFS(PARÂMETROS!$D$8:$D$907,PARÂMETROS!$A$8:$A$907,C834,PARÂMETROS!$G$8:$G$907,J834),SUMIFS(PARÂMETROS!$E$8:$E$907,PARÂMETROS!$A$8:$A$907,C834,PARÂMETROS!$G$8:$G$907,J834))</f>
        <v>2.4993858681733368E-2</v>
      </c>
      <c r="E834" s="24">
        <f>SUMIFS(SETORES!$D:$D,SETORES!$A:$A,A834,SETORES!$F:$F,J834)</f>
        <v>61122.089499999995</v>
      </c>
      <c r="F834" s="24">
        <f t="shared" si="44"/>
        <v>1527.6768672952587</v>
      </c>
      <c r="G834" s="23">
        <f>SUMIFS(PARÂMETROS!$F$8:$F$907,PARÂMETROS!$A$8:$A$907,C834,PARÂMETROS!$G$8:$G$907,J834)</f>
        <v>0</v>
      </c>
      <c r="H834" s="24">
        <f t="shared" si="42"/>
        <v>0</v>
      </c>
      <c r="I834" s="24">
        <f t="shared" si="43"/>
        <v>1527.6768672952587</v>
      </c>
      <c r="J834" t="s">
        <v>20</v>
      </c>
    </row>
    <row r="835" spans="1:10" ht="14.25" customHeight="1" x14ac:dyDescent="0.3">
      <c r="A835" t="s">
        <v>85</v>
      </c>
      <c r="B835" t="str">
        <f>INDEX(SETORES!$B:$B,MATCH(A835,SETORES!$A:$A,0))</f>
        <v>Clientes</v>
      </c>
      <c r="C835" t="s">
        <v>18</v>
      </c>
      <c r="D835" s="23">
        <f>IF(B835="Clientes",SUMIFS(PARÂMETROS!$D$8:$D$907,PARÂMETROS!$A$8:$A$907,C835,PARÂMETROS!$G$8:$G$907,J835),SUMIFS(PARÂMETROS!$E$8:$E$907,PARÂMETROS!$A$8:$A$907,C835,PARÂMETROS!$G$8:$G$907,J835))</f>
        <v>0.72000292692615264</v>
      </c>
      <c r="E835" s="24">
        <f>SUMIFS(SETORES!$D:$D,SETORES!$A:$A,A835,SETORES!$F:$F,J835)</f>
        <v>61122.089499999995</v>
      </c>
      <c r="F835" s="24">
        <f t="shared" si="44"/>
        <v>44008.083339842255</v>
      </c>
      <c r="G835" s="23">
        <f>SUMIFS(PARÂMETROS!$F$8:$F$907,PARÂMETROS!$A$8:$A$907,C835,PARÂMETROS!$G$8:$G$907,J835)</f>
        <v>0</v>
      </c>
      <c r="H835" s="24">
        <f t="shared" si="42"/>
        <v>0</v>
      </c>
      <c r="I835" s="24">
        <f t="shared" si="43"/>
        <v>44008.083339842255</v>
      </c>
      <c r="J835" t="s">
        <v>20</v>
      </c>
    </row>
    <row r="836" spans="1:10" ht="14.25" customHeight="1" x14ac:dyDescent="0.3">
      <c r="A836" t="s">
        <v>85</v>
      </c>
      <c r="B836" t="str">
        <f>INDEX(SETORES!$B:$B,MATCH(A836,SETORES!$A:$A,0))</f>
        <v>Clientes</v>
      </c>
      <c r="C836" t="s">
        <v>10</v>
      </c>
      <c r="D836" s="23">
        <f>IF(B836="Clientes",SUMIFS(PARÂMETROS!$D$8:$D$907,PARÂMETROS!$A$8:$A$907,C836,PARÂMETROS!$G$8:$G$907,J836),SUMIFS(PARÂMETROS!$E$8:$E$907,PARÂMETROS!$A$8:$A$907,C836,PARÂMETROS!$G$8:$G$907,J836))</f>
        <v>3.3077914012820578E-2</v>
      </c>
      <c r="E836" s="24">
        <f>SUMIFS(SETORES!$D:$D,SETORES!$A:$A,A836,SETORES!$F:$F,J836)</f>
        <v>57175.1466</v>
      </c>
      <c r="F836" s="24">
        <f t="shared" si="44"/>
        <v>1891.2345829052108</v>
      </c>
      <c r="G836" s="23">
        <f>SUMIFS(PARÂMETROS!$F$8:$F$907,PARÂMETROS!$A$8:$A$907,C836,PARÂMETROS!$G$8:$G$907,J836)</f>
        <v>0</v>
      </c>
      <c r="H836" s="24">
        <f t="shared" si="42"/>
        <v>0</v>
      </c>
      <c r="I836" s="24">
        <f t="shared" si="43"/>
        <v>1891.2345829052108</v>
      </c>
      <c r="J836" t="s">
        <v>11</v>
      </c>
    </row>
    <row r="837" spans="1:10" ht="14.25" customHeight="1" x14ac:dyDescent="0.3">
      <c r="A837" t="s">
        <v>85</v>
      </c>
      <c r="B837" t="str">
        <f>INDEX(SETORES!$B:$B,MATCH(A837,SETORES!$A:$A,0))</f>
        <v>Clientes</v>
      </c>
      <c r="C837" t="s">
        <v>12</v>
      </c>
      <c r="D837" s="23">
        <f>IF(B837="Clientes",SUMIFS(PARÂMETROS!$D$8:$D$907,PARÂMETROS!$A$8:$A$907,C837,PARÂMETROS!$G$8:$G$907,J837),SUMIFS(PARÂMETROS!$E$8:$E$907,PARÂMETROS!$A$8:$A$907,C837,PARÂMETROS!$G$8:$G$907,J837))</f>
        <v>6.886570212940675E-2</v>
      </c>
      <c r="E837" s="24">
        <f>SUMIFS(SETORES!$D:$D,SETORES!$A:$A,A837,SETORES!$F:$F,J837)</f>
        <v>57175.1466</v>
      </c>
      <c r="F837" s="24">
        <f t="shared" si="44"/>
        <v>3937.4066149607629</v>
      </c>
      <c r="G837" s="23">
        <f>SUMIFS(PARÂMETROS!$F$8:$F$907,PARÂMETROS!$A$8:$A$907,C837,PARÂMETROS!$G$8:$G$907,J837)</f>
        <v>0</v>
      </c>
      <c r="H837" s="24">
        <f t="shared" si="42"/>
        <v>0</v>
      </c>
      <c r="I837" s="24">
        <f t="shared" si="43"/>
        <v>3937.4066149607629</v>
      </c>
      <c r="J837" t="s">
        <v>11</v>
      </c>
    </row>
    <row r="838" spans="1:10" ht="14.25" customHeight="1" x14ac:dyDescent="0.3">
      <c r="A838" t="s">
        <v>85</v>
      </c>
      <c r="B838" t="str">
        <f>INDEX(SETORES!$B:$B,MATCH(A838,SETORES!$A:$A,0))</f>
        <v>Clientes</v>
      </c>
      <c r="C838" t="s">
        <v>13</v>
      </c>
      <c r="D838" s="23">
        <f>IF(B838="Clientes",SUMIFS(PARÂMETROS!$D$8:$D$907,PARÂMETROS!$A$8:$A$907,C838,PARÂMETROS!$G$8:$G$907,J838),SUMIFS(PARÂMETROS!$E$8:$E$907,PARÂMETROS!$A$8:$A$907,C838,PARÂMETROS!$G$8:$G$907,J838))</f>
        <v>7.4116083205452599E-2</v>
      </c>
      <c r="E838" s="24">
        <f>SUMIFS(SETORES!$D:$D,SETORES!$A:$A,A838,SETORES!$F:$F,J838)</f>
        <v>57175.1466</v>
      </c>
      <c r="F838" s="24">
        <f t="shared" si="44"/>
        <v>4237.5979226895506</v>
      </c>
      <c r="G838" s="23">
        <f>SUMIFS(PARÂMETROS!$F$8:$F$907,PARÂMETROS!$A$8:$A$907,C838,PARÂMETROS!$G$8:$G$907,J838)</f>
        <v>0</v>
      </c>
      <c r="H838" s="24">
        <f t="shared" si="42"/>
        <v>0</v>
      </c>
      <c r="I838" s="24">
        <f t="shared" si="43"/>
        <v>4237.5979226895506</v>
      </c>
      <c r="J838" t="s">
        <v>11</v>
      </c>
    </row>
    <row r="839" spans="1:10" ht="14.25" customHeight="1" x14ac:dyDescent="0.3">
      <c r="A839" t="s">
        <v>85</v>
      </c>
      <c r="B839" t="str">
        <f>INDEX(SETORES!$B:$B,MATCH(A839,SETORES!$A:$A,0))</f>
        <v>Clientes</v>
      </c>
      <c r="C839" t="s">
        <v>14</v>
      </c>
      <c r="D839" s="23">
        <f>IF(B839="Clientes",SUMIFS(PARÂMETROS!$D$8:$D$907,PARÂMETROS!$A$8:$A$907,C839,PARÂMETROS!$G$8:$G$907,J839),SUMIFS(PARÂMETROS!$E$8:$E$907,PARÂMETROS!$A$8:$A$907,C839,PARÂMETROS!$G$8:$G$907,J839))</f>
        <v>1.9010177424901076E-2</v>
      </c>
      <c r="E839" s="24">
        <f>SUMIFS(SETORES!$D:$D,SETORES!$A:$A,A839,SETORES!$F:$F,J839)</f>
        <v>57175.1466</v>
      </c>
      <c r="F839" s="24">
        <f t="shared" si="44"/>
        <v>1086.9096811607294</v>
      </c>
      <c r="G839" s="23">
        <f>SUMIFS(PARÂMETROS!$F$8:$F$907,PARÂMETROS!$A$8:$A$907,C839,PARÂMETROS!$G$8:$G$907,J839)</f>
        <v>0</v>
      </c>
      <c r="H839" s="24">
        <f t="shared" si="42"/>
        <v>0</v>
      </c>
      <c r="I839" s="24">
        <f t="shared" si="43"/>
        <v>1086.9096811607294</v>
      </c>
      <c r="J839" t="s">
        <v>11</v>
      </c>
    </row>
    <row r="840" spans="1:10" ht="14.25" customHeight="1" x14ac:dyDescent="0.3">
      <c r="A840" t="s">
        <v>85</v>
      </c>
      <c r="B840" t="str">
        <f>INDEX(SETORES!$B:$B,MATCH(A840,SETORES!$A:$A,0))</f>
        <v>Clientes</v>
      </c>
      <c r="C840" t="s">
        <v>15</v>
      </c>
      <c r="D840" s="23">
        <f>IF(B840="Clientes",SUMIFS(PARÂMETROS!$D$8:$D$907,PARÂMETROS!$A$8:$A$907,C840,PARÂMETROS!$G$8:$G$907,J840),SUMIFS(PARÂMETROS!$E$8:$E$907,PARÂMETROS!$A$8:$A$907,C840,PARÂMETROS!$G$8:$G$907,J840))</f>
        <v>3.302145830232546E-2</v>
      </c>
      <c r="E840" s="24">
        <f>SUMIFS(SETORES!$D:$D,SETORES!$A:$A,A840,SETORES!$F:$F,J840)</f>
        <v>57175.1466</v>
      </c>
      <c r="F840" s="24">
        <f t="shared" si="44"/>
        <v>1888.0067193812454</v>
      </c>
      <c r="G840" s="23">
        <f>SUMIFS(PARÂMETROS!$F$8:$F$907,PARÂMETROS!$A$8:$A$907,C840,PARÂMETROS!$G$8:$G$907,J840)</f>
        <v>0</v>
      </c>
      <c r="H840" s="24">
        <f t="shared" si="42"/>
        <v>0</v>
      </c>
      <c r="I840" s="24">
        <f t="shared" si="43"/>
        <v>1888.0067193812454</v>
      </c>
      <c r="J840" t="s">
        <v>11</v>
      </c>
    </row>
    <row r="841" spans="1:10" ht="14.25" customHeight="1" x14ac:dyDescent="0.3">
      <c r="A841" t="s">
        <v>85</v>
      </c>
      <c r="B841" t="str">
        <f>INDEX(SETORES!$B:$B,MATCH(A841,SETORES!$A:$A,0))</f>
        <v>Clientes</v>
      </c>
      <c r="C841" t="s">
        <v>16</v>
      </c>
      <c r="D841" s="23">
        <f>IF(B841="Clientes",SUMIFS(PARÂMETROS!$D$8:$D$907,PARÂMETROS!$A$8:$A$907,C841,PARÂMETROS!$G$8:$G$907,J841),SUMIFS(PARÂMETROS!$E$8:$E$907,PARÂMETROS!$A$8:$A$907,C841,PARÂMETROS!$G$8:$G$907,J841))</f>
        <v>2.437346992193715E-2</v>
      </c>
      <c r="E841" s="24">
        <f>SUMIFS(SETORES!$D:$D,SETORES!$A:$A,A841,SETORES!$F:$F,J841)</f>
        <v>57175.1466</v>
      </c>
      <c r="F841" s="24">
        <f t="shared" si="44"/>
        <v>1393.5567159374471</v>
      </c>
      <c r="G841" s="23">
        <f>SUMIFS(PARÂMETROS!$F$8:$F$907,PARÂMETROS!$A$8:$A$907,C841,PARÂMETROS!$G$8:$G$907,J841)</f>
        <v>0</v>
      </c>
      <c r="H841" s="24">
        <f t="shared" si="42"/>
        <v>0</v>
      </c>
      <c r="I841" s="24">
        <f t="shared" si="43"/>
        <v>1393.5567159374471</v>
      </c>
      <c r="J841" t="s">
        <v>11</v>
      </c>
    </row>
    <row r="842" spans="1:10" ht="14.25" customHeight="1" x14ac:dyDescent="0.3">
      <c r="A842" t="s">
        <v>85</v>
      </c>
      <c r="B842" t="str">
        <f>INDEX(SETORES!$B:$B,MATCH(A842,SETORES!$A:$A,0))</f>
        <v>Clientes</v>
      </c>
      <c r="C842" t="s">
        <v>17</v>
      </c>
      <c r="D842" s="23">
        <f>IF(B842="Clientes",SUMIFS(PARÂMETROS!$D$8:$D$907,PARÂMETROS!$A$8:$A$907,C842,PARÂMETROS!$G$8:$G$907,J842),SUMIFS(PARÂMETROS!$E$8:$E$907,PARÂMETROS!$A$8:$A$907,C842,PARÂMETROS!$G$8:$G$907,J842))</f>
        <v>2.460955743855309E-2</v>
      </c>
      <c r="E842" s="24">
        <f>SUMIFS(SETORES!$D:$D,SETORES!$A:$A,A842,SETORES!$F:$F,J842)</f>
        <v>57175.1466</v>
      </c>
      <c r="F842" s="24">
        <f t="shared" si="44"/>
        <v>1407.0550543103934</v>
      </c>
      <c r="G842" s="23">
        <f>SUMIFS(PARÂMETROS!$F$8:$F$907,PARÂMETROS!$A$8:$A$907,C842,PARÂMETROS!$G$8:$G$907,J842)</f>
        <v>0</v>
      </c>
      <c r="H842" s="24">
        <f t="shared" si="42"/>
        <v>0</v>
      </c>
      <c r="I842" s="24">
        <f t="shared" si="43"/>
        <v>1407.0550543103934</v>
      </c>
      <c r="J842" t="s">
        <v>11</v>
      </c>
    </row>
    <row r="843" spans="1:10" ht="14.25" customHeight="1" x14ac:dyDescent="0.3">
      <c r="A843" t="s">
        <v>85</v>
      </c>
      <c r="B843" t="str">
        <f>INDEX(SETORES!$B:$B,MATCH(A843,SETORES!$A:$A,0))</f>
        <v>Clientes</v>
      </c>
      <c r="C843" t="s">
        <v>18</v>
      </c>
      <c r="D843" s="23">
        <f>IF(B843="Clientes",SUMIFS(PARÂMETROS!$D$8:$D$907,PARÂMETROS!$A$8:$A$907,C843,PARÂMETROS!$G$8:$G$907,J843),SUMIFS(PARÂMETROS!$E$8:$E$907,PARÂMETROS!$A$8:$A$907,C843,PARÂMETROS!$G$8:$G$907,J843))</f>
        <v>0.72292563756460326</v>
      </c>
      <c r="E843" s="24">
        <f>SUMIFS(SETORES!$D:$D,SETORES!$A:$A,A843,SETORES!$F:$F,J843)</f>
        <v>57175.1466</v>
      </c>
      <c r="F843" s="24">
        <f t="shared" si="44"/>
        <v>41333.379308654658</v>
      </c>
      <c r="G843" s="23">
        <f>SUMIFS(PARÂMETROS!$F$8:$F$907,PARÂMETROS!$A$8:$A$907,C843,PARÂMETROS!$G$8:$G$907,J843)</f>
        <v>0</v>
      </c>
      <c r="H843" s="24">
        <f t="shared" si="42"/>
        <v>0</v>
      </c>
      <c r="I843" s="24">
        <f t="shared" si="43"/>
        <v>41333.379308654658</v>
      </c>
      <c r="J843" t="s">
        <v>11</v>
      </c>
    </row>
    <row r="844" spans="1:10" ht="14.25" customHeight="1" x14ac:dyDescent="0.3">
      <c r="A844" t="s">
        <v>85</v>
      </c>
      <c r="B844" t="str">
        <f>INDEX(SETORES!$B:$B,MATCH(A844,SETORES!$A:$A,0))</f>
        <v>Clientes</v>
      </c>
      <c r="C844" t="s">
        <v>10</v>
      </c>
      <c r="D844" s="23">
        <f>IF(B844="Clientes",SUMIFS(PARÂMETROS!$D$8:$D$907,PARÂMETROS!$A$8:$A$907,C844,PARÂMETROS!$G$8:$G$907,J844),SUMIFS(PARÂMETROS!$E$8:$E$907,PARÂMETROS!$A$8:$A$907,C844,PARÂMETROS!$G$8:$G$907,J844))</f>
        <v>3.2696249460273663E-2</v>
      </c>
      <c r="E844" s="24">
        <f>SUMIFS(SETORES!$D:$D,SETORES!$A:$A,A844,SETORES!$F:$F,J844)</f>
        <v>69876.447</v>
      </c>
      <c r="F844" s="24">
        <f t="shared" si="44"/>
        <v>2284.6977425095911</v>
      </c>
      <c r="G844" s="23">
        <f>SUMIFS(PARÂMETROS!$F$8:$F$907,PARÂMETROS!$A$8:$A$907,C844,PARÂMETROS!$G$8:$G$907,J844)</f>
        <v>0</v>
      </c>
      <c r="H844" s="24">
        <f t="shared" si="42"/>
        <v>0</v>
      </c>
      <c r="I844" s="24">
        <f t="shared" si="43"/>
        <v>2284.6977425095911</v>
      </c>
      <c r="J844" t="s">
        <v>21</v>
      </c>
    </row>
    <row r="845" spans="1:10" ht="14.25" customHeight="1" x14ac:dyDescent="0.3">
      <c r="A845" t="s">
        <v>85</v>
      </c>
      <c r="B845" t="str">
        <f>INDEX(SETORES!$B:$B,MATCH(A845,SETORES!$A:$A,0))</f>
        <v>Clientes</v>
      </c>
      <c r="C845" t="s">
        <v>12</v>
      </c>
      <c r="D845" s="23">
        <f>IF(B845="Clientes",SUMIFS(PARÂMETROS!$D$8:$D$907,PARÂMETROS!$A$8:$A$907,C845,PARÂMETROS!$G$8:$G$907,J845),SUMIFS(PARÂMETROS!$E$8:$E$907,PARÂMETROS!$A$8:$A$907,C845,PARÂMETROS!$G$8:$G$907,J845))</f>
        <v>6.7149401213950008E-2</v>
      </c>
      <c r="E845" s="24">
        <f>SUMIFS(SETORES!$D:$D,SETORES!$A:$A,A845,SETORES!$F:$F,J845)</f>
        <v>69876.447</v>
      </c>
      <c r="F845" s="24">
        <f t="shared" si="44"/>
        <v>4692.1615750083138</v>
      </c>
      <c r="G845" s="23">
        <f>SUMIFS(PARÂMETROS!$F$8:$F$907,PARÂMETROS!$A$8:$A$907,C845,PARÂMETROS!$G$8:$G$907,J845)</f>
        <v>0</v>
      </c>
      <c r="H845" s="24">
        <f t="shared" si="42"/>
        <v>0</v>
      </c>
      <c r="I845" s="24">
        <f t="shared" si="43"/>
        <v>4692.1615750083138</v>
      </c>
      <c r="J845" t="s">
        <v>21</v>
      </c>
    </row>
    <row r="846" spans="1:10" ht="14.25" customHeight="1" x14ac:dyDescent="0.3">
      <c r="A846" t="s">
        <v>85</v>
      </c>
      <c r="B846" t="str">
        <f>INDEX(SETORES!$B:$B,MATCH(A846,SETORES!$A:$A,0))</f>
        <v>Clientes</v>
      </c>
      <c r="C846" t="s">
        <v>13</v>
      </c>
      <c r="D846" s="23">
        <f>IF(B846="Clientes",SUMIFS(PARÂMETROS!$D$8:$D$907,PARÂMETROS!$A$8:$A$907,C846,PARÂMETROS!$G$8:$G$907,J846),SUMIFS(PARÂMETROS!$E$8:$E$907,PARÂMETROS!$A$8:$A$907,C846,PARÂMETROS!$G$8:$G$907,J846))</f>
        <v>7.2901519174553703E-2</v>
      </c>
      <c r="E846" s="24">
        <f>SUMIFS(SETORES!$D:$D,SETORES!$A:$A,A846,SETORES!$F:$F,J846)</f>
        <v>69876.447</v>
      </c>
      <c r="F846" s="24">
        <f t="shared" si="44"/>
        <v>5094.0991408201853</v>
      </c>
      <c r="G846" s="23">
        <f>SUMIFS(PARÂMETROS!$F$8:$F$907,PARÂMETROS!$A$8:$A$907,C846,PARÂMETROS!$G$8:$G$907,J846)</f>
        <v>0</v>
      </c>
      <c r="H846" s="24">
        <f t="shared" si="42"/>
        <v>0</v>
      </c>
      <c r="I846" s="24">
        <f t="shared" si="43"/>
        <v>5094.0991408201853</v>
      </c>
      <c r="J846" t="s">
        <v>21</v>
      </c>
    </row>
    <row r="847" spans="1:10" ht="14.25" customHeight="1" x14ac:dyDescent="0.3">
      <c r="A847" t="s">
        <v>85</v>
      </c>
      <c r="B847" t="str">
        <f>INDEX(SETORES!$B:$B,MATCH(A847,SETORES!$A:$A,0))</f>
        <v>Clientes</v>
      </c>
      <c r="C847" t="s">
        <v>14</v>
      </c>
      <c r="D847" s="23">
        <f>IF(B847="Clientes",SUMIFS(PARÂMETROS!$D$8:$D$907,PARÂMETROS!$A$8:$A$907,C847,PARÂMETROS!$G$8:$G$907,J847),SUMIFS(PARÂMETROS!$E$8:$E$907,PARÂMETROS!$A$8:$A$907,C847,PARÂMETROS!$G$8:$G$907,J847))</f>
        <v>1.8685698120511587E-2</v>
      </c>
      <c r="E847" s="24">
        <f>SUMIFS(SETORES!$D:$D,SETORES!$A:$A,A847,SETORES!$F:$F,J847)</f>
        <v>69876.447</v>
      </c>
      <c r="F847" s="24">
        <f t="shared" si="44"/>
        <v>1305.6901943759276</v>
      </c>
      <c r="G847" s="23">
        <f>SUMIFS(PARÂMETROS!$F$8:$F$907,PARÂMETROS!$A$8:$A$907,C847,PARÂMETROS!$G$8:$G$907,J847)</f>
        <v>0</v>
      </c>
      <c r="H847" s="24">
        <f t="shared" si="42"/>
        <v>0</v>
      </c>
      <c r="I847" s="24">
        <f t="shared" si="43"/>
        <v>1305.6901943759276</v>
      </c>
      <c r="J847" t="s">
        <v>21</v>
      </c>
    </row>
    <row r="848" spans="1:10" ht="14.25" customHeight="1" x14ac:dyDescent="0.3">
      <c r="A848" t="s">
        <v>85</v>
      </c>
      <c r="B848" t="str">
        <f>INDEX(SETORES!$B:$B,MATCH(A848,SETORES!$A:$A,0))</f>
        <v>Clientes</v>
      </c>
      <c r="C848" t="s">
        <v>15</v>
      </c>
      <c r="D848" s="23">
        <f>IF(B848="Clientes",SUMIFS(PARÂMETROS!$D$8:$D$907,PARÂMETROS!$A$8:$A$907,C848,PARÂMETROS!$G$8:$G$907,J848),SUMIFS(PARÂMETROS!$E$8:$E$907,PARÂMETROS!$A$8:$A$907,C848,PARÂMETROS!$G$8:$G$907,J848))</f>
        <v>3.2596989443697238E-2</v>
      </c>
      <c r="E848" s="24">
        <f>SUMIFS(SETORES!$D:$D,SETORES!$A:$A,A848,SETORES!$F:$F,J848)</f>
        <v>69876.447</v>
      </c>
      <c r="F848" s="24">
        <f t="shared" si="44"/>
        <v>2277.7618052220696</v>
      </c>
      <c r="G848" s="23">
        <f>SUMIFS(PARÂMETROS!$F$8:$F$907,PARÂMETROS!$A$8:$A$907,C848,PARÂMETROS!$G$8:$G$907,J848)</f>
        <v>0</v>
      </c>
      <c r="H848" s="24">
        <f t="shared" si="42"/>
        <v>0</v>
      </c>
      <c r="I848" s="24">
        <f t="shared" si="43"/>
        <v>2277.7618052220696</v>
      </c>
      <c r="J848" t="s">
        <v>21</v>
      </c>
    </row>
    <row r="849" spans="1:10" ht="14.25" customHeight="1" x14ac:dyDescent="0.3">
      <c r="A849" t="s">
        <v>85</v>
      </c>
      <c r="B849" t="str">
        <f>INDEX(SETORES!$B:$B,MATCH(A849,SETORES!$A:$A,0))</f>
        <v>Clientes</v>
      </c>
      <c r="C849" t="s">
        <v>16</v>
      </c>
      <c r="D849" s="23">
        <f>IF(B849="Clientes",SUMIFS(PARÂMETROS!$D$8:$D$907,PARÂMETROS!$A$8:$A$907,C849,PARÂMETROS!$G$8:$G$907,J849),SUMIFS(PARÂMETROS!$E$8:$E$907,PARÂMETROS!$A$8:$A$907,C849,PARÂMETROS!$G$8:$G$907,J849))</f>
        <v>2.3847218982485568E-2</v>
      </c>
      <c r="E849" s="24">
        <f>SUMIFS(SETORES!$D:$D,SETORES!$A:$A,A849,SETORES!$F:$F,J849)</f>
        <v>69876.447</v>
      </c>
      <c r="F849" s="24">
        <f t="shared" si="44"/>
        <v>1666.3589333270468</v>
      </c>
      <c r="G849" s="23">
        <f>SUMIFS(PARÂMETROS!$F$8:$F$907,PARÂMETROS!$A$8:$A$907,C849,PARÂMETROS!$G$8:$G$907,J849)</f>
        <v>0</v>
      </c>
      <c r="H849" s="24">
        <f t="shared" si="42"/>
        <v>0</v>
      </c>
      <c r="I849" s="24">
        <f t="shared" si="43"/>
        <v>1666.3589333270468</v>
      </c>
      <c r="J849" t="s">
        <v>21</v>
      </c>
    </row>
    <row r="850" spans="1:10" ht="14.25" customHeight="1" x14ac:dyDescent="0.3">
      <c r="A850" t="s">
        <v>85</v>
      </c>
      <c r="B850" t="str">
        <f>INDEX(SETORES!$B:$B,MATCH(A850,SETORES!$A:$A,0))</f>
        <v>Clientes</v>
      </c>
      <c r="C850" t="s">
        <v>17</v>
      </c>
      <c r="D850" s="23">
        <f>IF(B850="Clientes",SUMIFS(PARÂMETROS!$D$8:$D$907,PARÂMETROS!$A$8:$A$907,C850,PARÂMETROS!$G$8:$G$907,J850),SUMIFS(PARÂMETROS!$E$8:$E$907,PARÂMETROS!$A$8:$A$907,C850,PARÂMETROS!$G$8:$G$907,J850))</f>
        <v>2.3852181983314392E-2</v>
      </c>
      <c r="E850" s="24">
        <f>SUMIFS(SETORES!$D:$D,SETORES!$A:$A,A850,SETORES!$F:$F,J850)</f>
        <v>69876.447</v>
      </c>
      <c r="F850" s="24">
        <f t="shared" si="44"/>
        <v>1666.7057301914231</v>
      </c>
      <c r="G850" s="23">
        <f>SUMIFS(PARÂMETROS!$F$8:$F$907,PARÂMETROS!$A$8:$A$907,C850,PARÂMETROS!$G$8:$G$907,J850)</f>
        <v>0</v>
      </c>
      <c r="H850" s="24">
        <f t="shared" si="42"/>
        <v>0</v>
      </c>
      <c r="I850" s="24">
        <f t="shared" si="43"/>
        <v>1666.7057301914231</v>
      </c>
      <c r="J850" t="s">
        <v>21</v>
      </c>
    </row>
    <row r="851" spans="1:10" ht="14.25" customHeight="1" x14ac:dyDescent="0.3">
      <c r="A851" t="s">
        <v>85</v>
      </c>
      <c r="B851" t="str">
        <f>INDEX(SETORES!$B:$B,MATCH(A851,SETORES!$A:$A,0))</f>
        <v>Clientes</v>
      </c>
      <c r="C851" t="s">
        <v>18</v>
      </c>
      <c r="D851" s="23">
        <f>IF(B851="Clientes",SUMIFS(PARÂMETROS!$D$8:$D$907,PARÂMETROS!$A$8:$A$907,C851,PARÂMETROS!$G$8:$G$907,J851),SUMIFS(PARÂMETROS!$E$8:$E$907,PARÂMETROS!$A$8:$A$907,C851,PARÂMETROS!$G$8:$G$907,J851))</f>
        <v>0.72827074162121386</v>
      </c>
      <c r="E851" s="24">
        <f>SUMIFS(SETORES!$D:$D,SETORES!$A:$A,A851,SETORES!$F:$F,J851)</f>
        <v>69876.447</v>
      </c>
      <c r="F851" s="24">
        <f t="shared" si="44"/>
        <v>50888.971878545446</v>
      </c>
      <c r="G851" s="23">
        <f>SUMIFS(PARÂMETROS!$F$8:$F$907,PARÂMETROS!$A$8:$A$907,C851,PARÂMETROS!$G$8:$G$907,J851)</f>
        <v>0</v>
      </c>
      <c r="H851" s="24">
        <f t="shared" si="42"/>
        <v>0</v>
      </c>
      <c r="I851" s="24">
        <f t="shared" si="43"/>
        <v>50888.971878545446</v>
      </c>
      <c r="J851" t="s">
        <v>21</v>
      </c>
    </row>
    <row r="852" spans="1:10" ht="14.25" customHeight="1" x14ac:dyDescent="0.3">
      <c r="A852" t="s">
        <v>86</v>
      </c>
      <c r="B852" t="str">
        <f>INDEX(SETORES!$B:$B,MATCH(A852,SETORES!$A:$A,0))</f>
        <v>Clientes</v>
      </c>
      <c r="C852" t="s">
        <v>10</v>
      </c>
      <c r="D852" s="23">
        <f>IF(B852="Clientes",SUMIFS(PARÂMETROS!$D$8:$D$907,PARÂMETROS!$A$8:$A$907,C852,PARÂMETROS!$G$8:$G$907,J852),SUMIFS(PARÂMETROS!$E$8:$E$907,PARÂMETROS!$A$8:$A$907,C852,PARÂMETROS!$G$8:$G$907,J852))</f>
        <v>3.2823386139959339E-2</v>
      </c>
      <c r="E852" s="24">
        <f>SUMIFS(SETORES!$D:$D,SETORES!$A:$A,A852,SETORES!$F:$F,J852)</f>
        <v>25901.077776999999</v>
      </c>
      <c r="F852" s="24">
        <f t="shared" si="44"/>
        <v>850.16107731559055</v>
      </c>
      <c r="G852" s="23">
        <f>SUMIFS(PARÂMETROS!$F$8:$F$907,PARÂMETROS!$A$8:$A$907,C852,PARÂMETROS!$G$8:$G$907,J852)</f>
        <v>0</v>
      </c>
      <c r="H852" s="24">
        <f t="shared" ref="H852:H899" si="45">IFERROR(F852*G852,0)</f>
        <v>0</v>
      </c>
      <c r="I852" s="24">
        <f t="shared" ref="I852:I899" si="46">F852+H852</f>
        <v>850.16107731559055</v>
      </c>
      <c r="J852" t="s">
        <v>20</v>
      </c>
    </row>
    <row r="853" spans="1:10" ht="14.25" customHeight="1" x14ac:dyDescent="0.3">
      <c r="A853" t="s">
        <v>86</v>
      </c>
      <c r="B853" t="str">
        <f>INDEX(SETORES!$B:$B,MATCH(A853,SETORES!$A:$A,0))</f>
        <v>Clientes</v>
      </c>
      <c r="C853" t="s">
        <v>12</v>
      </c>
      <c r="D853" s="23">
        <f>IF(B853="Clientes",SUMIFS(PARÂMETROS!$D$8:$D$907,PARÂMETROS!$A$8:$A$907,C853,PARÂMETROS!$G$8:$G$907,J853),SUMIFS(PARÂMETROS!$E$8:$E$907,PARÂMETROS!$A$8:$A$907,C853,PARÂMETROS!$G$8:$G$907,J853))</f>
        <v>7.0047614816518319E-2</v>
      </c>
      <c r="E853" s="24">
        <f>SUMIFS(SETORES!$D:$D,SETORES!$A:$A,A853,SETORES!$F:$F,J853)</f>
        <v>25901.077776999999</v>
      </c>
      <c r="F853" s="24">
        <f t="shared" si="44"/>
        <v>1814.3087194559785</v>
      </c>
      <c r="G853" s="23">
        <f>SUMIFS(PARÂMETROS!$F$8:$F$907,PARÂMETROS!$A$8:$A$907,C853,PARÂMETROS!$G$8:$G$907,J853)</f>
        <v>0</v>
      </c>
      <c r="H853" s="24">
        <f t="shared" si="45"/>
        <v>0</v>
      </c>
      <c r="I853" s="24">
        <f t="shared" si="46"/>
        <v>1814.3087194559785</v>
      </c>
      <c r="J853" t="s">
        <v>20</v>
      </c>
    </row>
    <row r="854" spans="1:10" ht="14.25" customHeight="1" x14ac:dyDescent="0.3">
      <c r="A854" t="s">
        <v>86</v>
      </c>
      <c r="B854" t="str">
        <f>INDEX(SETORES!$B:$B,MATCH(A854,SETORES!$A:$A,0))</f>
        <v>Clientes</v>
      </c>
      <c r="C854" t="s">
        <v>13</v>
      </c>
      <c r="D854" s="23">
        <f>IF(B854="Clientes",SUMIFS(PARÂMETROS!$D$8:$D$907,PARÂMETROS!$A$8:$A$907,C854,PARÂMETROS!$G$8:$G$907,J854),SUMIFS(PARÂMETROS!$E$8:$E$907,PARÂMETROS!$A$8:$A$907,C854,PARÂMETROS!$G$8:$G$907,J854))</f>
        <v>7.4903176237540961E-2</v>
      </c>
      <c r="E854" s="24">
        <f>SUMIFS(SETORES!$D:$D,SETORES!$A:$A,A854,SETORES!$F:$F,J854)</f>
        <v>25901.077776999999</v>
      </c>
      <c r="F854" s="24">
        <f t="shared" si="44"/>
        <v>1940.0729934728865</v>
      </c>
      <c r="G854" s="23">
        <f>SUMIFS(PARÂMETROS!$F$8:$F$907,PARÂMETROS!$A$8:$A$907,C854,PARÂMETROS!$G$8:$G$907,J854)</f>
        <v>0</v>
      </c>
      <c r="H854" s="24">
        <f t="shared" si="45"/>
        <v>0</v>
      </c>
      <c r="I854" s="24">
        <f t="shared" si="46"/>
        <v>1940.0729934728865</v>
      </c>
      <c r="J854" t="s">
        <v>20</v>
      </c>
    </row>
    <row r="855" spans="1:10" ht="14.25" customHeight="1" x14ac:dyDescent="0.3">
      <c r="A855" t="s">
        <v>86</v>
      </c>
      <c r="B855" t="str">
        <f>INDEX(SETORES!$B:$B,MATCH(A855,SETORES!$A:$A,0))</f>
        <v>Clientes</v>
      </c>
      <c r="C855" t="s">
        <v>14</v>
      </c>
      <c r="D855" s="23">
        <f>IF(B855="Clientes",SUMIFS(PARÂMETROS!$D$8:$D$907,PARÂMETROS!$A$8:$A$907,C855,PARÂMETROS!$G$8:$G$907,J855),SUMIFS(PARÂMETROS!$E$8:$E$907,PARÂMETROS!$A$8:$A$907,C855,PARÂMETROS!$G$8:$G$907,J855))</f>
        <v>1.907728653039038E-2</v>
      </c>
      <c r="E855" s="24">
        <f>SUMIFS(SETORES!$D:$D,SETORES!$A:$A,A855,SETORES!$F:$F,J855)</f>
        <v>25901.077776999999</v>
      </c>
      <c r="F855" s="24">
        <f t="shared" si="44"/>
        <v>494.12228219775568</v>
      </c>
      <c r="G855" s="23">
        <f>SUMIFS(PARÂMETROS!$F$8:$F$907,PARÂMETROS!$A$8:$A$907,C855,PARÂMETROS!$G$8:$G$907,J855)</f>
        <v>0</v>
      </c>
      <c r="H855" s="24">
        <f t="shared" si="45"/>
        <v>0</v>
      </c>
      <c r="I855" s="24">
        <f t="shared" si="46"/>
        <v>494.12228219775568</v>
      </c>
      <c r="J855" t="s">
        <v>20</v>
      </c>
    </row>
    <row r="856" spans="1:10" ht="14.25" customHeight="1" x14ac:dyDescent="0.3">
      <c r="A856" t="s">
        <v>86</v>
      </c>
      <c r="B856" t="str">
        <f>INDEX(SETORES!$B:$B,MATCH(A856,SETORES!$A:$A,0))</f>
        <v>Clientes</v>
      </c>
      <c r="C856" t="s">
        <v>15</v>
      </c>
      <c r="D856" s="23">
        <f>IF(B856="Clientes",SUMIFS(PARÂMETROS!$D$8:$D$907,PARÂMETROS!$A$8:$A$907,C856,PARÂMETROS!$G$8:$G$907,J856),SUMIFS(PARÂMETROS!$E$8:$E$907,PARÂMETROS!$A$8:$A$907,C856,PARÂMETROS!$G$8:$G$907,J856))</f>
        <v>3.3429677985856672E-2</v>
      </c>
      <c r="E856" s="24">
        <f>SUMIFS(SETORES!$D:$D,SETORES!$A:$A,A856,SETORES!$F:$F,J856)</f>
        <v>25901.077776999999</v>
      </c>
      <c r="F856" s="24">
        <f t="shared" si="44"/>
        <v>865.86468957173827</v>
      </c>
      <c r="G856" s="23">
        <f>SUMIFS(PARÂMETROS!$F$8:$F$907,PARÂMETROS!$A$8:$A$907,C856,PARÂMETROS!$G$8:$G$907,J856)</f>
        <v>0</v>
      </c>
      <c r="H856" s="24">
        <f t="shared" si="45"/>
        <v>0</v>
      </c>
      <c r="I856" s="24">
        <f t="shared" si="46"/>
        <v>865.86468957173827</v>
      </c>
      <c r="J856" t="s">
        <v>20</v>
      </c>
    </row>
    <row r="857" spans="1:10" ht="14.25" customHeight="1" x14ac:dyDescent="0.3">
      <c r="A857" t="s">
        <v>86</v>
      </c>
      <c r="B857" t="str">
        <f>INDEX(SETORES!$B:$B,MATCH(A857,SETORES!$A:$A,0))</f>
        <v>Clientes</v>
      </c>
      <c r="C857" t="s">
        <v>16</v>
      </c>
      <c r="D857" s="23">
        <f>IF(B857="Clientes",SUMIFS(PARÂMETROS!$D$8:$D$907,PARÂMETROS!$A$8:$A$907,C857,PARÂMETROS!$G$8:$G$907,J857),SUMIFS(PARÂMETROS!$E$8:$E$907,PARÂMETROS!$A$8:$A$907,C857,PARÂMETROS!$G$8:$G$907,J857))</f>
        <v>2.4722072681848353E-2</v>
      </c>
      <c r="E857" s="24">
        <f>SUMIFS(SETORES!$D:$D,SETORES!$A:$A,A857,SETORES!$F:$F,J857)</f>
        <v>25901.077776999999</v>
      </c>
      <c r="F857" s="24">
        <f t="shared" si="44"/>
        <v>640.32832734120109</v>
      </c>
      <c r="G857" s="23">
        <f>SUMIFS(PARÂMETROS!$F$8:$F$907,PARÂMETROS!$A$8:$A$907,C857,PARÂMETROS!$G$8:$G$907,J857)</f>
        <v>0</v>
      </c>
      <c r="H857" s="24">
        <f t="shared" si="45"/>
        <v>0</v>
      </c>
      <c r="I857" s="24">
        <f t="shared" si="46"/>
        <v>640.32832734120109</v>
      </c>
      <c r="J857" t="s">
        <v>20</v>
      </c>
    </row>
    <row r="858" spans="1:10" ht="14.25" customHeight="1" x14ac:dyDescent="0.3">
      <c r="A858" t="s">
        <v>86</v>
      </c>
      <c r="B858" t="str">
        <f>INDEX(SETORES!$B:$B,MATCH(A858,SETORES!$A:$A,0))</f>
        <v>Clientes</v>
      </c>
      <c r="C858" t="s">
        <v>17</v>
      </c>
      <c r="D858" s="23">
        <f>IF(B858="Clientes",SUMIFS(PARÂMETROS!$D$8:$D$907,PARÂMETROS!$A$8:$A$907,C858,PARÂMETROS!$G$8:$G$907,J858),SUMIFS(PARÂMETROS!$E$8:$E$907,PARÂMETROS!$A$8:$A$907,C858,PARÂMETROS!$G$8:$G$907,J858))</f>
        <v>2.4993858681733368E-2</v>
      </c>
      <c r="E858" s="24">
        <f>SUMIFS(SETORES!$D:$D,SETORES!$A:$A,A858,SETORES!$F:$F,J858)</f>
        <v>25901.077776999999</v>
      </c>
      <c r="F858" s="24">
        <f t="shared" si="44"/>
        <v>647.36787766292264</v>
      </c>
      <c r="G858" s="23">
        <f>SUMIFS(PARÂMETROS!$F$8:$F$907,PARÂMETROS!$A$8:$A$907,C858,PARÂMETROS!$G$8:$G$907,J858)</f>
        <v>0</v>
      </c>
      <c r="H858" s="24">
        <f t="shared" si="45"/>
        <v>0</v>
      </c>
      <c r="I858" s="24">
        <f t="shared" si="46"/>
        <v>647.36787766292264</v>
      </c>
      <c r="J858" t="s">
        <v>20</v>
      </c>
    </row>
    <row r="859" spans="1:10" ht="14.25" customHeight="1" x14ac:dyDescent="0.3">
      <c r="A859" t="s">
        <v>86</v>
      </c>
      <c r="B859" t="str">
        <f>INDEX(SETORES!$B:$B,MATCH(A859,SETORES!$A:$A,0))</f>
        <v>Clientes</v>
      </c>
      <c r="C859" t="s">
        <v>18</v>
      </c>
      <c r="D859" s="23">
        <f>IF(B859="Clientes",SUMIFS(PARÂMETROS!$D$8:$D$907,PARÂMETROS!$A$8:$A$907,C859,PARÂMETROS!$G$8:$G$907,J859),SUMIFS(PARÂMETROS!$E$8:$E$907,PARÂMETROS!$A$8:$A$907,C859,PARÂMETROS!$G$8:$G$907,J859))</f>
        <v>0.72000292692615264</v>
      </c>
      <c r="E859" s="24">
        <f>SUMIFS(SETORES!$D:$D,SETORES!$A:$A,A859,SETORES!$F:$F,J859)</f>
        <v>25901.077776999999</v>
      </c>
      <c r="F859" s="24">
        <f t="shared" si="44"/>
        <v>18648.851809981927</v>
      </c>
      <c r="G859" s="23">
        <f>SUMIFS(PARÂMETROS!$F$8:$F$907,PARÂMETROS!$A$8:$A$907,C859,PARÂMETROS!$G$8:$G$907,J859)</f>
        <v>0</v>
      </c>
      <c r="H859" s="24">
        <f t="shared" si="45"/>
        <v>0</v>
      </c>
      <c r="I859" s="24">
        <f t="shared" si="46"/>
        <v>18648.851809981927</v>
      </c>
      <c r="J859" t="s">
        <v>20</v>
      </c>
    </row>
    <row r="860" spans="1:10" ht="14.25" customHeight="1" x14ac:dyDescent="0.3">
      <c r="A860" t="s">
        <v>86</v>
      </c>
      <c r="B860" t="str">
        <f>INDEX(SETORES!$B:$B,MATCH(A860,SETORES!$A:$A,0))</f>
        <v>Clientes</v>
      </c>
      <c r="C860" t="s">
        <v>10</v>
      </c>
      <c r="D860" s="23">
        <f>IF(B860="Clientes",SUMIFS(PARÂMETROS!$D$8:$D$907,PARÂMETROS!$A$8:$A$907,C860,PARÂMETROS!$G$8:$G$907,J860),SUMIFS(PARÂMETROS!$E$8:$E$907,PARÂMETROS!$A$8:$A$907,C860,PARÂMETROS!$G$8:$G$907,J860))</f>
        <v>3.3077914012820578E-2</v>
      </c>
      <c r="E860" s="24">
        <f>SUMIFS(SETORES!$D:$D,SETORES!$A:$A,A860,SETORES!$F:$F,J860)</f>
        <v>35036.850912000002</v>
      </c>
      <c r="F860" s="24">
        <f t="shared" si="44"/>
        <v>1158.9459417471503</v>
      </c>
      <c r="G860" s="23">
        <f>SUMIFS(PARÂMETROS!$F$8:$F$907,PARÂMETROS!$A$8:$A$907,C860,PARÂMETROS!$G$8:$G$907,J860)</f>
        <v>0</v>
      </c>
      <c r="H860" s="24">
        <f t="shared" si="45"/>
        <v>0</v>
      </c>
      <c r="I860" s="24">
        <f t="shared" si="46"/>
        <v>1158.9459417471503</v>
      </c>
      <c r="J860" t="s">
        <v>11</v>
      </c>
    </row>
    <row r="861" spans="1:10" ht="14.25" customHeight="1" x14ac:dyDescent="0.3">
      <c r="A861" t="s">
        <v>86</v>
      </c>
      <c r="B861" t="str">
        <f>INDEX(SETORES!$B:$B,MATCH(A861,SETORES!$A:$A,0))</f>
        <v>Clientes</v>
      </c>
      <c r="C861" t="s">
        <v>12</v>
      </c>
      <c r="D861" s="23">
        <f>IF(B861="Clientes",SUMIFS(PARÂMETROS!$D$8:$D$907,PARÂMETROS!$A$8:$A$907,C861,PARÂMETROS!$G$8:$G$907,J861),SUMIFS(PARÂMETROS!$E$8:$E$907,PARÂMETROS!$A$8:$A$907,C861,PARÂMETROS!$G$8:$G$907,J861))</f>
        <v>6.886570212940675E-2</v>
      </c>
      <c r="E861" s="24">
        <f>SUMIFS(SETORES!$D:$D,SETORES!$A:$A,A861,SETORES!$F:$F,J861)</f>
        <v>35036.850912000002</v>
      </c>
      <c r="F861" s="24">
        <f t="shared" si="44"/>
        <v>2412.8373384582255</v>
      </c>
      <c r="G861" s="23">
        <f>SUMIFS(PARÂMETROS!$F$8:$F$907,PARÂMETROS!$A$8:$A$907,C861,PARÂMETROS!$G$8:$G$907,J861)</f>
        <v>0</v>
      </c>
      <c r="H861" s="24">
        <f t="shared" si="45"/>
        <v>0</v>
      </c>
      <c r="I861" s="24">
        <f t="shared" si="46"/>
        <v>2412.8373384582255</v>
      </c>
      <c r="J861" t="s">
        <v>11</v>
      </c>
    </row>
    <row r="862" spans="1:10" ht="14.25" customHeight="1" x14ac:dyDescent="0.3">
      <c r="A862" t="s">
        <v>86</v>
      </c>
      <c r="B862" t="str">
        <f>INDEX(SETORES!$B:$B,MATCH(A862,SETORES!$A:$A,0))</f>
        <v>Clientes</v>
      </c>
      <c r="C862" t="s">
        <v>13</v>
      </c>
      <c r="D862" s="23">
        <f>IF(B862="Clientes",SUMIFS(PARÂMETROS!$D$8:$D$907,PARÂMETROS!$A$8:$A$907,C862,PARÂMETROS!$G$8:$G$907,J862),SUMIFS(PARÂMETROS!$E$8:$E$907,PARÂMETROS!$A$8:$A$907,C862,PARÂMETROS!$G$8:$G$907,J862))</f>
        <v>7.4116083205452599E-2</v>
      </c>
      <c r="E862" s="24">
        <f>SUMIFS(SETORES!$D:$D,SETORES!$A:$A,A862,SETORES!$F:$F,J862)</f>
        <v>35036.850912000002</v>
      </c>
      <c r="F862" s="24">
        <f t="shared" si="44"/>
        <v>2596.79415745083</v>
      </c>
      <c r="G862" s="23">
        <f>SUMIFS(PARÂMETROS!$F$8:$F$907,PARÂMETROS!$A$8:$A$907,C862,PARÂMETROS!$G$8:$G$907,J862)</f>
        <v>0</v>
      </c>
      <c r="H862" s="24">
        <f t="shared" si="45"/>
        <v>0</v>
      </c>
      <c r="I862" s="24">
        <f t="shared" si="46"/>
        <v>2596.79415745083</v>
      </c>
      <c r="J862" t="s">
        <v>11</v>
      </c>
    </row>
    <row r="863" spans="1:10" ht="14.25" customHeight="1" x14ac:dyDescent="0.3">
      <c r="A863" t="s">
        <v>86</v>
      </c>
      <c r="B863" t="str">
        <f>INDEX(SETORES!$B:$B,MATCH(A863,SETORES!$A:$A,0))</f>
        <v>Clientes</v>
      </c>
      <c r="C863" t="s">
        <v>14</v>
      </c>
      <c r="D863" s="23">
        <f>IF(B863="Clientes",SUMIFS(PARÂMETROS!$D$8:$D$907,PARÂMETROS!$A$8:$A$907,C863,PARÂMETROS!$G$8:$G$907,J863),SUMIFS(PARÂMETROS!$E$8:$E$907,PARÂMETROS!$A$8:$A$907,C863,PARÂMETROS!$G$8:$G$907,J863))</f>
        <v>1.9010177424901076E-2</v>
      </c>
      <c r="E863" s="24">
        <f>SUMIFS(SETORES!$D:$D,SETORES!$A:$A,A863,SETORES!$F:$F,J863)</f>
        <v>35036.850912000002</v>
      </c>
      <c r="F863" s="24">
        <f t="shared" si="44"/>
        <v>666.05675224692709</v>
      </c>
      <c r="G863" s="23">
        <f>SUMIFS(PARÂMETROS!$F$8:$F$907,PARÂMETROS!$A$8:$A$907,C863,PARÂMETROS!$G$8:$G$907,J863)</f>
        <v>0</v>
      </c>
      <c r="H863" s="24">
        <f t="shared" si="45"/>
        <v>0</v>
      </c>
      <c r="I863" s="24">
        <f t="shared" si="46"/>
        <v>666.05675224692709</v>
      </c>
      <c r="J863" t="s">
        <v>11</v>
      </c>
    </row>
    <row r="864" spans="1:10" ht="14.25" customHeight="1" x14ac:dyDescent="0.3">
      <c r="A864" t="s">
        <v>86</v>
      </c>
      <c r="B864" t="str">
        <f>INDEX(SETORES!$B:$B,MATCH(A864,SETORES!$A:$A,0))</f>
        <v>Clientes</v>
      </c>
      <c r="C864" t="s">
        <v>15</v>
      </c>
      <c r="D864" s="23">
        <f>IF(B864="Clientes",SUMIFS(PARÂMETROS!$D$8:$D$907,PARÂMETROS!$A$8:$A$907,C864,PARÂMETROS!$G$8:$G$907,J864),SUMIFS(PARÂMETROS!$E$8:$E$907,PARÂMETROS!$A$8:$A$907,C864,PARÂMETROS!$G$8:$G$907,J864))</f>
        <v>3.302145830232546E-2</v>
      </c>
      <c r="E864" s="24">
        <f>SUMIFS(SETORES!$D:$D,SETORES!$A:$A,A864,SETORES!$F:$F,J864)</f>
        <v>35036.850912000002</v>
      </c>
      <c r="F864" s="24">
        <f t="shared" si="44"/>
        <v>1156.9679114354019</v>
      </c>
      <c r="G864" s="23">
        <f>SUMIFS(PARÂMETROS!$F$8:$F$907,PARÂMETROS!$A$8:$A$907,C864,PARÂMETROS!$G$8:$G$907,J864)</f>
        <v>0</v>
      </c>
      <c r="H864" s="24">
        <f t="shared" si="45"/>
        <v>0</v>
      </c>
      <c r="I864" s="24">
        <f t="shared" si="46"/>
        <v>1156.9679114354019</v>
      </c>
      <c r="J864" t="s">
        <v>11</v>
      </c>
    </row>
    <row r="865" spans="1:10" ht="14.25" customHeight="1" x14ac:dyDescent="0.3">
      <c r="A865" t="s">
        <v>86</v>
      </c>
      <c r="B865" t="str">
        <f>INDEX(SETORES!$B:$B,MATCH(A865,SETORES!$A:$A,0))</f>
        <v>Clientes</v>
      </c>
      <c r="C865" t="s">
        <v>16</v>
      </c>
      <c r="D865" s="23">
        <f>IF(B865="Clientes",SUMIFS(PARÂMETROS!$D$8:$D$907,PARÂMETROS!$A$8:$A$907,C865,PARÂMETROS!$G$8:$G$907,J865),SUMIFS(PARÂMETROS!$E$8:$E$907,PARÂMETROS!$A$8:$A$907,C865,PARÂMETROS!$G$8:$G$907,J865))</f>
        <v>2.437346992193715E-2</v>
      </c>
      <c r="E865" s="24">
        <f>SUMIFS(SETORES!$D:$D,SETORES!$A:$A,A865,SETORES!$F:$F,J865)</f>
        <v>35036.850912000002</v>
      </c>
      <c r="F865" s="24">
        <f t="shared" si="44"/>
        <v>853.96963186302821</v>
      </c>
      <c r="G865" s="23">
        <f>SUMIFS(PARÂMETROS!$F$8:$F$907,PARÂMETROS!$A$8:$A$907,C865,PARÂMETROS!$G$8:$G$907,J865)</f>
        <v>0</v>
      </c>
      <c r="H865" s="24">
        <f t="shared" si="45"/>
        <v>0</v>
      </c>
      <c r="I865" s="24">
        <f t="shared" si="46"/>
        <v>853.96963186302821</v>
      </c>
      <c r="J865" t="s">
        <v>11</v>
      </c>
    </row>
    <row r="866" spans="1:10" ht="14.25" customHeight="1" x14ac:dyDescent="0.3">
      <c r="A866" t="s">
        <v>86</v>
      </c>
      <c r="B866" t="str">
        <f>INDEX(SETORES!$B:$B,MATCH(A866,SETORES!$A:$A,0))</f>
        <v>Clientes</v>
      </c>
      <c r="C866" t="s">
        <v>17</v>
      </c>
      <c r="D866" s="23">
        <f>IF(B866="Clientes",SUMIFS(PARÂMETROS!$D$8:$D$907,PARÂMETROS!$A$8:$A$907,C866,PARÂMETROS!$G$8:$G$907,J866),SUMIFS(PARÂMETROS!$E$8:$E$907,PARÂMETROS!$A$8:$A$907,C866,PARÂMETROS!$G$8:$G$907,J866))</f>
        <v>2.460955743855309E-2</v>
      </c>
      <c r="E866" s="24">
        <f>SUMIFS(SETORES!$D:$D,SETORES!$A:$A,A866,SETORES!$F:$F,J866)</f>
        <v>35036.850912000002</v>
      </c>
      <c r="F866" s="24">
        <f t="shared" si="44"/>
        <v>862.24139498488523</v>
      </c>
      <c r="G866" s="23">
        <f>SUMIFS(PARÂMETROS!$F$8:$F$907,PARÂMETROS!$A$8:$A$907,C866,PARÂMETROS!$G$8:$G$907,J866)</f>
        <v>0</v>
      </c>
      <c r="H866" s="24">
        <f t="shared" si="45"/>
        <v>0</v>
      </c>
      <c r="I866" s="24">
        <f t="shared" si="46"/>
        <v>862.24139498488523</v>
      </c>
      <c r="J866" t="s">
        <v>11</v>
      </c>
    </row>
    <row r="867" spans="1:10" ht="14.25" customHeight="1" x14ac:dyDescent="0.3">
      <c r="A867" t="s">
        <v>86</v>
      </c>
      <c r="B867" t="str">
        <f>INDEX(SETORES!$B:$B,MATCH(A867,SETORES!$A:$A,0))</f>
        <v>Clientes</v>
      </c>
      <c r="C867" t="s">
        <v>18</v>
      </c>
      <c r="D867" s="23">
        <f>IF(B867="Clientes",SUMIFS(PARÂMETROS!$D$8:$D$907,PARÂMETROS!$A$8:$A$907,C867,PARÂMETROS!$G$8:$G$907,J867),SUMIFS(PARÂMETROS!$E$8:$E$907,PARÂMETROS!$A$8:$A$907,C867,PARÂMETROS!$G$8:$G$907,J867))</f>
        <v>0.72292563756460326</v>
      </c>
      <c r="E867" s="24">
        <f>SUMIFS(SETORES!$D:$D,SETORES!$A:$A,A867,SETORES!$F:$F,J867)</f>
        <v>35036.850912000002</v>
      </c>
      <c r="F867" s="24">
        <f t="shared" si="44"/>
        <v>25329.037783813554</v>
      </c>
      <c r="G867" s="23">
        <f>SUMIFS(PARÂMETROS!$F$8:$F$907,PARÂMETROS!$A$8:$A$907,C867,PARÂMETROS!$G$8:$G$907,J867)</f>
        <v>0</v>
      </c>
      <c r="H867" s="24">
        <f t="shared" si="45"/>
        <v>0</v>
      </c>
      <c r="I867" s="24">
        <f t="shared" si="46"/>
        <v>25329.037783813554</v>
      </c>
      <c r="J867" t="s">
        <v>11</v>
      </c>
    </row>
    <row r="868" spans="1:10" ht="14.25" customHeight="1" x14ac:dyDescent="0.3">
      <c r="A868" t="s">
        <v>86</v>
      </c>
      <c r="B868" t="str">
        <f>INDEX(SETORES!$B:$B,MATCH(A868,SETORES!$A:$A,0))</f>
        <v>Clientes</v>
      </c>
      <c r="C868" t="s">
        <v>10</v>
      </c>
      <c r="D868" s="23">
        <f>IF(B868="Clientes",SUMIFS(PARÂMETROS!$D$8:$D$907,PARÂMETROS!$A$8:$A$907,C868,PARÂMETROS!$G$8:$G$907,J868),SUMIFS(PARÂMETROS!$E$8:$E$907,PARÂMETROS!$A$8:$A$907,C868,PARÂMETROS!$G$8:$G$907,J868))</f>
        <v>3.2696249460273663E-2</v>
      </c>
      <c r="E868" s="24">
        <f>SUMIFS(SETORES!$D:$D,SETORES!$A:$A,A868,SETORES!$F:$F,J868)</f>
        <v>29475.712743999997</v>
      </c>
      <c r="F868" s="24">
        <f t="shared" si="44"/>
        <v>963.74525689719144</v>
      </c>
      <c r="G868" s="23">
        <f>SUMIFS(PARÂMETROS!$F$8:$F$907,PARÂMETROS!$A$8:$A$907,C868,PARÂMETROS!$G$8:$G$907,J868)</f>
        <v>0</v>
      </c>
      <c r="H868" s="24">
        <f t="shared" si="45"/>
        <v>0</v>
      </c>
      <c r="I868" s="24">
        <f t="shared" si="46"/>
        <v>963.74525689719144</v>
      </c>
      <c r="J868" t="s">
        <v>21</v>
      </c>
    </row>
    <row r="869" spans="1:10" ht="14.25" customHeight="1" x14ac:dyDescent="0.3">
      <c r="A869" t="s">
        <v>86</v>
      </c>
      <c r="B869" t="str">
        <f>INDEX(SETORES!$B:$B,MATCH(A869,SETORES!$A:$A,0))</f>
        <v>Clientes</v>
      </c>
      <c r="C869" t="s">
        <v>12</v>
      </c>
      <c r="D869" s="23">
        <f>IF(B869="Clientes",SUMIFS(PARÂMETROS!$D$8:$D$907,PARÂMETROS!$A$8:$A$907,C869,PARÂMETROS!$G$8:$G$907,J869),SUMIFS(PARÂMETROS!$E$8:$E$907,PARÂMETROS!$A$8:$A$907,C869,PARÂMETROS!$G$8:$G$907,J869))</f>
        <v>6.7149401213950008E-2</v>
      </c>
      <c r="E869" s="24">
        <f>SUMIFS(SETORES!$D:$D,SETORES!$A:$A,A869,SETORES!$F:$F,J869)</f>
        <v>29475.712743999997</v>
      </c>
      <c r="F869" s="24">
        <f t="shared" si="44"/>
        <v>1979.2764611139951</v>
      </c>
      <c r="G869" s="23">
        <f>SUMIFS(PARÂMETROS!$F$8:$F$907,PARÂMETROS!$A$8:$A$907,C869,PARÂMETROS!$G$8:$G$907,J869)</f>
        <v>0</v>
      </c>
      <c r="H869" s="24">
        <f t="shared" si="45"/>
        <v>0</v>
      </c>
      <c r="I869" s="24">
        <f t="shared" si="46"/>
        <v>1979.2764611139951</v>
      </c>
      <c r="J869" t="s">
        <v>21</v>
      </c>
    </row>
    <row r="870" spans="1:10" ht="14.25" customHeight="1" x14ac:dyDescent="0.3">
      <c r="A870" t="s">
        <v>86</v>
      </c>
      <c r="B870" t="str">
        <f>INDEX(SETORES!$B:$B,MATCH(A870,SETORES!$A:$A,0))</f>
        <v>Clientes</v>
      </c>
      <c r="C870" t="s">
        <v>13</v>
      </c>
      <c r="D870" s="23">
        <f>IF(B870="Clientes",SUMIFS(PARÂMETROS!$D$8:$D$907,PARÂMETROS!$A$8:$A$907,C870,PARÂMETROS!$G$8:$G$907,J870),SUMIFS(PARÂMETROS!$E$8:$E$907,PARÂMETROS!$A$8:$A$907,C870,PARÂMETROS!$G$8:$G$907,J870))</f>
        <v>7.2901519174553703E-2</v>
      </c>
      <c r="E870" s="24">
        <f>SUMIFS(SETORES!$D:$D,SETORES!$A:$A,A870,SETORES!$F:$F,J870)</f>
        <v>29475.712743999997</v>
      </c>
      <c r="F870" s="24">
        <f t="shared" si="44"/>
        <v>2148.8242377903525</v>
      </c>
      <c r="G870" s="23">
        <f>SUMIFS(PARÂMETROS!$F$8:$F$907,PARÂMETROS!$A$8:$A$907,C870,PARÂMETROS!$G$8:$G$907,J870)</f>
        <v>0</v>
      </c>
      <c r="H870" s="24">
        <f t="shared" si="45"/>
        <v>0</v>
      </c>
      <c r="I870" s="24">
        <f t="shared" si="46"/>
        <v>2148.8242377903525</v>
      </c>
      <c r="J870" t="s">
        <v>21</v>
      </c>
    </row>
    <row r="871" spans="1:10" ht="14.25" customHeight="1" x14ac:dyDescent="0.3">
      <c r="A871" t="s">
        <v>86</v>
      </c>
      <c r="B871" t="str">
        <f>INDEX(SETORES!$B:$B,MATCH(A871,SETORES!$A:$A,0))</f>
        <v>Clientes</v>
      </c>
      <c r="C871" t="s">
        <v>14</v>
      </c>
      <c r="D871" s="23">
        <f>IF(B871="Clientes",SUMIFS(PARÂMETROS!$D$8:$D$907,PARÂMETROS!$A$8:$A$907,C871,PARÂMETROS!$G$8:$G$907,J871),SUMIFS(PARÂMETROS!$E$8:$E$907,PARÂMETROS!$A$8:$A$907,C871,PARÂMETROS!$G$8:$G$907,J871))</f>
        <v>1.8685698120511587E-2</v>
      </c>
      <c r="E871" s="24">
        <f>SUMIFS(SETORES!$D:$D,SETORES!$A:$A,A871,SETORES!$F:$F,J871)</f>
        <v>29475.712743999997</v>
      </c>
      <c r="F871" s="24">
        <f t="shared" si="44"/>
        <v>550.77427022130018</v>
      </c>
      <c r="G871" s="23">
        <f>SUMIFS(PARÂMETROS!$F$8:$F$907,PARÂMETROS!$A$8:$A$907,C871,PARÂMETROS!$G$8:$G$907,J871)</f>
        <v>0</v>
      </c>
      <c r="H871" s="24">
        <f t="shared" si="45"/>
        <v>0</v>
      </c>
      <c r="I871" s="24">
        <f t="shared" si="46"/>
        <v>550.77427022130018</v>
      </c>
      <c r="J871" t="s">
        <v>21</v>
      </c>
    </row>
    <row r="872" spans="1:10" ht="14.25" customHeight="1" x14ac:dyDescent="0.3">
      <c r="A872" t="s">
        <v>86</v>
      </c>
      <c r="B872" t="str">
        <f>INDEX(SETORES!$B:$B,MATCH(A872,SETORES!$A:$A,0))</f>
        <v>Clientes</v>
      </c>
      <c r="C872" t="s">
        <v>15</v>
      </c>
      <c r="D872" s="23">
        <f>IF(B872="Clientes",SUMIFS(PARÂMETROS!$D$8:$D$907,PARÂMETROS!$A$8:$A$907,C872,PARÂMETROS!$G$8:$G$907,J872),SUMIFS(PARÂMETROS!$E$8:$E$907,PARÂMETROS!$A$8:$A$907,C872,PARÂMETROS!$G$8:$G$907,J872))</f>
        <v>3.2596989443697238E-2</v>
      </c>
      <c r="E872" s="24">
        <f>SUMIFS(SETORES!$D:$D,SETORES!$A:$A,A872,SETORES!$F:$F,J872)</f>
        <v>29475.712743999997</v>
      </c>
      <c r="F872" s="24">
        <f t="shared" si="44"/>
        <v>960.81949716162001</v>
      </c>
      <c r="G872" s="23">
        <f>SUMIFS(PARÂMETROS!$F$8:$F$907,PARÂMETROS!$A$8:$A$907,C872,PARÂMETROS!$G$8:$G$907,J872)</f>
        <v>0</v>
      </c>
      <c r="H872" s="24">
        <f t="shared" si="45"/>
        <v>0</v>
      </c>
      <c r="I872" s="24">
        <f t="shared" si="46"/>
        <v>960.81949716162001</v>
      </c>
      <c r="J872" t="s">
        <v>21</v>
      </c>
    </row>
    <row r="873" spans="1:10" ht="14.25" customHeight="1" x14ac:dyDescent="0.3">
      <c r="A873" t="s">
        <v>86</v>
      </c>
      <c r="B873" t="str">
        <f>INDEX(SETORES!$B:$B,MATCH(A873,SETORES!$A:$A,0))</f>
        <v>Clientes</v>
      </c>
      <c r="C873" t="s">
        <v>16</v>
      </c>
      <c r="D873" s="23">
        <f>IF(B873="Clientes",SUMIFS(PARÂMETROS!$D$8:$D$907,PARÂMETROS!$A$8:$A$907,C873,PARÂMETROS!$G$8:$G$907,J873),SUMIFS(PARÂMETROS!$E$8:$E$907,PARÂMETROS!$A$8:$A$907,C873,PARÂMETROS!$G$8:$G$907,J873))</f>
        <v>2.3847218982485568E-2</v>
      </c>
      <c r="E873" s="24">
        <f>SUMIFS(SETORES!$D:$D,SETORES!$A:$A,A873,SETORES!$F:$F,J873)</f>
        <v>29475.712743999997</v>
      </c>
      <c r="F873" s="24">
        <f t="shared" si="44"/>
        <v>702.91377647100853</v>
      </c>
      <c r="G873" s="23">
        <f>SUMIFS(PARÂMETROS!$F$8:$F$907,PARÂMETROS!$A$8:$A$907,C873,PARÂMETROS!$G$8:$G$907,J873)</f>
        <v>0</v>
      </c>
      <c r="H873" s="24">
        <f t="shared" si="45"/>
        <v>0</v>
      </c>
      <c r="I873" s="24">
        <f t="shared" si="46"/>
        <v>702.91377647100853</v>
      </c>
      <c r="J873" t="s">
        <v>21</v>
      </c>
    </row>
    <row r="874" spans="1:10" ht="14.25" customHeight="1" x14ac:dyDescent="0.3">
      <c r="A874" t="s">
        <v>86</v>
      </c>
      <c r="B874" t="str">
        <f>INDEX(SETORES!$B:$B,MATCH(A874,SETORES!$A:$A,0))</f>
        <v>Clientes</v>
      </c>
      <c r="C874" t="s">
        <v>17</v>
      </c>
      <c r="D874" s="23">
        <f>IF(B874="Clientes",SUMIFS(PARÂMETROS!$D$8:$D$907,PARÂMETROS!$A$8:$A$907,C874,PARÂMETROS!$G$8:$G$907,J874),SUMIFS(PARÂMETROS!$E$8:$E$907,PARÂMETROS!$A$8:$A$907,C874,PARÂMETROS!$G$8:$G$907,J874))</f>
        <v>2.3852181983314392E-2</v>
      </c>
      <c r="E874" s="24">
        <f>SUMIFS(SETORES!$D:$D,SETORES!$A:$A,A874,SETORES!$F:$F,J874)</f>
        <v>29475.712743999997</v>
      </c>
      <c r="F874" s="24">
        <f t="shared" si="44"/>
        <v>703.06006445778712</v>
      </c>
      <c r="G874" s="23">
        <f>SUMIFS(PARÂMETROS!$F$8:$F$907,PARÂMETROS!$A$8:$A$907,C874,PARÂMETROS!$G$8:$G$907,J874)</f>
        <v>0</v>
      </c>
      <c r="H874" s="24">
        <f t="shared" si="45"/>
        <v>0</v>
      </c>
      <c r="I874" s="24">
        <f t="shared" si="46"/>
        <v>703.06006445778712</v>
      </c>
      <c r="J874" t="s">
        <v>21</v>
      </c>
    </row>
    <row r="875" spans="1:10" ht="14.25" customHeight="1" x14ac:dyDescent="0.3">
      <c r="A875" t="s">
        <v>86</v>
      </c>
      <c r="B875" t="str">
        <f>INDEX(SETORES!$B:$B,MATCH(A875,SETORES!$A:$A,0))</f>
        <v>Clientes</v>
      </c>
      <c r="C875" t="s">
        <v>18</v>
      </c>
      <c r="D875" s="23">
        <f>IF(B875="Clientes",SUMIFS(PARÂMETROS!$D$8:$D$907,PARÂMETROS!$A$8:$A$907,C875,PARÂMETROS!$G$8:$G$907,J875),SUMIFS(PARÂMETROS!$E$8:$E$907,PARÂMETROS!$A$8:$A$907,C875,PARÂMETROS!$G$8:$G$907,J875))</f>
        <v>0.72827074162121386</v>
      </c>
      <c r="E875" s="24">
        <f>SUMIFS(SETORES!$D:$D,SETORES!$A:$A,A875,SETORES!$F:$F,J875)</f>
        <v>29475.712743999997</v>
      </c>
      <c r="F875" s="24">
        <f t="shared" ref="F875:F899" si="47">IFERROR(D875*E875,0)</f>
        <v>21466.299179886741</v>
      </c>
      <c r="G875" s="23">
        <f>SUMIFS(PARÂMETROS!$F$8:$F$907,PARÂMETROS!$A$8:$A$907,C875,PARÂMETROS!$G$8:$G$907,J875)</f>
        <v>0</v>
      </c>
      <c r="H875" s="24">
        <f t="shared" si="45"/>
        <v>0</v>
      </c>
      <c r="I875" s="24">
        <f t="shared" si="46"/>
        <v>21466.299179886741</v>
      </c>
      <c r="J875" t="s">
        <v>21</v>
      </c>
    </row>
    <row r="876" spans="1:10" ht="14.25" customHeight="1" x14ac:dyDescent="0.3">
      <c r="A876" t="s">
        <v>87</v>
      </c>
      <c r="B876" t="str">
        <f>INDEX(SETORES!$B:$B,MATCH(A876,SETORES!$A:$A,0))</f>
        <v>Clientes</v>
      </c>
      <c r="C876" t="s">
        <v>10</v>
      </c>
      <c r="D876" s="23">
        <f>IF(B876="Clientes",SUMIFS(PARÂMETROS!$D$8:$D$907,PARÂMETROS!$A$8:$A$907,C876,PARÂMETROS!$G$8:$G$907,J876),SUMIFS(PARÂMETROS!$E$8:$E$907,PARÂMETROS!$A$8:$A$907,C876,PARÂMETROS!$G$8:$G$907,J876))</f>
        <v>3.2823386139959339E-2</v>
      </c>
      <c r="E876" s="24">
        <f>SUMIFS(SETORES!$D:$D,SETORES!$A:$A,A876,SETORES!$F:$F,J876)</f>
        <v>28475.231465999997</v>
      </c>
      <c r="F876" s="24">
        <f t="shared" si="47"/>
        <v>934.65351783323831</v>
      </c>
      <c r="G876" s="23">
        <f>SUMIFS(PARÂMETROS!$F$8:$F$907,PARÂMETROS!$A$8:$A$907,C876,PARÂMETROS!$G$8:$G$907,J876)</f>
        <v>0</v>
      </c>
      <c r="H876" s="24">
        <f t="shared" si="45"/>
        <v>0</v>
      </c>
      <c r="I876" s="24">
        <f t="shared" si="46"/>
        <v>934.65351783323831</v>
      </c>
      <c r="J876" t="s">
        <v>20</v>
      </c>
    </row>
    <row r="877" spans="1:10" ht="14.25" customHeight="1" x14ac:dyDescent="0.3">
      <c r="A877" t="s">
        <v>87</v>
      </c>
      <c r="B877" t="str">
        <f>INDEX(SETORES!$B:$B,MATCH(A877,SETORES!$A:$A,0))</f>
        <v>Clientes</v>
      </c>
      <c r="C877" t="s">
        <v>12</v>
      </c>
      <c r="D877" s="23">
        <f>IF(B877="Clientes",SUMIFS(PARÂMETROS!$D$8:$D$907,PARÂMETROS!$A$8:$A$907,C877,PARÂMETROS!$G$8:$G$907,J877),SUMIFS(PARÂMETROS!$E$8:$E$907,PARÂMETROS!$A$8:$A$907,C877,PARÂMETROS!$G$8:$G$907,J877))</f>
        <v>7.0047614816518319E-2</v>
      </c>
      <c r="E877" s="24">
        <f>SUMIFS(SETORES!$D:$D,SETORES!$A:$A,A877,SETORES!$F:$F,J877)</f>
        <v>28475.231465999997</v>
      </c>
      <c r="F877" s="24">
        <f t="shared" si="47"/>
        <v>1994.6220455415701</v>
      </c>
      <c r="G877" s="23">
        <f>SUMIFS(PARÂMETROS!$F$8:$F$907,PARÂMETROS!$A$8:$A$907,C877,PARÂMETROS!$G$8:$G$907,J877)</f>
        <v>0</v>
      </c>
      <c r="H877" s="24">
        <f t="shared" si="45"/>
        <v>0</v>
      </c>
      <c r="I877" s="24">
        <f t="shared" si="46"/>
        <v>1994.6220455415701</v>
      </c>
      <c r="J877" t="s">
        <v>20</v>
      </c>
    </row>
    <row r="878" spans="1:10" ht="14.25" customHeight="1" x14ac:dyDescent="0.3">
      <c r="A878" t="s">
        <v>87</v>
      </c>
      <c r="B878" t="str">
        <f>INDEX(SETORES!$B:$B,MATCH(A878,SETORES!$A:$A,0))</f>
        <v>Clientes</v>
      </c>
      <c r="C878" t="s">
        <v>13</v>
      </c>
      <c r="D878" s="23">
        <f>IF(B878="Clientes",SUMIFS(PARÂMETROS!$D$8:$D$907,PARÂMETROS!$A$8:$A$907,C878,PARÂMETROS!$G$8:$G$907,J878),SUMIFS(PARÂMETROS!$E$8:$E$907,PARÂMETROS!$A$8:$A$907,C878,PARÂMETROS!$G$8:$G$907,J878))</f>
        <v>7.4903176237540961E-2</v>
      </c>
      <c r="E878" s="24">
        <f>SUMIFS(SETORES!$D:$D,SETORES!$A:$A,A878,SETORES!$F:$F,J878)</f>
        <v>28475.231465999997</v>
      </c>
      <c r="F878" s="24">
        <f t="shared" si="47"/>
        <v>2132.8852809025698</v>
      </c>
      <c r="G878" s="23">
        <f>SUMIFS(PARÂMETROS!$F$8:$F$907,PARÂMETROS!$A$8:$A$907,C878,PARÂMETROS!$G$8:$G$907,J878)</f>
        <v>0</v>
      </c>
      <c r="H878" s="24">
        <f t="shared" si="45"/>
        <v>0</v>
      </c>
      <c r="I878" s="24">
        <f t="shared" si="46"/>
        <v>2132.8852809025698</v>
      </c>
      <c r="J878" t="s">
        <v>20</v>
      </c>
    </row>
    <row r="879" spans="1:10" ht="14.25" customHeight="1" x14ac:dyDescent="0.3">
      <c r="A879" t="s">
        <v>87</v>
      </c>
      <c r="B879" t="str">
        <f>INDEX(SETORES!$B:$B,MATCH(A879,SETORES!$A:$A,0))</f>
        <v>Clientes</v>
      </c>
      <c r="C879" t="s">
        <v>14</v>
      </c>
      <c r="D879" s="23">
        <f>IF(B879="Clientes",SUMIFS(PARÂMETROS!$D$8:$D$907,PARÂMETROS!$A$8:$A$907,C879,PARÂMETROS!$G$8:$G$907,J879),SUMIFS(PARÂMETROS!$E$8:$E$907,PARÂMETROS!$A$8:$A$907,C879,PARÂMETROS!$G$8:$G$907,J879))</f>
        <v>1.907728653039038E-2</v>
      </c>
      <c r="E879" s="24">
        <f>SUMIFS(SETORES!$D:$D,SETORES!$A:$A,A879,SETORES!$F:$F,J879)</f>
        <v>28475.231465999997</v>
      </c>
      <c r="F879" s="24">
        <f t="shared" si="47"/>
        <v>543.23014969607004</v>
      </c>
      <c r="G879" s="23">
        <f>SUMIFS(PARÂMETROS!$F$8:$F$907,PARÂMETROS!$A$8:$A$907,C879,PARÂMETROS!$G$8:$G$907,J879)</f>
        <v>0</v>
      </c>
      <c r="H879" s="24">
        <f t="shared" si="45"/>
        <v>0</v>
      </c>
      <c r="I879" s="24">
        <f t="shared" si="46"/>
        <v>543.23014969607004</v>
      </c>
      <c r="J879" t="s">
        <v>20</v>
      </c>
    </row>
    <row r="880" spans="1:10" ht="14.25" customHeight="1" x14ac:dyDescent="0.3">
      <c r="A880" t="s">
        <v>87</v>
      </c>
      <c r="B880" t="str">
        <f>INDEX(SETORES!$B:$B,MATCH(A880,SETORES!$A:$A,0))</f>
        <v>Clientes</v>
      </c>
      <c r="C880" t="s">
        <v>15</v>
      </c>
      <c r="D880" s="23">
        <f>IF(B880="Clientes",SUMIFS(PARÂMETROS!$D$8:$D$907,PARÂMETROS!$A$8:$A$907,C880,PARÂMETROS!$G$8:$G$907,J880),SUMIFS(PARÂMETROS!$E$8:$E$907,PARÂMETROS!$A$8:$A$907,C880,PARÂMETROS!$G$8:$G$907,J880))</f>
        <v>3.3429677985856672E-2</v>
      </c>
      <c r="E880" s="24">
        <f>SUMIFS(SETORES!$D:$D,SETORES!$A:$A,A880,SETORES!$F:$F,J880)</f>
        <v>28475.231465999997</v>
      </c>
      <c r="F880" s="24">
        <f t="shared" si="47"/>
        <v>951.91781848111327</v>
      </c>
      <c r="G880" s="23">
        <f>SUMIFS(PARÂMETROS!$F$8:$F$907,PARÂMETROS!$A$8:$A$907,C880,PARÂMETROS!$G$8:$G$907,J880)</f>
        <v>0</v>
      </c>
      <c r="H880" s="24">
        <f t="shared" si="45"/>
        <v>0</v>
      </c>
      <c r="I880" s="24">
        <f t="shared" si="46"/>
        <v>951.91781848111327</v>
      </c>
      <c r="J880" t="s">
        <v>20</v>
      </c>
    </row>
    <row r="881" spans="1:10" ht="14.25" customHeight="1" x14ac:dyDescent="0.3">
      <c r="A881" t="s">
        <v>87</v>
      </c>
      <c r="B881" t="str">
        <f>INDEX(SETORES!$B:$B,MATCH(A881,SETORES!$A:$A,0))</f>
        <v>Clientes</v>
      </c>
      <c r="C881" t="s">
        <v>16</v>
      </c>
      <c r="D881" s="23">
        <f>IF(B881="Clientes",SUMIFS(PARÂMETROS!$D$8:$D$907,PARÂMETROS!$A$8:$A$907,C881,PARÂMETROS!$G$8:$G$907,J881),SUMIFS(PARÂMETROS!$E$8:$E$907,PARÂMETROS!$A$8:$A$907,C881,PARÂMETROS!$G$8:$G$907,J881))</f>
        <v>2.4722072681848353E-2</v>
      </c>
      <c r="E881" s="24">
        <f>SUMIFS(SETORES!$D:$D,SETORES!$A:$A,A881,SETORES!$F:$F,J881)</f>
        <v>28475.231465999997</v>
      </c>
      <c r="F881" s="24">
        <f t="shared" si="47"/>
        <v>703.96674193490719</v>
      </c>
      <c r="G881" s="23">
        <f>SUMIFS(PARÂMETROS!$F$8:$F$907,PARÂMETROS!$A$8:$A$907,C881,PARÂMETROS!$G$8:$G$907,J881)</f>
        <v>0</v>
      </c>
      <c r="H881" s="24">
        <f t="shared" si="45"/>
        <v>0</v>
      </c>
      <c r="I881" s="24">
        <f t="shared" si="46"/>
        <v>703.96674193490719</v>
      </c>
      <c r="J881" t="s">
        <v>20</v>
      </c>
    </row>
    <row r="882" spans="1:10" ht="14.25" customHeight="1" x14ac:dyDescent="0.3">
      <c r="A882" t="s">
        <v>87</v>
      </c>
      <c r="B882" t="str">
        <f>INDEX(SETORES!$B:$B,MATCH(A882,SETORES!$A:$A,0))</f>
        <v>Clientes</v>
      </c>
      <c r="C882" t="s">
        <v>17</v>
      </c>
      <c r="D882" s="23">
        <f>IF(B882="Clientes",SUMIFS(PARÂMETROS!$D$8:$D$907,PARÂMETROS!$A$8:$A$907,C882,PARÂMETROS!$G$8:$G$907,J882),SUMIFS(PARÂMETROS!$E$8:$E$907,PARÂMETROS!$A$8:$A$907,C882,PARÂMETROS!$G$8:$G$907,J882))</f>
        <v>2.4993858681733368E-2</v>
      </c>
      <c r="E882" s="24">
        <f>SUMIFS(SETORES!$D:$D,SETORES!$A:$A,A882,SETORES!$F:$F,J882)</f>
        <v>28475.231465999997</v>
      </c>
      <c r="F882" s="24">
        <f t="shared" si="47"/>
        <v>711.70591119085123</v>
      </c>
      <c r="G882" s="23">
        <f>SUMIFS(PARÂMETROS!$F$8:$F$907,PARÂMETROS!$A$8:$A$907,C882,PARÂMETROS!$G$8:$G$907,J882)</f>
        <v>0</v>
      </c>
      <c r="H882" s="24">
        <f t="shared" si="45"/>
        <v>0</v>
      </c>
      <c r="I882" s="24">
        <f t="shared" si="46"/>
        <v>711.70591119085123</v>
      </c>
      <c r="J882" t="s">
        <v>20</v>
      </c>
    </row>
    <row r="883" spans="1:10" ht="14.25" customHeight="1" x14ac:dyDescent="0.3">
      <c r="A883" t="s">
        <v>87</v>
      </c>
      <c r="B883" t="str">
        <f>INDEX(SETORES!$B:$B,MATCH(A883,SETORES!$A:$A,0))</f>
        <v>Clientes</v>
      </c>
      <c r="C883" t="s">
        <v>18</v>
      </c>
      <c r="D883" s="23">
        <f>IF(B883="Clientes",SUMIFS(PARÂMETROS!$D$8:$D$907,PARÂMETROS!$A$8:$A$907,C883,PARÂMETROS!$G$8:$G$907,J883),SUMIFS(PARÂMETROS!$E$8:$E$907,PARÂMETROS!$A$8:$A$907,C883,PARÂMETROS!$G$8:$G$907,J883))</f>
        <v>0.72000292692615264</v>
      </c>
      <c r="E883" s="24">
        <f>SUMIFS(SETORES!$D:$D,SETORES!$A:$A,A883,SETORES!$F:$F,J883)</f>
        <v>28475.231465999997</v>
      </c>
      <c r="F883" s="24">
        <f t="shared" si="47"/>
        <v>20502.250000419677</v>
      </c>
      <c r="G883" s="23">
        <f>SUMIFS(PARÂMETROS!$F$8:$F$907,PARÂMETROS!$A$8:$A$907,C883,PARÂMETROS!$G$8:$G$907,J883)</f>
        <v>0</v>
      </c>
      <c r="H883" s="24">
        <f t="shared" si="45"/>
        <v>0</v>
      </c>
      <c r="I883" s="24">
        <f t="shared" si="46"/>
        <v>20502.250000419677</v>
      </c>
      <c r="J883" t="s">
        <v>20</v>
      </c>
    </row>
    <row r="884" spans="1:10" ht="14.25" customHeight="1" x14ac:dyDescent="0.3">
      <c r="A884" t="s">
        <v>87</v>
      </c>
      <c r="B884" t="str">
        <f>INDEX(SETORES!$B:$B,MATCH(A884,SETORES!$A:$A,0))</f>
        <v>Clientes</v>
      </c>
      <c r="C884" t="s">
        <v>10</v>
      </c>
      <c r="D884" s="23">
        <f>IF(B884="Clientes",SUMIFS(PARÂMETROS!$D$8:$D$907,PARÂMETROS!$A$8:$A$907,C884,PARÂMETROS!$G$8:$G$907,J884),SUMIFS(PARÂMETROS!$E$8:$E$907,PARÂMETROS!$A$8:$A$907,C884,PARÂMETROS!$G$8:$G$907,J884))</f>
        <v>3.3077914012820578E-2</v>
      </c>
      <c r="E884" s="24">
        <f>SUMIFS(SETORES!$D:$D,SETORES!$A:$A,A884,SETORES!$F:$F,J884)</f>
        <v>32275.312921000004</v>
      </c>
      <c r="F884" s="24">
        <f t="shared" si="47"/>
        <v>1067.6000255377151</v>
      </c>
      <c r="G884" s="23">
        <f>SUMIFS(PARÂMETROS!$F$8:$F$907,PARÂMETROS!$A$8:$A$907,C884,PARÂMETROS!$G$8:$G$907,J884)</f>
        <v>0</v>
      </c>
      <c r="H884" s="24">
        <f t="shared" si="45"/>
        <v>0</v>
      </c>
      <c r="I884" s="24">
        <f t="shared" si="46"/>
        <v>1067.6000255377151</v>
      </c>
      <c r="J884" t="s">
        <v>11</v>
      </c>
    </row>
    <row r="885" spans="1:10" ht="14.25" customHeight="1" x14ac:dyDescent="0.3">
      <c r="A885" t="s">
        <v>87</v>
      </c>
      <c r="B885" t="str">
        <f>INDEX(SETORES!$B:$B,MATCH(A885,SETORES!$A:$A,0))</f>
        <v>Clientes</v>
      </c>
      <c r="C885" t="s">
        <v>12</v>
      </c>
      <c r="D885" s="23">
        <f>IF(B885="Clientes",SUMIFS(PARÂMETROS!$D$8:$D$907,PARÂMETROS!$A$8:$A$907,C885,PARÂMETROS!$G$8:$G$907,J885),SUMIFS(PARÂMETROS!$E$8:$E$907,PARÂMETROS!$A$8:$A$907,C885,PARÂMETROS!$G$8:$G$907,J885))</f>
        <v>6.886570212940675E-2</v>
      </c>
      <c r="E885" s="24">
        <f>SUMIFS(SETORES!$D:$D,SETORES!$A:$A,A885,SETORES!$F:$F,J885)</f>
        <v>32275.312921000004</v>
      </c>
      <c r="F885" s="24">
        <f t="shared" si="47"/>
        <v>2222.6620857509793</v>
      </c>
      <c r="G885" s="23">
        <f>SUMIFS(PARÂMETROS!$F$8:$F$907,PARÂMETROS!$A$8:$A$907,C885,PARÂMETROS!$G$8:$G$907,J885)</f>
        <v>0</v>
      </c>
      <c r="H885" s="24">
        <f t="shared" si="45"/>
        <v>0</v>
      </c>
      <c r="I885" s="24">
        <f t="shared" si="46"/>
        <v>2222.6620857509793</v>
      </c>
      <c r="J885" t="s">
        <v>11</v>
      </c>
    </row>
    <row r="886" spans="1:10" ht="14.25" customHeight="1" x14ac:dyDescent="0.3">
      <c r="A886" t="s">
        <v>87</v>
      </c>
      <c r="B886" t="str">
        <f>INDEX(SETORES!$B:$B,MATCH(A886,SETORES!$A:$A,0))</f>
        <v>Clientes</v>
      </c>
      <c r="C886" t="s">
        <v>13</v>
      </c>
      <c r="D886" s="23">
        <f>IF(B886="Clientes",SUMIFS(PARÂMETROS!$D$8:$D$907,PARÂMETROS!$A$8:$A$907,C886,PARÂMETROS!$G$8:$G$907,J886),SUMIFS(PARÂMETROS!$E$8:$E$907,PARÂMETROS!$A$8:$A$907,C886,PARÂMETROS!$G$8:$G$907,J886))</f>
        <v>7.4116083205452599E-2</v>
      </c>
      <c r="E886" s="24">
        <f>SUMIFS(SETORES!$D:$D,SETORES!$A:$A,A886,SETORES!$F:$F,J886)</f>
        <v>32275.312921000004</v>
      </c>
      <c r="F886" s="24">
        <f t="shared" si="47"/>
        <v>2392.1197779348558</v>
      </c>
      <c r="G886" s="23">
        <f>SUMIFS(PARÂMETROS!$F$8:$F$907,PARÂMETROS!$A$8:$A$907,C886,PARÂMETROS!$G$8:$G$907,J886)</f>
        <v>0</v>
      </c>
      <c r="H886" s="24">
        <f t="shared" si="45"/>
        <v>0</v>
      </c>
      <c r="I886" s="24">
        <f t="shared" si="46"/>
        <v>2392.1197779348558</v>
      </c>
      <c r="J886" t="s">
        <v>11</v>
      </c>
    </row>
    <row r="887" spans="1:10" ht="14.25" customHeight="1" x14ac:dyDescent="0.3">
      <c r="A887" t="s">
        <v>87</v>
      </c>
      <c r="B887" t="str">
        <f>INDEX(SETORES!$B:$B,MATCH(A887,SETORES!$A:$A,0))</f>
        <v>Clientes</v>
      </c>
      <c r="C887" t="s">
        <v>14</v>
      </c>
      <c r="D887" s="23">
        <f>IF(B887="Clientes",SUMIFS(PARÂMETROS!$D$8:$D$907,PARÂMETROS!$A$8:$A$907,C887,PARÂMETROS!$G$8:$G$907,J887),SUMIFS(PARÂMETROS!$E$8:$E$907,PARÂMETROS!$A$8:$A$907,C887,PARÂMETROS!$G$8:$G$907,J887))</f>
        <v>1.9010177424901076E-2</v>
      </c>
      <c r="E887" s="24">
        <f>SUMIFS(SETORES!$D:$D,SETORES!$A:$A,A887,SETORES!$F:$F,J887)</f>
        <v>32275.312921000004</v>
      </c>
      <c r="F887" s="24">
        <f t="shared" si="47"/>
        <v>613.5594250724123</v>
      </c>
      <c r="G887" s="23">
        <f>SUMIFS(PARÂMETROS!$F$8:$F$907,PARÂMETROS!$A$8:$A$907,C887,PARÂMETROS!$G$8:$G$907,J887)</f>
        <v>0</v>
      </c>
      <c r="H887" s="24">
        <f t="shared" si="45"/>
        <v>0</v>
      </c>
      <c r="I887" s="24">
        <f t="shared" si="46"/>
        <v>613.5594250724123</v>
      </c>
      <c r="J887" t="s">
        <v>11</v>
      </c>
    </row>
    <row r="888" spans="1:10" ht="14.25" customHeight="1" x14ac:dyDescent="0.3">
      <c r="A888" t="s">
        <v>87</v>
      </c>
      <c r="B888" t="str">
        <f>INDEX(SETORES!$B:$B,MATCH(A888,SETORES!$A:$A,0))</f>
        <v>Clientes</v>
      </c>
      <c r="C888" t="s">
        <v>15</v>
      </c>
      <c r="D888" s="23">
        <f>IF(B888="Clientes",SUMIFS(PARÂMETROS!$D$8:$D$907,PARÂMETROS!$A$8:$A$907,C888,PARÂMETROS!$G$8:$G$907,J888),SUMIFS(PARÂMETROS!$E$8:$E$907,PARÂMETROS!$A$8:$A$907,C888,PARÂMETROS!$G$8:$G$907,J888))</f>
        <v>3.302145830232546E-2</v>
      </c>
      <c r="E888" s="24">
        <f>SUMIFS(SETORES!$D:$D,SETORES!$A:$A,A888,SETORES!$F:$F,J888)</f>
        <v>32275.312921000004</v>
      </c>
      <c r="F888" s="24">
        <f t="shared" si="47"/>
        <v>1065.7778998153078</v>
      </c>
      <c r="G888" s="23">
        <f>SUMIFS(PARÂMETROS!$F$8:$F$907,PARÂMETROS!$A$8:$A$907,C888,PARÂMETROS!$G$8:$G$907,J888)</f>
        <v>0</v>
      </c>
      <c r="H888" s="24">
        <f t="shared" si="45"/>
        <v>0</v>
      </c>
      <c r="I888" s="24">
        <f t="shared" si="46"/>
        <v>1065.7778998153078</v>
      </c>
      <c r="J888" t="s">
        <v>11</v>
      </c>
    </row>
    <row r="889" spans="1:10" ht="14.25" customHeight="1" x14ac:dyDescent="0.3">
      <c r="A889" t="s">
        <v>87</v>
      </c>
      <c r="B889" t="str">
        <f>INDEX(SETORES!$B:$B,MATCH(A889,SETORES!$A:$A,0))</f>
        <v>Clientes</v>
      </c>
      <c r="C889" t="s">
        <v>16</v>
      </c>
      <c r="D889" s="23">
        <f>IF(B889="Clientes",SUMIFS(PARÂMETROS!$D$8:$D$907,PARÂMETROS!$A$8:$A$907,C889,PARÂMETROS!$G$8:$G$907,J889),SUMIFS(PARÂMETROS!$E$8:$E$907,PARÂMETROS!$A$8:$A$907,C889,PARÂMETROS!$G$8:$G$907,J889))</f>
        <v>2.437346992193715E-2</v>
      </c>
      <c r="E889" s="24">
        <f>SUMIFS(SETORES!$D:$D,SETORES!$A:$A,A889,SETORES!$F:$F,J889)</f>
        <v>32275.312921000004</v>
      </c>
      <c r="F889" s="24">
        <f t="shared" si="47"/>
        <v>786.66136870110302</v>
      </c>
      <c r="G889" s="23">
        <f>SUMIFS(PARÂMETROS!$F$8:$F$907,PARÂMETROS!$A$8:$A$907,C889,PARÂMETROS!$G$8:$G$907,J889)</f>
        <v>0</v>
      </c>
      <c r="H889" s="24">
        <f t="shared" si="45"/>
        <v>0</v>
      </c>
      <c r="I889" s="24">
        <f t="shared" si="46"/>
        <v>786.66136870110302</v>
      </c>
      <c r="J889" t="s">
        <v>11</v>
      </c>
    </row>
    <row r="890" spans="1:10" ht="14.25" customHeight="1" x14ac:dyDescent="0.3">
      <c r="A890" t="s">
        <v>87</v>
      </c>
      <c r="B890" t="str">
        <f>INDEX(SETORES!$B:$B,MATCH(A890,SETORES!$A:$A,0))</f>
        <v>Clientes</v>
      </c>
      <c r="C890" t="s">
        <v>17</v>
      </c>
      <c r="D890" s="23">
        <f>IF(B890="Clientes",SUMIFS(PARÂMETROS!$D$8:$D$907,PARÂMETROS!$A$8:$A$907,C890,PARÂMETROS!$G$8:$G$907,J890),SUMIFS(PARÂMETROS!$E$8:$E$907,PARÂMETROS!$A$8:$A$907,C890,PARÂMETROS!$G$8:$G$907,J890))</f>
        <v>2.460955743855309E-2</v>
      </c>
      <c r="E890" s="24">
        <f>SUMIFS(SETORES!$D:$D,SETORES!$A:$A,A890,SETORES!$F:$F,J890)</f>
        <v>32275.312921000004</v>
      </c>
      <c r="F890" s="24">
        <f t="shared" si="47"/>
        <v>794.28116717662431</v>
      </c>
      <c r="G890" s="23">
        <f>SUMIFS(PARÂMETROS!$F$8:$F$907,PARÂMETROS!$A$8:$A$907,C890,PARÂMETROS!$G$8:$G$907,J890)</f>
        <v>0</v>
      </c>
      <c r="H890" s="24">
        <f t="shared" si="45"/>
        <v>0</v>
      </c>
      <c r="I890" s="24">
        <f t="shared" si="46"/>
        <v>794.28116717662431</v>
      </c>
      <c r="J890" t="s">
        <v>11</v>
      </c>
    </row>
    <row r="891" spans="1:10" ht="14.25" customHeight="1" x14ac:dyDescent="0.3">
      <c r="A891" t="s">
        <v>87</v>
      </c>
      <c r="B891" t="str">
        <f>INDEX(SETORES!$B:$B,MATCH(A891,SETORES!$A:$A,0))</f>
        <v>Clientes</v>
      </c>
      <c r="C891" t="s">
        <v>18</v>
      </c>
      <c r="D891" s="23">
        <f>IF(B891="Clientes",SUMIFS(PARÂMETROS!$D$8:$D$907,PARÂMETROS!$A$8:$A$907,C891,PARÂMETROS!$G$8:$G$907,J891),SUMIFS(PARÂMETROS!$E$8:$E$907,PARÂMETROS!$A$8:$A$907,C891,PARÂMETROS!$G$8:$G$907,J891))</f>
        <v>0.72292563756460326</v>
      </c>
      <c r="E891" s="24">
        <f>SUMIFS(SETORES!$D:$D,SETORES!$A:$A,A891,SETORES!$F:$F,J891)</f>
        <v>32275.312921000004</v>
      </c>
      <c r="F891" s="24">
        <f t="shared" si="47"/>
        <v>23332.651171011006</v>
      </c>
      <c r="G891" s="23">
        <f>SUMIFS(PARÂMETROS!$F$8:$F$907,PARÂMETROS!$A$8:$A$907,C891,PARÂMETROS!$G$8:$G$907,J891)</f>
        <v>0</v>
      </c>
      <c r="H891" s="24">
        <f t="shared" si="45"/>
        <v>0</v>
      </c>
      <c r="I891" s="24">
        <f t="shared" si="46"/>
        <v>23332.651171011006</v>
      </c>
      <c r="J891" t="s">
        <v>11</v>
      </c>
    </row>
    <row r="892" spans="1:10" ht="14.25" customHeight="1" x14ac:dyDescent="0.3">
      <c r="A892" t="s">
        <v>87</v>
      </c>
      <c r="B892" t="str">
        <f>INDEX(SETORES!$B:$B,MATCH(A892,SETORES!$A:$A,0))</f>
        <v>Clientes</v>
      </c>
      <c r="C892" t="s">
        <v>10</v>
      </c>
      <c r="D892" s="23">
        <f>IF(B892="Clientes",SUMIFS(PARÂMETROS!$D$8:$D$907,PARÂMETROS!$A$8:$A$907,C892,PARÂMETROS!$G$8:$G$907,J892),SUMIFS(PARÂMETROS!$E$8:$E$907,PARÂMETROS!$A$8:$A$907,C892,PARÂMETROS!$G$8:$G$907,J892))</f>
        <v>3.2696249460273663E-2</v>
      </c>
      <c r="E892" s="24">
        <f>SUMIFS(SETORES!$D:$D,SETORES!$A:$A,A892,SETORES!$F:$F,J892)</f>
        <v>34449.863444000002</v>
      </c>
      <c r="F892" s="24">
        <f t="shared" si="47"/>
        <v>1126.3813290373864</v>
      </c>
      <c r="G892" s="23">
        <f>SUMIFS(PARÂMETROS!$F$8:$F$907,PARÂMETROS!$A$8:$A$907,C892,PARÂMETROS!$G$8:$G$907,J892)</f>
        <v>0</v>
      </c>
      <c r="H892" s="24">
        <f t="shared" si="45"/>
        <v>0</v>
      </c>
      <c r="I892" s="24">
        <f t="shared" si="46"/>
        <v>1126.3813290373864</v>
      </c>
      <c r="J892" t="s">
        <v>21</v>
      </c>
    </row>
    <row r="893" spans="1:10" ht="14.25" customHeight="1" x14ac:dyDescent="0.3">
      <c r="A893" t="s">
        <v>87</v>
      </c>
      <c r="B893" t="str">
        <f>INDEX(SETORES!$B:$B,MATCH(A893,SETORES!$A:$A,0))</f>
        <v>Clientes</v>
      </c>
      <c r="C893" t="s">
        <v>12</v>
      </c>
      <c r="D893" s="23">
        <f>IF(B893="Clientes",SUMIFS(PARÂMETROS!$D$8:$D$907,PARÂMETROS!$A$8:$A$907,C893,PARÂMETROS!$G$8:$G$907,J893),SUMIFS(PARÂMETROS!$E$8:$E$907,PARÂMETROS!$A$8:$A$907,C893,PARÂMETROS!$G$8:$G$907,J893))</f>
        <v>6.7149401213950008E-2</v>
      </c>
      <c r="E893" s="24">
        <f>SUMIFS(SETORES!$D:$D,SETORES!$A:$A,A893,SETORES!$F:$F,J893)</f>
        <v>34449.863444000002</v>
      </c>
      <c r="F893" s="24">
        <f t="shared" si="47"/>
        <v>2313.2877021669456</v>
      </c>
      <c r="G893" s="23">
        <f>SUMIFS(PARÂMETROS!$F$8:$F$907,PARÂMETROS!$A$8:$A$907,C893,PARÂMETROS!$G$8:$G$907,J893)</f>
        <v>0</v>
      </c>
      <c r="H893" s="24">
        <f t="shared" si="45"/>
        <v>0</v>
      </c>
      <c r="I893" s="24">
        <f t="shared" si="46"/>
        <v>2313.2877021669456</v>
      </c>
      <c r="J893" t="s">
        <v>21</v>
      </c>
    </row>
    <row r="894" spans="1:10" ht="14.25" customHeight="1" x14ac:dyDescent="0.3">
      <c r="A894" t="s">
        <v>87</v>
      </c>
      <c r="B894" t="str">
        <f>INDEX(SETORES!$B:$B,MATCH(A894,SETORES!$A:$A,0))</f>
        <v>Clientes</v>
      </c>
      <c r="C894" t="s">
        <v>13</v>
      </c>
      <c r="D894" s="23">
        <f>IF(B894="Clientes",SUMIFS(PARÂMETROS!$D$8:$D$907,PARÂMETROS!$A$8:$A$907,C894,PARÂMETROS!$G$8:$G$907,J894),SUMIFS(PARÂMETROS!$E$8:$E$907,PARÂMETROS!$A$8:$A$907,C894,PARÂMETROS!$G$8:$G$907,J894))</f>
        <v>7.2901519174553703E-2</v>
      </c>
      <c r="E894" s="24">
        <f>SUMIFS(SETORES!$D:$D,SETORES!$A:$A,A894,SETORES!$F:$F,J894)</f>
        <v>34449.863444000002</v>
      </c>
      <c r="F894" s="24">
        <f t="shared" si="47"/>
        <v>2511.4473804235226</v>
      </c>
      <c r="G894" s="23">
        <f>SUMIFS(PARÂMETROS!$F$8:$F$907,PARÂMETROS!$A$8:$A$907,C894,PARÂMETROS!$G$8:$G$907,J894)</f>
        <v>0</v>
      </c>
      <c r="H894" s="24">
        <f t="shared" si="45"/>
        <v>0</v>
      </c>
      <c r="I894" s="24">
        <f t="shared" si="46"/>
        <v>2511.4473804235226</v>
      </c>
      <c r="J894" t="s">
        <v>21</v>
      </c>
    </row>
    <row r="895" spans="1:10" ht="14.25" customHeight="1" x14ac:dyDescent="0.3">
      <c r="A895" t="s">
        <v>87</v>
      </c>
      <c r="B895" t="str">
        <f>INDEX(SETORES!$B:$B,MATCH(A895,SETORES!$A:$A,0))</f>
        <v>Clientes</v>
      </c>
      <c r="C895" t="s">
        <v>14</v>
      </c>
      <c r="D895" s="23">
        <f>IF(B895="Clientes",SUMIFS(PARÂMETROS!$D$8:$D$907,PARÂMETROS!$A$8:$A$907,C895,PARÂMETROS!$G$8:$G$907,J895),SUMIFS(PARÂMETROS!$E$8:$E$907,PARÂMETROS!$A$8:$A$907,C895,PARÂMETROS!$G$8:$G$907,J895))</f>
        <v>1.8685698120511587E-2</v>
      </c>
      <c r="E895" s="24">
        <f>SUMIFS(SETORES!$D:$D,SETORES!$A:$A,A895,SETORES!$F:$F,J895)</f>
        <v>34449.863444000002</v>
      </c>
      <c r="F895" s="24">
        <f t="shared" si="47"/>
        <v>643.71974860743171</v>
      </c>
      <c r="G895" s="23">
        <f>SUMIFS(PARÂMETROS!$F$8:$F$907,PARÂMETROS!$A$8:$A$907,C895,PARÂMETROS!$G$8:$G$907,J895)</f>
        <v>0</v>
      </c>
      <c r="H895" s="24">
        <f t="shared" si="45"/>
        <v>0</v>
      </c>
      <c r="I895" s="24">
        <f t="shared" si="46"/>
        <v>643.71974860743171</v>
      </c>
      <c r="J895" t="s">
        <v>21</v>
      </c>
    </row>
    <row r="896" spans="1:10" ht="14.25" customHeight="1" x14ac:dyDescent="0.3">
      <c r="A896" t="s">
        <v>87</v>
      </c>
      <c r="B896" t="str">
        <f>INDEX(SETORES!$B:$B,MATCH(A896,SETORES!$A:$A,0))</f>
        <v>Clientes</v>
      </c>
      <c r="C896" t="s">
        <v>15</v>
      </c>
      <c r="D896" s="23">
        <f>IF(B896="Clientes",SUMIFS(PARÂMETROS!$D$8:$D$907,PARÂMETROS!$A$8:$A$907,C896,PARÂMETROS!$G$8:$G$907,J896),SUMIFS(PARÂMETROS!$E$8:$E$907,PARÂMETROS!$A$8:$A$907,C896,PARÂMETROS!$G$8:$G$907,J896))</f>
        <v>3.2596989443697238E-2</v>
      </c>
      <c r="E896" s="24">
        <f>SUMIFS(SETORES!$D:$D,SETORES!$A:$A,A896,SETORES!$F:$F,J896)</f>
        <v>34449.863444000002</v>
      </c>
      <c r="F896" s="24">
        <f t="shared" si="47"/>
        <v>1122.9618350208796</v>
      </c>
      <c r="G896" s="23">
        <f>SUMIFS(PARÂMETROS!$F$8:$F$907,PARÂMETROS!$A$8:$A$907,C896,PARÂMETROS!$G$8:$G$907,J896)</f>
        <v>0</v>
      </c>
      <c r="H896" s="24">
        <f t="shared" si="45"/>
        <v>0</v>
      </c>
      <c r="I896" s="24">
        <f t="shared" si="46"/>
        <v>1122.9618350208796</v>
      </c>
      <c r="J896" t="s">
        <v>21</v>
      </c>
    </row>
    <row r="897" spans="1:10" ht="14.25" customHeight="1" x14ac:dyDescent="0.3">
      <c r="A897" t="s">
        <v>87</v>
      </c>
      <c r="B897" t="str">
        <f>INDEX(SETORES!$B:$B,MATCH(A897,SETORES!$A:$A,0))</f>
        <v>Clientes</v>
      </c>
      <c r="C897" t="s">
        <v>16</v>
      </c>
      <c r="D897" s="23">
        <f>IF(B897="Clientes",SUMIFS(PARÂMETROS!$D$8:$D$907,PARÂMETROS!$A$8:$A$907,C897,PARÂMETROS!$G$8:$G$907,J897),SUMIFS(PARÂMETROS!$E$8:$E$907,PARÂMETROS!$A$8:$A$907,C897,PARÂMETROS!$G$8:$G$907,J897))</f>
        <v>2.3847218982485568E-2</v>
      </c>
      <c r="E897" s="24">
        <f>SUMIFS(SETORES!$D:$D,SETORES!$A:$A,A897,SETORES!$F:$F,J897)</f>
        <v>34449.863444000002</v>
      </c>
      <c r="F897" s="24">
        <f t="shared" si="47"/>
        <v>821.53343746579253</v>
      </c>
      <c r="G897" s="23">
        <f>SUMIFS(PARÂMETROS!$F$8:$F$907,PARÂMETROS!$A$8:$A$907,C897,PARÂMETROS!$G$8:$G$907,J897)</f>
        <v>0</v>
      </c>
      <c r="H897" s="24">
        <f t="shared" si="45"/>
        <v>0</v>
      </c>
      <c r="I897" s="24">
        <f t="shared" si="46"/>
        <v>821.53343746579253</v>
      </c>
      <c r="J897" t="s">
        <v>21</v>
      </c>
    </row>
    <row r="898" spans="1:10" ht="14.25" customHeight="1" x14ac:dyDescent="0.3">
      <c r="A898" t="s">
        <v>87</v>
      </c>
      <c r="B898" t="str">
        <f>INDEX(SETORES!$B:$B,MATCH(A898,SETORES!$A:$A,0))</f>
        <v>Clientes</v>
      </c>
      <c r="C898" t="s">
        <v>17</v>
      </c>
      <c r="D898" s="23">
        <f>IF(B898="Clientes",SUMIFS(PARÂMETROS!$D$8:$D$907,PARÂMETROS!$A$8:$A$907,C898,PARÂMETROS!$G$8:$G$907,J898),SUMIFS(PARÂMETROS!$E$8:$E$907,PARÂMETROS!$A$8:$A$907,C898,PARÂMETROS!$G$8:$G$907,J898))</f>
        <v>2.3852181983314392E-2</v>
      </c>
      <c r="E898" s="24">
        <f>SUMIFS(SETORES!$D:$D,SETORES!$A:$A,A898,SETORES!$F:$F,J898)</f>
        <v>34449.863444000002</v>
      </c>
      <c r="F898" s="24">
        <f t="shared" si="47"/>
        <v>821.70441216661789</v>
      </c>
      <c r="G898" s="23">
        <f>SUMIFS(PARÂMETROS!$F$8:$F$907,PARÂMETROS!$A$8:$A$907,C898,PARÂMETROS!$G$8:$G$907,J898)</f>
        <v>0</v>
      </c>
      <c r="H898" s="24">
        <f t="shared" si="45"/>
        <v>0</v>
      </c>
      <c r="I898" s="24">
        <f t="shared" si="46"/>
        <v>821.70441216661789</v>
      </c>
      <c r="J898" t="s">
        <v>21</v>
      </c>
    </row>
    <row r="899" spans="1:10" ht="14.25" customHeight="1" x14ac:dyDescent="0.3">
      <c r="A899" t="s">
        <v>87</v>
      </c>
      <c r="B899" t="str">
        <f>INDEX(SETORES!$B:$B,MATCH(A899,SETORES!$A:$A,0))</f>
        <v>Clientes</v>
      </c>
      <c r="C899" t="s">
        <v>18</v>
      </c>
      <c r="D899" s="23">
        <f>IF(B899="Clientes",SUMIFS(PARÂMETROS!$D$8:$D$907,PARÂMETROS!$A$8:$A$907,C899,PARÂMETROS!$G$8:$G$907,J899),SUMIFS(PARÂMETROS!$E$8:$E$907,PARÂMETROS!$A$8:$A$907,C899,PARÂMETROS!$G$8:$G$907,J899))</f>
        <v>0.72827074162121386</v>
      </c>
      <c r="E899" s="24">
        <f>SUMIFS(SETORES!$D:$D,SETORES!$A:$A,A899,SETORES!$F:$F,J899)</f>
        <v>34449.863444000002</v>
      </c>
      <c r="F899" s="24">
        <f t="shared" si="47"/>
        <v>25088.827599111428</v>
      </c>
      <c r="G899" s="23">
        <f>SUMIFS(PARÂMETROS!$F$8:$F$907,PARÂMETROS!$A$8:$A$907,C899,PARÂMETROS!$G$8:$G$907,J899)</f>
        <v>0</v>
      </c>
      <c r="H899" s="24">
        <f t="shared" si="45"/>
        <v>0</v>
      </c>
      <c r="I899" s="24">
        <f t="shared" si="46"/>
        <v>25088.827599111428</v>
      </c>
      <c r="J899" t="s">
        <v>21</v>
      </c>
    </row>
    <row r="900" spans="1:10" ht="14.25" customHeight="1" x14ac:dyDescent="0.3">
      <c r="A900" s="7" t="s">
        <v>10</v>
      </c>
      <c r="B900" s="8">
        <v>6647</v>
      </c>
      <c r="C900" s="8">
        <v>30</v>
      </c>
      <c r="D900" s="9">
        <f t="shared" ref="D900:D907" si="48">IFERROR(B900/SUMIFS($B$8:$B$907,$G$8:$G$907,G900),0)</f>
        <v>3.3712025155956789E-2</v>
      </c>
      <c r="E900" s="9">
        <f t="shared" ref="E900:E907" si="49">IFERROR(C900/SUMIFS($C$8:$C$907,$G$8:$G$907,G900),0)</f>
        <v>2.8517110266159697E-2</v>
      </c>
      <c r="F900" s="10">
        <v>0</v>
      </c>
      <c r="G900" s="11" t="s">
        <v>88</v>
      </c>
    </row>
    <row r="901" spans="1:10" ht="14.25" customHeight="1" x14ac:dyDescent="0.3">
      <c r="A901" s="12" t="s">
        <v>12</v>
      </c>
      <c r="B901" s="13">
        <v>13510</v>
      </c>
      <c r="C901" s="13">
        <v>0</v>
      </c>
      <c r="D901" s="14">
        <f t="shared" si="48"/>
        <v>6.8519551655931432E-2</v>
      </c>
      <c r="E901" s="14">
        <f t="shared" si="49"/>
        <v>0</v>
      </c>
      <c r="F901" s="15">
        <v>0</v>
      </c>
      <c r="G901" s="2" t="s">
        <v>88</v>
      </c>
    </row>
    <row r="902" spans="1:10" ht="14.25" customHeight="1" x14ac:dyDescent="0.3">
      <c r="A902" s="7" t="s">
        <v>13</v>
      </c>
      <c r="B902" s="8">
        <v>14697</v>
      </c>
      <c r="C902" s="8">
        <v>45</v>
      </c>
      <c r="D902" s="9">
        <f t="shared" si="48"/>
        <v>7.4539737282548049E-2</v>
      </c>
      <c r="E902" s="9">
        <f t="shared" si="49"/>
        <v>4.2775665399239542E-2</v>
      </c>
      <c r="F902" s="10">
        <v>0</v>
      </c>
      <c r="G902" s="11" t="s">
        <v>88</v>
      </c>
    </row>
    <row r="903" spans="1:10" ht="14.25" customHeight="1" x14ac:dyDescent="0.3">
      <c r="A903" s="12" t="s">
        <v>14</v>
      </c>
      <c r="B903" s="13">
        <v>3735</v>
      </c>
      <c r="C903" s="13">
        <v>10</v>
      </c>
      <c r="D903" s="14">
        <f t="shared" si="48"/>
        <v>1.8943044073642036E-2</v>
      </c>
      <c r="E903" s="14">
        <f t="shared" si="49"/>
        <v>9.5057034220532317E-3</v>
      </c>
      <c r="F903" s="15">
        <v>0</v>
      </c>
      <c r="G903" s="2" t="s">
        <v>88</v>
      </c>
    </row>
    <row r="904" spans="1:10" ht="14.25" customHeight="1" x14ac:dyDescent="0.3">
      <c r="A904" s="7" t="s">
        <v>15</v>
      </c>
      <c r="B904" s="8">
        <v>6601</v>
      </c>
      <c r="C904" s="8">
        <v>46</v>
      </c>
      <c r="D904" s="9">
        <f t="shared" si="48"/>
        <v>3.3478723943804842E-2</v>
      </c>
      <c r="E904" s="9">
        <f t="shared" si="49"/>
        <v>4.3726235741444866E-2</v>
      </c>
      <c r="F904" s="10">
        <v>0</v>
      </c>
      <c r="G904" s="11" t="s">
        <v>88</v>
      </c>
    </row>
    <row r="905" spans="1:10" ht="14.25" customHeight="1" x14ac:dyDescent="0.3">
      <c r="A905" s="12" t="s">
        <v>16</v>
      </c>
      <c r="B905" s="13">
        <v>4789</v>
      </c>
      <c r="C905" s="13">
        <v>17</v>
      </c>
      <c r="D905" s="14">
        <f t="shared" si="48"/>
        <v>2.4288684891210631E-2</v>
      </c>
      <c r="E905" s="14">
        <f t="shared" si="49"/>
        <v>1.6159695817490494E-2</v>
      </c>
      <c r="F905" s="15">
        <v>0</v>
      </c>
      <c r="G905" s="2" t="s">
        <v>88</v>
      </c>
    </row>
    <row r="906" spans="1:10" ht="14.25" customHeight="1" x14ac:dyDescent="0.3">
      <c r="A906" s="7" t="s">
        <v>17</v>
      </c>
      <c r="B906" s="8">
        <v>4796</v>
      </c>
      <c r="C906" s="8">
        <v>23</v>
      </c>
      <c r="D906" s="9">
        <f t="shared" si="48"/>
        <v>2.4324187249581578E-2</v>
      </c>
      <c r="E906" s="9">
        <f t="shared" si="49"/>
        <v>2.1863117870722433E-2</v>
      </c>
      <c r="F906" s="10">
        <v>0</v>
      </c>
      <c r="G906" s="11" t="s">
        <v>88</v>
      </c>
    </row>
    <row r="907" spans="1:10" ht="14.25" customHeight="1" x14ac:dyDescent="0.3">
      <c r="A907" s="12" t="s">
        <v>18</v>
      </c>
      <c r="B907" s="13">
        <v>142395</v>
      </c>
      <c r="C907" s="13">
        <v>881</v>
      </c>
      <c r="D907" s="14">
        <f t="shared" si="48"/>
        <v>0.7221940457473246</v>
      </c>
      <c r="E907" s="14">
        <f t="shared" si="49"/>
        <v>0.8374524714828897</v>
      </c>
      <c r="F907" s="15">
        <v>0</v>
      </c>
      <c r="G907" s="2" t="s">
        <v>88</v>
      </c>
    </row>
    <row r="908" spans="1:10" ht="14.25" customHeight="1" x14ac:dyDescent="0.3">
      <c r="A908" s="16" t="s">
        <v>19</v>
      </c>
      <c r="B908" s="17">
        <f>SUM(B900:B907)</f>
        <v>197170</v>
      </c>
      <c r="C908" s="17">
        <f>SUM(C900:C907)</f>
        <v>1052</v>
      </c>
      <c r="D908" s="18"/>
      <c r="E908" s="18"/>
      <c r="F908" s="18"/>
      <c r="G908" s="18"/>
    </row>
    <row r="909" spans="1:10" ht="14.25" customHeight="1" x14ac:dyDescent="0.3">
      <c r="A909" s="11" t="s">
        <v>31</v>
      </c>
      <c r="B909" s="19" t="str">
        <f>INDEX(SETORES!$B:$B,MATCH(A909,SETORES!$A:$A,0))</f>
        <v>Clientes</v>
      </c>
      <c r="C909" s="11" t="s">
        <v>10</v>
      </c>
      <c r="D909" s="9">
        <f>IF(B909="Clientes",SUMIFS(PARÂMETROS!$D$8:$D$907,PARÂMETROS!$A$8:$A$907,C909,PARÂMETROS!$G$8:$G$907,J909),SUMIFS(PARÂMETROS!$E$8:$E$907,PARÂMETROS!$A$8:$A$907,C909,PARÂMETROS!$G$8:$G$907,J909))</f>
        <v>3.3712025155956789E-2</v>
      </c>
      <c r="E909" s="20">
        <f>SUMIFS(SETORES!$D:$D,SETORES!$A:$A,A909,SETORES!$F:$F,J909)</f>
        <v>45087.200000000004</v>
      </c>
      <c r="F909" s="20">
        <f t="shared" ref="F909:F940" si="50">IFERROR(D909*E909,0)</f>
        <v>1519.980820611655</v>
      </c>
      <c r="G909" s="9">
        <f>SUMIFS(PARÂMETROS!$F$8:$F$907,PARÂMETROS!$A$8:$A$907,C909,PARÂMETROS!$G$8:$G$907,J909)</f>
        <v>0</v>
      </c>
      <c r="H909" s="20">
        <f t="shared" ref="H909:H972" si="51">IFERROR(F909*G909,0)</f>
        <v>0</v>
      </c>
      <c r="I909" s="20">
        <f t="shared" ref="I909:I972" si="52">F909+H909</f>
        <v>1519.980820611655</v>
      </c>
      <c r="J909" s="11" t="s">
        <v>88</v>
      </c>
    </row>
    <row r="910" spans="1:10" ht="14.25" customHeight="1" x14ac:dyDescent="0.3">
      <c r="A910" s="2" t="s">
        <v>31</v>
      </c>
      <c r="B910" s="2" t="str">
        <f>INDEX(SETORES!$B:$B,MATCH(A910,SETORES!$A:$A,0))</f>
        <v>Clientes</v>
      </c>
      <c r="C910" s="2" t="s">
        <v>12</v>
      </c>
      <c r="D910" s="14">
        <f>IF(B910="Clientes",SUMIFS(PARÂMETROS!$D$8:$D$907,PARÂMETROS!$A$8:$A$907,C910,PARÂMETROS!$G$8:$G$907,J910),SUMIFS(PARÂMETROS!$E$8:$E$907,PARÂMETROS!$A$8:$A$907,C910,PARÂMETROS!$G$8:$G$907,J910))</f>
        <v>6.8519551655931432E-2</v>
      </c>
      <c r="E910" s="21">
        <f>SUMIFS(SETORES!$D:$D,SETORES!$A:$A,A910,SETORES!$F:$F,J910)</f>
        <v>45087.200000000004</v>
      </c>
      <c r="F910" s="21">
        <f t="shared" si="50"/>
        <v>3089.3547294213122</v>
      </c>
      <c r="G910" s="14">
        <f>SUMIFS(PARÂMETROS!$F$8:$F$907,PARÂMETROS!$A$8:$A$907,C910,PARÂMETROS!$G$8:$G$907,J910)</f>
        <v>0</v>
      </c>
      <c r="H910" s="21">
        <f t="shared" si="51"/>
        <v>0</v>
      </c>
      <c r="I910" s="21">
        <f t="shared" si="52"/>
        <v>3089.3547294213122</v>
      </c>
      <c r="J910" s="2" t="s">
        <v>88</v>
      </c>
    </row>
    <row r="911" spans="1:10" ht="14.25" customHeight="1" x14ac:dyDescent="0.3">
      <c r="A911" s="11" t="s">
        <v>31</v>
      </c>
      <c r="B911" s="19" t="str">
        <f>INDEX(SETORES!$B:$B,MATCH(A911,SETORES!$A:$A,0))</f>
        <v>Clientes</v>
      </c>
      <c r="C911" s="11" t="s">
        <v>13</v>
      </c>
      <c r="D911" s="9">
        <f>IF(B911="Clientes",SUMIFS(PARÂMETROS!$D$8:$D$907,PARÂMETROS!$A$8:$A$907,C911,PARÂMETROS!$G$8:$G$907,J911),SUMIFS(PARÂMETROS!$E$8:$E$907,PARÂMETROS!$A$8:$A$907,C911,PARÂMETROS!$G$8:$G$907,J911))</f>
        <v>7.4539737282548049E-2</v>
      </c>
      <c r="E911" s="20">
        <f>SUMIFS(SETORES!$D:$D,SETORES!$A:$A,A911,SETORES!$F:$F,J911)</f>
        <v>45087.200000000004</v>
      </c>
      <c r="F911" s="20">
        <f t="shared" si="50"/>
        <v>3360.7880428057006</v>
      </c>
      <c r="G911" s="9">
        <f>SUMIFS(PARÂMETROS!$F$8:$F$907,PARÂMETROS!$A$8:$A$907,C911,PARÂMETROS!$G$8:$G$907,J911)</f>
        <v>0</v>
      </c>
      <c r="H911" s="20">
        <f t="shared" si="51"/>
        <v>0</v>
      </c>
      <c r="I911" s="20">
        <f t="shared" si="52"/>
        <v>3360.7880428057006</v>
      </c>
      <c r="J911" s="11" t="s">
        <v>88</v>
      </c>
    </row>
    <row r="912" spans="1:10" ht="14.25" customHeight="1" x14ac:dyDescent="0.3">
      <c r="A912" s="2" t="s">
        <v>31</v>
      </c>
      <c r="B912" s="2" t="str">
        <f>INDEX(SETORES!$B:$B,MATCH(A912,SETORES!$A:$A,0))</f>
        <v>Clientes</v>
      </c>
      <c r="C912" s="2" t="s">
        <v>14</v>
      </c>
      <c r="D912" s="14">
        <f>IF(B912="Clientes",SUMIFS(PARÂMETROS!$D$8:$D$907,PARÂMETROS!$A$8:$A$907,C912,PARÂMETROS!$G$8:$G$907,J912),SUMIFS(PARÂMETROS!$E$8:$E$907,PARÂMETROS!$A$8:$A$907,C912,PARÂMETROS!$G$8:$G$907,J912))</f>
        <v>1.8943044073642036E-2</v>
      </c>
      <c r="E912" s="21">
        <f>SUMIFS(SETORES!$D:$D,SETORES!$A:$A,A912,SETORES!$F:$F,J912)</f>
        <v>45087.200000000004</v>
      </c>
      <c r="F912" s="21">
        <f t="shared" si="50"/>
        <v>854.08881675711325</v>
      </c>
      <c r="G912" s="14">
        <f>SUMIFS(PARÂMETROS!$F$8:$F$907,PARÂMETROS!$A$8:$A$907,C912,PARÂMETROS!$G$8:$G$907,J912)</f>
        <v>0</v>
      </c>
      <c r="H912" s="21">
        <f t="shared" si="51"/>
        <v>0</v>
      </c>
      <c r="I912" s="21">
        <f t="shared" si="52"/>
        <v>854.08881675711325</v>
      </c>
      <c r="J912" s="2" t="s">
        <v>88</v>
      </c>
    </row>
    <row r="913" spans="1:10" ht="14.25" customHeight="1" x14ac:dyDescent="0.3">
      <c r="A913" s="11" t="s">
        <v>31</v>
      </c>
      <c r="B913" s="19" t="str">
        <f>INDEX(SETORES!$B:$B,MATCH(A913,SETORES!$A:$A,0))</f>
        <v>Clientes</v>
      </c>
      <c r="C913" s="11" t="s">
        <v>15</v>
      </c>
      <c r="D913" s="9">
        <f>IF(B913="Clientes",SUMIFS(PARÂMETROS!$D$8:$D$907,PARÂMETROS!$A$8:$A$907,C913,PARÂMETROS!$G$8:$G$907,J913),SUMIFS(PARÂMETROS!$E$8:$E$907,PARÂMETROS!$A$8:$A$907,C913,PARÂMETROS!$G$8:$G$907,J913))</f>
        <v>3.3478723943804842E-2</v>
      </c>
      <c r="E913" s="20">
        <f>SUMIFS(SETORES!$D:$D,SETORES!$A:$A,A913,SETORES!$F:$F,J913)</f>
        <v>45087.200000000004</v>
      </c>
      <c r="F913" s="20">
        <f t="shared" si="50"/>
        <v>1509.4619221991179</v>
      </c>
      <c r="G913" s="9">
        <f>SUMIFS(PARÂMETROS!$F$8:$F$907,PARÂMETROS!$A$8:$A$907,C913,PARÂMETROS!$G$8:$G$907,J913)</f>
        <v>0</v>
      </c>
      <c r="H913" s="20">
        <f t="shared" si="51"/>
        <v>0</v>
      </c>
      <c r="I913" s="20">
        <f t="shared" si="52"/>
        <v>1509.4619221991179</v>
      </c>
      <c r="J913" s="11" t="s">
        <v>88</v>
      </c>
    </row>
    <row r="914" spans="1:10" ht="14.25" customHeight="1" x14ac:dyDescent="0.3">
      <c r="A914" s="2" t="s">
        <v>31</v>
      </c>
      <c r="B914" s="2" t="str">
        <f>INDEX(SETORES!$B:$B,MATCH(A914,SETORES!$A:$A,0))</f>
        <v>Clientes</v>
      </c>
      <c r="C914" s="2" t="s">
        <v>16</v>
      </c>
      <c r="D914" s="14">
        <f>IF(B914="Clientes",SUMIFS(PARÂMETROS!$D$8:$D$907,PARÂMETROS!$A$8:$A$907,C914,PARÂMETROS!$G$8:$G$907,J914),SUMIFS(PARÂMETROS!$E$8:$E$907,PARÂMETROS!$A$8:$A$907,C914,PARÂMETROS!$G$8:$G$907,J914))</f>
        <v>2.4288684891210631E-2</v>
      </c>
      <c r="E914" s="21">
        <f>SUMIFS(SETORES!$D:$D,SETORES!$A:$A,A914,SETORES!$F:$F,J914)</f>
        <v>45087.200000000004</v>
      </c>
      <c r="F914" s="21">
        <f t="shared" si="50"/>
        <v>1095.1087934269922</v>
      </c>
      <c r="G914" s="14">
        <f>SUMIFS(PARÂMETROS!$F$8:$F$907,PARÂMETROS!$A$8:$A$907,C914,PARÂMETROS!$G$8:$G$907,J914)</f>
        <v>0</v>
      </c>
      <c r="H914" s="21">
        <f t="shared" si="51"/>
        <v>0</v>
      </c>
      <c r="I914" s="21">
        <f t="shared" si="52"/>
        <v>1095.1087934269922</v>
      </c>
      <c r="J914" s="2" t="s">
        <v>88</v>
      </c>
    </row>
    <row r="915" spans="1:10" ht="14.25" customHeight="1" x14ac:dyDescent="0.3">
      <c r="A915" s="11" t="s">
        <v>31</v>
      </c>
      <c r="B915" s="19" t="str">
        <f>INDEX(SETORES!$B:$B,MATCH(A915,SETORES!$A:$A,0))</f>
        <v>Clientes</v>
      </c>
      <c r="C915" s="11" t="s">
        <v>17</v>
      </c>
      <c r="D915" s="9">
        <f>IF(B915="Clientes",SUMIFS(PARÂMETROS!$D$8:$D$907,PARÂMETROS!$A$8:$A$907,C915,PARÂMETROS!$G$8:$G$907,J915),SUMIFS(PARÂMETROS!$E$8:$E$907,PARÂMETROS!$A$8:$A$907,C915,PARÂMETROS!$G$8:$G$907,J915))</f>
        <v>2.4324187249581578E-2</v>
      </c>
      <c r="E915" s="20">
        <f>SUMIFS(SETORES!$D:$D,SETORES!$A:$A,A915,SETORES!$F:$F,J915)</f>
        <v>45087.200000000004</v>
      </c>
      <c r="F915" s="20">
        <f t="shared" si="50"/>
        <v>1096.7094953593346</v>
      </c>
      <c r="G915" s="9">
        <f>SUMIFS(PARÂMETROS!$F$8:$F$907,PARÂMETROS!$A$8:$A$907,C915,PARÂMETROS!$G$8:$G$907,J915)</f>
        <v>0</v>
      </c>
      <c r="H915" s="20">
        <f t="shared" si="51"/>
        <v>0</v>
      </c>
      <c r="I915" s="20">
        <f t="shared" si="52"/>
        <v>1096.7094953593346</v>
      </c>
      <c r="J915" s="11" t="s">
        <v>88</v>
      </c>
    </row>
    <row r="916" spans="1:10" ht="14.25" customHeight="1" x14ac:dyDescent="0.3">
      <c r="A916" s="2" t="s">
        <v>31</v>
      </c>
      <c r="B916" s="2" t="str">
        <f>INDEX(SETORES!$B:$B,MATCH(A916,SETORES!$A:$A,0))</f>
        <v>Clientes</v>
      </c>
      <c r="C916" s="2" t="s">
        <v>18</v>
      </c>
      <c r="D916" s="14">
        <f>IF(B916="Clientes",SUMIFS(PARÂMETROS!$D$8:$D$907,PARÂMETROS!$A$8:$A$907,C916,PARÂMETROS!$G$8:$G$907,J916),SUMIFS(PARÂMETROS!$E$8:$E$907,PARÂMETROS!$A$8:$A$907,C916,PARÂMETROS!$G$8:$G$907,J916))</f>
        <v>0.7221940457473246</v>
      </c>
      <c r="E916" s="21">
        <f>SUMIFS(SETORES!$D:$D,SETORES!$A:$A,A916,SETORES!$F:$F,J916)</f>
        <v>45087.200000000004</v>
      </c>
      <c r="F916" s="21">
        <f t="shared" si="50"/>
        <v>32561.707379418778</v>
      </c>
      <c r="G916" s="14">
        <f>SUMIFS(PARÂMETROS!$F$8:$F$907,PARÂMETROS!$A$8:$A$907,C916,PARÂMETROS!$G$8:$G$907,J916)</f>
        <v>0</v>
      </c>
      <c r="H916" s="21">
        <f t="shared" si="51"/>
        <v>0</v>
      </c>
      <c r="I916" s="21">
        <f t="shared" si="52"/>
        <v>32561.707379418778</v>
      </c>
      <c r="J916" s="2" t="s">
        <v>88</v>
      </c>
    </row>
    <row r="917" spans="1:10" ht="14.25" customHeight="1" x14ac:dyDescent="0.3">
      <c r="A917" s="11" t="s">
        <v>32</v>
      </c>
      <c r="B917" s="19" t="str">
        <f>INDEX(SETORES!$B:$B,MATCH(A917,SETORES!$A:$A,0))</f>
        <v>Funcionários</v>
      </c>
      <c r="C917" s="11" t="s">
        <v>10</v>
      </c>
      <c r="D917" s="9">
        <f>IF(B917="Clientes",SUMIFS(PARÂMETROS!$D$8:$D$907,PARÂMETROS!$A$8:$A$907,C917,PARÂMETROS!$G$8:$G$907,J917),SUMIFS(PARÂMETROS!$E$8:$E$907,PARÂMETROS!$A$8:$A$907,C917,PARÂMETROS!$G$8:$G$907,J917))</f>
        <v>2.8517110266159697E-2</v>
      </c>
      <c r="E917" s="20">
        <f>SUMIFS(SETORES!$D:$D,SETORES!$A:$A,A917,SETORES!$F:$F,J917)</f>
        <v>38957.079999999994</v>
      </c>
      <c r="F917" s="20">
        <f t="shared" si="50"/>
        <v>1110.9433460076045</v>
      </c>
      <c r="G917" s="9">
        <f>SUMIFS(PARÂMETROS!$F$8:$F$907,PARÂMETROS!$A$8:$A$907,C917,PARÂMETROS!$G$8:$G$907,J917)</f>
        <v>0</v>
      </c>
      <c r="H917" s="20">
        <f t="shared" si="51"/>
        <v>0</v>
      </c>
      <c r="I917" s="20">
        <f t="shared" si="52"/>
        <v>1110.9433460076045</v>
      </c>
      <c r="J917" s="11" t="s">
        <v>88</v>
      </c>
    </row>
    <row r="918" spans="1:10" ht="14.25" customHeight="1" x14ac:dyDescent="0.3">
      <c r="A918" s="2" t="s">
        <v>32</v>
      </c>
      <c r="B918" s="2" t="str">
        <f>INDEX(SETORES!$B:$B,MATCH(A918,SETORES!$A:$A,0))</f>
        <v>Funcionários</v>
      </c>
      <c r="C918" s="2" t="s">
        <v>12</v>
      </c>
      <c r="D918" s="14">
        <f>IF(B918="Clientes",SUMIFS(PARÂMETROS!$D$8:$D$907,PARÂMETROS!$A$8:$A$907,C918,PARÂMETROS!$G$8:$G$907,J918),SUMIFS(PARÂMETROS!$E$8:$E$907,PARÂMETROS!$A$8:$A$907,C918,PARÂMETROS!$G$8:$G$907,J918))</f>
        <v>0</v>
      </c>
      <c r="E918" s="21">
        <f>SUMIFS(SETORES!$D:$D,SETORES!$A:$A,A918,SETORES!$F:$F,J918)</f>
        <v>38957.079999999994</v>
      </c>
      <c r="F918" s="21">
        <f t="shared" si="50"/>
        <v>0</v>
      </c>
      <c r="G918" s="14">
        <f>SUMIFS(PARÂMETROS!$F$8:$F$907,PARÂMETROS!$A$8:$A$907,C918,PARÂMETROS!$G$8:$G$907,J918)</f>
        <v>0</v>
      </c>
      <c r="H918" s="21">
        <f t="shared" si="51"/>
        <v>0</v>
      </c>
      <c r="I918" s="21">
        <f t="shared" si="52"/>
        <v>0</v>
      </c>
      <c r="J918" s="2" t="s">
        <v>88</v>
      </c>
    </row>
    <row r="919" spans="1:10" ht="14.25" customHeight="1" x14ac:dyDescent="0.3">
      <c r="A919" s="11" t="s">
        <v>32</v>
      </c>
      <c r="B919" s="19" t="str">
        <f>INDEX(SETORES!$B:$B,MATCH(A919,SETORES!$A:$A,0))</f>
        <v>Funcionários</v>
      </c>
      <c r="C919" s="11" t="s">
        <v>13</v>
      </c>
      <c r="D919" s="9">
        <f>IF(B919="Clientes",SUMIFS(PARÂMETROS!$D$8:$D$907,PARÂMETROS!$A$8:$A$907,C919,PARÂMETROS!$G$8:$G$907,J919),SUMIFS(PARÂMETROS!$E$8:$E$907,PARÂMETROS!$A$8:$A$907,C919,PARÂMETROS!$G$8:$G$907,J919))</f>
        <v>4.2775665399239542E-2</v>
      </c>
      <c r="E919" s="20">
        <f>SUMIFS(SETORES!$D:$D,SETORES!$A:$A,A919,SETORES!$F:$F,J919)</f>
        <v>38957.079999999994</v>
      </c>
      <c r="F919" s="20">
        <f t="shared" si="50"/>
        <v>1666.4150190114065</v>
      </c>
      <c r="G919" s="9">
        <f>SUMIFS(PARÂMETROS!$F$8:$F$907,PARÂMETROS!$A$8:$A$907,C919,PARÂMETROS!$G$8:$G$907,J919)</f>
        <v>0</v>
      </c>
      <c r="H919" s="20">
        <f t="shared" si="51"/>
        <v>0</v>
      </c>
      <c r="I919" s="20">
        <f t="shared" si="52"/>
        <v>1666.4150190114065</v>
      </c>
      <c r="J919" s="11" t="s">
        <v>88</v>
      </c>
    </row>
    <row r="920" spans="1:10" ht="14.25" customHeight="1" x14ac:dyDescent="0.3">
      <c r="A920" s="2" t="s">
        <v>32</v>
      </c>
      <c r="B920" s="2" t="str">
        <f>INDEX(SETORES!$B:$B,MATCH(A920,SETORES!$A:$A,0))</f>
        <v>Funcionários</v>
      </c>
      <c r="C920" s="2" t="s">
        <v>14</v>
      </c>
      <c r="D920" s="14">
        <f>IF(B920="Clientes",SUMIFS(PARÂMETROS!$D$8:$D$907,PARÂMETROS!$A$8:$A$907,C920,PARÂMETROS!$G$8:$G$907,J920),SUMIFS(PARÂMETROS!$E$8:$E$907,PARÂMETROS!$A$8:$A$907,C920,PARÂMETROS!$G$8:$G$907,J920))</f>
        <v>9.5057034220532317E-3</v>
      </c>
      <c r="E920" s="21">
        <f>SUMIFS(SETORES!$D:$D,SETORES!$A:$A,A920,SETORES!$F:$F,J920)</f>
        <v>38957.079999999994</v>
      </c>
      <c r="F920" s="21">
        <f t="shared" si="50"/>
        <v>370.31444866920145</v>
      </c>
      <c r="G920" s="14">
        <f>SUMIFS(PARÂMETROS!$F$8:$F$907,PARÂMETROS!$A$8:$A$907,C920,PARÂMETROS!$G$8:$G$907,J920)</f>
        <v>0</v>
      </c>
      <c r="H920" s="21">
        <f t="shared" si="51"/>
        <v>0</v>
      </c>
      <c r="I920" s="21">
        <f t="shared" si="52"/>
        <v>370.31444866920145</v>
      </c>
      <c r="J920" s="2" t="s">
        <v>88</v>
      </c>
    </row>
    <row r="921" spans="1:10" ht="14.25" customHeight="1" x14ac:dyDescent="0.3">
      <c r="A921" s="11" t="s">
        <v>32</v>
      </c>
      <c r="B921" s="19" t="str">
        <f>INDEX(SETORES!$B:$B,MATCH(A921,SETORES!$A:$A,0))</f>
        <v>Funcionários</v>
      </c>
      <c r="C921" s="11" t="s">
        <v>15</v>
      </c>
      <c r="D921" s="9">
        <f>IF(B921="Clientes",SUMIFS(PARÂMETROS!$D$8:$D$907,PARÂMETROS!$A$8:$A$907,C921,PARÂMETROS!$G$8:$G$907,J921),SUMIFS(PARÂMETROS!$E$8:$E$907,PARÂMETROS!$A$8:$A$907,C921,PARÂMETROS!$G$8:$G$907,J921))</f>
        <v>4.3726235741444866E-2</v>
      </c>
      <c r="E921" s="20">
        <f>SUMIFS(SETORES!$D:$D,SETORES!$A:$A,A921,SETORES!$F:$F,J921)</f>
        <v>38957.079999999994</v>
      </c>
      <c r="F921" s="20">
        <f t="shared" si="50"/>
        <v>1703.4464638783268</v>
      </c>
      <c r="G921" s="9">
        <f>SUMIFS(PARÂMETROS!$F$8:$F$907,PARÂMETROS!$A$8:$A$907,C921,PARÂMETROS!$G$8:$G$907,J921)</f>
        <v>0</v>
      </c>
      <c r="H921" s="20">
        <f t="shared" si="51"/>
        <v>0</v>
      </c>
      <c r="I921" s="20">
        <f t="shared" si="52"/>
        <v>1703.4464638783268</v>
      </c>
      <c r="J921" s="11" t="s">
        <v>88</v>
      </c>
    </row>
    <row r="922" spans="1:10" ht="14.25" customHeight="1" x14ac:dyDescent="0.3">
      <c r="A922" s="2" t="s">
        <v>32</v>
      </c>
      <c r="B922" s="2" t="str">
        <f>INDEX(SETORES!$B:$B,MATCH(A922,SETORES!$A:$A,0))</f>
        <v>Funcionários</v>
      </c>
      <c r="C922" s="2" t="s">
        <v>16</v>
      </c>
      <c r="D922" s="14">
        <f>IF(B922="Clientes",SUMIFS(PARÂMETROS!$D$8:$D$907,PARÂMETROS!$A$8:$A$907,C922,PARÂMETROS!$G$8:$G$907,J922),SUMIFS(PARÂMETROS!$E$8:$E$907,PARÂMETROS!$A$8:$A$907,C922,PARÂMETROS!$G$8:$G$907,J922))</f>
        <v>1.6159695817490494E-2</v>
      </c>
      <c r="E922" s="21">
        <f>SUMIFS(SETORES!$D:$D,SETORES!$A:$A,A922,SETORES!$F:$F,J922)</f>
        <v>38957.079999999994</v>
      </c>
      <c r="F922" s="21">
        <f t="shared" si="50"/>
        <v>629.53456273764243</v>
      </c>
      <c r="G922" s="14">
        <f>SUMIFS(PARÂMETROS!$F$8:$F$907,PARÂMETROS!$A$8:$A$907,C922,PARÂMETROS!$G$8:$G$907,J922)</f>
        <v>0</v>
      </c>
      <c r="H922" s="21">
        <f t="shared" si="51"/>
        <v>0</v>
      </c>
      <c r="I922" s="21">
        <f t="shared" si="52"/>
        <v>629.53456273764243</v>
      </c>
      <c r="J922" s="2" t="s">
        <v>88</v>
      </c>
    </row>
    <row r="923" spans="1:10" ht="14.25" customHeight="1" x14ac:dyDescent="0.3">
      <c r="A923" s="11" t="s">
        <v>32</v>
      </c>
      <c r="B923" s="19" t="str">
        <f>INDEX(SETORES!$B:$B,MATCH(A923,SETORES!$A:$A,0))</f>
        <v>Funcionários</v>
      </c>
      <c r="C923" s="11" t="s">
        <v>17</v>
      </c>
      <c r="D923" s="9">
        <f>IF(B923="Clientes",SUMIFS(PARÂMETROS!$D$8:$D$907,PARÂMETROS!$A$8:$A$907,C923,PARÂMETROS!$G$8:$G$907,J923),SUMIFS(PARÂMETROS!$E$8:$E$907,PARÂMETROS!$A$8:$A$907,C923,PARÂMETROS!$G$8:$G$907,J923))</f>
        <v>2.1863117870722433E-2</v>
      </c>
      <c r="E923" s="20">
        <f>SUMIFS(SETORES!$D:$D,SETORES!$A:$A,A923,SETORES!$F:$F,J923)</f>
        <v>38957.079999999994</v>
      </c>
      <c r="F923" s="20">
        <f t="shared" si="50"/>
        <v>851.72323193916338</v>
      </c>
      <c r="G923" s="9">
        <f>SUMIFS(PARÂMETROS!$F$8:$F$907,PARÂMETROS!$A$8:$A$907,C923,PARÂMETROS!$G$8:$G$907,J923)</f>
        <v>0</v>
      </c>
      <c r="H923" s="20">
        <f t="shared" si="51"/>
        <v>0</v>
      </c>
      <c r="I923" s="20">
        <f t="shared" si="52"/>
        <v>851.72323193916338</v>
      </c>
      <c r="J923" s="11" t="s">
        <v>88</v>
      </c>
    </row>
    <row r="924" spans="1:10" ht="14.25" customHeight="1" x14ac:dyDescent="0.3">
      <c r="A924" s="2" t="s">
        <v>32</v>
      </c>
      <c r="B924" s="2" t="str">
        <f>INDEX(SETORES!$B:$B,MATCH(A924,SETORES!$A:$A,0))</f>
        <v>Funcionários</v>
      </c>
      <c r="C924" s="2" t="s">
        <v>18</v>
      </c>
      <c r="D924" s="14">
        <f>IF(B924="Clientes",SUMIFS(PARÂMETROS!$D$8:$D$907,PARÂMETROS!$A$8:$A$907,C924,PARÂMETROS!$G$8:$G$907,J924),SUMIFS(PARÂMETROS!$E$8:$E$907,PARÂMETROS!$A$8:$A$907,C924,PARÂMETROS!$G$8:$G$907,J924))</f>
        <v>0.8374524714828897</v>
      </c>
      <c r="E924" s="21">
        <f>SUMIFS(SETORES!$D:$D,SETORES!$A:$A,A924,SETORES!$F:$F,J924)</f>
        <v>38957.079999999994</v>
      </c>
      <c r="F924" s="21">
        <f t="shared" si="50"/>
        <v>32624.702927756647</v>
      </c>
      <c r="G924" s="14">
        <f>SUMIFS(PARÂMETROS!$F$8:$F$907,PARÂMETROS!$A$8:$A$907,C924,PARÂMETROS!$G$8:$G$907,J924)</f>
        <v>0</v>
      </c>
      <c r="H924" s="21">
        <f t="shared" si="51"/>
        <v>0</v>
      </c>
      <c r="I924" s="21">
        <f t="shared" si="52"/>
        <v>32624.702927756647</v>
      </c>
      <c r="J924" s="2" t="s">
        <v>88</v>
      </c>
    </row>
    <row r="925" spans="1:10" ht="14.25" customHeight="1" x14ac:dyDescent="0.3">
      <c r="A925" s="11" t="s">
        <v>33</v>
      </c>
      <c r="B925" s="19" t="str">
        <f>INDEX(SETORES!$B:$B,MATCH(A925,SETORES!$A:$A,0))</f>
        <v>Funcionários</v>
      </c>
      <c r="C925" s="11" t="s">
        <v>10</v>
      </c>
      <c r="D925" s="9">
        <f>IF(B925="Clientes",SUMIFS(PARÂMETROS!$D$8:$D$907,PARÂMETROS!$A$8:$A$907,C925,PARÂMETROS!$G$8:$G$907,J925),SUMIFS(PARÂMETROS!$E$8:$E$907,PARÂMETROS!$A$8:$A$907,C925,PARÂMETROS!$G$8:$G$907,J925))</f>
        <v>2.8517110266159697E-2</v>
      </c>
      <c r="E925" s="20">
        <f>SUMIFS(SETORES!$D:$D,SETORES!$A:$A,A925,SETORES!$F:$F,J925)</f>
        <v>53318.060000000005</v>
      </c>
      <c r="F925" s="20">
        <f t="shared" si="50"/>
        <v>1520.4769961977188</v>
      </c>
      <c r="G925" s="9">
        <f>SUMIFS(PARÂMETROS!$F$8:$F$907,PARÂMETROS!$A$8:$A$907,C925,PARÂMETROS!$G$8:$G$907,J925)</f>
        <v>0</v>
      </c>
      <c r="H925" s="20">
        <f t="shared" si="51"/>
        <v>0</v>
      </c>
      <c r="I925" s="20">
        <f t="shared" si="52"/>
        <v>1520.4769961977188</v>
      </c>
      <c r="J925" s="11" t="s">
        <v>88</v>
      </c>
    </row>
    <row r="926" spans="1:10" ht="14.25" customHeight="1" x14ac:dyDescent="0.3">
      <c r="A926" s="2" t="s">
        <v>33</v>
      </c>
      <c r="B926" s="2" t="str">
        <f>INDEX(SETORES!$B:$B,MATCH(A926,SETORES!$A:$A,0))</f>
        <v>Funcionários</v>
      </c>
      <c r="C926" s="2" t="s">
        <v>12</v>
      </c>
      <c r="D926" s="14">
        <f>IF(B926="Clientes",SUMIFS(PARÂMETROS!$D$8:$D$907,PARÂMETROS!$A$8:$A$907,C926,PARÂMETROS!$G$8:$G$907,J926),SUMIFS(PARÂMETROS!$E$8:$E$907,PARÂMETROS!$A$8:$A$907,C926,PARÂMETROS!$G$8:$G$907,J926))</f>
        <v>0</v>
      </c>
      <c r="E926" s="21">
        <f>SUMIFS(SETORES!$D:$D,SETORES!$A:$A,A926,SETORES!$F:$F,J926)</f>
        <v>53318.060000000005</v>
      </c>
      <c r="F926" s="21">
        <f t="shared" si="50"/>
        <v>0</v>
      </c>
      <c r="G926" s="14">
        <f>SUMIFS(PARÂMETROS!$F$8:$F$907,PARÂMETROS!$A$8:$A$907,C926,PARÂMETROS!$G$8:$G$907,J926)</f>
        <v>0</v>
      </c>
      <c r="H926" s="21">
        <f t="shared" si="51"/>
        <v>0</v>
      </c>
      <c r="I926" s="21">
        <f t="shared" si="52"/>
        <v>0</v>
      </c>
      <c r="J926" s="2" t="s">
        <v>88</v>
      </c>
    </row>
    <row r="927" spans="1:10" ht="14.25" customHeight="1" x14ac:dyDescent="0.3">
      <c r="A927" s="11" t="s">
        <v>33</v>
      </c>
      <c r="B927" s="19" t="str">
        <f>INDEX(SETORES!$B:$B,MATCH(A927,SETORES!$A:$A,0))</f>
        <v>Funcionários</v>
      </c>
      <c r="C927" s="11" t="s">
        <v>13</v>
      </c>
      <c r="D927" s="9">
        <f>IF(B927="Clientes",SUMIFS(PARÂMETROS!$D$8:$D$907,PARÂMETROS!$A$8:$A$907,C927,PARÂMETROS!$G$8:$G$907,J927),SUMIFS(PARÂMETROS!$E$8:$E$907,PARÂMETROS!$A$8:$A$907,C927,PARÂMETROS!$G$8:$G$907,J927))</f>
        <v>4.2775665399239542E-2</v>
      </c>
      <c r="E927" s="20">
        <f>SUMIFS(SETORES!$D:$D,SETORES!$A:$A,A927,SETORES!$F:$F,J927)</f>
        <v>53318.060000000005</v>
      </c>
      <c r="F927" s="20">
        <f t="shared" si="50"/>
        <v>2280.7154942965781</v>
      </c>
      <c r="G927" s="9">
        <f>SUMIFS(PARÂMETROS!$F$8:$F$907,PARÂMETROS!$A$8:$A$907,C927,PARÂMETROS!$G$8:$G$907,J927)</f>
        <v>0</v>
      </c>
      <c r="H927" s="20">
        <f t="shared" si="51"/>
        <v>0</v>
      </c>
      <c r="I927" s="20">
        <f t="shared" si="52"/>
        <v>2280.7154942965781</v>
      </c>
      <c r="J927" s="11" t="s">
        <v>88</v>
      </c>
    </row>
    <row r="928" spans="1:10" ht="14.25" customHeight="1" x14ac:dyDescent="0.3">
      <c r="A928" s="2" t="s">
        <v>33</v>
      </c>
      <c r="B928" s="2" t="str">
        <f>INDEX(SETORES!$B:$B,MATCH(A928,SETORES!$A:$A,0))</f>
        <v>Funcionários</v>
      </c>
      <c r="C928" s="2" t="s">
        <v>14</v>
      </c>
      <c r="D928" s="14">
        <f>IF(B928="Clientes",SUMIFS(PARÂMETROS!$D$8:$D$907,PARÂMETROS!$A$8:$A$907,C928,PARÂMETROS!$G$8:$G$907,J928),SUMIFS(PARÂMETROS!$E$8:$E$907,PARÂMETROS!$A$8:$A$907,C928,PARÂMETROS!$G$8:$G$907,J928))</f>
        <v>9.5057034220532317E-3</v>
      </c>
      <c r="E928" s="21">
        <f>SUMIFS(SETORES!$D:$D,SETORES!$A:$A,A928,SETORES!$F:$F,J928)</f>
        <v>53318.060000000005</v>
      </c>
      <c r="F928" s="21">
        <f t="shared" si="50"/>
        <v>506.8256653992396</v>
      </c>
      <c r="G928" s="14">
        <f>SUMIFS(PARÂMETROS!$F$8:$F$907,PARÂMETROS!$A$8:$A$907,C928,PARÂMETROS!$G$8:$G$907,J928)</f>
        <v>0</v>
      </c>
      <c r="H928" s="21">
        <f t="shared" si="51"/>
        <v>0</v>
      </c>
      <c r="I928" s="21">
        <f t="shared" si="52"/>
        <v>506.8256653992396</v>
      </c>
      <c r="J928" s="2" t="s">
        <v>88</v>
      </c>
    </row>
    <row r="929" spans="1:10" ht="14.25" customHeight="1" x14ac:dyDescent="0.3">
      <c r="A929" s="11" t="s">
        <v>33</v>
      </c>
      <c r="B929" s="19" t="str">
        <f>INDEX(SETORES!$B:$B,MATCH(A929,SETORES!$A:$A,0))</f>
        <v>Funcionários</v>
      </c>
      <c r="C929" s="11" t="s">
        <v>15</v>
      </c>
      <c r="D929" s="9">
        <f>IF(B929="Clientes",SUMIFS(PARÂMETROS!$D$8:$D$907,PARÂMETROS!$A$8:$A$907,C929,PARÂMETROS!$G$8:$G$907,J929),SUMIFS(PARÂMETROS!$E$8:$E$907,PARÂMETROS!$A$8:$A$907,C929,PARÂMETROS!$G$8:$G$907,J929))</f>
        <v>4.3726235741444866E-2</v>
      </c>
      <c r="E929" s="20">
        <f>SUMIFS(SETORES!$D:$D,SETORES!$A:$A,A929,SETORES!$F:$F,J929)</f>
        <v>53318.060000000005</v>
      </c>
      <c r="F929" s="20">
        <f t="shared" si="50"/>
        <v>2331.3980608365023</v>
      </c>
      <c r="G929" s="9">
        <f>SUMIFS(PARÂMETROS!$F$8:$F$907,PARÂMETROS!$A$8:$A$907,C929,PARÂMETROS!$G$8:$G$907,J929)</f>
        <v>0</v>
      </c>
      <c r="H929" s="20">
        <f t="shared" si="51"/>
        <v>0</v>
      </c>
      <c r="I929" s="20">
        <f t="shared" si="52"/>
        <v>2331.3980608365023</v>
      </c>
      <c r="J929" s="11" t="s">
        <v>88</v>
      </c>
    </row>
    <row r="930" spans="1:10" ht="14.25" customHeight="1" x14ac:dyDescent="0.3">
      <c r="A930" s="2" t="s">
        <v>33</v>
      </c>
      <c r="B930" s="2" t="str">
        <f>INDEX(SETORES!$B:$B,MATCH(A930,SETORES!$A:$A,0))</f>
        <v>Funcionários</v>
      </c>
      <c r="C930" s="2" t="s">
        <v>16</v>
      </c>
      <c r="D930" s="14">
        <f>IF(B930="Clientes",SUMIFS(PARÂMETROS!$D$8:$D$907,PARÂMETROS!$A$8:$A$907,C930,PARÂMETROS!$G$8:$G$907,J930),SUMIFS(PARÂMETROS!$E$8:$E$907,PARÂMETROS!$A$8:$A$907,C930,PARÂMETROS!$G$8:$G$907,J930))</f>
        <v>1.6159695817490494E-2</v>
      </c>
      <c r="E930" s="21">
        <f>SUMIFS(SETORES!$D:$D,SETORES!$A:$A,A930,SETORES!$F:$F,J930)</f>
        <v>53318.060000000005</v>
      </c>
      <c r="F930" s="21">
        <f t="shared" si="50"/>
        <v>861.60363117870725</v>
      </c>
      <c r="G930" s="14">
        <f>SUMIFS(PARÂMETROS!$F$8:$F$907,PARÂMETROS!$A$8:$A$907,C930,PARÂMETROS!$G$8:$G$907,J930)</f>
        <v>0</v>
      </c>
      <c r="H930" s="21">
        <f t="shared" si="51"/>
        <v>0</v>
      </c>
      <c r="I930" s="21">
        <f t="shared" si="52"/>
        <v>861.60363117870725</v>
      </c>
      <c r="J930" s="2" t="s">
        <v>88</v>
      </c>
    </row>
    <row r="931" spans="1:10" ht="14.25" customHeight="1" x14ac:dyDescent="0.3">
      <c r="A931" s="11" t="s">
        <v>33</v>
      </c>
      <c r="B931" s="19" t="str">
        <f>INDEX(SETORES!$B:$B,MATCH(A931,SETORES!$A:$A,0))</f>
        <v>Funcionários</v>
      </c>
      <c r="C931" s="11" t="s">
        <v>17</v>
      </c>
      <c r="D931" s="9">
        <f>IF(B931="Clientes",SUMIFS(PARÂMETROS!$D$8:$D$907,PARÂMETROS!$A$8:$A$907,C931,PARÂMETROS!$G$8:$G$907,J931),SUMIFS(PARÂMETROS!$E$8:$E$907,PARÂMETROS!$A$8:$A$907,C931,PARÂMETROS!$G$8:$G$907,J931))</f>
        <v>2.1863117870722433E-2</v>
      </c>
      <c r="E931" s="20">
        <f>SUMIFS(SETORES!$D:$D,SETORES!$A:$A,A931,SETORES!$F:$F,J931)</f>
        <v>53318.060000000005</v>
      </c>
      <c r="F931" s="20">
        <f t="shared" si="50"/>
        <v>1165.6990304182511</v>
      </c>
      <c r="G931" s="9">
        <f>SUMIFS(PARÂMETROS!$F$8:$F$907,PARÂMETROS!$A$8:$A$907,C931,PARÂMETROS!$G$8:$G$907,J931)</f>
        <v>0</v>
      </c>
      <c r="H931" s="20">
        <f t="shared" si="51"/>
        <v>0</v>
      </c>
      <c r="I931" s="20">
        <f t="shared" si="52"/>
        <v>1165.6990304182511</v>
      </c>
      <c r="J931" s="11" t="s">
        <v>88</v>
      </c>
    </row>
    <row r="932" spans="1:10" ht="14.25" customHeight="1" x14ac:dyDescent="0.3">
      <c r="A932" s="2" t="s">
        <v>33</v>
      </c>
      <c r="B932" s="2" t="str">
        <f>INDEX(SETORES!$B:$B,MATCH(A932,SETORES!$A:$A,0))</f>
        <v>Funcionários</v>
      </c>
      <c r="C932" s="2" t="s">
        <v>18</v>
      </c>
      <c r="D932" s="14">
        <f>IF(B932="Clientes",SUMIFS(PARÂMETROS!$D$8:$D$907,PARÂMETROS!$A$8:$A$907,C932,PARÂMETROS!$G$8:$G$907,J932),SUMIFS(PARÂMETROS!$E$8:$E$907,PARÂMETROS!$A$8:$A$907,C932,PARÂMETROS!$G$8:$G$907,J932))</f>
        <v>0.8374524714828897</v>
      </c>
      <c r="E932" s="21">
        <f>SUMIFS(SETORES!$D:$D,SETORES!$A:$A,A932,SETORES!$F:$F,J932)</f>
        <v>53318.060000000005</v>
      </c>
      <c r="F932" s="21">
        <f t="shared" si="50"/>
        <v>44651.341121673009</v>
      </c>
      <c r="G932" s="14">
        <f>SUMIFS(PARÂMETROS!$F$8:$F$907,PARÂMETROS!$A$8:$A$907,C932,PARÂMETROS!$G$8:$G$907,J932)</f>
        <v>0</v>
      </c>
      <c r="H932" s="21">
        <f t="shared" si="51"/>
        <v>0</v>
      </c>
      <c r="I932" s="21">
        <f t="shared" si="52"/>
        <v>44651.341121673009</v>
      </c>
      <c r="J932" s="2" t="s">
        <v>88</v>
      </c>
    </row>
    <row r="933" spans="1:10" ht="14.25" customHeight="1" x14ac:dyDescent="0.3">
      <c r="A933" s="11" t="s">
        <v>34</v>
      </c>
      <c r="B933" s="19" t="str">
        <f>INDEX(SETORES!$B:$B,MATCH(A933,SETORES!$A:$A,0))</f>
        <v>Clientes</v>
      </c>
      <c r="C933" s="11" t="s">
        <v>10</v>
      </c>
      <c r="D933" s="9">
        <f>IF(B933="Clientes",SUMIFS(PARÂMETROS!$D$8:$D$907,PARÂMETROS!$A$8:$A$907,C933,PARÂMETROS!$G$8:$G$907,J933),SUMIFS(PARÂMETROS!$E$8:$E$907,PARÂMETROS!$A$8:$A$907,C933,PARÂMETROS!$G$8:$G$907,J933))</f>
        <v>3.3712025155956789E-2</v>
      </c>
      <c r="E933" s="20">
        <f>SUMIFS(SETORES!$D:$D,SETORES!$A:$A,A933,SETORES!$F:$F,J933)</f>
        <v>66006.859999999986</v>
      </c>
      <c r="F933" s="20">
        <f t="shared" si="50"/>
        <v>2225.2249247857176</v>
      </c>
      <c r="G933" s="9">
        <f>SUMIFS(PARÂMETROS!$F$8:$F$907,PARÂMETROS!$A$8:$A$907,C933,PARÂMETROS!$G$8:$G$907,J933)</f>
        <v>0</v>
      </c>
      <c r="H933" s="20">
        <f t="shared" si="51"/>
        <v>0</v>
      </c>
      <c r="I933" s="20">
        <f t="shared" si="52"/>
        <v>2225.2249247857176</v>
      </c>
      <c r="J933" s="11" t="s">
        <v>88</v>
      </c>
    </row>
    <row r="934" spans="1:10" ht="14.25" customHeight="1" x14ac:dyDescent="0.3">
      <c r="A934" s="2" t="s">
        <v>34</v>
      </c>
      <c r="B934" s="2" t="str">
        <f>INDEX(SETORES!$B:$B,MATCH(A934,SETORES!$A:$A,0))</f>
        <v>Clientes</v>
      </c>
      <c r="C934" s="2" t="s">
        <v>12</v>
      </c>
      <c r="D934" s="14">
        <f>IF(B934="Clientes",SUMIFS(PARÂMETROS!$D$8:$D$907,PARÂMETROS!$A$8:$A$907,C934,PARÂMETROS!$G$8:$G$907,J934),SUMIFS(PARÂMETROS!$E$8:$E$907,PARÂMETROS!$A$8:$A$907,C934,PARÂMETROS!$G$8:$G$907,J934))</f>
        <v>6.8519551655931432E-2</v>
      </c>
      <c r="E934" s="21">
        <f>SUMIFS(SETORES!$D:$D,SETORES!$A:$A,A934,SETORES!$F:$F,J934)</f>
        <v>66006.859999999986</v>
      </c>
      <c r="F934" s="21">
        <f t="shared" si="50"/>
        <v>4522.7604534158336</v>
      </c>
      <c r="G934" s="14">
        <f>SUMIFS(PARÂMETROS!$F$8:$F$907,PARÂMETROS!$A$8:$A$907,C934,PARÂMETROS!$G$8:$G$907,J934)</f>
        <v>0</v>
      </c>
      <c r="H934" s="21">
        <f t="shared" si="51"/>
        <v>0</v>
      </c>
      <c r="I934" s="21">
        <f t="shared" si="52"/>
        <v>4522.7604534158336</v>
      </c>
      <c r="J934" s="2" t="s">
        <v>88</v>
      </c>
    </row>
    <row r="935" spans="1:10" ht="14.25" customHeight="1" x14ac:dyDescent="0.3">
      <c r="A935" s="11" t="s">
        <v>34</v>
      </c>
      <c r="B935" s="19" t="str">
        <f>INDEX(SETORES!$B:$B,MATCH(A935,SETORES!$A:$A,0))</f>
        <v>Clientes</v>
      </c>
      <c r="C935" s="11" t="s">
        <v>13</v>
      </c>
      <c r="D935" s="9">
        <f>IF(B935="Clientes",SUMIFS(PARÂMETROS!$D$8:$D$907,PARÂMETROS!$A$8:$A$907,C935,PARÂMETROS!$G$8:$G$907,J935),SUMIFS(PARÂMETROS!$E$8:$E$907,PARÂMETROS!$A$8:$A$907,C935,PARÂMETROS!$G$8:$G$907,J935))</f>
        <v>7.4539737282548049E-2</v>
      </c>
      <c r="E935" s="20">
        <f>SUMIFS(SETORES!$D:$D,SETORES!$A:$A,A935,SETORES!$F:$F,J935)</f>
        <v>66006.859999999986</v>
      </c>
      <c r="F935" s="20">
        <f t="shared" si="50"/>
        <v>4920.1340032459284</v>
      </c>
      <c r="G935" s="9">
        <f>SUMIFS(PARÂMETROS!$F$8:$F$907,PARÂMETROS!$A$8:$A$907,C935,PARÂMETROS!$G$8:$G$907,J935)</f>
        <v>0</v>
      </c>
      <c r="H935" s="20">
        <f t="shared" si="51"/>
        <v>0</v>
      </c>
      <c r="I935" s="20">
        <f t="shared" si="52"/>
        <v>4920.1340032459284</v>
      </c>
      <c r="J935" s="11" t="s">
        <v>88</v>
      </c>
    </row>
    <row r="936" spans="1:10" ht="14.25" customHeight="1" x14ac:dyDescent="0.3">
      <c r="A936" s="2" t="s">
        <v>34</v>
      </c>
      <c r="B936" s="2" t="str">
        <f>INDEX(SETORES!$B:$B,MATCH(A936,SETORES!$A:$A,0))</f>
        <v>Clientes</v>
      </c>
      <c r="C936" s="2" t="s">
        <v>14</v>
      </c>
      <c r="D936" s="14">
        <f>IF(B936="Clientes",SUMIFS(PARÂMETROS!$D$8:$D$907,PARÂMETROS!$A$8:$A$907,C936,PARÂMETROS!$G$8:$G$907,J936),SUMIFS(PARÂMETROS!$E$8:$E$907,PARÂMETROS!$A$8:$A$907,C936,PARÂMETROS!$G$8:$G$907,J936))</f>
        <v>1.8943044073642036E-2</v>
      </c>
      <c r="E936" s="21">
        <f>SUMIFS(SETORES!$D:$D,SETORES!$A:$A,A936,SETORES!$F:$F,J936)</f>
        <v>66006.859999999986</v>
      </c>
      <c r="F936" s="21">
        <f t="shared" si="50"/>
        <v>1250.3708581427193</v>
      </c>
      <c r="G936" s="14">
        <f>SUMIFS(PARÂMETROS!$F$8:$F$907,PARÂMETROS!$A$8:$A$907,C936,PARÂMETROS!$G$8:$G$907,J936)</f>
        <v>0</v>
      </c>
      <c r="H936" s="21">
        <f t="shared" si="51"/>
        <v>0</v>
      </c>
      <c r="I936" s="21">
        <f t="shared" si="52"/>
        <v>1250.3708581427193</v>
      </c>
      <c r="J936" s="2" t="s">
        <v>88</v>
      </c>
    </row>
    <row r="937" spans="1:10" ht="14.25" customHeight="1" x14ac:dyDescent="0.3">
      <c r="A937" s="11" t="s">
        <v>34</v>
      </c>
      <c r="B937" s="19" t="str">
        <f>INDEX(SETORES!$B:$B,MATCH(A937,SETORES!$A:$A,0))</f>
        <v>Clientes</v>
      </c>
      <c r="C937" s="11" t="s">
        <v>15</v>
      </c>
      <c r="D937" s="9">
        <f>IF(B937="Clientes",SUMIFS(PARÂMETROS!$D$8:$D$907,PARÂMETROS!$A$8:$A$907,C937,PARÂMETROS!$G$8:$G$907,J937),SUMIFS(PARÂMETROS!$E$8:$E$907,PARÂMETROS!$A$8:$A$907,C937,PARÂMETROS!$G$8:$G$907,J937))</f>
        <v>3.3478723943804842E-2</v>
      </c>
      <c r="E937" s="20">
        <f>SUMIFS(SETORES!$D:$D,SETORES!$A:$A,A937,SETORES!$F:$F,J937)</f>
        <v>66006.859999999986</v>
      </c>
      <c r="F937" s="20">
        <f t="shared" si="50"/>
        <v>2209.8254443373735</v>
      </c>
      <c r="G937" s="9">
        <f>SUMIFS(PARÂMETROS!$F$8:$F$907,PARÂMETROS!$A$8:$A$907,C937,PARÂMETROS!$G$8:$G$907,J937)</f>
        <v>0</v>
      </c>
      <c r="H937" s="20">
        <f t="shared" si="51"/>
        <v>0</v>
      </c>
      <c r="I937" s="20">
        <f t="shared" si="52"/>
        <v>2209.8254443373735</v>
      </c>
      <c r="J937" s="11" t="s">
        <v>88</v>
      </c>
    </row>
    <row r="938" spans="1:10" ht="14.25" customHeight="1" x14ac:dyDescent="0.3">
      <c r="A938" s="2" t="s">
        <v>34</v>
      </c>
      <c r="B938" s="2" t="str">
        <f>INDEX(SETORES!$B:$B,MATCH(A938,SETORES!$A:$A,0))</f>
        <v>Clientes</v>
      </c>
      <c r="C938" s="2" t="s">
        <v>16</v>
      </c>
      <c r="D938" s="14">
        <f>IF(B938="Clientes",SUMIFS(PARÂMETROS!$D$8:$D$907,PARÂMETROS!$A$8:$A$907,C938,PARÂMETROS!$G$8:$G$907,J938),SUMIFS(PARÂMETROS!$E$8:$E$907,PARÂMETROS!$A$8:$A$907,C938,PARÂMETROS!$G$8:$G$907,J938))</f>
        <v>2.4288684891210631E-2</v>
      </c>
      <c r="E938" s="21">
        <f>SUMIFS(SETORES!$D:$D,SETORES!$A:$A,A938,SETORES!$F:$F,J938)</f>
        <v>66006.859999999986</v>
      </c>
      <c r="F938" s="21">
        <f t="shared" si="50"/>
        <v>1603.219823198255</v>
      </c>
      <c r="G938" s="14">
        <f>SUMIFS(PARÂMETROS!$F$8:$F$907,PARÂMETROS!$A$8:$A$907,C938,PARÂMETROS!$G$8:$G$907,J938)</f>
        <v>0</v>
      </c>
      <c r="H938" s="21">
        <f t="shared" si="51"/>
        <v>0</v>
      </c>
      <c r="I938" s="21">
        <f t="shared" si="52"/>
        <v>1603.219823198255</v>
      </c>
      <c r="J938" s="2" t="s">
        <v>88</v>
      </c>
    </row>
    <row r="939" spans="1:10" ht="14.25" customHeight="1" x14ac:dyDescent="0.3">
      <c r="A939" s="11" t="s">
        <v>34</v>
      </c>
      <c r="B939" s="19" t="str">
        <f>INDEX(SETORES!$B:$B,MATCH(A939,SETORES!$A:$A,0))</f>
        <v>Clientes</v>
      </c>
      <c r="C939" s="11" t="s">
        <v>17</v>
      </c>
      <c r="D939" s="9">
        <f>IF(B939="Clientes",SUMIFS(PARÂMETROS!$D$8:$D$907,PARÂMETROS!$A$8:$A$907,C939,PARÂMETROS!$G$8:$G$907,J939),SUMIFS(PARÂMETROS!$E$8:$E$907,PARÂMETROS!$A$8:$A$907,C939,PARÂMETROS!$G$8:$G$907,J939))</f>
        <v>2.4324187249581578E-2</v>
      </c>
      <c r="E939" s="20">
        <f>SUMIFS(SETORES!$D:$D,SETORES!$A:$A,A939,SETORES!$F:$F,J939)</f>
        <v>66006.859999999986</v>
      </c>
      <c r="F939" s="20">
        <f t="shared" si="50"/>
        <v>1605.563222396916</v>
      </c>
      <c r="G939" s="9">
        <f>SUMIFS(PARÂMETROS!$F$8:$F$907,PARÂMETROS!$A$8:$A$907,C939,PARÂMETROS!$G$8:$G$907,J939)</f>
        <v>0</v>
      </c>
      <c r="H939" s="20">
        <f t="shared" si="51"/>
        <v>0</v>
      </c>
      <c r="I939" s="20">
        <f t="shared" si="52"/>
        <v>1605.563222396916</v>
      </c>
      <c r="J939" s="11" t="s">
        <v>88</v>
      </c>
    </row>
    <row r="940" spans="1:10" ht="14.25" customHeight="1" x14ac:dyDescent="0.3">
      <c r="A940" s="2" t="s">
        <v>34</v>
      </c>
      <c r="B940" s="2" t="str">
        <f>INDEX(SETORES!$B:$B,MATCH(A940,SETORES!$A:$A,0))</f>
        <v>Clientes</v>
      </c>
      <c r="C940" s="2" t="s">
        <v>18</v>
      </c>
      <c r="D940" s="14">
        <f>IF(B940="Clientes",SUMIFS(PARÂMETROS!$D$8:$D$907,PARÂMETROS!$A$8:$A$907,C940,PARÂMETROS!$G$8:$G$907,J940),SUMIFS(PARÂMETROS!$E$8:$E$907,PARÂMETROS!$A$8:$A$907,C940,PARÂMETROS!$G$8:$G$907,J940))</f>
        <v>0.7221940457473246</v>
      </c>
      <c r="E940" s="21">
        <f>SUMIFS(SETORES!$D:$D,SETORES!$A:$A,A940,SETORES!$F:$F,J940)</f>
        <v>66006.859999999986</v>
      </c>
      <c r="F940" s="21">
        <f t="shared" si="50"/>
        <v>47669.76127047724</v>
      </c>
      <c r="G940" s="14">
        <f>SUMIFS(PARÂMETROS!$F$8:$F$907,PARÂMETROS!$A$8:$A$907,C940,PARÂMETROS!$G$8:$G$907,J940)</f>
        <v>0</v>
      </c>
      <c r="H940" s="21">
        <f t="shared" si="51"/>
        <v>0</v>
      </c>
      <c r="I940" s="21">
        <f t="shared" si="52"/>
        <v>47669.76127047724</v>
      </c>
      <c r="J940" s="2" t="s">
        <v>88</v>
      </c>
    </row>
    <row r="941" spans="1:10" ht="14.25" customHeight="1" x14ac:dyDescent="0.3">
      <c r="A941" s="11" t="s">
        <v>35</v>
      </c>
      <c r="B941" s="19" t="str">
        <f>INDEX(SETORES!$B:$B,MATCH(A941,SETORES!$A:$A,0))</f>
        <v>Clientes</v>
      </c>
      <c r="C941" s="11" t="s">
        <v>10</v>
      </c>
      <c r="D941" s="9">
        <f>IF(B941="Clientes",SUMIFS(PARÂMETROS!$D$8:$D$907,PARÂMETROS!$A$8:$A$907,C941,PARÂMETROS!$G$8:$G$907,J941),SUMIFS(PARÂMETROS!$E$8:$E$907,PARÂMETROS!$A$8:$A$907,C941,PARÂMETROS!$G$8:$G$907,J941))</f>
        <v>3.3712025155956789E-2</v>
      </c>
      <c r="E941" s="20">
        <f>SUMIFS(SETORES!$D:$D,SETORES!$A:$A,A941,SETORES!$F:$F,J941)</f>
        <v>23577.379999999997</v>
      </c>
      <c r="F941" s="20">
        <f t="shared" ref="F941:F972" si="53">IFERROR(D941*E941,0)</f>
        <v>794.84122767155236</v>
      </c>
      <c r="G941" s="9">
        <f>SUMIFS(PARÂMETROS!$F$8:$F$907,PARÂMETROS!$A$8:$A$907,C941,PARÂMETROS!$G$8:$G$907,J941)</f>
        <v>0</v>
      </c>
      <c r="H941" s="20">
        <f t="shared" si="51"/>
        <v>0</v>
      </c>
      <c r="I941" s="20">
        <f t="shared" si="52"/>
        <v>794.84122767155236</v>
      </c>
      <c r="J941" s="11" t="s">
        <v>88</v>
      </c>
    </row>
    <row r="942" spans="1:10" ht="14.25" customHeight="1" x14ac:dyDescent="0.3">
      <c r="A942" s="2" t="s">
        <v>35</v>
      </c>
      <c r="B942" s="2" t="str">
        <f>INDEX(SETORES!$B:$B,MATCH(A942,SETORES!$A:$A,0))</f>
        <v>Clientes</v>
      </c>
      <c r="C942" s="2" t="s">
        <v>12</v>
      </c>
      <c r="D942" s="14">
        <f>IF(B942="Clientes",SUMIFS(PARÂMETROS!$D$8:$D$907,PARÂMETROS!$A$8:$A$907,C942,PARÂMETROS!$G$8:$G$907,J942),SUMIFS(PARÂMETROS!$E$8:$E$907,PARÂMETROS!$A$8:$A$907,C942,PARÂMETROS!$G$8:$G$907,J942))</f>
        <v>6.8519551655931432E-2</v>
      </c>
      <c r="E942" s="21">
        <f>SUMIFS(SETORES!$D:$D,SETORES!$A:$A,A942,SETORES!$F:$F,J942)</f>
        <v>23577.379999999997</v>
      </c>
      <c r="F942" s="21">
        <f t="shared" si="53"/>
        <v>1615.5115068215246</v>
      </c>
      <c r="G942" s="14">
        <f>SUMIFS(PARÂMETROS!$F$8:$F$907,PARÂMETROS!$A$8:$A$907,C942,PARÂMETROS!$G$8:$G$907,J942)</f>
        <v>0</v>
      </c>
      <c r="H942" s="21">
        <f t="shared" si="51"/>
        <v>0</v>
      </c>
      <c r="I942" s="21">
        <f t="shared" si="52"/>
        <v>1615.5115068215246</v>
      </c>
      <c r="J942" s="2" t="s">
        <v>88</v>
      </c>
    </row>
    <row r="943" spans="1:10" ht="14.25" customHeight="1" x14ac:dyDescent="0.3">
      <c r="A943" s="11" t="s">
        <v>35</v>
      </c>
      <c r="B943" s="19" t="str">
        <f>INDEX(SETORES!$B:$B,MATCH(A943,SETORES!$A:$A,0))</f>
        <v>Clientes</v>
      </c>
      <c r="C943" s="11" t="s">
        <v>13</v>
      </c>
      <c r="D943" s="9">
        <f>IF(B943="Clientes",SUMIFS(PARÂMETROS!$D$8:$D$907,PARÂMETROS!$A$8:$A$907,C943,PARÂMETROS!$G$8:$G$907,J943),SUMIFS(PARÂMETROS!$E$8:$E$907,PARÂMETROS!$A$8:$A$907,C943,PARÂMETROS!$G$8:$G$907,J943))</f>
        <v>7.4539737282548049E-2</v>
      </c>
      <c r="E943" s="20">
        <f>SUMIFS(SETORES!$D:$D,SETORES!$A:$A,A943,SETORES!$F:$F,J943)</f>
        <v>23577.379999999997</v>
      </c>
      <c r="F943" s="20">
        <f t="shared" si="53"/>
        <v>1757.4517110108025</v>
      </c>
      <c r="G943" s="9">
        <f>SUMIFS(PARÂMETROS!$F$8:$F$907,PARÂMETROS!$A$8:$A$907,C943,PARÂMETROS!$G$8:$G$907,J943)</f>
        <v>0</v>
      </c>
      <c r="H943" s="20">
        <f t="shared" si="51"/>
        <v>0</v>
      </c>
      <c r="I943" s="20">
        <f t="shared" si="52"/>
        <v>1757.4517110108025</v>
      </c>
      <c r="J943" s="11" t="s">
        <v>88</v>
      </c>
    </row>
    <row r="944" spans="1:10" ht="14.25" customHeight="1" x14ac:dyDescent="0.3">
      <c r="A944" s="2" t="s">
        <v>35</v>
      </c>
      <c r="B944" s="2" t="str">
        <f>INDEX(SETORES!$B:$B,MATCH(A944,SETORES!$A:$A,0))</f>
        <v>Clientes</v>
      </c>
      <c r="C944" s="2" t="s">
        <v>14</v>
      </c>
      <c r="D944" s="14">
        <f>IF(B944="Clientes",SUMIFS(PARÂMETROS!$D$8:$D$907,PARÂMETROS!$A$8:$A$907,C944,PARÂMETROS!$G$8:$G$907,J944),SUMIFS(PARÂMETROS!$E$8:$E$907,PARÂMETROS!$A$8:$A$907,C944,PARÂMETROS!$G$8:$G$907,J944))</f>
        <v>1.8943044073642036E-2</v>
      </c>
      <c r="E944" s="21">
        <f>SUMIFS(SETORES!$D:$D,SETORES!$A:$A,A944,SETORES!$F:$F,J944)</f>
        <v>23577.379999999997</v>
      </c>
      <c r="F944" s="21">
        <f t="shared" si="53"/>
        <v>446.62734848100621</v>
      </c>
      <c r="G944" s="14">
        <f>SUMIFS(PARÂMETROS!$F$8:$F$907,PARÂMETROS!$A$8:$A$907,C944,PARÂMETROS!$G$8:$G$907,J944)</f>
        <v>0</v>
      </c>
      <c r="H944" s="21">
        <f t="shared" si="51"/>
        <v>0</v>
      </c>
      <c r="I944" s="21">
        <f t="shared" si="52"/>
        <v>446.62734848100621</v>
      </c>
      <c r="J944" s="2" t="s">
        <v>88</v>
      </c>
    </row>
    <row r="945" spans="1:10" ht="14.25" customHeight="1" x14ac:dyDescent="0.3">
      <c r="A945" s="11" t="s">
        <v>35</v>
      </c>
      <c r="B945" s="19" t="str">
        <f>INDEX(SETORES!$B:$B,MATCH(A945,SETORES!$A:$A,0))</f>
        <v>Clientes</v>
      </c>
      <c r="C945" s="11" t="s">
        <v>15</v>
      </c>
      <c r="D945" s="9">
        <f>IF(B945="Clientes",SUMIFS(PARÂMETROS!$D$8:$D$907,PARÂMETROS!$A$8:$A$907,C945,PARÂMETROS!$G$8:$G$907,J945),SUMIFS(PARÂMETROS!$E$8:$E$907,PARÂMETROS!$A$8:$A$907,C945,PARÂMETROS!$G$8:$G$907,J945))</f>
        <v>3.3478723943804842E-2</v>
      </c>
      <c r="E945" s="20">
        <f>SUMIFS(SETORES!$D:$D,SETORES!$A:$A,A945,SETORES!$F:$F,J945)</f>
        <v>23577.379999999997</v>
      </c>
      <c r="F945" s="20">
        <f t="shared" si="53"/>
        <v>789.34059633818526</v>
      </c>
      <c r="G945" s="9">
        <f>SUMIFS(PARÂMETROS!$F$8:$F$907,PARÂMETROS!$A$8:$A$907,C945,PARÂMETROS!$G$8:$G$907,J945)</f>
        <v>0</v>
      </c>
      <c r="H945" s="20">
        <f t="shared" si="51"/>
        <v>0</v>
      </c>
      <c r="I945" s="20">
        <f t="shared" si="52"/>
        <v>789.34059633818526</v>
      </c>
      <c r="J945" s="11" t="s">
        <v>88</v>
      </c>
    </row>
    <row r="946" spans="1:10" ht="14.25" customHeight="1" x14ac:dyDescent="0.3">
      <c r="A946" s="2" t="s">
        <v>35</v>
      </c>
      <c r="B946" s="2" t="str">
        <f>INDEX(SETORES!$B:$B,MATCH(A946,SETORES!$A:$A,0))</f>
        <v>Clientes</v>
      </c>
      <c r="C946" s="2" t="s">
        <v>16</v>
      </c>
      <c r="D946" s="14">
        <f>IF(B946="Clientes",SUMIFS(PARÂMETROS!$D$8:$D$907,PARÂMETROS!$A$8:$A$907,C946,PARÂMETROS!$G$8:$G$907,J946),SUMIFS(PARÂMETROS!$E$8:$E$907,PARÂMETROS!$A$8:$A$907,C946,PARÂMETROS!$G$8:$G$907,J946))</f>
        <v>2.4288684891210631E-2</v>
      </c>
      <c r="E946" s="21">
        <f>SUMIFS(SETORES!$D:$D,SETORES!$A:$A,A946,SETORES!$F:$F,J946)</f>
        <v>23577.379999999997</v>
      </c>
      <c r="F946" s="21">
        <f t="shared" si="53"/>
        <v>572.66355338033168</v>
      </c>
      <c r="G946" s="14">
        <f>SUMIFS(PARÂMETROS!$F$8:$F$907,PARÂMETROS!$A$8:$A$907,C946,PARÂMETROS!$G$8:$G$907,J946)</f>
        <v>0</v>
      </c>
      <c r="H946" s="21">
        <f t="shared" si="51"/>
        <v>0</v>
      </c>
      <c r="I946" s="21">
        <f t="shared" si="52"/>
        <v>572.66355338033168</v>
      </c>
      <c r="J946" s="2" t="s">
        <v>88</v>
      </c>
    </row>
    <row r="947" spans="1:10" ht="14.25" customHeight="1" x14ac:dyDescent="0.3">
      <c r="A947" s="11" t="s">
        <v>35</v>
      </c>
      <c r="B947" s="19" t="str">
        <f>INDEX(SETORES!$B:$B,MATCH(A947,SETORES!$A:$A,0))</f>
        <v>Clientes</v>
      </c>
      <c r="C947" s="11" t="s">
        <v>17</v>
      </c>
      <c r="D947" s="9">
        <f>IF(B947="Clientes",SUMIFS(PARÂMETROS!$D$8:$D$907,PARÂMETROS!$A$8:$A$907,C947,PARÂMETROS!$G$8:$G$907,J947),SUMIFS(PARÂMETROS!$E$8:$E$907,PARÂMETROS!$A$8:$A$907,C947,PARÂMETROS!$G$8:$G$907,J947))</f>
        <v>2.4324187249581578E-2</v>
      </c>
      <c r="E947" s="20">
        <f>SUMIFS(SETORES!$D:$D,SETORES!$A:$A,A947,SETORES!$F:$F,J947)</f>
        <v>23577.379999999997</v>
      </c>
      <c r="F947" s="20">
        <f t="shared" si="53"/>
        <v>573.50060597453967</v>
      </c>
      <c r="G947" s="9">
        <f>SUMIFS(PARÂMETROS!$F$8:$F$907,PARÂMETROS!$A$8:$A$907,C947,PARÂMETROS!$G$8:$G$907,J947)</f>
        <v>0</v>
      </c>
      <c r="H947" s="20">
        <f t="shared" si="51"/>
        <v>0</v>
      </c>
      <c r="I947" s="20">
        <f t="shared" si="52"/>
        <v>573.50060597453967</v>
      </c>
      <c r="J947" s="11" t="s">
        <v>88</v>
      </c>
    </row>
    <row r="948" spans="1:10" ht="14.25" customHeight="1" x14ac:dyDescent="0.3">
      <c r="A948" s="2" t="s">
        <v>35</v>
      </c>
      <c r="B948" s="2" t="str">
        <f>INDEX(SETORES!$B:$B,MATCH(A948,SETORES!$A:$A,0))</f>
        <v>Clientes</v>
      </c>
      <c r="C948" s="2" t="s">
        <v>18</v>
      </c>
      <c r="D948" s="14">
        <f>IF(B948="Clientes",SUMIFS(PARÂMETROS!$D$8:$D$907,PARÂMETROS!$A$8:$A$907,C948,PARÂMETROS!$G$8:$G$907,J948),SUMIFS(PARÂMETROS!$E$8:$E$907,PARÂMETROS!$A$8:$A$907,C948,PARÂMETROS!$G$8:$G$907,J948))</f>
        <v>0.7221940457473246</v>
      </c>
      <c r="E948" s="21">
        <f>SUMIFS(SETORES!$D:$D,SETORES!$A:$A,A948,SETORES!$F:$F,J948)</f>
        <v>23577.379999999997</v>
      </c>
      <c r="F948" s="21">
        <f t="shared" si="53"/>
        <v>17027.443450322055</v>
      </c>
      <c r="G948" s="14">
        <f>SUMIFS(PARÂMETROS!$F$8:$F$907,PARÂMETROS!$A$8:$A$907,C948,PARÂMETROS!$G$8:$G$907,J948)</f>
        <v>0</v>
      </c>
      <c r="H948" s="21">
        <f t="shared" si="51"/>
        <v>0</v>
      </c>
      <c r="I948" s="21">
        <f t="shared" si="52"/>
        <v>17027.443450322055</v>
      </c>
      <c r="J948" s="2" t="s">
        <v>88</v>
      </c>
    </row>
    <row r="949" spans="1:10" ht="14.25" customHeight="1" x14ac:dyDescent="0.3">
      <c r="A949" s="11" t="s">
        <v>36</v>
      </c>
      <c r="B949" s="19" t="str">
        <f>INDEX(SETORES!$B:$B,MATCH(A949,SETORES!$A:$A,0))</f>
        <v>Clientes</v>
      </c>
      <c r="C949" s="11" t="s">
        <v>10</v>
      </c>
      <c r="D949" s="9">
        <f>IF(B949="Clientes",SUMIFS(PARÂMETROS!$D$8:$D$907,PARÂMETROS!$A$8:$A$907,C949,PARÂMETROS!$G$8:$G$907,J949),SUMIFS(PARÂMETROS!$E$8:$E$907,PARÂMETROS!$A$8:$A$907,C949,PARÂMETROS!$G$8:$G$907,J949))</f>
        <v>3.3712025155956789E-2</v>
      </c>
      <c r="E949" s="20">
        <f>SUMIFS(SETORES!$D:$D,SETORES!$A:$A,A949,SETORES!$F:$F,J949)</f>
        <v>35351.579999999994</v>
      </c>
      <c r="F949" s="20">
        <f t="shared" si="53"/>
        <v>1191.7733542628187</v>
      </c>
      <c r="G949" s="9">
        <f>SUMIFS(PARÂMETROS!$F$8:$F$907,PARÂMETROS!$A$8:$A$907,C949,PARÂMETROS!$G$8:$G$907,J949)</f>
        <v>0</v>
      </c>
      <c r="H949" s="20">
        <f t="shared" si="51"/>
        <v>0</v>
      </c>
      <c r="I949" s="20">
        <f t="shared" si="52"/>
        <v>1191.7733542628187</v>
      </c>
      <c r="J949" s="11" t="s">
        <v>88</v>
      </c>
    </row>
    <row r="950" spans="1:10" ht="14.25" customHeight="1" x14ac:dyDescent="0.3">
      <c r="A950" s="2" t="s">
        <v>36</v>
      </c>
      <c r="B950" s="2" t="str">
        <f>INDEX(SETORES!$B:$B,MATCH(A950,SETORES!$A:$A,0))</f>
        <v>Clientes</v>
      </c>
      <c r="C950" s="2" t="s">
        <v>12</v>
      </c>
      <c r="D950" s="14">
        <f>IF(B950="Clientes",SUMIFS(PARÂMETROS!$D$8:$D$907,PARÂMETROS!$A$8:$A$907,C950,PARÂMETROS!$G$8:$G$907,J950),SUMIFS(PARÂMETROS!$E$8:$E$907,PARÂMETROS!$A$8:$A$907,C950,PARÂMETROS!$G$8:$G$907,J950))</f>
        <v>6.8519551655931432E-2</v>
      </c>
      <c r="E950" s="21">
        <f>SUMIFS(SETORES!$D:$D,SETORES!$A:$A,A950,SETORES!$F:$F,J950)</f>
        <v>35351.579999999994</v>
      </c>
      <c r="F950" s="21">
        <f t="shared" si="53"/>
        <v>2422.2744119287922</v>
      </c>
      <c r="G950" s="14">
        <f>SUMIFS(PARÂMETROS!$F$8:$F$907,PARÂMETROS!$A$8:$A$907,C950,PARÂMETROS!$G$8:$G$907,J950)</f>
        <v>0</v>
      </c>
      <c r="H950" s="21">
        <f t="shared" si="51"/>
        <v>0</v>
      </c>
      <c r="I950" s="21">
        <f t="shared" si="52"/>
        <v>2422.2744119287922</v>
      </c>
      <c r="J950" s="2" t="s">
        <v>88</v>
      </c>
    </row>
    <row r="951" spans="1:10" ht="14.25" customHeight="1" x14ac:dyDescent="0.3">
      <c r="A951" s="11" t="s">
        <v>36</v>
      </c>
      <c r="B951" s="19" t="str">
        <f>INDEX(SETORES!$B:$B,MATCH(A951,SETORES!$A:$A,0))</f>
        <v>Clientes</v>
      </c>
      <c r="C951" s="11" t="s">
        <v>13</v>
      </c>
      <c r="D951" s="9">
        <f>IF(B951="Clientes",SUMIFS(PARÂMETROS!$D$8:$D$907,PARÂMETROS!$A$8:$A$907,C951,PARÂMETROS!$G$8:$G$907,J951),SUMIFS(PARÂMETROS!$E$8:$E$907,PARÂMETROS!$A$8:$A$907,C951,PARÂMETROS!$G$8:$G$907,J951))</f>
        <v>7.4539737282548049E-2</v>
      </c>
      <c r="E951" s="20">
        <f>SUMIFS(SETORES!$D:$D,SETORES!$A:$A,A951,SETORES!$F:$F,J951)</f>
        <v>35351.579999999994</v>
      </c>
      <c r="F951" s="20">
        <f t="shared" si="53"/>
        <v>2635.0974857229794</v>
      </c>
      <c r="G951" s="9">
        <f>SUMIFS(PARÂMETROS!$F$8:$F$907,PARÂMETROS!$A$8:$A$907,C951,PARÂMETROS!$G$8:$G$907,J951)</f>
        <v>0</v>
      </c>
      <c r="H951" s="20">
        <f t="shared" si="51"/>
        <v>0</v>
      </c>
      <c r="I951" s="20">
        <f t="shared" si="52"/>
        <v>2635.0974857229794</v>
      </c>
      <c r="J951" s="11" t="s">
        <v>88</v>
      </c>
    </row>
    <row r="952" spans="1:10" ht="14.25" customHeight="1" x14ac:dyDescent="0.3">
      <c r="A952" s="2" t="s">
        <v>36</v>
      </c>
      <c r="B952" s="2" t="str">
        <f>INDEX(SETORES!$B:$B,MATCH(A952,SETORES!$A:$A,0))</f>
        <v>Clientes</v>
      </c>
      <c r="C952" s="2" t="s">
        <v>14</v>
      </c>
      <c r="D952" s="14">
        <f>IF(B952="Clientes",SUMIFS(PARÂMETROS!$D$8:$D$907,PARÂMETROS!$A$8:$A$907,C952,PARÂMETROS!$G$8:$G$907,J952),SUMIFS(PARÂMETROS!$E$8:$E$907,PARÂMETROS!$A$8:$A$907,C952,PARÂMETROS!$G$8:$G$907,J952))</f>
        <v>1.8943044073642036E-2</v>
      </c>
      <c r="E952" s="21">
        <f>SUMIFS(SETORES!$D:$D,SETORES!$A:$A,A952,SETORES!$F:$F,J952)</f>
        <v>35351.579999999994</v>
      </c>
      <c r="F952" s="21">
        <f t="shared" si="53"/>
        <v>669.66653801288226</v>
      </c>
      <c r="G952" s="14">
        <f>SUMIFS(PARÂMETROS!$F$8:$F$907,PARÂMETROS!$A$8:$A$907,C952,PARÂMETROS!$G$8:$G$907,J952)</f>
        <v>0</v>
      </c>
      <c r="H952" s="21">
        <f t="shared" si="51"/>
        <v>0</v>
      </c>
      <c r="I952" s="21">
        <f t="shared" si="52"/>
        <v>669.66653801288226</v>
      </c>
      <c r="J952" s="2" t="s">
        <v>88</v>
      </c>
    </row>
    <row r="953" spans="1:10" ht="14.25" customHeight="1" x14ac:dyDescent="0.3">
      <c r="A953" s="11" t="s">
        <v>36</v>
      </c>
      <c r="B953" s="19" t="str">
        <f>INDEX(SETORES!$B:$B,MATCH(A953,SETORES!$A:$A,0))</f>
        <v>Clientes</v>
      </c>
      <c r="C953" s="11" t="s">
        <v>15</v>
      </c>
      <c r="D953" s="9">
        <f>IF(B953="Clientes",SUMIFS(PARÂMETROS!$D$8:$D$907,PARÂMETROS!$A$8:$A$907,C953,PARÂMETROS!$G$8:$G$907,J953),SUMIFS(PARÂMETROS!$E$8:$E$907,PARÂMETROS!$A$8:$A$907,C953,PARÂMETROS!$G$8:$G$907,J953))</f>
        <v>3.3478723943804842E-2</v>
      </c>
      <c r="E953" s="20">
        <f>SUMIFS(SETORES!$D:$D,SETORES!$A:$A,A953,SETORES!$F:$F,J953)</f>
        <v>35351.579999999994</v>
      </c>
      <c r="F953" s="20">
        <f t="shared" si="53"/>
        <v>1183.5257877973322</v>
      </c>
      <c r="G953" s="9">
        <f>SUMIFS(PARÂMETROS!$F$8:$F$907,PARÂMETROS!$A$8:$A$907,C953,PARÂMETROS!$G$8:$G$907,J953)</f>
        <v>0</v>
      </c>
      <c r="H953" s="20">
        <f t="shared" si="51"/>
        <v>0</v>
      </c>
      <c r="I953" s="20">
        <f t="shared" si="52"/>
        <v>1183.5257877973322</v>
      </c>
      <c r="J953" s="11" t="s">
        <v>88</v>
      </c>
    </row>
    <row r="954" spans="1:10" ht="14.25" customHeight="1" x14ac:dyDescent="0.3">
      <c r="A954" s="2" t="s">
        <v>36</v>
      </c>
      <c r="B954" s="2" t="str">
        <f>INDEX(SETORES!$B:$B,MATCH(A954,SETORES!$A:$A,0))</f>
        <v>Clientes</v>
      </c>
      <c r="C954" s="2" t="s">
        <v>16</v>
      </c>
      <c r="D954" s="14">
        <f>IF(B954="Clientes",SUMIFS(PARÂMETROS!$D$8:$D$907,PARÂMETROS!$A$8:$A$907,C954,PARÂMETROS!$G$8:$G$907,J954),SUMIFS(PARÂMETROS!$E$8:$E$907,PARÂMETROS!$A$8:$A$907,C954,PARÂMETROS!$G$8:$G$907,J954))</f>
        <v>2.4288684891210631E-2</v>
      </c>
      <c r="E954" s="21">
        <f>SUMIFS(SETORES!$D:$D,SETORES!$A:$A,A954,SETORES!$F:$F,J954)</f>
        <v>35351.579999999994</v>
      </c>
      <c r="F954" s="21">
        <f t="shared" si="53"/>
        <v>858.64338702642374</v>
      </c>
      <c r="G954" s="14">
        <f>SUMIFS(PARÂMETROS!$F$8:$F$907,PARÂMETROS!$A$8:$A$907,C954,PARÂMETROS!$G$8:$G$907,J954)</f>
        <v>0</v>
      </c>
      <c r="H954" s="21">
        <f t="shared" si="51"/>
        <v>0</v>
      </c>
      <c r="I954" s="21">
        <f t="shared" si="52"/>
        <v>858.64338702642374</v>
      </c>
      <c r="J954" s="2" t="s">
        <v>88</v>
      </c>
    </row>
    <row r="955" spans="1:10" ht="14.25" customHeight="1" x14ac:dyDescent="0.3">
      <c r="A955" s="11" t="s">
        <v>36</v>
      </c>
      <c r="B955" s="19" t="str">
        <f>INDEX(SETORES!$B:$B,MATCH(A955,SETORES!$A:$A,0))</f>
        <v>Clientes</v>
      </c>
      <c r="C955" s="11" t="s">
        <v>17</v>
      </c>
      <c r="D955" s="9">
        <f>IF(B955="Clientes",SUMIFS(PARÂMETROS!$D$8:$D$907,PARÂMETROS!$A$8:$A$907,C955,PARÂMETROS!$G$8:$G$907,J955),SUMIFS(PARÂMETROS!$E$8:$E$907,PARÂMETROS!$A$8:$A$907,C955,PARÂMETROS!$G$8:$G$907,J955))</f>
        <v>2.4324187249581578E-2</v>
      </c>
      <c r="E955" s="20">
        <f>SUMIFS(SETORES!$D:$D,SETORES!$A:$A,A955,SETORES!$F:$F,J955)</f>
        <v>35351.579999999994</v>
      </c>
      <c r="F955" s="20">
        <f t="shared" si="53"/>
        <v>859.89845148856296</v>
      </c>
      <c r="G955" s="9">
        <f>SUMIFS(PARÂMETROS!$F$8:$F$907,PARÂMETROS!$A$8:$A$907,C955,PARÂMETROS!$G$8:$G$907,J955)</f>
        <v>0</v>
      </c>
      <c r="H955" s="20">
        <f t="shared" si="51"/>
        <v>0</v>
      </c>
      <c r="I955" s="20">
        <f t="shared" si="52"/>
        <v>859.89845148856296</v>
      </c>
      <c r="J955" s="11" t="s">
        <v>88</v>
      </c>
    </row>
    <row r="956" spans="1:10" ht="14.25" customHeight="1" x14ac:dyDescent="0.3">
      <c r="A956" s="2" t="s">
        <v>36</v>
      </c>
      <c r="B956" s="2" t="str">
        <f>INDEX(SETORES!$B:$B,MATCH(A956,SETORES!$A:$A,0))</f>
        <v>Clientes</v>
      </c>
      <c r="C956" s="2" t="s">
        <v>18</v>
      </c>
      <c r="D956" s="14">
        <f>IF(B956="Clientes",SUMIFS(PARÂMETROS!$D$8:$D$907,PARÂMETROS!$A$8:$A$907,C956,PARÂMETROS!$G$8:$G$907,J956),SUMIFS(PARÂMETROS!$E$8:$E$907,PARÂMETROS!$A$8:$A$907,C956,PARÂMETROS!$G$8:$G$907,J956))</f>
        <v>0.7221940457473246</v>
      </c>
      <c r="E956" s="21">
        <f>SUMIFS(SETORES!$D:$D,SETORES!$A:$A,A956,SETORES!$F:$F,J956)</f>
        <v>35351.579999999994</v>
      </c>
      <c r="F956" s="21">
        <f t="shared" si="53"/>
        <v>25530.700583760201</v>
      </c>
      <c r="G956" s="14">
        <f>SUMIFS(PARÂMETROS!$F$8:$F$907,PARÂMETROS!$A$8:$A$907,C956,PARÂMETROS!$G$8:$G$907,J956)</f>
        <v>0</v>
      </c>
      <c r="H956" s="21">
        <f t="shared" si="51"/>
        <v>0</v>
      </c>
      <c r="I956" s="21">
        <f t="shared" si="52"/>
        <v>25530.700583760201</v>
      </c>
      <c r="J956" s="2" t="s">
        <v>88</v>
      </c>
    </row>
    <row r="957" spans="1:10" ht="14.25" customHeight="1" x14ac:dyDescent="0.3">
      <c r="A957" s="11" t="s">
        <v>37</v>
      </c>
      <c r="B957" s="19" t="str">
        <f>INDEX(SETORES!$B:$B,MATCH(A957,SETORES!$A:$A,0))</f>
        <v>Clientes</v>
      </c>
      <c r="C957" s="11" t="s">
        <v>10</v>
      </c>
      <c r="D957" s="9">
        <f>IF(B957="Clientes",SUMIFS(PARÂMETROS!$D$8:$D$907,PARÂMETROS!$A$8:$A$907,C957,PARÂMETROS!$G$8:$G$907,J957),SUMIFS(PARÂMETROS!$E$8:$E$907,PARÂMETROS!$A$8:$A$907,C957,PARÂMETROS!$G$8:$G$907,J957))</f>
        <v>3.3712025155956789E-2</v>
      </c>
      <c r="E957" s="20">
        <f>SUMIFS(SETORES!$D:$D,SETORES!$A:$A,A957,SETORES!$F:$F,J957)</f>
        <v>159505.65000000002</v>
      </c>
      <c r="F957" s="20">
        <f t="shared" si="53"/>
        <v>5377.2584853172393</v>
      </c>
      <c r="G957" s="9">
        <f>SUMIFS(PARÂMETROS!$F$8:$F$907,PARÂMETROS!$A$8:$A$907,C957,PARÂMETROS!$G$8:$G$907,J957)</f>
        <v>0</v>
      </c>
      <c r="H957" s="20">
        <f t="shared" si="51"/>
        <v>0</v>
      </c>
      <c r="I957" s="20">
        <f t="shared" si="52"/>
        <v>5377.2584853172393</v>
      </c>
      <c r="J957" s="11" t="s">
        <v>88</v>
      </c>
    </row>
    <row r="958" spans="1:10" ht="14.25" customHeight="1" x14ac:dyDescent="0.3">
      <c r="A958" s="2" t="s">
        <v>37</v>
      </c>
      <c r="B958" s="2" t="str">
        <f>INDEX(SETORES!$B:$B,MATCH(A958,SETORES!$A:$A,0))</f>
        <v>Clientes</v>
      </c>
      <c r="C958" s="2" t="s">
        <v>12</v>
      </c>
      <c r="D958" s="14">
        <f>IF(B958="Clientes",SUMIFS(PARÂMETROS!$D$8:$D$907,PARÂMETROS!$A$8:$A$907,C958,PARÂMETROS!$G$8:$G$907,J958),SUMIFS(PARÂMETROS!$E$8:$E$907,PARÂMETROS!$A$8:$A$907,C958,PARÂMETROS!$G$8:$G$907,J958))</f>
        <v>6.8519551655931432E-2</v>
      </c>
      <c r="E958" s="21">
        <f>SUMIFS(SETORES!$D:$D,SETORES!$A:$A,A958,SETORES!$F:$F,J958)</f>
        <v>159505.65000000002</v>
      </c>
      <c r="F958" s="21">
        <f t="shared" si="53"/>
        <v>10929.25562458792</v>
      </c>
      <c r="G958" s="14">
        <f>SUMIFS(PARÂMETROS!$F$8:$F$907,PARÂMETROS!$A$8:$A$907,C958,PARÂMETROS!$G$8:$G$907,J958)</f>
        <v>0</v>
      </c>
      <c r="H958" s="21">
        <f t="shared" si="51"/>
        <v>0</v>
      </c>
      <c r="I958" s="21">
        <f t="shared" si="52"/>
        <v>10929.25562458792</v>
      </c>
      <c r="J958" s="2" t="s">
        <v>88</v>
      </c>
    </row>
    <row r="959" spans="1:10" ht="14.25" customHeight="1" x14ac:dyDescent="0.3">
      <c r="A959" s="11" t="s">
        <v>37</v>
      </c>
      <c r="B959" s="19" t="str">
        <f>INDEX(SETORES!$B:$B,MATCH(A959,SETORES!$A:$A,0))</f>
        <v>Clientes</v>
      </c>
      <c r="C959" s="11" t="s">
        <v>13</v>
      </c>
      <c r="D959" s="9">
        <f>IF(B959="Clientes",SUMIFS(PARÂMETROS!$D$8:$D$907,PARÂMETROS!$A$8:$A$907,C959,PARÂMETROS!$G$8:$G$907,J959),SUMIFS(PARÂMETROS!$E$8:$E$907,PARÂMETROS!$A$8:$A$907,C959,PARÂMETROS!$G$8:$G$907,J959))</f>
        <v>7.4539737282548049E-2</v>
      </c>
      <c r="E959" s="20">
        <f>SUMIFS(SETORES!$D:$D,SETORES!$A:$A,A959,SETORES!$F:$F,J959)</f>
        <v>159505.65000000002</v>
      </c>
      <c r="F959" s="20">
        <f t="shared" si="53"/>
        <v>11889.509246082062</v>
      </c>
      <c r="G959" s="9">
        <f>SUMIFS(PARÂMETROS!$F$8:$F$907,PARÂMETROS!$A$8:$A$907,C959,PARÂMETROS!$G$8:$G$907,J959)</f>
        <v>0</v>
      </c>
      <c r="H959" s="20">
        <f t="shared" si="51"/>
        <v>0</v>
      </c>
      <c r="I959" s="20">
        <f t="shared" si="52"/>
        <v>11889.509246082062</v>
      </c>
      <c r="J959" s="11" t="s">
        <v>88</v>
      </c>
    </row>
    <row r="960" spans="1:10" ht="14.25" customHeight="1" x14ac:dyDescent="0.3">
      <c r="A960" s="2" t="s">
        <v>37</v>
      </c>
      <c r="B960" s="2" t="str">
        <f>INDEX(SETORES!$B:$B,MATCH(A960,SETORES!$A:$A,0))</f>
        <v>Clientes</v>
      </c>
      <c r="C960" s="2" t="s">
        <v>14</v>
      </c>
      <c r="D960" s="14">
        <f>IF(B960="Clientes",SUMIFS(PARÂMETROS!$D$8:$D$907,PARÂMETROS!$A$8:$A$907,C960,PARÂMETROS!$G$8:$G$907,J960),SUMIFS(PARÂMETROS!$E$8:$E$907,PARÂMETROS!$A$8:$A$907,C960,PARÂMETROS!$G$8:$G$907,J960))</f>
        <v>1.8943044073642036E-2</v>
      </c>
      <c r="E960" s="21">
        <f>SUMIFS(SETORES!$D:$D,SETORES!$A:$A,A960,SETORES!$F:$F,J960)</f>
        <v>159505.65000000002</v>
      </c>
      <c r="F960" s="21">
        <f t="shared" si="53"/>
        <v>3021.5225579449211</v>
      </c>
      <c r="G960" s="14">
        <f>SUMIFS(PARÂMETROS!$F$8:$F$907,PARÂMETROS!$A$8:$A$907,C960,PARÂMETROS!$G$8:$G$907,J960)</f>
        <v>0</v>
      </c>
      <c r="H960" s="21">
        <f t="shared" si="51"/>
        <v>0</v>
      </c>
      <c r="I960" s="21">
        <f t="shared" si="52"/>
        <v>3021.5225579449211</v>
      </c>
      <c r="J960" s="2" t="s">
        <v>88</v>
      </c>
    </row>
    <row r="961" spans="1:10" ht="14.25" customHeight="1" x14ac:dyDescent="0.3">
      <c r="A961" s="11" t="s">
        <v>37</v>
      </c>
      <c r="B961" s="19" t="str">
        <f>INDEX(SETORES!$B:$B,MATCH(A961,SETORES!$A:$A,0))</f>
        <v>Clientes</v>
      </c>
      <c r="C961" s="11" t="s">
        <v>15</v>
      </c>
      <c r="D961" s="9">
        <f>IF(B961="Clientes",SUMIFS(PARÂMETROS!$D$8:$D$907,PARÂMETROS!$A$8:$A$907,C961,PARÂMETROS!$G$8:$G$907,J961),SUMIFS(PARÂMETROS!$E$8:$E$907,PARÂMETROS!$A$8:$A$907,C961,PARÂMETROS!$G$8:$G$907,J961))</f>
        <v>3.3478723943804842E-2</v>
      </c>
      <c r="E961" s="20">
        <f>SUMIFS(SETORES!$D:$D,SETORES!$A:$A,A961,SETORES!$F:$F,J961)</f>
        <v>159505.65000000002</v>
      </c>
      <c r="F961" s="20">
        <f t="shared" si="53"/>
        <v>5340.0456238271554</v>
      </c>
      <c r="G961" s="9">
        <f>SUMIFS(PARÂMETROS!$F$8:$F$907,PARÂMETROS!$A$8:$A$907,C961,PARÂMETROS!$G$8:$G$907,J961)</f>
        <v>0</v>
      </c>
      <c r="H961" s="20">
        <f t="shared" si="51"/>
        <v>0</v>
      </c>
      <c r="I961" s="20">
        <f t="shared" si="52"/>
        <v>5340.0456238271554</v>
      </c>
      <c r="J961" s="11" t="s">
        <v>88</v>
      </c>
    </row>
    <row r="962" spans="1:10" ht="14.25" customHeight="1" x14ac:dyDescent="0.3">
      <c r="A962" s="2" t="s">
        <v>37</v>
      </c>
      <c r="B962" s="2" t="str">
        <f>INDEX(SETORES!$B:$B,MATCH(A962,SETORES!$A:$A,0))</f>
        <v>Clientes</v>
      </c>
      <c r="C962" s="2" t="s">
        <v>16</v>
      </c>
      <c r="D962" s="14">
        <f>IF(B962="Clientes",SUMIFS(PARÂMETROS!$D$8:$D$907,PARÂMETROS!$A$8:$A$907,C962,PARÂMETROS!$G$8:$G$907,J962),SUMIFS(PARÂMETROS!$E$8:$E$907,PARÂMETROS!$A$8:$A$907,C962,PARÂMETROS!$G$8:$G$907,J962))</f>
        <v>2.4288684891210631E-2</v>
      </c>
      <c r="E962" s="21">
        <f>SUMIFS(SETORES!$D:$D,SETORES!$A:$A,A962,SETORES!$F:$F,J962)</f>
        <v>159505.65000000002</v>
      </c>
      <c r="F962" s="21">
        <f t="shared" si="53"/>
        <v>3874.1824712177317</v>
      </c>
      <c r="G962" s="14">
        <f>SUMIFS(PARÂMETROS!$F$8:$F$907,PARÂMETROS!$A$8:$A$907,C962,PARÂMETROS!$G$8:$G$907,J962)</f>
        <v>0</v>
      </c>
      <c r="H962" s="21">
        <f t="shared" si="51"/>
        <v>0</v>
      </c>
      <c r="I962" s="21">
        <f t="shared" si="52"/>
        <v>3874.1824712177317</v>
      </c>
      <c r="J962" s="2" t="s">
        <v>88</v>
      </c>
    </row>
    <row r="963" spans="1:10" ht="14.25" customHeight="1" x14ac:dyDescent="0.3">
      <c r="A963" s="11" t="s">
        <v>37</v>
      </c>
      <c r="B963" s="19" t="str">
        <f>INDEX(SETORES!$B:$B,MATCH(A963,SETORES!$A:$A,0))</f>
        <v>Clientes</v>
      </c>
      <c r="C963" s="11" t="s">
        <v>17</v>
      </c>
      <c r="D963" s="9">
        <f>IF(B963="Clientes",SUMIFS(PARÂMETROS!$D$8:$D$907,PARÂMETROS!$A$8:$A$907,C963,PARÂMETROS!$G$8:$G$907,J963),SUMIFS(PARÂMETROS!$E$8:$E$907,PARÂMETROS!$A$8:$A$907,C963,PARÂMETROS!$G$8:$G$907,J963))</f>
        <v>2.4324187249581578E-2</v>
      </c>
      <c r="E963" s="20">
        <f>SUMIFS(SETORES!$D:$D,SETORES!$A:$A,A963,SETORES!$F:$F,J963)</f>
        <v>159505.65000000002</v>
      </c>
      <c r="F963" s="20">
        <f t="shared" si="53"/>
        <v>3879.8452979662225</v>
      </c>
      <c r="G963" s="9">
        <f>SUMIFS(PARÂMETROS!$F$8:$F$907,PARÂMETROS!$A$8:$A$907,C963,PARÂMETROS!$G$8:$G$907,J963)</f>
        <v>0</v>
      </c>
      <c r="H963" s="20">
        <f t="shared" si="51"/>
        <v>0</v>
      </c>
      <c r="I963" s="20">
        <f t="shared" si="52"/>
        <v>3879.8452979662225</v>
      </c>
      <c r="J963" s="11" t="s">
        <v>88</v>
      </c>
    </row>
    <row r="964" spans="1:10" ht="14.25" customHeight="1" x14ac:dyDescent="0.3">
      <c r="A964" s="2" t="s">
        <v>37</v>
      </c>
      <c r="B964" s="2" t="str">
        <f>INDEX(SETORES!$B:$B,MATCH(A964,SETORES!$A:$A,0))</f>
        <v>Clientes</v>
      </c>
      <c r="C964" s="2" t="s">
        <v>18</v>
      </c>
      <c r="D964" s="14">
        <f>IF(B964="Clientes",SUMIFS(PARÂMETROS!$D$8:$D$907,PARÂMETROS!$A$8:$A$907,C964,PARÂMETROS!$G$8:$G$907,J964),SUMIFS(PARÂMETROS!$E$8:$E$907,PARÂMETROS!$A$8:$A$907,C964,PARÂMETROS!$G$8:$G$907,J964))</f>
        <v>0.7221940457473246</v>
      </c>
      <c r="E964" s="21">
        <f>SUMIFS(SETORES!$D:$D,SETORES!$A:$A,A964,SETORES!$F:$F,J964)</f>
        <v>159505.65000000002</v>
      </c>
      <c r="F964" s="21">
        <f t="shared" si="53"/>
        <v>115194.03069305676</v>
      </c>
      <c r="G964" s="14">
        <f>SUMIFS(PARÂMETROS!$F$8:$F$907,PARÂMETROS!$A$8:$A$907,C964,PARÂMETROS!$G$8:$G$907,J964)</f>
        <v>0</v>
      </c>
      <c r="H964" s="21">
        <f t="shared" si="51"/>
        <v>0</v>
      </c>
      <c r="I964" s="21">
        <f t="shared" si="52"/>
        <v>115194.03069305676</v>
      </c>
      <c r="J964" s="2" t="s">
        <v>88</v>
      </c>
    </row>
    <row r="965" spans="1:10" ht="14.25" customHeight="1" x14ac:dyDescent="0.3">
      <c r="A965" s="11" t="s">
        <v>38</v>
      </c>
      <c r="B965" s="19" t="str">
        <f>INDEX(SETORES!$B:$B,MATCH(A965,SETORES!$A:$A,0))</f>
        <v>Clientes</v>
      </c>
      <c r="C965" s="11" t="s">
        <v>10</v>
      </c>
      <c r="D965" s="9">
        <f>IF(B965="Clientes",SUMIFS(PARÂMETROS!$D$8:$D$907,PARÂMETROS!$A$8:$A$907,C965,PARÂMETROS!$G$8:$G$907,J965),SUMIFS(PARÂMETROS!$E$8:$E$907,PARÂMETROS!$A$8:$A$907,C965,PARÂMETROS!$G$8:$G$907,J965))</f>
        <v>3.3712025155956789E-2</v>
      </c>
      <c r="E965" s="20">
        <f>SUMIFS(SETORES!$D:$D,SETORES!$A:$A,A965,SETORES!$F:$F,J965)</f>
        <v>46873.2</v>
      </c>
      <c r="F965" s="20">
        <f t="shared" si="53"/>
        <v>1580.1904975401937</v>
      </c>
      <c r="G965" s="9">
        <f>SUMIFS(PARÂMETROS!$F$8:$F$907,PARÂMETROS!$A$8:$A$907,C965,PARÂMETROS!$G$8:$G$907,J965)</f>
        <v>0</v>
      </c>
      <c r="H965" s="20">
        <f t="shared" si="51"/>
        <v>0</v>
      </c>
      <c r="I965" s="20">
        <f t="shared" si="52"/>
        <v>1580.1904975401937</v>
      </c>
      <c r="J965" s="11" t="s">
        <v>88</v>
      </c>
    </row>
    <row r="966" spans="1:10" ht="14.25" customHeight="1" x14ac:dyDescent="0.3">
      <c r="A966" s="2" t="s">
        <v>38</v>
      </c>
      <c r="B966" s="2" t="str">
        <f>INDEX(SETORES!$B:$B,MATCH(A966,SETORES!$A:$A,0))</f>
        <v>Clientes</v>
      </c>
      <c r="C966" s="2" t="s">
        <v>12</v>
      </c>
      <c r="D966" s="14">
        <f>IF(B966="Clientes",SUMIFS(PARÂMETROS!$D$8:$D$907,PARÂMETROS!$A$8:$A$907,C966,PARÂMETROS!$G$8:$G$907,J966),SUMIFS(PARÂMETROS!$E$8:$E$907,PARÂMETROS!$A$8:$A$907,C966,PARÂMETROS!$G$8:$G$907,J966))</f>
        <v>6.8519551655931432E-2</v>
      </c>
      <c r="E966" s="21">
        <f>SUMIFS(SETORES!$D:$D,SETORES!$A:$A,A966,SETORES!$F:$F,J966)</f>
        <v>46873.2</v>
      </c>
      <c r="F966" s="21">
        <f t="shared" si="53"/>
        <v>3211.7306486788052</v>
      </c>
      <c r="G966" s="14">
        <f>SUMIFS(PARÂMETROS!$F$8:$F$907,PARÂMETROS!$A$8:$A$907,C966,PARÂMETROS!$G$8:$G$907,J966)</f>
        <v>0</v>
      </c>
      <c r="H966" s="21">
        <f t="shared" si="51"/>
        <v>0</v>
      </c>
      <c r="I966" s="21">
        <f t="shared" si="52"/>
        <v>3211.7306486788052</v>
      </c>
      <c r="J966" s="2" t="s">
        <v>88</v>
      </c>
    </row>
    <row r="967" spans="1:10" ht="14.25" customHeight="1" x14ac:dyDescent="0.3">
      <c r="A967" s="11" t="s">
        <v>38</v>
      </c>
      <c r="B967" s="19" t="str">
        <f>INDEX(SETORES!$B:$B,MATCH(A967,SETORES!$A:$A,0))</f>
        <v>Clientes</v>
      </c>
      <c r="C967" s="11" t="s">
        <v>13</v>
      </c>
      <c r="D967" s="9">
        <f>IF(B967="Clientes",SUMIFS(PARÂMETROS!$D$8:$D$907,PARÂMETROS!$A$8:$A$907,C967,PARÂMETROS!$G$8:$G$907,J967),SUMIFS(PARÂMETROS!$E$8:$E$907,PARÂMETROS!$A$8:$A$907,C967,PARÂMETROS!$G$8:$G$907,J967))</f>
        <v>7.4539737282548049E-2</v>
      </c>
      <c r="E967" s="20">
        <f>SUMIFS(SETORES!$D:$D,SETORES!$A:$A,A967,SETORES!$F:$F,J967)</f>
        <v>46873.2</v>
      </c>
      <c r="F967" s="20">
        <f t="shared" si="53"/>
        <v>3493.9160135923312</v>
      </c>
      <c r="G967" s="9">
        <f>SUMIFS(PARÂMETROS!$F$8:$F$907,PARÂMETROS!$A$8:$A$907,C967,PARÂMETROS!$G$8:$G$907,J967)</f>
        <v>0</v>
      </c>
      <c r="H967" s="20">
        <f t="shared" si="51"/>
        <v>0</v>
      </c>
      <c r="I967" s="20">
        <f t="shared" si="52"/>
        <v>3493.9160135923312</v>
      </c>
      <c r="J967" s="11" t="s">
        <v>88</v>
      </c>
    </row>
    <row r="968" spans="1:10" ht="14.25" customHeight="1" x14ac:dyDescent="0.3">
      <c r="A968" s="2" t="s">
        <v>38</v>
      </c>
      <c r="B968" s="2" t="str">
        <f>INDEX(SETORES!$B:$B,MATCH(A968,SETORES!$A:$A,0))</f>
        <v>Clientes</v>
      </c>
      <c r="C968" s="2" t="s">
        <v>14</v>
      </c>
      <c r="D968" s="14">
        <f>IF(B968="Clientes",SUMIFS(PARÂMETROS!$D$8:$D$907,PARÂMETROS!$A$8:$A$907,C968,PARÂMETROS!$G$8:$G$907,J968),SUMIFS(PARÂMETROS!$E$8:$E$907,PARÂMETROS!$A$8:$A$907,C968,PARÂMETROS!$G$8:$G$907,J968))</f>
        <v>1.8943044073642036E-2</v>
      </c>
      <c r="E968" s="21">
        <f>SUMIFS(SETORES!$D:$D,SETORES!$A:$A,A968,SETORES!$F:$F,J968)</f>
        <v>46873.2</v>
      </c>
      <c r="F968" s="21">
        <f t="shared" si="53"/>
        <v>887.92109347263784</v>
      </c>
      <c r="G968" s="14">
        <f>SUMIFS(PARÂMETROS!$F$8:$F$907,PARÂMETROS!$A$8:$A$907,C968,PARÂMETROS!$G$8:$G$907,J968)</f>
        <v>0</v>
      </c>
      <c r="H968" s="21">
        <f t="shared" si="51"/>
        <v>0</v>
      </c>
      <c r="I968" s="21">
        <f t="shared" si="52"/>
        <v>887.92109347263784</v>
      </c>
      <c r="J968" s="2" t="s">
        <v>88</v>
      </c>
    </row>
    <row r="969" spans="1:10" ht="14.25" customHeight="1" x14ac:dyDescent="0.3">
      <c r="A969" s="11" t="s">
        <v>38</v>
      </c>
      <c r="B969" s="19" t="str">
        <f>INDEX(SETORES!$B:$B,MATCH(A969,SETORES!$A:$A,0))</f>
        <v>Clientes</v>
      </c>
      <c r="C969" s="11" t="s">
        <v>15</v>
      </c>
      <c r="D969" s="9">
        <f>IF(B969="Clientes",SUMIFS(PARÂMETROS!$D$8:$D$907,PARÂMETROS!$A$8:$A$907,C969,PARÂMETROS!$G$8:$G$907,J969),SUMIFS(PARÂMETROS!$E$8:$E$907,PARÂMETROS!$A$8:$A$907,C969,PARÂMETROS!$G$8:$G$907,J969))</f>
        <v>3.3478723943804842E-2</v>
      </c>
      <c r="E969" s="20">
        <f>SUMIFS(SETORES!$D:$D,SETORES!$A:$A,A969,SETORES!$F:$F,J969)</f>
        <v>46873.2</v>
      </c>
      <c r="F969" s="20">
        <f t="shared" si="53"/>
        <v>1569.2549231627529</v>
      </c>
      <c r="G969" s="9">
        <f>SUMIFS(PARÂMETROS!$F$8:$F$907,PARÂMETROS!$A$8:$A$907,C969,PARÂMETROS!$G$8:$G$907,J969)</f>
        <v>0</v>
      </c>
      <c r="H969" s="20">
        <f t="shared" si="51"/>
        <v>0</v>
      </c>
      <c r="I969" s="20">
        <f t="shared" si="52"/>
        <v>1569.2549231627529</v>
      </c>
      <c r="J969" s="11" t="s">
        <v>88</v>
      </c>
    </row>
    <row r="970" spans="1:10" ht="14.25" customHeight="1" x14ac:dyDescent="0.3">
      <c r="A970" s="2" t="s">
        <v>38</v>
      </c>
      <c r="B970" s="2" t="str">
        <f>INDEX(SETORES!$B:$B,MATCH(A970,SETORES!$A:$A,0))</f>
        <v>Clientes</v>
      </c>
      <c r="C970" s="2" t="s">
        <v>16</v>
      </c>
      <c r="D970" s="14">
        <f>IF(B970="Clientes",SUMIFS(PARÂMETROS!$D$8:$D$907,PARÂMETROS!$A$8:$A$907,C970,PARÂMETROS!$G$8:$G$907,J970),SUMIFS(PARÂMETROS!$E$8:$E$907,PARÂMETROS!$A$8:$A$907,C970,PARÂMETROS!$G$8:$G$907,J970))</f>
        <v>2.4288684891210631E-2</v>
      </c>
      <c r="E970" s="21">
        <f>SUMIFS(SETORES!$D:$D,SETORES!$A:$A,A970,SETORES!$F:$F,J970)</f>
        <v>46873.2</v>
      </c>
      <c r="F970" s="21">
        <f t="shared" si="53"/>
        <v>1138.488384642694</v>
      </c>
      <c r="G970" s="14">
        <f>SUMIFS(PARÂMETROS!$F$8:$F$907,PARÂMETROS!$A$8:$A$907,C970,PARÂMETROS!$G$8:$G$907,J970)</f>
        <v>0</v>
      </c>
      <c r="H970" s="21">
        <f t="shared" si="51"/>
        <v>0</v>
      </c>
      <c r="I970" s="21">
        <f t="shared" si="52"/>
        <v>1138.488384642694</v>
      </c>
      <c r="J970" s="2" t="s">
        <v>88</v>
      </c>
    </row>
    <row r="971" spans="1:10" ht="14.25" customHeight="1" x14ac:dyDescent="0.3">
      <c r="A971" s="11" t="s">
        <v>38</v>
      </c>
      <c r="B971" s="19" t="str">
        <f>INDEX(SETORES!$B:$B,MATCH(A971,SETORES!$A:$A,0))</f>
        <v>Clientes</v>
      </c>
      <c r="C971" s="11" t="s">
        <v>17</v>
      </c>
      <c r="D971" s="9">
        <f>IF(B971="Clientes",SUMIFS(PARÂMETROS!$D$8:$D$907,PARÂMETROS!$A$8:$A$907,C971,PARÂMETROS!$G$8:$G$907,J971),SUMIFS(PARÂMETROS!$E$8:$E$907,PARÂMETROS!$A$8:$A$907,C971,PARÂMETROS!$G$8:$G$907,J971))</f>
        <v>2.4324187249581578E-2</v>
      </c>
      <c r="E971" s="20">
        <f>SUMIFS(SETORES!$D:$D,SETORES!$A:$A,A971,SETORES!$F:$F,J971)</f>
        <v>46873.2</v>
      </c>
      <c r="F971" s="20">
        <f t="shared" si="53"/>
        <v>1140.1524937870872</v>
      </c>
      <c r="G971" s="9">
        <f>SUMIFS(PARÂMETROS!$F$8:$F$907,PARÂMETROS!$A$8:$A$907,C971,PARÂMETROS!$G$8:$G$907,J971)</f>
        <v>0</v>
      </c>
      <c r="H971" s="20">
        <f t="shared" si="51"/>
        <v>0</v>
      </c>
      <c r="I971" s="20">
        <f t="shared" si="52"/>
        <v>1140.1524937870872</v>
      </c>
      <c r="J971" s="11" t="s">
        <v>88</v>
      </c>
    </row>
    <row r="972" spans="1:10" ht="14.25" customHeight="1" x14ac:dyDescent="0.3">
      <c r="A972" s="2" t="s">
        <v>38</v>
      </c>
      <c r="B972" s="2" t="str">
        <f>INDEX(SETORES!$B:$B,MATCH(A972,SETORES!$A:$A,0))</f>
        <v>Clientes</v>
      </c>
      <c r="C972" s="2" t="s">
        <v>18</v>
      </c>
      <c r="D972" s="14">
        <f>IF(B972="Clientes",SUMIFS(PARÂMETROS!$D$8:$D$907,PARÂMETROS!$A$8:$A$907,C972,PARÂMETROS!$G$8:$G$907,J972),SUMIFS(PARÂMETROS!$E$8:$E$907,PARÂMETROS!$A$8:$A$907,C972,PARÂMETROS!$G$8:$G$907,J972))</f>
        <v>0.7221940457473246</v>
      </c>
      <c r="E972" s="21">
        <f>SUMIFS(SETORES!$D:$D,SETORES!$A:$A,A972,SETORES!$F:$F,J972)</f>
        <v>46873.2</v>
      </c>
      <c r="F972" s="21">
        <f t="shared" si="53"/>
        <v>33851.545945123493</v>
      </c>
      <c r="G972" s="14">
        <f>SUMIFS(PARÂMETROS!$F$8:$F$907,PARÂMETROS!$A$8:$A$907,C972,PARÂMETROS!$G$8:$G$907,J972)</f>
        <v>0</v>
      </c>
      <c r="H972" s="21">
        <f t="shared" si="51"/>
        <v>0</v>
      </c>
      <c r="I972" s="21">
        <f t="shared" si="52"/>
        <v>33851.545945123493</v>
      </c>
      <c r="J972" s="2" t="s">
        <v>88</v>
      </c>
    </row>
    <row r="973" spans="1:10" ht="14.25" customHeight="1" x14ac:dyDescent="0.3">
      <c r="A973" s="11" t="s">
        <v>39</v>
      </c>
      <c r="B973" s="19" t="str">
        <f>INDEX(SETORES!$B:$B,MATCH(A973,SETORES!$A:$A,0))</f>
        <v>Clientes</v>
      </c>
      <c r="C973" s="11" t="s">
        <v>10</v>
      </c>
      <c r="D973" s="9">
        <f>IF(B973="Clientes",SUMIFS(PARÂMETROS!$D$8:$D$907,PARÂMETROS!$A$8:$A$907,C973,PARÂMETROS!$G$8:$G$907,J973),SUMIFS(PARÂMETROS!$E$8:$E$907,PARÂMETROS!$A$8:$A$907,C973,PARÂMETROS!$G$8:$G$907,J973))</f>
        <v>3.3712025155956789E-2</v>
      </c>
      <c r="E973" s="20">
        <f>SUMIFS(SETORES!$D:$D,SETORES!$A:$A,A973,SETORES!$F:$F,J973)</f>
        <v>46033.229999999996</v>
      </c>
      <c r="F973" s="20">
        <f t="shared" ref="F973:F1004" si="54">IFERROR(D973*E973,0)</f>
        <v>1551.8734077699446</v>
      </c>
      <c r="G973" s="9">
        <f>SUMIFS(PARÂMETROS!$F$8:$F$907,PARÂMETROS!$A$8:$A$907,C973,PARÂMETROS!$G$8:$G$907,J973)</f>
        <v>0</v>
      </c>
      <c r="H973" s="20">
        <f t="shared" ref="H973:H1036" si="55">IFERROR(F973*G973,0)</f>
        <v>0</v>
      </c>
      <c r="I973" s="20">
        <f t="shared" ref="I973:I1036" si="56">F973+H973</f>
        <v>1551.8734077699446</v>
      </c>
      <c r="J973" s="11" t="s">
        <v>88</v>
      </c>
    </row>
    <row r="974" spans="1:10" ht="14.25" customHeight="1" x14ac:dyDescent="0.3">
      <c r="A974" s="2" t="s">
        <v>39</v>
      </c>
      <c r="B974" s="2" t="str">
        <f>INDEX(SETORES!$B:$B,MATCH(A974,SETORES!$A:$A,0))</f>
        <v>Clientes</v>
      </c>
      <c r="C974" s="2" t="s">
        <v>12</v>
      </c>
      <c r="D974" s="14">
        <f>IF(B974="Clientes",SUMIFS(PARÂMETROS!$D$8:$D$907,PARÂMETROS!$A$8:$A$907,C974,PARÂMETROS!$G$8:$G$907,J974),SUMIFS(PARÂMETROS!$E$8:$E$907,PARÂMETROS!$A$8:$A$907,C974,PARÂMETROS!$G$8:$G$907,J974))</f>
        <v>6.8519551655931432E-2</v>
      </c>
      <c r="E974" s="21">
        <f>SUMIFS(SETORES!$D:$D,SETORES!$A:$A,A974,SETORES!$F:$F,J974)</f>
        <v>46033.229999999996</v>
      </c>
      <c r="F974" s="21">
        <f t="shared" si="54"/>
        <v>3154.1762808743724</v>
      </c>
      <c r="G974" s="14">
        <f>SUMIFS(PARÂMETROS!$F$8:$F$907,PARÂMETROS!$A$8:$A$907,C974,PARÂMETROS!$G$8:$G$907,J974)</f>
        <v>0</v>
      </c>
      <c r="H974" s="21">
        <f t="shared" si="55"/>
        <v>0</v>
      </c>
      <c r="I974" s="21">
        <f t="shared" si="56"/>
        <v>3154.1762808743724</v>
      </c>
      <c r="J974" s="2" t="s">
        <v>88</v>
      </c>
    </row>
    <row r="975" spans="1:10" ht="14.25" customHeight="1" x14ac:dyDescent="0.3">
      <c r="A975" s="11" t="s">
        <v>39</v>
      </c>
      <c r="B975" s="19" t="str">
        <f>INDEX(SETORES!$B:$B,MATCH(A975,SETORES!$A:$A,0))</f>
        <v>Clientes</v>
      </c>
      <c r="C975" s="11" t="s">
        <v>13</v>
      </c>
      <c r="D975" s="9">
        <f>IF(B975="Clientes",SUMIFS(PARÂMETROS!$D$8:$D$907,PARÂMETROS!$A$8:$A$907,C975,PARÂMETROS!$G$8:$G$907,J975),SUMIFS(PARÂMETROS!$E$8:$E$907,PARÂMETROS!$A$8:$A$907,C975,PARÂMETROS!$G$8:$G$907,J975))</f>
        <v>7.4539737282548049E-2</v>
      </c>
      <c r="E975" s="20">
        <f>SUMIFS(SETORES!$D:$D,SETORES!$A:$A,A975,SETORES!$F:$F,J975)</f>
        <v>46033.229999999996</v>
      </c>
      <c r="F975" s="20">
        <f t="shared" si="54"/>
        <v>3431.3048704671091</v>
      </c>
      <c r="G975" s="9">
        <f>SUMIFS(PARÂMETROS!$F$8:$F$907,PARÂMETROS!$A$8:$A$907,C975,PARÂMETROS!$G$8:$G$907,J975)</f>
        <v>0</v>
      </c>
      <c r="H975" s="20">
        <f t="shared" si="55"/>
        <v>0</v>
      </c>
      <c r="I975" s="20">
        <f t="shared" si="56"/>
        <v>3431.3048704671091</v>
      </c>
      <c r="J975" s="11" t="s">
        <v>88</v>
      </c>
    </row>
    <row r="976" spans="1:10" ht="14.25" customHeight="1" x14ac:dyDescent="0.3">
      <c r="A976" s="2" t="s">
        <v>39</v>
      </c>
      <c r="B976" s="2" t="str">
        <f>INDEX(SETORES!$B:$B,MATCH(A976,SETORES!$A:$A,0))</f>
        <v>Clientes</v>
      </c>
      <c r="C976" s="2" t="s">
        <v>14</v>
      </c>
      <c r="D976" s="14">
        <f>IF(B976="Clientes",SUMIFS(PARÂMETROS!$D$8:$D$907,PARÂMETROS!$A$8:$A$907,C976,PARÂMETROS!$G$8:$G$907,J976),SUMIFS(PARÂMETROS!$E$8:$E$907,PARÂMETROS!$A$8:$A$907,C976,PARÂMETROS!$G$8:$G$907,J976))</f>
        <v>1.8943044073642036E-2</v>
      </c>
      <c r="E976" s="21">
        <f>SUMIFS(SETORES!$D:$D,SETORES!$A:$A,A976,SETORES!$F:$F,J976)</f>
        <v>46033.229999999996</v>
      </c>
      <c r="F976" s="21">
        <f t="shared" si="54"/>
        <v>872.00950474210072</v>
      </c>
      <c r="G976" s="14">
        <f>SUMIFS(PARÂMETROS!$F$8:$F$907,PARÂMETROS!$A$8:$A$907,C976,PARÂMETROS!$G$8:$G$907,J976)</f>
        <v>0</v>
      </c>
      <c r="H976" s="21">
        <f t="shared" si="55"/>
        <v>0</v>
      </c>
      <c r="I976" s="21">
        <f t="shared" si="56"/>
        <v>872.00950474210072</v>
      </c>
      <c r="J976" s="2" t="s">
        <v>88</v>
      </c>
    </row>
    <row r="977" spans="1:10" ht="14.25" customHeight="1" x14ac:dyDescent="0.3">
      <c r="A977" s="11" t="s">
        <v>39</v>
      </c>
      <c r="B977" s="19" t="str">
        <f>INDEX(SETORES!$B:$B,MATCH(A977,SETORES!$A:$A,0))</f>
        <v>Clientes</v>
      </c>
      <c r="C977" s="11" t="s">
        <v>15</v>
      </c>
      <c r="D977" s="9">
        <f>IF(B977="Clientes",SUMIFS(PARÂMETROS!$D$8:$D$907,PARÂMETROS!$A$8:$A$907,C977,PARÂMETROS!$G$8:$G$907,J977),SUMIFS(PARÂMETROS!$E$8:$E$907,PARÂMETROS!$A$8:$A$907,C977,PARÂMETROS!$G$8:$G$907,J977))</f>
        <v>3.3478723943804842E-2</v>
      </c>
      <c r="E977" s="20">
        <f>SUMIFS(SETORES!$D:$D,SETORES!$A:$A,A977,SETORES!$F:$F,J977)</f>
        <v>46033.229999999996</v>
      </c>
      <c r="F977" s="20">
        <f t="shared" si="54"/>
        <v>1541.1337994116752</v>
      </c>
      <c r="G977" s="9">
        <f>SUMIFS(PARÂMETROS!$F$8:$F$907,PARÂMETROS!$A$8:$A$907,C977,PARÂMETROS!$G$8:$G$907,J977)</f>
        <v>0</v>
      </c>
      <c r="H977" s="20">
        <f t="shared" si="55"/>
        <v>0</v>
      </c>
      <c r="I977" s="20">
        <f t="shared" si="56"/>
        <v>1541.1337994116752</v>
      </c>
      <c r="J977" s="11" t="s">
        <v>88</v>
      </c>
    </row>
    <row r="978" spans="1:10" ht="14.25" customHeight="1" x14ac:dyDescent="0.3">
      <c r="A978" s="2" t="s">
        <v>39</v>
      </c>
      <c r="B978" s="2" t="str">
        <f>INDEX(SETORES!$B:$B,MATCH(A978,SETORES!$A:$A,0))</f>
        <v>Clientes</v>
      </c>
      <c r="C978" s="2" t="s">
        <v>16</v>
      </c>
      <c r="D978" s="14">
        <f>IF(B978="Clientes",SUMIFS(PARÂMETROS!$D$8:$D$907,PARÂMETROS!$A$8:$A$907,C978,PARÂMETROS!$G$8:$G$907,J978),SUMIFS(PARÂMETROS!$E$8:$E$907,PARÂMETROS!$A$8:$A$907,C978,PARÂMETROS!$G$8:$G$907,J978))</f>
        <v>2.4288684891210631E-2</v>
      </c>
      <c r="E978" s="21">
        <f>SUMIFS(SETORES!$D:$D,SETORES!$A:$A,A978,SETORES!$F:$F,J978)</f>
        <v>46033.229999999996</v>
      </c>
      <c r="F978" s="21">
        <f t="shared" si="54"/>
        <v>1118.0866179946238</v>
      </c>
      <c r="G978" s="14">
        <f>SUMIFS(PARÂMETROS!$F$8:$F$907,PARÂMETROS!$A$8:$A$907,C978,PARÂMETROS!$G$8:$G$907,J978)</f>
        <v>0</v>
      </c>
      <c r="H978" s="21">
        <f t="shared" si="55"/>
        <v>0</v>
      </c>
      <c r="I978" s="21">
        <f t="shared" si="56"/>
        <v>1118.0866179946238</v>
      </c>
      <c r="J978" s="2" t="s">
        <v>88</v>
      </c>
    </row>
    <row r="979" spans="1:10" ht="14.25" customHeight="1" x14ac:dyDescent="0.3">
      <c r="A979" s="11" t="s">
        <v>39</v>
      </c>
      <c r="B979" s="19" t="str">
        <f>INDEX(SETORES!$B:$B,MATCH(A979,SETORES!$A:$A,0))</f>
        <v>Clientes</v>
      </c>
      <c r="C979" s="11" t="s">
        <v>17</v>
      </c>
      <c r="D979" s="9">
        <f>IF(B979="Clientes",SUMIFS(PARÂMETROS!$D$8:$D$907,PARÂMETROS!$A$8:$A$907,C979,PARÂMETROS!$G$8:$G$907,J979),SUMIFS(PARÂMETROS!$E$8:$E$907,PARÂMETROS!$A$8:$A$907,C979,PARÂMETROS!$G$8:$G$907,J979))</f>
        <v>2.4324187249581578E-2</v>
      </c>
      <c r="E979" s="20">
        <f>SUMIFS(SETORES!$D:$D,SETORES!$A:$A,A979,SETORES!$F:$F,J979)</f>
        <v>46033.229999999996</v>
      </c>
      <c r="F979" s="20">
        <f t="shared" si="54"/>
        <v>1119.7209062230561</v>
      </c>
      <c r="G979" s="9">
        <f>SUMIFS(PARÂMETROS!$F$8:$F$907,PARÂMETROS!$A$8:$A$907,C979,PARÂMETROS!$G$8:$G$907,J979)</f>
        <v>0</v>
      </c>
      <c r="H979" s="20">
        <f t="shared" si="55"/>
        <v>0</v>
      </c>
      <c r="I979" s="20">
        <f t="shared" si="56"/>
        <v>1119.7209062230561</v>
      </c>
      <c r="J979" s="11" t="s">
        <v>88</v>
      </c>
    </row>
    <row r="980" spans="1:10" ht="14.25" customHeight="1" x14ac:dyDescent="0.3">
      <c r="A980" s="2" t="s">
        <v>39</v>
      </c>
      <c r="B980" s="2" t="str">
        <f>INDEX(SETORES!$B:$B,MATCH(A980,SETORES!$A:$A,0))</f>
        <v>Clientes</v>
      </c>
      <c r="C980" s="2" t="s">
        <v>18</v>
      </c>
      <c r="D980" s="14">
        <f>IF(B980="Clientes",SUMIFS(PARÂMETROS!$D$8:$D$907,PARÂMETROS!$A$8:$A$907,C980,PARÂMETROS!$G$8:$G$907,J980),SUMIFS(PARÂMETROS!$E$8:$E$907,PARÂMETROS!$A$8:$A$907,C980,PARÂMETROS!$G$8:$G$907,J980))</f>
        <v>0.7221940457473246</v>
      </c>
      <c r="E980" s="21">
        <f>SUMIFS(SETORES!$D:$D,SETORES!$A:$A,A980,SETORES!$F:$F,J980)</f>
        <v>46033.229999999996</v>
      </c>
      <c r="F980" s="21">
        <f t="shared" si="54"/>
        <v>33244.924612517112</v>
      </c>
      <c r="G980" s="14">
        <f>SUMIFS(PARÂMETROS!$F$8:$F$907,PARÂMETROS!$A$8:$A$907,C980,PARÂMETROS!$G$8:$G$907,J980)</f>
        <v>0</v>
      </c>
      <c r="H980" s="21">
        <f t="shared" si="55"/>
        <v>0</v>
      </c>
      <c r="I980" s="21">
        <f t="shared" si="56"/>
        <v>33244.924612517112</v>
      </c>
      <c r="J980" s="2" t="s">
        <v>88</v>
      </c>
    </row>
    <row r="981" spans="1:10" ht="14.25" customHeight="1" x14ac:dyDescent="0.3">
      <c r="A981" s="11" t="s">
        <v>40</v>
      </c>
      <c r="B981" s="19" t="str">
        <f>INDEX(SETORES!$B:$B,MATCH(A981,SETORES!$A:$A,0))</f>
        <v>Clientes</v>
      </c>
      <c r="C981" s="11" t="s">
        <v>10</v>
      </c>
      <c r="D981" s="9">
        <f>IF(B981="Clientes",SUMIFS(PARÂMETROS!$D$8:$D$907,PARÂMETROS!$A$8:$A$907,C981,PARÂMETROS!$G$8:$G$907,J981),SUMIFS(PARÂMETROS!$E$8:$E$907,PARÂMETROS!$A$8:$A$907,C981,PARÂMETROS!$G$8:$G$907,J981))</f>
        <v>3.3712025155956789E-2</v>
      </c>
      <c r="E981" s="20">
        <f>SUMIFS(SETORES!$D:$D,SETORES!$A:$A,A981,SETORES!$F:$F,J981)</f>
        <v>40409.950000000004</v>
      </c>
      <c r="F981" s="20">
        <f t="shared" si="54"/>
        <v>1362.3012509509563</v>
      </c>
      <c r="G981" s="9">
        <f>SUMIFS(PARÂMETROS!$F$8:$F$907,PARÂMETROS!$A$8:$A$907,C981,PARÂMETROS!$G$8:$G$907,J981)</f>
        <v>0</v>
      </c>
      <c r="H981" s="20">
        <f t="shared" si="55"/>
        <v>0</v>
      </c>
      <c r="I981" s="20">
        <f t="shared" si="56"/>
        <v>1362.3012509509563</v>
      </c>
      <c r="J981" s="11" t="s">
        <v>88</v>
      </c>
    </row>
    <row r="982" spans="1:10" ht="14.25" customHeight="1" x14ac:dyDescent="0.3">
      <c r="A982" s="2" t="s">
        <v>40</v>
      </c>
      <c r="B982" s="2" t="str">
        <f>INDEX(SETORES!$B:$B,MATCH(A982,SETORES!$A:$A,0))</f>
        <v>Clientes</v>
      </c>
      <c r="C982" s="2" t="s">
        <v>12</v>
      </c>
      <c r="D982" s="14">
        <f>IF(B982="Clientes",SUMIFS(PARÂMETROS!$D$8:$D$907,PARÂMETROS!$A$8:$A$907,C982,PARÂMETROS!$G$8:$G$907,J982),SUMIFS(PARÂMETROS!$E$8:$E$907,PARÂMETROS!$A$8:$A$907,C982,PARÂMETROS!$G$8:$G$907,J982))</f>
        <v>6.8519551655931432E-2</v>
      </c>
      <c r="E982" s="21">
        <f>SUMIFS(SETORES!$D:$D,SETORES!$A:$A,A982,SETORES!$F:$F,J982)</f>
        <v>40409.950000000004</v>
      </c>
      <c r="F982" s="21">
        <f t="shared" si="54"/>
        <v>2768.8716564386068</v>
      </c>
      <c r="G982" s="14">
        <f>SUMIFS(PARÂMETROS!$F$8:$F$907,PARÂMETROS!$A$8:$A$907,C982,PARÂMETROS!$G$8:$G$907,J982)</f>
        <v>0</v>
      </c>
      <c r="H982" s="21">
        <f t="shared" si="55"/>
        <v>0</v>
      </c>
      <c r="I982" s="21">
        <f t="shared" si="56"/>
        <v>2768.8716564386068</v>
      </c>
      <c r="J982" s="2" t="s">
        <v>88</v>
      </c>
    </row>
    <row r="983" spans="1:10" ht="14.25" customHeight="1" x14ac:dyDescent="0.3">
      <c r="A983" s="11" t="s">
        <v>40</v>
      </c>
      <c r="B983" s="19" t="str">
        <f>INDEX(SETORES!$B:$B,MATCH(A983,SETORES!$A:$A,0))</f>
        <v>Clientes</v>
      </c>
      <c r="C983" s="11" t="s">
        <v>13</v>
      </c>
      <c r="D983" s="9">
        <f>IF(B983="Clientes",SUMIFS(PARÂMETROS!$D$8:$D$907,PARÂMETROS!$A$8:$A$907,C983,PARÂMETROS!$G$8:$G$907,J983),SUMIFS(PARÂMETROS!$E$8:$E$907,PARÂMETROS!$A$8:$A$907,C983,PARÂMETROS!$G$8:$G$907,J983))</f>
        <v>7.4539737282548049E-2</v>
      </c>
      <c r="E983" s="20">
        <f>SUMIFS(SETORES!$D:$D,SETORES!$A:$A,A983,SETORES!$F:$F,J983)</f>
        <v>40409.950000000004</v>
      </c>
      <c r="F983" s="20">
        <f t="shared" si="54"/>
        <v>3012.1470566009029</v>
      </c>
      <c r="G983" s="9">
        <f>SUMIFS(PARÂMETROS!$F$8:$F$907,PARÂMETROS!$A$8:$A$907,C983,PARÂMETROS!$G$8:$G$907,J983)</f>
        <v>0</v>
      </c>
      <c r="H983" s="20">
        <f t="shared" si="55"/>
        <v>0</v>
      </c>
      <c r="I983" s="20">
        <f t="shared" si="56"/>
        <v>3012.1470566009029</v>
      </c>
      <c r="J983" s="11" t="s">
        <v>88</v>
      </c>
    </row>
    <row r="984" spans="1:10" ht="14.25" customHeight="1" x14ac:dyDescent="0.3">
      <c r="A984" s="2" t="s">
        <v>40</v>
      </c>
      <c r="B984" s="2" t="str">
        <f>INDEX(SETORES!$B:$B,MATCH(A984,SETORES!$A:$A,0))</f>
        <v>Clientes</v>
      </c>
      <c r="C984" s="2" t="s">
        <v>14</v>
      </c>
      <c r="D984" s="14">
        <f>IF(B984="Clientes",SUMIFS(PARÂMETROS!$D$8:$D$907,PARÂMETROS!$A$8:$A$907,C984,PARÂMETROS!$G$8:$G$907,J984),SUMIFS(PARÂMETROS!$E$8:$E$907,PARÂMETROS!$A$8:$A$907,C984,PARÂMETROS!$G$8:$G$907,J984))</f>
        <v>1.8943044073642036E-2</v>
      </c>
      <c r="E984" s="21">
        <f>SUMIFS(SETORES!$D:$D,SETORES!$A:$A,A984,SETORES!$F:$F,J984)</f>
        <v>40409.950000000004</v>
      </c>
      <c r="F984" s="21">
        <f t="shared" si="54"/>
        <v>765.48746386367111</v>
      </c>
      <c r="G984" s="14">
        <f>SUMIFS(PARÂMETROS!$F$8:$F$907,PARÂMETROS!$A$8:$A$907,C984,PARÂMETROS!$G$8:$G$907,J984)</f>
        <v>0</v>
      </c>
      <c r="H984" s="21">
        <f t="shared" si="55"/>
        <v>0</v>
      </c>
      <c r="I984" s="21">
        <f t="shared" si="56"/>
        <v>765.48746386367111</v>
      </c>
      <c r="J984" s="2" t="s">
        <v>88</v>
      </c>
    </row>
    <row r="985" spans="1:10" ht="14.25" customHeight="1" x14ac:dyDescent="0.3">
      <c r="A985" s="11" t="s">
        <v>40</v>
      </c>
      <c r="B985" s="19" t="str">
        <f>INDEX(SETORES!$B:$B,MATCH(A985,SETORES!$A:$A,0))</f>
        <v>Clientes</v>
      </c>
      <c r="C985" s="11" t="s">
        <v>15</v>
      </c>
      <c r="D985" s="9">
        <f>IF(B985="Clientes",SUMIFS(PARÂMETROS!$D$8:$D$907,PARÂMETROS!$A$8:$A$907,C985,PARÂMETROS!$G$8:$G$907,J985),SUMIFS(PARÂMETROS!$E$8:$E$907,PARÂMETROS!$A$8:$A$907,C985,PARÂMETROS!$G$8:$G$907,J985))</f>
        <v>3.3478723943804842E-2</v>
      </c>
      <c r="E985" s="20">
        <f>SUMIFS(SETORES!$D:$D,SETORES!$A:$A,A985,SETORES!$F:$F,J985)</f>
        <v>40409.950000000004</v>
      </c>
      <c r="F985" s="20">
        <f t="shared" si="54"/>
        <v>1352.8735606329567</v>
      </c>
      <c r="G985" s="9">
        <f>SUMIFS(PARÂMETROS!$F$8:$F$907,PARÂMETROS!$A$8:$A$907,C985,PARÂMETROS!$G$8:$G$907,J985)</f>
        <v>0</v>
      </c>
      <c r="H985" s="20">
        <f t="shared" si="55"/>
        <v>0</v>
      </c>
      <c r="I985" s="20">
        <f t="shared" si="56"/>
        <v>1352.8735606329567</v>
      </c>
      <c r="J985" s="11" t="s">
        <v>88</v>
      </c>
    </row>
    <row r="986" spans="1:10" ht="14.25" customHeight="1" x14ac:dyDescent="0.3">
      <c r="A986" s="2" t="s">
        <v>40</v>
      </c>
      <c r="B986" s="2" t="str">
        <f>INDEX(SETORES!$B:$B,MATCH(A986,SETORES!$A:$A,0))</f>
        <v>Clientes</v>
      </c>
      <c r="C986" s="2" t="s">
        <v>16</v>
      </c>
      <c r="D986" s="14">
        <f>IF(B986="Clientes",SUMIFS(PARÂMETROS!$D$8:$D$907,PARÂMETROS!$A$8:$A$907,C986,PARÂMETROS!$G$8:$G$907,J986),SUMIFS(PARÂMETROS!$E$8:$E$907,PARÂMETROS!$A$8:$A$907,C986,PARÂMETROS!$G$8:$G$907,J986))</f>
        <v>2.4288684891210631E-2</v>
      </c>
      <c r="E986" s="21">
        <f>SUMIFS(SETORES!$D:$D,SETORES!$A:$A,A986,SETORES!$F:$F,J986)</f>
        <v>40409.950000000004</v>
      </c>
      <c r="F986" s="21">
        <f t="shared" si="54"/>
        <v>981.50454201957712</v>
      </c>
      <c r="G986" s="14">
        <f>SUMIFS(PARÂMETROS!$F$8:$F$907,PARÂMETROS!$A$8:$A$907,C986,PARÂMETROS!$G$8:$G$907,J986)</f>
        <v>0</v>
      </c>
      <c r="H986" s="21">
        <f t="shared" si="55"/>
        <v>0</v>
      </c>
      <c r="I986" s="21">
        <f t="shared" si="56"/>
        <v>981.50454201957712</v>
      </c>
      <c r="J986" s="2" t="s">
        <v>88</v>
      </c>
    </row>
    <row r="987" spans="1:10" ht="14.25" customHeight="1" x14ac:dyDescent="0.3">
      <c r="A987" s="11" t="s">
        <v>40</v>
      </c>
      <c r="B987" s="19" t="str">
        <f>INDEX(SETORES!$B:$B,MATCH(A987,SETORES!$A:$A,0))</f>
        <v>Clientes</v>
      </c>
      <c r="C987" s="11" t="s">
        <v>17</v>
      </c>
      <c r="D987" s="9">
        <f>IF(B987="Clientes",SUMIFS(PARÂMETROS!$D$8:$D$907,PARÂMETROS!$A$8:$A$907,C987,PARÂMETROS!$G$8:$G$907,J987),SUMIFS(PARÂMETROS!$E$8:$E$907,PARÂMETROS!$A$8:$A$907,C987,PARÂMETROS!$G$8:$G$907,J987))</f>
        <v>2.4324187249581578E-2</v>
      </c>
      <c r="E987" s="20">
        <f>SUMIFS(SETORES!$D:$D,SETORES!$A:$A,A987,SETORES!$F:$F,J987)</f>
        <v>40409.950000000004</v>
      </c>
      <c r="F987" s="20">
        <f t="shared" si="54"/>
        <v>982.93919054622916</v>
      </c>
      <c r="G987" s="9">
        <f>SUMIFS(PARÂMETROS!$F$8:$F$907,PARÂMETROS!$A$8:$A$907,C987,PARÂMETROS!$G$8:$G$907,J987)</f>
        <v>0</v>
      </c>
      <c r="H987" s="20">
        <f t="shared" si="55"/>
        <v>0</v>
      </c>
      <c r="I987" s="20">
        <f t="shared" si="56"/>
        <v>982.93919054622916</v>
      </c>
      <c r="J987" s="11" t="s">
        <v>88</v>
      </c>
    </row>
    <row r="988" spans="1:10" ht="14.25" customHeight="1" x14ac:dyDescent="0.3">
      <c r="A988" s="2" t="s">
        <v>40</v>
      </c>
      <c r="B988" s="2" t="str">
        <f>INDEX(SETORES!$B:$B,MATCH(A988,SETORES!$A:$A,0))</f>
        <v>Clientes</v>
      </c>
      <c r="C988" s="2" t="s">
        <v>18</v>
      </c>
      <c r="D988" s="14">
        <f>IF(B988="Clientes",SUMIFS(PARÂMETROS!$D$8:$D$907,PARÂMETROS!$A$8:$A$907,C988,PARÂMETROS!$G$8:$G$907,J988),SUMIFS(PARÂMETROS!$E$8:$E$907,PARÂMETROS!$A$8:$A$907,C988,PARÂMETROS!$G$8:$G$907,J988))</f>
        <v>0.7221940457473246</v>
      </c>
      <c r="E988" s="21">
        <f>SUMIFS(SETORES!$D:$D,SETORES!$A:$A,A988,SETORES!$F:$F,J988)</f>
        <v>40409.950000000004</v>
      </c>
      <c r="F988" s="21">
        <f t="shared" si="54"/>
        <v>29183.825278947104</v>
      </c>
      <c r="G988" s="14">
        <f>SUMIFS(PARÂMETROS!$F$8:$F$907,PARÂMETROS!$A$8:$A$907,C988,PARÂMETROS!$G$8:$G$907,J988)</f>
        <v>0</v>
      </c>
      <c r="H988" s="21">
        <f t="shared" si="55"/>
        <v>0</v>
      </c>
      <c r="I988" s="21">
        <f t="shared" si="56"/>
        <v>29183.825278947104</v>
      </c>
      <c r="J988" s="2" t="s">
        <v>88</v>
      </c>
    </row>
    <row r="989" spans="1:10" ht="14.25" customHeight="1" x14ac:dyDescent="0.3">
      <c r="A989" s="11" t="s">
        <v>41</v>
      </c>
      <c r="B989" s="19" t="str">
        <f>INDEX(SETORES!$B:$B,MATCH(A989,SETORES!$A:$A,0))</f>
        <v>Clientes</v>
      </c>
      <c r="C989" s="11" t="s">
        <v>10</v>
      </c>
      <c r="D989" s="9">
        <f>IF(B989="Clientes",SUMIFS(PARÂMETROS!$D$8:$D$907,PARÂMETROS!$A$8:$A$907,C989,PARÂMETROS!$G$8:$G$907,J989),SUMIFS(PARÂMETROS!$E$8:$E$907,PARÂMETROS!$A$8:$A$907,C989,PARÂMETROS!$G$8:$G$907,J989))</f>
        <v>3.3712025155956789E-2</v>
      </c>
      <c r="E989" s="20">
        <f>SUMIFS(SETORES!$D:$D,SETORES!$A:$A,A989,SETORES!$F:$F,J989)</f>
        <v>19776.45</v>
      </c>
      <c r="F989" s="20">
        <f t="shared" si="54"/>
        <v>666.70417989552163</v>
      </c>
      <c r="G989" s="9">
        <f>SUMIFS(PARÂMETROS!$F$8:$F$907,PARÂMETROS!$A$8:$A$907,C989,PARÂMETROS!$G$8:$G$907,J989)</f>
        <v>0</v>
      </c>
      <c r="H989" s="20">
        <f t="shared" si="55"/>
        <v>0</v>
      </c>
      <c r="I989" s="20">
        <f t="shared" si="56"/>
        <v>666.70417989552163</v>
      </c>
      <c r="J989" s="11" t="s">
        <v>88</v>
      </c>
    </row>
    <row r="990" spans="1:10" ht="14.25" customHeight="1" x14ac:dyDescent="0.3">
      <c r="A990" s="2" t="s">
        <v>41</v>
      </c>
      <c r="B990" s="2" t="str">
        <f>INDEX(SETORES!$B:$B,MATCH(A990,SETORES!$A:$A,0))</f>
        <v>Clientes</v>
      </c>
      <c r="C990" s="2" t="s">
        <v>12</v>
      </c>
      <c r="D990" s="14">
        <f>IF(B990="Clientes",SUMIFS(PARÂMETROS!$D$8:$D$907,PARÂMETROS!$A$8:$A$907,C990,PARÂMETROS!$G$8:$G$907,J990),SUMIFS(PARÂMETROS!$E$8:$E$907,PARÂMETROS!$A$8:$A$907,C990,PARÂMETROS!$G$8:$G$907,J990))</f>
        <v>6.8519551655931432E-2</v>
      </c>
      <c r="E990" s="21">
        <f>SUMIFS(SETORES!$D:$D,SETORES!$A:$A,A990,SETORES!$F:$F,J990)</f>
        <v>19776.45</v>
      </c>
      <c r="F990" s="21">
        <f t="shared" si="54"/>
        <v>1355.0734873459453</v>
      </c>
      <c r="G990" s="14">
        <f>SUMIFS(PARÂMETROS!$F$8:$F$907,PARÂMETROS!$A$8:$A$907,C990,PARÂMETROS!$G$8:$G$907,J990)</f>
        <v>0</v>
      </c>
      <c r="H990" s="21">
        <f t="shared" si="55"/>
        <v>0</v>
      </c>
      <c r="I990" s="21">
        <f t="shared" si="56"/>
        <v>1355.0734873459453</v>
      </c>
      <c r="J990" s="2" t="s">
        <v>88</v>
      </c>
    </row>
    <row r="991" spans="1:10" ht="14.25" customHeight="1" x14ac:dyDescent="0.3">
      <c r="A991" s="11" t="s">
        <v>41</v>
      </c>
      <c r="B991" s="19" t="str">
        <f>INDEX(SETORES!$B:$B,MATCH(A991,SETORES!$A:$A,0))</f>
        <v>Clientes</v>
      </c>
      <c r="C991" s="11" t="s">
        <v>13</v>
      </c>
      <c r="D991" s="9">
        <f>IF(B991="Clientes",SUMIFS(PARÂMETROS!$D$8:$D$907,PARÂMETROS!$A$8:$A$907,C991,PARÂMETROS!$G$8:$G$907,J991),SUMIFS(PARÂMETROS!$E$8:$E$907,PARÂMETROS!$A$8:$A$907,C991,PARÂMETROS!$G$8:$G$907,J991))</f>
        <v>7.4539737282548049E-2</v>
      </c>
      <c r="E991" s="20">
        <f>SUMIFS(SETORES!$D:$D,SETORES!$A:$A,A991,SETORES!$F:$F,J991)</f>
        <v>19776.45</v>
      </c>
      <c r="F991" s="20">
        <f t="shared" si="54"/>
        <v>1474.1313873814474</v>
      </c>
      <c r="G991" s="9">
        <f>SUMIFS(PARÂMETROS!$F$8:$F$907,PARÂMETROS!$A$8:$A$907,C991,PARÂMETROS!$G$8:$G$907,J991)</f>
        <v>0</v>
      </c>
      <c r="H991" s="20">
        <f t="shared" si="55"/>
        <v>0</v>
      </c>
      <c r="I991" s="20">
        <f t="shared" si="56"/>
        <v>1474.1313873814474</v>
      </c>
      <c r="J991" s="11" t="s">
        <v>88</v>
      </c>
    </row>
    <row r="992" spans="1:10" ht="14.25" customHeight="1" x14ac:dyDescent="0.3">
      <c r="A992" s="2" t="s">
        <v>41</v>
      </c>
      <c r="B992" s="2" t="str">
        <f>INDEX(SETORES!$B:$B,MATCH(A992,SETORES!$A:$A,0))</f>
        <v>Clientes</v>
      </c>
      <c r="C992" s="2" t="s">
        <v>14</v>
      </c>
      <c r="D992" s="14">
        <f>IF(B992="Clientes",SUMIFS(PARÂMETROS!$D$8:$D$907,PARÂMETROS!$A$8:$A$907,C992,PARÂMETROS!$G$8:$G$907,J992),SUMIFS(PARÂMETROS!$E$8:$E$907,PARÂMETROS!$A$8:$A$907,C992,PARÂMETROS!$G$8:$G$907,J992))</f>
        <v>1.8943044073642036E-2</v>
      </c>
      <c r="E992" s="21">
        <f>SUMIFS(SETORES!$D:$D,SETORES!$A:$A,A992,SETORES!$F:$F,J992)</f>
        <v>19776.45</v>
      </c>
      <c r="F992" s="21">
        <f t="shared" si="54"/>
        <v>374.62616397017808</v>
      </c>
      <c r="G992" s="14">
        <f>SUMIFS(PARÂMETROS!$F$8:$F$907,PARÂMETROS!$A$8:$A$907,C992,PARÂMETROS!$G$8:$G$907,J992)</f>
        <v>0</v>
      </c>
      <c r="H992" s="21">
        <f t="shared" si="55"/>
        <v>0</v>
      </c>
      <c r="I992" s="21">
        <f t="shared" si="56"/>
        <v>374.62616397017808</v>
      </c>
      <c r="J992" s="2" t="s">
        <v>88</v>
      </c>
    </row>
    <row r="993" spans="1:10" ht="14.25" customHeight="1" x14ac:dyDescent="0.3">
      <c r="A993" s="11" t="s">
        <v>41</v>
      </c>
      <c r="B993" s="19" t="str">
        <f>INDEX(SETORES!$B:$B,MATCH(A993,SETORES!$A:$A,0))</f>
        <v>Clientes</v>
      </c>
      <c r="C993" s="11" t="s">
        <v>15</v>
      </c>
      <c r="D993" s="9">
        <f>IF(B993="Clientes",SUMIFS(PARÂMETROS!$D$8:$D$907,PARÂMETROS!$A$8:$A$907,C993,PARÂMETROS!$G$8:$G$907,J993),SUMIFS(PARÂMETROS!$E$8:$E$907,PARÂMETROS!$A$8:$A$907,C993,PARÂMETROS!$G$8:$G$907,J993))</f>
        <v>3.3478723943804842E-2</v>
      </c>
      <c r="E993" s="20">
        <f>SUMIFS(SETORES!$D:$D,SETORES!$A:$A,A993,SETORES!$F:$F,J993)</f>
        <v>19776.45</v>
      </c>
      <c r="F993" s="20">
        <f t="shared" si="54"/>
        <v>662.09031013845924</v>
      </c>
      <c r="G993" s="9">
        <f>SUMIFS(PARÂMETROS!$F$8:$F$907,PARÂMETROS!$A$8:$A$907,C993,PARÂMETROS!$G$8:$G$907,J993)</f>
        <v>0</v>
      </c>
      <c r="H993" s="20">
        <f t="shared" si="55"/>
        <v>0</v>
      </c>
      <c r="I993" s="20">
        <f t="shared" si="56"/>
        <v>662.09031013845924</v>
      </c>
      <c r="J993" s="11" t="s">
        <v>88</v>
      </c>
    </row>
    <row r="994" spans="1:10" ht="14.25" customHeight="1" x14ac:dyDescent="0.3">
      <c r="A994" s="2" t="s">
        <v>41</v>
      </c>
      <c r="B994" s="2" t="str">
        <f>INDEX(SETORES!$B:$B,MATCH(A994,SETORES!$A:$A,0))</f>
        <v>Clientes</v>
      </c>
      <c r="C994" s="2" t="s">
        <v>16</v>
      </c>
      <c r="D994" s="14">
        <f>IF(B994="Clientes",SUMIFS(PARÂMETROS!$D$8:$D$907,PARÂMETROS!$A$8:$A$907,C994,PARÂMETROS!$G$8:$G$907,J994),SUMIFS(PARÂMETROS!$E$8:$E$907,PARÂMETROS!$A$8:$A$907,C994,PARÂMETROS!$G$8:$G$907,J994))</f>
        <v>2.4288684891210631E-2</v>
      </c>
      <c r="E994" s="21">
        <f>SUMIFS(SETORES!$D:$D,SETORES!$A:$A,A994,SETORES!$F:$F,J994)</f>
        <v>19776.45</v>
      </c>
      <c r="F994" s="21">
        <f t="shared" si="54"/>
        <v>480.34396231678249</v>
      </c>
      <c r="G994" s="14">
        <f>SUMIFS(PARÂMETROS!$F$8:$F$907,PARÂMETROS!$A$8:$A$907,C994,PARÂMETROS!$G$8:$G$907,J994)</f>
        <v>0</v>
      </c>
      <c r="H994" s="21">
        <f t="shared" si="55"/>
        <v>0</v>
      </c>
      <c r="I994" s="21">
        <f t="shared" si="56"/>
        <v>480.34396231678249</v>
      </c>
      <c r="J994" s="2" t="s">
        <v>88</v>
      </c>
    </row>
    <row r="995" spans="1:10" ht="14.25" customHeight="1" x14ac:dyDescent="0.3">
      <c r="A995" s="11" t="s">
        <v>41</v>
      </c>
      <c r="B995" s="19" t="str">
        <f>INDEX(SETORES!$B:$B,MATCH(A995,SETORES!$A:$A,0))</f>
        <v>Clientes</v>
      </c>
      <c r="C995" s="11" t="s">
        <v>17</v>
      </c>
      <c r="D995" s="9">
        <f>IF(B995="Clientes",SUMIFS(PARÂMETROS!$D$8:$D$907,PARÂMETROS!$A$8:$A$907,C995,PARÂMETROS!$G$8:$G$907,J995),SUMIFS(PARÂMETROS!$E$8:$E$907,PARÂMETROS!$A$8:$A$907,C995,PARÂMETROS!$G$8:$G$907,J995))</f>
        <v>2.4324187249581578E-2</v>
      </c>
      <c r="E995" s="20">
        <f>SUMIFS(SETORES!$D:$D,SETORES!$A:$A,A995,SETORES!$F:$F,J995)</f>
        <v>19776.45</v>
      </c>
      <c r="F995" s="20">
        <f t="shared" si="54"/>
        <v>481.04607293198762</v>
      </c>
      <c r="G995" s="9">
        <f>SUMIFS(PARÂMETROS!$F$8:$F$907,PARÂMETROS!$A$8:$A$907,C995,PARÂMETROS!$G$8:$G$907,J995)</f>
        <v>0</v>
      </c>
      <c r="H995" s="20">
        <f t="shared" si="55"/>
        <v>0</v>
      </c>
      <c r="I995" s="20">
        <f t="shared" si="56"/>
        <v>481.04607293198762</v>
      </c>
      <c r="J995" s="11" t="s">
        <v>88</v>
      </c>
    </row>
    <row r="996" spans="1:10" ht="14.25" customHeight="1" x14ac:dyDescent="0.3">
      <c r="A996" s="2" t="s">
        <v>41</v>
      </c>
      <c r="B996" s="2" t="str">
        <f>INDEX(SETORES!$B:$B,MATCH(A996,SETORES!$A:$A,0))</f>
        <v>Clientes</v>
      </c>
      <c r="C996" s="2" t="s">
        <v>18</v>
      </c>
      <c r="D996" s="14">
        <f>IF(B996="Clientes",SUMIFS(PARÂMETROS!$D$8:$D$907,PARÂMETROS!$A$8:$A$907,C996,PARÂMETROS!$G$8:$G$907,J996),SUMIFS(PARÂMETROS!$E$8:$E$907,PARÂMETROS!$A$8:$A$907,C996,PARÂMETROS!$G$8:$G$907,J996))</f>
        <v>0.7221940457473246</v>
      </c>
      <c r="E996" s="21">
        <f>SUMIFS(SETORES!$D:$D,SETORES!$A:$A,A996,SETORES!$F:$F,J996)</f>
        <v>19776.45</v>
      </c>
      <c r="F996" s="21">
        <f t="shared" si="54"/>
        <v>14282.434436019677</v>
      </c>
      <c r="G996" s="14">
        <f>SUMIFS(PARÂMETROS!$F$8:$F$907,PARÂMETROS!$A$8:$A$907,C996,PARÂMETROS!$G$8:$G$907,J996)</f>
        <v>0</v>
      </c>
      <c r="H996" s="21">
        <f t="shared" si="55"/>
        <v>0</v>
      </c>
      <c r="I996" s="21">
        <f t="shared" si="56"/>
        <v>14282.434436019677</v>
      </c>
      <c r="J996" s="2" t="s">
        <v>88</v>
      </c>
    </row>
    <row r="997" spans="1:10" ht="14.25" customHeight="1" x14ac:dyDescent="0.3">
      <c r="A997" s="11" t="s">
        <v>42</v>
      </c>
      <c r="B997" s="19" t="str">
        <f>INDEX(SETORES!$B:$B,MATCH(A997,SETORES!$A:$A,0))</f>
        <v>Clientes</v>
      </c>
      <c r="C997" s="11" t="s">
        <v>10</v>
      </c>
      <c r="D997" s="9">
        <f>IF(B997="Clientes",SUMIFS(PARÂMETROS!$D$8:$D$907,PARÂMETROS!$A$8:$A$907,C997,PARÂMETROS!$G$8:$G$907,J997),SUMIFS(PARÂMETROS!$E$8:$E$907,PARÂMETROS!$A$8:$A$907,C997,PARÂMETROS!$G$8:$G$907,J997))</f>
        <v>3.3712025155956789E-2</v>
      </c>
      <c r="E997" s="20">
        <f>SUMIFS(SETORES!$D:$D,SETORES!$A:$A,A997,SETORES!$F:$F,J997)</f>
        <v>28825.5</v>
      </c>
      <c r="F997" s="20">
        <f t="shared" si="54"/>
        <v>971.76598113303237</v>
      </c>
      <c r="G997" s="9">
        <f>SUMIFS(PARÂMETROS!$F$8:$F$907,PARÂMETROS!$A$8:$A$907,C997,PARÂMETROS!$G$8:$G$907,J997)</f>
        <v>0</v>
      </c>
      <c r="H997" s="20">
        <f t="shared" si="55"/>
        <v>0</v>
      </c>
      <c r="I997" s="20">
        <f t="shared" si="56"/>
        <v>971.76598113303237</v>
      </c>
      <c r="J997" s="11" t="s">
        <v>88</v>
      </c>
    </row>
    <row r="998" spans="1:10" ht="14.25" customHeight="1" x14ac:dyDescent="0.3">
      <c r="A998" s="2" t="s">
        <v>42</v>
      </c>
      <c r="B998" s="2" t="str">
        <f>INDEX(SETORES!$B:$B,MATCH(A998,SETORES!$A:$A,0))</f>
        <v>Clientes</v>
      </c>
      <c r="C998" s="2" t="s">
        <v>12</v>
      </c>
      <c r="D998" s="14">
        <f>IF(B998="Clientes",SUMIFS(PARÂMETROS!$D$8:$D$907,PARÂMETROS!$A$8:$A$907,C998,PARÂMETROS!$G$8:$G$907,J998),SUMIFS(PARÂMETROS!$E$8:$E$907,PARÂMETROS!$A$8:$A$907,C998,PARÂMETROS!$G$8:$G$907,J998))</f>
        <v>6.8519551655931432E-2</v>
      </c>
      <c r="E998" s="21">
        <f>SUMIFS(SETORES!$D:$D,SETORES!$A:$A,A998,SETORES!$F:$F,J998)</f>
        <v>28825.5</v>
      </c>
      <c r="F998" s="21">
        <f t="shared" si="54"/>
        <v>1975.1103362580516</v>
      </c>
      <c r="G998" s="14">
        <f>SUMIFS(PARÂMETROS!$F$8:$F$907,PARÂMETROS!$A$8:$A$907,C998,PARÂMETROS!$G$8:$G$907,J998)</f>
        <v>0</v>
      </c>
      <c r="H998" s="21">
        <f t="shared" si="55"/>
        <v>0</v>
      </c>
      <c r="I998" s="21">
        <f t="shared" si="56"/>
        <v>1975.1103362580516</v>
      </c>
      <c r="J998" s="2" t="s">
        <v>88</v>
      </c>
    </row>
    <row r="999" spans="1:10" ht="14.25" customHeight="1" x14ac:dyDescent="0.3">
      <c r="A999" s="11" t="s">
        <v>42</v>
      </c>
      <c r="B999" s="19" t="str">
        <f>INDEX(SETORES!$B:$B,MATCH(A999,SETORES!$A:$A,0))</f>
        <v>Clientes</v>
      </c>
      <c r="C999" s="11" t="s">
        <v>13</v>
      </c>
      <c r="D999" s="9">
        <f>IF(B999="Clientes",SUMIFS(PARÂMETROS!$D$8:$D$907,PARÂMETROS!$A$8:$A$907,C999,PARÂMETROS!$G$8:$G$907,J999),SUMIFS(PARÂMETROS!$E$8:$E$907,PARÂMETROS!$A$8:$A$907,C999,PARÂMETROS!$G$8:$G$907,J999))</f>
        <v>7.4539737282548049E-2</v>
      </c>
      <c r="E999" s="20">
        <f>SUMIFS(SETORES!$D:$D,SETORES!$A:$A,A999,SETORES!$F:$F,J999)</f>
        <v>28825.5</v>
      </c>
      <c r="F999" s="20">
        <f t="shared" si="54"/>
        <v>2148.645197038089</v>
      </c>
      <c r="G999" s="9">
        <f>SUMIFS(PARÂMETROS!$F$8:$F$907,PARÂMETROS!$A$8:$A$907,C999,PARÂMETROS!$G$8:$G$907,J999)</f>
        <v>0</v>
      </c>
      <c r="H999" s="20">
        <f t="shared" si="55"/>
        <v>0</v>
      </c>
      <c r="I999" s="20">
        <f t="shared" si="56"/>
        <v>2148.645197038089</v>
      </c>
      <c r="J999" s="11" t="s">
        <v>88</v>
      </c>
    </row>
    <row r="1000" spans="1:10" ht="14.25" customHeight="1" x14ac:dyDescent="0.3">
      <c r="A1000" s="2" t="s">
        <v>42</v>
      </c>
      <c r="B1000" s="2" t="str">
        <f>INDEX(SETORES!$B:$B,MATCH(A1000,SETORES!$A:$A,0))</f>
        <v>Clientes</v>
      </c>
      <c r="C1000" s="2" t="s">
        <v>14</v>
      </c>
      <c r="D1000" s="14">
        <f>IF(B1000="Clientes",SUMIFS(PARÂMETROS!$D$8:$D$907,PARÂMETROS!$A$8:$A$907,C1000,PARÂMETROS!$G$8:$G$907,J1000),SUMIFS(PARÂMETROS!$E$8:$E$907,PARÂMETROS!$A$8:$A$907,C1000,PARÂMETROS!$G$8:$G$907,J1000))</f>
        <v>1.8943044073642036E-2</v>
      </c>
      <c r="E1000" s="21">
        <f>SUMIFS(SETORES!$D:$D,SETORES!$A:$A,A1000,SETORES!$F:$F,J1000)</f>
        <v>28825.5</v>
      </c>
      <c r="F1000" s="21">
        <f t="shared" si="54"/>
        <v>546.04271694476847</v>
      </c>
      <c r="G1000" s="14">
        <f>SUMIFS(PARÂMETROS!$F$8:$F$907,PARÂMETROS!$A$8:$A$907,C1000,PARÂMETROS!$G$8:$G$907,J1000)</f>
        <v>0</v>
      </c>
      <c r="H1000" s="21">
        <f t="shared" si="55"/>
        <v>0</v>
      </c>
      <c r="I1000" s="21">
        <f t="shared" si="56"/>
        <v>546.04271694476847</v>
      </c>
      <c r="J1000" s="2" t="s">
        <v>88</v>
      </c>
    </row>
    <row r="1001" spans="1:10" ht="14.25" customHeight="1" x14ac:dyDescent="0.3">
      <c r="A1001" s="11" t="s">
        <v>42</v>
      </c>
      <c r="B1001" s="19" t="str">
        <f>INDEX(SETORES!$B:$B,MATCH(A1001,SETORES!$A:$A,0))</f>
        <v>Clientes</v>
      </c>
      <c r="C1001" s="11" t="s">
        <v>15</v>
      </c>
      <c r="D1001" s="9">
        <f>IF(B1001="Clientes",SUMIFS(PARÂMETROS!$D$8:$D$907,PARÂMETROS!$A$8:$A$907,C1001,PARÂMETROS!$G$8:$G$907,J1001),SUMIFS(PARÂMETROS!$E$8:$E$907,PARÂMETROS!$A$8:$A$907,C1001,PARÂMETROS!$G$8:$G$907,J1001))</f>
        <v>3.3478723943804842E-2</v>
      </c>
      <c r="E1001" s="20">
        <f>SUMIFS(SETORES!$D:$D,SETORES!$A:$A,A1001,SETORES!$F:$F,J1001)</f>
        <v>28825.5</v>
      </c>
      <c r="F1001" s="20">
        <f t="shared" si="54"/>
        <v>965.04095704214649</v>
      </c>
      <c r="G1001" s="9">
        <f>SUMIFS(PARÂMETROS!$F$8:$F$907,PARÂMETROS!$A$8:$A$907,C1001,PARÂMETROS!$G$8:$G$907,J1001)</f>
        <v>0</v>
      </c>
      <c r="H1001" s="20">
        <f t="shared" si="55"/>
        <v>0</v>
      </c>
      <c r="I1001" s="20">
        <f t="shared" si="56"/>
        <v>965.04095704214649</v>
      </c>
      <c r="J1001" s="11" t="s">
        <v>88</v>
      </c>
    </row>
    <row r="1002" spans="1:10" ht="14.25" customHeight="1" x14ac:dyDescent="0.3">
      <c r="A1002" s="2" t="s">
        <v>42</v>
      </c>
      <c r="B1002" s="2" t="str">
        <f>INDEX(SETORES!$B:$B,MATCH(A1002,SETORES!$A:$A,0))</f>
        <v>Clientes</v>
      </c>
      <c r="C1002" s="2" t="s">
        <v>16</v>
      </c>
      <c r="D1002" s="14">
        <f>IF(B1002="Clientes",SUMIFS(PARÂMETROS!$D$8:$D$907,PARÂMETROS!$A$8:$A$907,C1002,PARÂMETROS!$G$8:$G$907,J1002),SUMIFS(PARÂMETROS!$E$8:$E$907,PARÂMETROS!$A$8:$A$907,C1002,PARÂMETROS!$G$8:$G$907,J1002))</f>
        <v>2.4288684891210631E-2</v>
      </c>
      <c r="E1002" s="21">
        <f>SUMIFS(SETORES!$D:$D,SETORES!$A:$A,A1002,SETORES!$F:$F,J1002)</f>
        <v>28825.5</v>
      </c>
      <c r="F1002" s="21">
        <f t="shared" si="54"/>
        <v>700.13348633159205</v>
      </c>
      <c r="G1002" s="14">
        <f>SUMIFS(PARÂMETROS!$F$8:$F$907,PARÂMETROS!$A$8:$A$907,C1002,PARÂMETROS!$G$8:$G$907,J1002)</f>
        <v>0</v>
      </c>
      <c r="H1002" s="21">
        <f t="shared" si="55"/>
        <v>0</v>
      </c>
      <c r="I1002" s="21">
        <f t="shared" si="56"/>
        <v>700.13348633159205</v>
      </c>
      <c r="J1002" s="2" t="s">
        <v>88</v>
      </c>
    </row>
    <row r="1003" spans="1:10" ht="14.25" customHeight="1" x14ac:dyDescent="0.3">
      <c r="A1003" s="11" t="s">
        <v>42</v>
      </c>
      <c r="B1003" s="19" t="str">
        <f>INDEX(SETORES!$B:$B,MATCH(A1003,SETORES!$A:$A,0))</f>
        <v>Clientes</v>
      </c>
      <c r="C1003" s="11" t="s">
        <v>17</v>
      </c>
      <c r="D1003" s="9">
        <f>IF(B1003="Clientes",SUMIFS(PARÂMETROS!$D$8:$D$907,PARÂMETROS!$A$8:$A$907,C1003,PARÂMETROS!$G$8:$G$907,J1003),SUMIFS(PARÂMETROS!$E$8:$E$907,PARÂMETROS!$A$8:$A$907,C1003,PARÂMETROS!$G$8:$G$907,J1003))</f>
        <v>2.4324187249581578E-2</v>
      </c>
      <c r="E1003" s="20">
        <f>SUMIFS(SETORES!$D:$D,SETORES!$A:$A,A1003,SETORES!$F:$F,J1003)</f>
        <v>28825.5</v>
      </c>
      <c r="F1003" s="20">
        <f t="shared" si="54"/>
        <v>701.15685956281379</v>
      </c>
      <c r="G1003" s="9">
        <f>SUMIFS(PARÂMETROS!$F$8:$F$907,PARÂMETROS!$A$8:$A$907,C1003,PARÂMETROS!$G$8:$G$907,J1003)</f>
        <v>0</v>
      </c>
      <c r="H1003" s="20">
        <f t="shared" si="55"/>
        <v>0</v>
      </c>
      <c r="I1003" s="20">
        <f t="shared" si="56"/>
        <v>701.15685956281379</v>
      </c>
      <c r="J1003" s="11" t="s">
        <v>88</v>
      </c>
    </row>
    <row r="1004" spans="1:10" ht="14.25" customHeight="1" x14ac:dyDescent="0.3">
      <c r="A1004" s="2" t="s">
        <v>42</v>
      </c>
      <c r="B1004" s="2" t="str">
        <f>INDEX(SETORES!$B:$B,MATCH(A1004,SETORES!$A:$A,0))</f>
        <v>Clientes</v>
      </c>
      <c r="C1004" s="2" t="s">
        <v>18</v>
      </c>
      <c r="D1004" s="14">
        <f>IF(B1004="Clientes",SUMIFS(PARÂMETROS!$D$8:$D$907,PARÂMETROS!$A$8:$A$907,C1004,PARÂMETROS!$G$8:$G$907,J1004),SUMIFS(PARÂMETROS!$E$8:$E$907,PARÂMETROS!$A$8:$A$907,C1004,PARÂMETROS!$G$8:$G$907,J1004))</f>
        <v>0.7221940457473246</v>
      </c>
      <c r="E1004" s="21">
        <f>SUMIFS(SETORES!$D:$D,SETORES!$A:$A,A1004,SETORES!$F:$F,J1004)</f>
        <v>28825.5</v>
      </c>
      <c r="F1004" s="21">
        <f t="shared" si="54"/>
        <v>20817.604465689506</v>
      </c>
      <c r="G1004" s="14">
        <f>SUMIFS(PARÂMETROS!$F$8:$F$907,PARÂMETROS!$A$8:$A$907,C1004,PARÂMETROS!$G$8:$G$907,J1004)</f>
        <v>0</v>
      </c>
      <c r="H1004" s="21">
        <f t="shared" si="55"/>
        <v>0</v>
      </c>
      <c r="I1004" s="21">
        <f t="shared" si="56"/>
        <v>20817.604465689506</v>
      </c>
      <c r="J1004" s="2" t="s">
        <v>88</v>
      </c>
    </row>
    <row r="1005" spans="1:10" ht="14.25" customHeight="1" x14ac:dyDescent="0.3">
      <c r="A1005" s="11" t="s">
        <v>43</v>
      </c>
      <c r="B1005" s="19" t="str">
        <f>INDEX(SETORES!$B:$B,MATCH(A1005,SETORES!$A:$A,0))</f>
        <v>Clientes</v>
      </c>
      <c r="C1005" s="11" t="s">
        <v>10</v>
      </c>
      <c r="D1005" s="9">
        <f>IF(B1005="Clientes",SUMIFS(PARÂMETROS!$D$8:$D$907,PARÂMETROS!$A$8:$A$907,C1005,PARÂMETROS!$G$8:$G$907,J1005),SUMIFS(PARÂMETROS!$E$8:$E$907,PARÂMETROS!$A$8:$A$907,C1005,PARÂMETROS!$G$8:$G$907,J1005))</f>
        <v>3.3712025155956789E-2</v>
      </c>
      <c r="E1005" s="20">
        <f>SUMIFS(SETORES!$D:$D,SETORES!$A:$A,A1005,SETORES!$F:$F,J1005)</f>
        <v>26037.09</v>
      </c>
      <c r="F1005" s="20">
        <f t="shared" ref="F1005:F1036" si="57">IFERROR(D1005*E1005,0)</f>
        <v>877.7630330679109</v>
      </c>
      <c r="G1005" s="9">
        <f>SUMIFS(PARÂMETROS!$F$8:$F$907,PARÂMETROS!$A$8:$A$907,C1005,PARÂMETROS!$G$8:$G$907,J1005)</f>
        <v>0</v>
      </c>
      <c r="H1005" s="20">
        <f t="shared" si="55"/>
        <v>0</v>
      </c>
      <c r="I1005" s="20">
        <f t="shared" si="56"/>
        <v>877.7630330679109</v>
      </c>
      <c r="J1005" s="11" t="s">
        <v>88</v>
      </c>
    </row>
    <row r="1006" spans="1:10" ht="14.25" customHeight="1" x14ac:dyDescent="0.3">
      <c r="A1006" s="2" t="s">
        <v>43</v>
      </c>
      <c r="B1006" s="2" t="str">
        <f>INDEX(SETORES!$B:$B,MATCH(A1006,SETORES!$A:$A,0))</f>
        <v>Clientes</v>
      </c>
      <c r="C1006" s="2" t="s">
        <v>12</v>
      </c>
      <c r="D1006" s="14">
        <f>IF(B1006="Clientes",SUMIFS(PARÂMETROS!$D$8:$D$907,PARÂMETROS!$A$8:$A$907,C1006,PARÂMETROS!$G$8:$G$907,J1006),SUMIFS(PARÂMETROS!$E$8:$E$907,PARÂMETROS!$A$8:$A$907,C1006,PARÂMETROS!$G$8:$G$907,J1006))</f>
        <v>6.8519551655931432E-2</v>
      </c>
      <c r="E1006" s="21">
        <f>SUMIFS(SETORES!$D:$D,SETORES!$A:$A,A1006,SETORES!$F:$F,J1006)</f>
        <v>26037.09</v>
      </c>
      <c r="F1006" s="21">
        <f t="shared" si="57"/>
        <v>1784.0497332251357</v>
      </c>
      <c r="G1006" s="14">
        <f>SUMIFS(PARÂMETROS!$F$8:$F$907,PARÂMETROS!$A$8:$A$907,C1006,PARÂMETROS!$G$8:$G$907,J1006)</f>
        <v>0</v>
      </c>
      <c r="H1006" s="21">
        <f t="shared" si="55"/>
        <v>0</v>
      </c>
      <c r="I1006" s="21">
        <f t="shared" si="56"/>
        <v>1784.0497332251357</v>
      </c>
      <c r="J1006" s="2" t="s">
        <v>88</v>
      </c>
    </row>
    <row r="1007" spans="1:10" ht="14.25" customHeight="1" x14ac:dyDescent="0.3">
      <c r="A1007" s="11" t="s">
        <v>43</v>
      </c>
      <c r="B1007" s="19" t="str">
        <f>INDEX(SETORES!$B:$B,MATCH(A1007,SETORES!$A:$A,0))</f>
        <v>Clientes</v>
      </c>
      <c r="C1007" s="11" t="s">
        <v>13</v>
      </c>
      <c r="D1007" s="9">
        <f>IF(B1007="Clientes",SUMIFS(PARÂMETROS!$D$8:$D$907,PARÂMETROS!$A$8:$A$907,C1007,PARÂMETROS!$G$8:$G$907,J1007),SUMIFS(PARÂMETROS!$E$8:$E$907,PARÂMETROS!$A$8:$A$907,C1007,PARÂMETROS!$G$8:$G$907,J1007))</f>
        <v>7.4539737282548049E-2</v>
      </c>
      <c r="E1007" s="20">
        <f>SUMIFS(SETORES!$D:$D,SETORES!$A:$A,A1007,SETORES!$F:$F,J1007)</f>
        <v>26037.09</v>
      </c>
      <c r="F1007" s="20">
        <f t="shared" si="57"/>
        <v>1940.797848202059</v>
      </c>
      <c r="G1007" s="9">
        <f>SUMIFS(PARÂMETROS!$F$8:$F$907,PARÂMETROS!$A$8:$A$907,C1007,PARÂMETROS!$G$8:$G$907,J1007)</f>
        <v>0</v>
      </c>
      <c r="H1007" s="20">
        <f t="shared" si="55"/>
        <v>0</v>
      </c>
      <c r="I1007" s="20">
        <f t="shared" si="56"/>
        <v>1940.797848202059</v>
      </c>
      <c r="J1007" s="11" t="s">
        <v>88</v>
      </c>
    </row>
    <row r="1008" spans="1:10" ht="14.25" customHeight="1" x14ac:dyDescent="0.3">
      <c r="A1008" s="2" t="s">
        <v>43</v>
      </c>
      <c r="B1008" s="2" t="str">
        <f>INDEX(SETORES!$B:$B,MATCH(A1008,SETORES!$A:$A,0))</f>
        <v>Clientes</v>
      </c>
      <c r="C1008" s="2" t="s">
        <v>14</v>
      </c>
      <c r="D1008" s="14">
        <f>IF(B1008="Clientes",SUMIFS(PARÂMETROS!$D$8:$D$907,PARÂMETROS!$A$8:$A$907,C1008,PARÂMETROS!$G$8:$G$907,J1008),SUMIFS(PARÂMETROS!$E$8:$E$907,PARÂMETROS!$A$8:$A$907,C1008,PARÂMETROS!$G$8:$G$907,J1008))</f>
        <v>1.8943044073642036E-2</v>
      </c>
      <c r="E1008" s="21">
        <f>SUMIFS(SETORES!$D:$D,SETORES!$A:$A,A1008,SETORES!$F:$F,J1008)</f>
        <v>26037.09</v>
      </c>
      <c r="F1008" s="21">
        <f t="shared" si="57"/>
        <v>493.22174341938432</v>
      </c>
      <c r="G1008" s="14">
        <f>SUMIFS(PARÂMETROS!$F$8:$F$907,PARÂMETROS!$A$8:$A$907,C1008,PARÂMETROS!$G$8:$G$907,J1008)</f>
        <v>0</v>
      </c>
      <c r="H1008" s="21">
        <f t="shared" si="55"/>
        <v>0</v>
      </c>
      <c r="I1008" s="21">
        <f t="shared" si="56"/>
        <v>493.22174341938432</v>
      </c>
      <c r="J1008" s="2" t="s">
        <v>88</v>
      </c>
    </row>
    <row r="1009" spans="1:10" ht="14.25" customHeight="1" x14ac:dyDescent="0.3">
      <c r="A1009" s="11" t="s">
        <v>43</v>
      </c>
      <c r="B1009" s="19" t="str">
        <f>INDEX(SETORES!$B:$B,MATCH(A1009,SETORES!$A:$A,0))</f>
        <v>Clientes</v>
      </c>
      <c r="C1009" s="11" t="s">
        <v>15</v>
      </c>
      <c r="D1009" s="9">
        <f>IF(B1009="Clientes",SUMIFS(PARÂMETROS!$D$8:$D$907,PARÂMETROS!$A$8:$A$907,C1009,PARÂMETROS!$G$8:$G$907,J1009),SUMIFS(PARÂMETROS!$E$8:$E$907,PARÂMETROS!$A$8:$A$907,C1009,PARÂMETROS!$G$8:$G$907,J1009))</f>
        <v>3.3478723943804842E-2</v>
      </c>
      <c r="E1009" s="20">
        <f>SUMIFS(SETORES!$D:$D,SETORES!$A:$A,A1009,SETORES!$F:$F,J1009)</f>
        <v>26037.09</v>
      </c>
      <c r="F1009" s="20">
        <f t="shared" si="57"/>
        <v>871.68854841000166</v>
      </c>
      <c r="G1009" s="9">
        <f>SUMIFS(PARÂMETROS!$F$8:$F$907,PARÂMETROS!$A$8:$A$907,C1009,PARÂMETROS!$G$8:$G$907,J1009)</f>
        <v>0</v>
      </c>
      <c r="H1009" s="20">
        <f t="shared" si="55"/>
        <v>0</v>
      </c>
      <c r="I1009" s="20">
        <f t="shared" si="56"/>
        <v>871.68854841000166</v>
      </c>
      <c r="J1009" s="11" t="s">
        <v>88</v>
      </c>
    </row>
    <row r="1010" spans="1:10" ht="14.25" customHeight="1" x14ac:dyDescent="0.3">
      <c r="A1010" s="2" t="s">
        <v>43</v>
      </c>
      <c r="B1010" s="2" t="str">
        <f>INDEX(SETORES!$B:$B,MATCH(A1010,SETORES!$A:$A,0))</f>
        <v>Clientes</v>
      </c>
      <c r="C1010" s="2" t="s">
        <v>16</v>
      </c>
      <c r="D1010" s="14">
        <f>IF(B1010="Clientes",SUMIFS(PARÂMETROS!$D$8:$D$907,PARÂMETROS!$A$8:$A$907,C1010,PARÂMETROS!$G$8:$G$907,J1010),SUMIFS(PARÂMETROS!$E$8:$E$907,PARÂMETROS!$A$8:$A$907,C1010,PARÂMETROS!$G$8:$G$907,J1010))</f>
        <v>2.4288684891210631E-2</v>
      </c>
      <c r="E1010" s="21">
        <f>SUMIFS(SETORES!$D:$D,SETORES!$A:$A,A1010,SETORES!$F:$F,J1010)</f>
        <v>26037.09</v>
      </c>
      <c r="F1010" s="21">
        <f t="shared" si="57"/>
        <v>632.40667449409136</v>
      </c>
      <c r="G1010" s="14">
        <f>SUMIFS(PARÂMETROS!$F$8:$F$907,PARÂMETROS!$A$8:$A$907,C1010,PARÂMETROS!$G$8:$G$907,J1010)</f>
        <v>0</v>
      </c>
      <c r="H1010" s="21">
        <f t="shared" si="55"/>
        <v>0</v>
      </c>
      <c r="I1010" s="21">
        <f t="shared" si="56"/>
        <v>632.40667449409136</v>
      </c>
      <c r="J1010" s="2" t="s">
        <v>88</v>
      </c>
    </row>
    <row r="1011" spans="1:10" ht="14.25" customHeight="1" x14ac:dyDescent="0.3">
      <c r="A1011" s="11" t="s">
        <v>43</v>
      </c>
      <c r="B1011" s="19" t="str">
        <f>INDEX(SETORES!$B:$B,MATCH(A1011,SETORES!$A:$A,0))</f>
        <v>Clientes</v>
      </c>
      <c r="C1011" s="11" t="s">
        <v>17</v>
      </c>
      <c r="D1011" s="9">
        <f>IF(B1011="Clientes",SUMIFS(PARÂMETROS!$D$8:$D$907,PARÂMETROS!$A$8:$A$907,C1011,PARÂMETROS!$G$8:$G$907,J1011),SUMIFS(PARÂMETROS!$E$8:$E$907,PARÂMETROS!$A$8:$A$907,C1011,PARÂMETROS!$G$8:$G$907,J1011))</f>
        <v>2.4324187249581578E-2</v>
      </c>
      <c r="E1011" s="20">
        <f>SUMIFS(SETORES!$D:$D,SETORES!$A:$A,A1011,SETORES!$F:$F,J1011)</f>
        <v>26037.09</v>
      </c>
      <c r="F1011" s="20">
        <f t="shared" si="57"/>
        <v>633.33105259420802</v>
      </c>
      <c r="G1011" s="9">
        <f>SUMIFS(PARÂMETROS!$F$8:$F$907,PARÂMETROS!$A$8:$A$907,C1011,PARÂMETROS!$G$8:$G$907,J1011)</f>
        <v>0</v>
      </c>
      <c r="H1011" s="20">
        <f t="shared" si="55"/>
        <v>0</v>
      </c>
      <c r="I1011" s="20">
        <f t="shared" si="56"/>
        <v>633.33105259420802</v>
      </c>
      <c r="J1011" s="11" t="s">
        <v>88</v>
      </c>
    </row>
    <row r="1012" spans="1:10" ht="14.25" customHeight="1" x14ac:dyDescent="0.3">
      <c r="A1012" s="2" t="s">
        <v>43</v>
      </c>
      <c r="B1012" s="2" t="str">
        <f>INDEX(SETORES!$B:$B,MATCH(A1012,SETORES!$A:$A,0))</f>
        <v>Clientes</v>
      </c>
      <c r="C1012" s="2" t="s">
        <v>18</v>
      </c>
      <c r="D1012" s="14">
        <f>IF(B1012="Clientes",SUMIFS(PARÂMETROS!$D$8:$D$907,PARÂMETROS!$A$8:$A$907,C1012,PARÂMETROS!$G$8:$G$907,J1012),SUMIFS(PARÂMETROS!$E$8:$E$907,PARÂMETROS!$A$8:$A$907,C1012,PARÂMETROS!$G$8:$G$907,J1012))</f>
        <v>0.7221940457473246</v>
      </c>
      <c r="E1012" s="21">
        <f>SUMIFS(SETORES!$D:$D,SETORES!$A:$A,A1012,SETORES!$F:$F,J1012)</f>
        <v>26037.09</v>
      </c>
      <c r="F1012" s="21">
        <f t="shared" si="57"/>
        <v>18803.831366587208</v>
      </c>
      <c r="G1012" s="14">
        <f>SUMIFS(PARÂMETROS!$F$8:$F$907,PARÂMETROS!$A$8:$A$907,C1012,PARÂMETROS!$G$8:$G$907,J1012)</f>
        <v>0</v>
      </c>
      <c r="H1012" s="21">
        <f t="shared" si="55"/>
        <v>0</v>
      </c>
      <c r="I1012" s="21">
        <f t="shared" si="56"/>
        <v>18803.831366587208</v>
      </c>
      <c r="J1012" s="2" t="s">
        <v>88</v>
      </c>
    </row>
    <row r="1013" spans="1:10" ht="14.25" customHeight="1" x14ac:dyDescent="0.3">
      <c r="A1013" s="11" t="s">
        <v>44</v>
      </c>
      <c r="B1013" s="19" t="str">
        <f>INDEX(SETORES!$B:$B,MATCH(A1013,SETORES!$A:$A,0))</f>
        <v>Funcionários</v>
      </c>
      <c r="C1013" s="11" t="s">
        <v>10</v>
      </c>
      <c r="D1013" s="9">
        <f>IF(B1013="Clientes",SUMIFS(PARÂMETROS!$D$8:$D$907,PARÂMETROS!$A$8:$A$907,C1013,PARÂMETROS!$G$8:$G$907,J1013),SUMIFS(PARÂMETROS!$E$8:$E$907,PARÂMETROS!$A$8:$A$907,C1013,PARÂMETROS!$G$8:$G$907,J1013))</f>
        <v>2.8517110266159697E-2</v>
      </c>
      <c r="E1013" s="20">
        <f>SUMIFS(SETORES!$D:$D,SETORES!$A:$A,A1013,SETORES!$F:$F,J1013)</f>
        <v>57642.479999999996</v>
      </c>
      <c r="F1013" s="20">
        <f t="shared" si="57"/>
        <v>1643.7969581749048</v>
      </c>
      <c r="G1013" s="9">
        <f>SUMIFS(PARÂMETROS!$F$8:$F$907,PARÂMETROS!$A$8:$A$907,C1013,PARÂMETROS!$G$8:$G$907,J1013)</f>
        <v>0</v>
      </c>
      <c r="H1013" s="20">
        <f t="shared" si="55"/>
        <v>0</v>
      </c>
      <c r="I1013" s="20">
        <f t="shared" si="56"/>
        <v>1643.7969581749048</v>
      </c>
      <c r="J1013" s="11" t="s">
        <v>88</v>
      </c>
    </row>
    <row r="1014" spans="1:10" ht="14.25" customHeight="1" x14ac:dyDescent="0.3">
      <c r="A1014" s="2" t="s">
        <v>44</v>
      </c>
      <c r="B1014" s="2" t="str">
        <f>INDEX(SETORES!$B:$B,MATCH(A1014,SETORES!$A:$A,0))</f>
        <v>Funcionários</v>
      </c>
      <c r="C1014" s="2" t="s">
        <v>12</v>
      </c>
      <c r="D1014" s="14">
        <f>IF(B1014="Clientes",SUMIFS(PARÂMETROS!$D$8:$D$907,PARÂMETROS!$A$8:$A$907,C1014,PARÂMETROS!$G$8:$G$907,J1014),SUMIFS(PARÂMETROS!$E$8:$E$907,PARÂMETROS!$A$8:$A$907,C1014,PARÂMETROS!$G$8:$G$907,J1014))</f>
        <v>0</v>
      </c>
      <c r="E1014" s="21">
        <f>SUMIFS(SETORES!$D:$D,SETORES!$A:$A,A1014,SETORES!$F:$F,J1014)</f>
        <v>57642.479999999996</v>
      </c>
      <c r="F1014" s="21">
        <f t="shared" si="57"/>
        <v>0</v>
      </c>
      <c r="G1014" s="14">
        <f>SUMIFS(PARÂMETROS!$F$8:$F$907,PARÂMETROS!$A$8:$A$907,C1014,PARÂMETROS!$G$8:$G$907,J1014)</f>
        <v>0</v>
      </c>
      <c r="H1014" s="21">
        <f t="shared" si="55"/>
        <v>0</v>
      </c>
      <c r="I1014" s="21">
        <f t="shared" si="56"/>
        <v>0</v>
      </c>
      <c r="J1014" s="2" t="s">
        <v>88</v>
      </c>
    </row>
    <row r="1015" spans="1:10" ht="14.25" customHeight="1" x14ac:dyDescent="0.3">
      <c r="A1015" s="11" t="s">
        <v>44</v>
      </c>
      <c r="B1015" s="19" t="str">
        <f>INDEX(SETORES!$B:$B,MATCH(A1015,SETORES!$A:$A,0))</f>
        <v>Funcionários</v>
      </c>
      <c r="C1015" s="11" t="s">
        <v>13</v>
      </c>
      <c r="D1015" s="9">
        <f>IF(B1015="Clientes",SUMIFS(PARÂMETROS!$D$8:$D$907,PARÂMETROS!$A$8:$A$907,C1015,PARÂMETROS!$G$8:$G$907,J1015),SUMIFS(PARÂMETROS!$E$8:$E$907,PARÂMETROS!$A$8:$A$907,C1015,PARÂMETROS!$G$8:$G$907,J1015))</f>
        <v>4.2775665399239542E-2</v>
      </c>
      <c r="E1015" s="20">
        <f>SUMIFS(SETORES!$D:$D,SETORES!$A:$A,A1015,SETORES!$F:$F,J1015)</f>
        <v>57642.479999999996</v>
      </c>
      <c r="F1015" s="20">
        <f t="shared" si="57"/>
        <v>2465.6954372623572</v>
      </c>
      <c r="G1015" s="9">
        <f>SUMIFS(PARÂMETROS!$F$8:$F$907,PARÂMETROS!$A$8:$A$907,C1015,PARÂMETROS!$G$8:$G$907,J1015)</f>
        <v>0</v>
      </c>
      <c r="H1015" s="20">
        <f t="shared" si="55"/>
        <v>0</v>
      </c>
      <c r="I1015" s="20">
        <f t="shared" si="56"/>
        <v>2465.6954372623572</v>
      </c>
      <c r="J1015" s="11" t="s">
        <v>88</v>
      </c>
    </row>
    <row r="1016" spans="1:10" ht="14.25" customHeight="1" x14ac:dyDescent="0.3">
      <c r="A1016" s="2" t="s">
        <v>44</v>
      </c>
      <c r="B1016" s="2" t="str">
        <f>INDEX(SETORES!$B:$B,MATCH(A1016,SETORES!$A:$A,0))</f>
        <v>Funcionários</v>
      </c>
      <c r="C1016" s="2" t="s">
        <v>14</v>
      </c>
      <c r="D1016" s="14">
        <f>IF(B1016="Clientes",SUMIFS(PARÂMETROS!$D$8:$D$907,PARÂMETROS!$A$8:$A$907,C1016,PARÂMETROS!$G$8:$G$907,J1016),SUMIFS(PARÂMETROS!$E$8:$E$907,PARÂMETROS!$A$8:$A$907,C1016,PARÂMETROS!$G$8:$G$907,J1016))</f>
        <v>9.5057034220532317E-3</v>
      </c>
      <c r="E1016" s="21">
        <f>SUMIFS(SETORES!$D:$D,SETORES!$A:$A,A1016,SETORES!$F:$F,J1016)</f>
        <v>57642.479999999996</v>
      </c>
      <c r="F1016" s="21">
        <f t="shared" si="57"/>
        <v>547.93231939163491</v>
      </c>
      <c r="G1016" s="14">
        <f>SUMIFS(PARÂMETROS!$F$8:$F$907,PARÂMETROS!$A$8:$A$907,C1016,PARÂMETROS!$G$8:$G$907,J1016)</f>
        <v>0</v>
      </c>
      <c r="H1016" s="21">
        <f t="shared" si="55"/>
        <v>0</v>
      </c>
      <c r="I1016" s="21">
        <f t="shared" si="56"/>
        <v>547.93231939163491</v>
      </c>
      <c r="J1016" s="2" t="s">
        <v>88</v>
      </c>
    </row>
    <row r="1017" spans="1:10" ht="14.25" customHeight="1" x14ac:dyDescent="0.3">
      <c r="A1017" s="11" t="s">
        <v>44</v>
      </c>
      <c r="B1017" s="19" t="str">
        <f>INDEX(SETORES!$B:$B,MATCH(A1017,SETORES!$A:$A,0))</f>
        <v>Funcionários</v>
      </c>
      <c r="C1017" s="11" t="s">
        <v>15</v>
      </c>
      <c r="D1017" s="9">
        <f>IF(B1017="Clientes",SUMIFS(PARÂMETROS!$D$8:$D$907,PARÂMETROS!$A$8:$A$907,C1017,PARÂMETROS!$G$8:$G$907,J1017),SUMIFS(PARÂMETROS!$E$8:$E$907,PARÂMETROS!$A$8:$A$907,C1017,PARÂMETROS!$G$8:$G$907,J1017))</f>
        <v>4.3726235741444866E-2</v>
      </c>
      <c r="E1017" s="20">
        <f>SUMIFS(SETORES!$D:$D,SETORES!$A:$A,A1017,SETORES!$F:$F,J1017)</f>
        <v>57642.479999999996</v>
      </c>
      <c r="F1017" s="20">
        <f t="shared" si="57"/>
        <v>2520.4886692015207</v>
      </c>
      <c r="G1017" s="9">
        <f>SUMIFS(PARÂMETROS!$F$8:$F$907,PARÂMETROS!$A$8:$A$907,C1017,PARÂMETROS!$G$8:$G$907,J1017)</f>
        <v>0</v>
      </c>
      <c r="H1017" s="20">
        <f t="shared" si="55"/>
        <v>0</v>
      </c>
      <c r="I1017" s="20">
        <f t="shared" si="56"/>
        <v>2520.4886692015207</v>
      </c>
      <c r="J1017" s="11" t="s">
        <v>88</v>
      </c>
    </row>
    <row r="1018" spans="1:10" ht="14.25" customHeight="1" x14ac:dyDescent="0.3">
      <c r="A1018" s="2" t="s">
        <v>44</v>
      </c>
      <c r="B1018" s="2" t="str">
        <f>INDEX(SETORES!$B:$B,MATCH(A1018,SETORES!$A:$A,0))</f>
        <v>Funcionários</v>
      </c>
      <c r="C1018" s="2" t="s">
        <v>16</v>
      </c>
      <c r="D1018" s="14">
        <f>IF(B1018="Clientes",SUMIFS(PARÂMETROS!$D$8:$D$907,PARÂMETROS!$A$8:$A$907,C1018,PARÂMETROS!$G$8:$G$907,J1018),SUMIFS(PARÂMETROS!$E$8:$E$907,PARÂMETROS!$A$8:$A$907,C1018,PARÂMETROS!$G$8:$G$907,J1018))</f>
        <v>1.6159695817490494E-2</v>
      </c>
      <c r="E1018" s="21">
        <f>SUMIFS(SETORES!$D:$D,SETORES!$A:$A,A1018,SETORES!$F:$F,J1018)</f>
        <v>57642.479999999996</v>
      </c>
      <c r="F1018" s="21">
        <f t="shared" si="57"/>
        <v>931.4849429657794</v>
      </c>
      <c r="G1018" s="14">
        <f>SUMIFS(PARÂMETROS!$F$8:$F$907,PARÂMETROS!$A$8:$A$907,C1018,PARÂMETROS!$G$8:$G$907,J1018)</f>
        <v>0</v>
      </c>
      <c r="H1018" s="21">
        <f t="shared" si="55"/>
        <v>0</v>
      </c>
      <c r="I1018" s="21">
        <f t="shared" si="56"/>
        <v>931.4849429657794</v>
      </c>
      <c r="J1018" s="2" t="s">
        <v>88</v>
      </c>
    </row>
    <row r="1019" spans="1:10" ht="14.25" customHeight="1" x14ac:dyDescent="0.3">
      <c r="A1019" s="11" t="s">
        <v>44</v>
      </c>
      <c r="B1019" s="19" t="str">
        <f>INDEX(SETORES!$B:$B,MATCH(A1019,SETORES!$A:$A,0))</f>
        <v>Funcionários</v>
      </c>
      <c r="C1019" s="11" t="s">
        <v>17</v>
      </c>
      <c r="D1019" s="9">
        <f>IF(B1019="Clientes",SUMIFS(PARÂMETROS!$D$8:$D$907,PARÂMETROS!$A$8:$A$907,C1019,PARÂMETROS!$G$8:$G$907,J1019),SUMIFS(PARÂMETROS!$E$8:$E$907,PARÂMETROS!$A$8:$A$907,C1019,PARÂMETROS!$G$8:$G$907,J1019))</f>
        <v>2.1863117870722433E-2</v>
      </c>
      <c r="E1019" s="20">
        <f>SUMIFS(SETORES!$D:$D,SETORES!$A:$A,A1019,SETORES!$F:$F,J1019)</f>
        <v>57642.479999999996</v>
      </c>
      <c r="F1019" s="20">
        <f t="shared" si="57"/>
        <v>1260.2443346007603</v>
      </c>
      <c r="G1019" s="9">
        <f>SUMIFS(PARÂMETROS!$F$8:$F$907,PARÂMETROS!$A$8:$A$907,C1019,PARÂMETROS!$G$8:$G$907,J1019)</f>
        <v>0</v>
      </c>
      <c r="H1019" s="20">
        <f t="shared" si="55"/>
        <v>0</v>
      </c>
      <c r="I1019" s="20">
        <f t="shared" si="56"/>
        <v>1260.2443346007603</v>
      </c>
      <c r="J1019" s="11" t="s">
        <v>88</v>
      </c>
    </row>
    <row r="1020" spans="1:10" ht="14.25" customHeight="1" x14ac:dyDescent="0.3">
      <c r="A1020" s="2" t="s">
        <v>44</v>
      </c>
      <c r="B1020" s="2" t="str">
        <f>INDEX(SETORES!$B:$B,MATCH(A1020,SETORES!$A:$A,0))</f>
        <v>Funcionários</v>
      </c>
      <c r="C1020" s="2" t="s">
        <v>18</v>
      </c>
      <c r="D1020" s="14">
        <f>IF(B1020="Clientes",SUMIFS(PARÂMETROS!$D$8:$D$907,PARÂMETROS!$A$8:$A$907,C1020,PARÂMETROS!$G$8:$G$907,J1020),SUMIFS(PARÂMETROS!$E$8:$E$907,PARÂMETROS!$A$8:$A$907,C1020,PARÂMETROS!$G$8:$G$907,J1020))</f>
        <v>0.8374524714828897</v>
      </c>
      <c r="E1020" s="21">
        <f>SUMIFS(SETORES!$D:$D,SETORES!$A:$A,A1020,SETORES!$F:$F,J1020)</f>
        <v>57642.479999999996</v>
      </c>
      <c r="F1020" s="21">
        <f t="shared" si="57"/>
        <v>48272.837338403035</v>
      </c>
      <c r="G1020" s="14">
        <f>SUMIFS(PARÂMETROS!$F$8:$F$907,PARÂMETROS!$A$8:$A$907,C1020,PARÂMETROS!$G$8:$G$907,J1020)</f>
        <v>0</v>
      </c>
      <c r="H1020" s="21">
        <f t="shared" si="55"/>
        <v>0</v>
      </c>
      <c r="I1020" s="21">
        <f t="shared" si="56"/>
        <v>48272.837338403035</v>
      </c>
      <c r="J1020" s="2" t="s">
        <v>88</v>
      </c>
    </row>
    <row r="1021" spans="1:10" ht="14.25" customHeight="1" x14ac:dyDescent="0.3">
      <c r="A1021" s="11" t="s">
        <v>45</v>
      </c>
      <c r="B1021" s="19" t="str">
        <f>INDEX(SETORES!$B:$B,MATCH(A1021,SETORES!$A:$A,0))</f>
        <v>Clientes</v>
      </c>
      <c r="C1021" s="11" t="s">
        <v>10</v>
      </c>
      <c r="D1021" s="9">
        <f>IF(B1021="Clientes",SUMIFS(PARÂMETROS!$D$8:$D$907,PARÂMETROS!$A$8:$A$907,C1021,PARÂMETROS!$G$8:$G$907,J1021),SUMIFS(PARÂMETROS!$E$8:$E$907,PARÂMETROS!$A$8:$A$907,C1021,PARÂMETROS!$G$8:$G$907,J1021))</f>
        <v>3.3712025155956789E-2</v>
      </c>
      <c r="E1021" s="20">
        <f>SUMIFS(SETORES!$D:$D,SETORES!$A:$A,A1021,SETORES!$F:$F,J1021)</f>
        <v>72887.3</v>
      </c>
      <c r="F1021" s="20">
        <f t="shared" si="57"/>
        <v>2457.1784911497693</v>
      </c>
      <c r="G1021" s="9">
        <f>SUMIFS(PARÂMETROS!$F$8:$F$907,PARÂMETROS!$A$8:$A$907,C1021,PARÂMETROS!$G$8:$G$907,J1021)</f>
        <v>0</v>
      </c>
      <c r="H1021" s="20">
        <f t="shared" si="55"/>
        <v>0</v>
      </c>
      <c r="I1021" s="20">
        <f t="shared" si="56"/>
        <v>2457.1784911497693</v>
      </c>
      <c r="J1021" s="11" t="s">
        <v>88</v>
      </c>
    </row>
    <row r="1022" spans="1:10" ht="14.25" customHeight="1" x14ac:dyDescent="0.3">
      <c r="A1022" s="2" t="s">
        <v>45</v>
      </c>
      <c r="B1022" s="2" t="str">
        <f>INDEX(SETORES!$B:$B,MATCH(A1022,SETORES!$A:$A,0))</f>
        <v>Clientes</v>
      </c>
      <c r="C1022" s="2" t="s">
        <v>12</v>
      </c>
      <c r="D1022" s="14">
        <f>IF(B1022="Clientes",SUMIFS(PARÂMETROS!$D$8:$D$907,PARÂMETROS!$A$8:$A$907,C1022,PARÂMETROS!$G$8:$G$907,J1022),SUMIFS(PARÂMETROS!$E$8:$E$907,PARÂMETROS!$A$8:$A$907,C1022,PARÂMETROS!$G$8:$G$907,J1022))</f>
        <v>6.8519551655931432E-2</v>
      </c>
      <c r="E1022" s="21">
        <f>SUMIFS(SETORES!$D:$D,SETORES!$A:$A,A1022,SETORES!$F:$F,J1022)</f>
        <v>72887.3</v>
      </c>
      <c r="F1022" s="21">
        <f t="shared" si="57"/>
        <v>4994.2051174113712</v>
      </c>
      <c r="G1022" s="14">
        <f>SUMIFS(PARÂMETROS!$F$8:$F$907,PARÂMETROS!$A$8:$A$907,C1022,PARÂMETROS!$G$8:$G$907,J1022)</f>
        <v>0</v>
      </c>
      <c r="H1022" s="21">
        <f t="shared" si="55"/>
        <v>0</v>
      </c>
      <c r="I1022" s="21">
        <f t="shared" si="56"/>
        <v>4994.2051174113712</v>
      </c>
      <c r="J1022" s="2" t="s">
        <v>88</v>
      </c>
    </row>
    <row r="1023" spans="1:10" ht="14.25" customHeight="1" x14ac:dyDescent="0.3">
      <c r="A1023" s="11" t="s">
        <v>45</v>
      </c>
      <c r="B1023" s="19" t="str">
        <f>INDEX(SETORES!$B:$B,MATCH(A1023,SETORES!$A:$A,0))</f>
        <v>Clientes</v>
      </c>
      <c r="C1023" s="11" t="s">
        <v>13</v>
      </c>
      <c r="D1023" s="9">
        <f>IF(B1023="Clientes",SUMIFS(PARÂMETROS!$D$8:$D$907,PARÂMETROS!$A$8:$A$907,C1023,PARÂMETROS!$G$8:$G$907,J1023),SUMIFS(PARÂMETROS!$E$8:$E$907,PARÂMETROS!$A$8:$A$907,C1023,PARÂMETROS!$G$8:$G$907,J1023))</f>
        <v>7.4539737282548049E-2</v>
      </c>
      <c r="E1023" s="20">
        <f>SUMIFS(SETORES!$D:$D,SETORES!$A:$A,A1023,SETORES!$F:$F,J1023)</f>
        <v>72887.3</v>
      </c>
      <c r="F1023" s="20">
        <f t="shared" si="57"/>
        <v>5433.0001932342648</v>
      </c>
      <c r="G1023" s="9">
        <f>SUMIFS(PARÂMETROS!$F$8:$F$907,PARÂMETROS!$A$8:$A$907,C1023,PARÂMETROS!$G$8:$G$907,J1023)</f>
        <v>0</v>
      </c>
      <c r="H1023" s="20">
        <f t="shared" si="55"/>
        <v>0</v>
      </c>
      <c r="I1023" s="20">
        <f t="shared" si="56"/>
        <v>5433.0001932342648</v>
      </c>
      <c r="J1023" s="11" t="s">
        <v>88</v>
      </c>
    </row>
    <row r="1024" spans="1:10" ht="14.25" customHeight="1" x14ac:dyDescent="0.3">
      <c r="A1024" s="2" t="s">
        <v>45</v>
      </c>
      <c r="B1024" s="2" t="str">
        <f>INDEX(SETORES!$B:$B,MATCH(A1024,SETORES!$A:$A,0))</f>
        <v>Clientes</v>
      </c>
      <c r="C1024" s="2" t="s">
        <v>14</v>
      </c>
      <c r="D1024" s="14">
        <f>IF(B1024="Clientes",SUMIFS(PARÂMETROS!$D$8:$D$907,PARÂMETROS!$A$8:$A$907,C1024,PARÂMETROS!$G$8:$G$907,J1024),SUMIFS(PARÂMETROS!$E$8:$E$907,PARÂMETROS!$A$8:$A$907,C1024,PARÂMETROS!$G$8:$G$907,J1024))</f>
        <v>1.8943044073642036E-2</v>
      </c>
      <c r="E1024" s="21">
        <f>SUMIFS(SETORES!$D:$D,SETORES!$A:$A,A1024,SETORES!$F:$F,J1024)</f>
        <v>72887.3</v>
      </c>
      <c r="F1024" s="21">
        <f t="shared" si="57"/>
        <v>1380.7073363087693</v>
      </c>
      <c r="G1024" s="14">
        <f>SUMIFS(PARÂMETROS!$F$8:$F$907,PARÂMETROS!$A$8:$A$907,C1024,PARÂMETROS!$G$8:$G$907,J1024)</f>
        <v>0</v>
      </c>
      <c r="H1024" s="21">
        <f t="shared" si="55"/>
        <v>0</v>
      </c>
      <c r="I1024" s="21">
        <f t="shared" si="56"/>
        <v>1380.7073363087693</v>
      </c>
      <c r="J1024" s="2" t="s">
        <v>88</v>
      </c>
    </row>
    <row r="1025" spans="1:10" ht="14.25" customHeight="1" x14ac:dyDescent="0.3">
      <c r="A1025" s="11" t="s">
        <v>45</v>
      </c>
      <c r="B1025" s="19" t="str">
        <f>INDEX(SETORES!$B:$B,MATCH(A1025,SETORES!$A:$A,0))</f>
        <v>Clientes</v>
      </c>
      <c r="C1025" s="11" t="s">
        <v>15</v>
      </c>
      <c r="D1025" s="9">
        <f>IF(B1025="Clientes",SUMIFS(PARÂMETROS!$D$8:$D$907,PARÂMETROS!$A$8:$A$907,C1025,PARÂMETROS!$G$8:$G$907,J1025),SUMIFS(PARÂMETROS!$E$8:$E$907,PARÂMETROS!$A$8:$A$907,C1025,PARÂMETROS!$G$8:$G$907,J1025))</f>
        <v>3.3478723943804842E-2</v>
      </c>
      <c r="E1025" s="20">
        <f>SUMIFS(SETORES!$D:$D,SETORES!$A:$A,A1025,SETORES!$F:$F,J1025)</f>
        <v>72887.3</v>
      </c>
      <c r="F1025" s="20">
        <f t="shared" si="57"/>
        <v>2440.1737957092869</v>
      </c>
      <c r="G1025" s="9">
        <f>SUMIFS(PARÂMETROS!$F$8:$F$907,PARÂMETROS!$A$8:$A$907,C1025,PARÂMETROS!$G$8:$G$907,J1025)</f>
        <v>0</v>
      </c>
      <c r="H1025" s="20">
        <f t="shared" si="55"/>
        <v>0</v>
      </c>
      <c r="I1025" s="20">
        <f t="shared" si="56"/>
        <v>2440.1737957092869</v>
      </c>
      <c r="J1025" s="11" t="s">
        <v>88</v>
      </c>
    </row>
    <row r="1026" spans="1:10" ht="14.25" customHeight="1" x14ac:dyDescent="0.3">
      <c r="A1026" s="2" t="s">
        <v>45</v>
      </c>
      <c r="B1026" s="2" t="str">
        <f>INDEX(SETORES!$B:$B,MATCH(A1026,SETORES!$A:$A,0))</f>
        <v>Clientes</v>
      </c>
      <c r="C1026" s="2" t="s">
        <v>16</v>
      </c>
      <c r="D1026" s="14">
        <f>IF(B1026="Clientes",SUMIFS(PARÂMETROS!$D$8:$D$907,PARÂMETROS!$A$8:$A$907,C1026,PARÂMETROS!$G$8:$G$907,J1026),SUMIFS(PARÂMETROS!$E$8:$E$907,PARÂMETROS!$A$8:$A$907,C1026,PARÂMETROS!$G$8:$G$907,J1026))</f>
        <v>2.4288684891210631E-2</v>
      </c>
      <c r="E1026" s="21">
        <f>SUMIFS(SETORES!$D:$D,SETORES!$A:$A,A1026,SETORES!$F:$F,J1026)</f>
        <v>72887.3</v>
      </c>
      <c r="F1026" s="21">
        <f t="shared" si="57"/>
        <v>1770.3366622711367</v>
      </c>
      <c r="G1026" s="14">
        <f>SUMIFS(PARÂMETROS!$F$8:$F$907,PARÂMETROS!$A$8:$A$907,C1026,PARÂMETROS!$G$8:$G$907,J1026)</f>
        <v>0</v>
      </c>
      <c r="H1026" s="21">
        <f t="shared" si="55"/>
        <v>0</v>
      </c>
      <c r="I1026" s="21">
        <f t="shared" si="56"/>
        <v>1770.3366622711367</v>
      </c>
      <c r="J1026" s="2" t="s">
        <v>88</v>
      </c>
    </row>
    <row r="1027" spans="1:10" ht="14.25" customHeight="1" x14ac:dyDescent="0.3">
      <c r="A1027" s="11" t="s">
        <v>45</v>
      </c>
      <c r="B1027" s="19" t="str">
        <f>INDEX(SETORES!$B:$B,MATCH(A1027,SETORES!$A:$A,0))</f>
        <v>Clientes</v>
      </c>
      <c r="C1027" s="11" t="s">
        <v>17</v>
      </c>
      <c r="D1027" s="9">
        <f>IF(B1027="Clientes",SUMIFS(PARÂMETROS!$D$8:$D$907,PARÂMETROS!$A$8:$A$907,C1027,PARÂMETROS!$G$8:$G$907,J1027),SUMIFS(PARÂMETROS!$E$8:$E$907,PARÂMETROS!$A$8:$A$907,C1027,PARÂMETROS!$G$8:$G$907,J1027))</f>
        <v>2.4324187249581578E-2</v>
      </c>
      <c r="E1027" s="20">
        <f>SUMIFS(SETORES!$D:$D,SETORES!$A:$A,A1027,SETORES!$F:$F,J1027)</f>
        <v>72887.3</v>
      </c>
      <c r="F1027" s="20">
        <f t="shared" si="57"/>
        <v>1772.9243333164275</v>
      </c>
      <c r="G1027" s="9">
        <f>SUMIFS(PARÂMETROS!$F$8:$F$907,PARÂMETROS!$A$8:$A$907,C1027,PARÂMETROS!$G$8:$G$907,J1027)</f>
        <v>0</v>
      </c>
      <c r="H1027" s="20">
        <f t="shared" si="55"/>
        <v>0</v>
      </c>
      <c r="I1027" s="20">
        <f t="shared" si="56"/>
        <v>1772.9243333164275</v>
      </c>
      <c r="J1027" s="11" t="s">
        <v>88</v>
      </c>
    </row>
    <row r="1028" spans="1:10" ht="14.25" customHeight="1" x14ac:dyDescent="0.3">
      <c r="A1028" s="2" t="s">
        <v>45</v>
      </c>
      <c r="B1028" s="2" t="str">
        <f>INDEX(SETORES!$B:$B,MATCH(A1028,SETORES!$A:$A,0))</f>
        <v>Clientes</v>
      </c>
      <c r="C1028" s="2" t="s">
        <v>18</v>
      </c>
      <c r="D1028" s="14">
        <f>IF(B1028="Clientes",SUMIFS(PARÂMETROS!$D$8:$D$907,PARÂMETROS!$A$8:$A$907,C1028,PARÂMETROS!$G$8:$G$907,J1028),SUMIFS(PARÂMETROS!$E$8:$E$907,PARÂMETROS!$A$8:$A$907,C1028,PARÂMETROS!$G$8:$G$907,J1028))</f>
        <v>0.7221940457473246</v>
      </c>
      <c r="E1028" s="21">
        <f>SUMIFS(SETORES!$D:$D,SETORES!$A:$A,A1028,SETORES!$F:$F,J1028)</f>
        <v>72887.3</v>
      </c>
      <c r="F1028" s="21">
        <f t="shared" si="57"/>
        <v>52638.774070598971</v>
      </c>
      <c r="G1028" s="14">
        <f>SUMIFS(PARÂMETROS!$F$8:$F$907,PARÂMETROS!$A$8:$A$907,C1028,PARÂMETROS!$G$8:$G$907,J1028)</f>
        <v>0</v>
      </c>
      <c r="H1028" s="21">
        <f t="shared" si="55"/>
        <v>0</v>
      </c>
      <c r="I1028" s="21">
        <f t="shared" si="56"/>
        <v>52638.774070598971</v>
      </c>
      <c r="J1028" s="2" t="s">
        <v>88</v>
      </c>
    </row>
    <row r="1029" spans="1:10" ht="14.25" customHeight="1" x14ac:dyDescent="0.3">
      <c r="A1029" s="11" t="s">
        <v>46</v>
      </c>
      <c r="B1029" s="19" t="str">
        <f>INDEX(SETORES!$B:$B,MATCH(A1029,SETORES!$A:$A,0))</f>
        <v>Clientes</v>
      </c>
      <c r="C1029" s="11" t="s">
        <v>10</v>
      </c>
      <c r="D1029" s="9">
        <f>IF(B1029="Clientes",SUMIFS(PARÂMETROS!$D$8:$D$907,PARÂMETROS!$A$8:$A$907,C1029,PARÂMETROS!$G$8:$G$907,J1029),SUMIFS(PARÂMETROS!$E$8:$E$907,PARÂMETROS!$A$8:$A$907,C1029,PARÂMETROS!$G$8:$G$907,J1029))</f>
        <v>3.3712025155956789E-2</v>
      </c>
      <c r="E1029" s="20">
        <f>SUMIFS(SETORES!$D:$D,SETORES!$A:$A,A1029,SETORES!$F:$F,J1029)</f>
        <v>176476.64</v>
      </c>
      <c r="F1029" s="20">
        <f t="shared" si="57"/>
        <v>5949.384927118731</v>
      </c>
      <c r="G1029" s="9">
        <f>SUMIFS(PARÂMETROS!$F$8:$F$907,PARÂMETROS!$A$8:$A$907,C1029,PARÂMETROS!$G$8:$G$907,J1029)</f>
        <v>0</v>
      </c>
      <c r="H1029" s="20">
        <f t="shared" si="55"/>
        <v>0</v>
      </c>
      <c r="I1029" s="20">
        <f t="shared" si="56"/>
        <v>5949.384927118731</v>
      </c>
      <c r="J1029" s="11" t="s">
        <v>88</v>
      </c>
    </row>
    <row r="1030" spans="1:10" ht="14.25" customHeight="1" x14ac:dyDescent="0.3">
      <c r="A1030" s="2" t="s">
        <v>46</v>
      </c>
      <c r="B1030" s="2" t="str">
        <f>INDEX(SETORES!$B:$B,MATCH(A1030,SETORES!$A:$A,0))</f>
        <v>Clientes</v>
      </c>
      <c r="C1030" s="2" t="s">
        <v>12</v>
      </c>
      <c r="D1030" s="14">
        <f>IF(B1030="Clientes",SUMIFS(PARÂMETROS!$D$8:$D$907,PARÂMETROS!$A$8:$A$907,C1030,PARÂMETROS!$G$8:$G$907,J1030),SUMIFS(PARÂMETROS!$E$8:$E$907,PARÂMETROS!$A$8:$A$907,C1030,PARÂMETROS!$G$8:$G$907,J1030))</f>
        <v>6.8519551655931432E-2</v>
      </c>
      <c r="E1030" s="21">
        <f>SUMIFS(SETORES!$D:$D,SETORES!$A:$A,A1030,SETORES!$F:$F,J1030)</f>
        <v>176476.64</v>
      </c>
      <c r="F1030" s="21">
        <f t="shared" si="57"/>
        <v>12092.100250545216</v>
      </c>
      <c r="G1030" s="14">
        <f>SUMIFS(PARÂMETROS!$F$8:$F$907,PARÂMETROS!$A$8:$A$907,C1030,PARÂMETROS!$G$8:$G$907,J1030)</f>
        <v>0</v>
      </c>
      <c r="H1030" s="21">
        <f t="shared" si="55"/>
        <v>0</v>
      </c>
      <c r="I1030" s="21">
        <f t="shared" si="56"/>
        <v>12092.100250545216</v>
      </c>
      <c r="J1030" s="2" t="s">
        <v>88</v>
      </c>
    </row>
    <row r="1031" spans="1:10" ht="14.25" customHeight="1" x14ac:dyDescent="0.3">
      <c r="A1031" s="11" t="s">
        <v>46</v>
      </c>
      <c r="B1031" s="19" t="str">
        <f>INDEX(SETORES!$B:$B,MATCH(A1031,SETORES!$A:$A,0))</f>
        <v>Clientes</v>
      </c>
      <c r="C1031" s="11" t="s">
        <v>13</v>
      </c>
      <c r="D1031" s="9">
        <f>IF(B1031="Clientes",SUMIFS(PARÂMETROS!$D$8:$D$907,PARÂMETROS!$A$8:$A$907,C1031,PARÂMETROS!$G$8:$G$907,J1031),SUMIFS(PARÂMETROS!$E$8:$E$907,PARÂMETROS!$A$8:$A$907,C1031,PARÂMETROS!$G$8:$G$907,J1031))</f>
        <v>7.4539737282548049E-2</v>
      </c>
      <c r="E1031" s="20">
        <f>SUMIFS(SETORES!$D:$D,SETORES!$A:$A,A1031,SETORES!$F:$F,J1031)</f>
        <v>176476.64</v>
      </c>
      <c r="F1031" s="20">
        <f t="shared" si="57"/>
        <v>13154.522382106812</v>
      </c>
      <c r="G1031" s="9">
        <f>SUMIFS(PARÂMETROS!$F$8:$F$907,PARÂMETROS!$A$8:$A$907,C1031,PARÂMETROS!$G$8:$G$907,J1031)</f>
        <v>0</v>
      </c>
      <c r="H1031" s="20">
        <f t="shared" si="55"/>
        <v>0</v>
      </c>
      <c r="I1031" s="20">
        <f t="shared" si="56"/>
        <v>13154.522382106812</v>
      </c>
      <c r="J1031" s="11" t="s">
        <v>88</v>
      </c>
    </row>
    <row r="1032" spans="1:10" ht="14.25" customHeight="1" x14ac:dyDescent="0.3">
      <c r="A1032" s="2" t="s">
        <v>46</v>
      </c>
      <c r="B1032" s="2" t="str">
        <f>INDEX(SETORES!$B:$B,MATCH(A1032,SETORES!$A:$A,0))</f>
        <v>Clientes</v>
      </c>
      <c r="C1032" s="2" t="s">
        <v>14</v>
      </c>
      <c r="D1032" s="14">
        <f>IF(B1032="Clientes",SUMIFS(PARÂMETROS!$D$8:$D$907,PARÂMETROS!$A$8:$A$907,C1032,PARÂMETROS!$G$8:$G$907,J1032),SUMIFS(PARÂMETROS!$E$8:$E$907,PARÂMETROS!$A$8:$A$907,C1032,PARÂMETROS!$G$8:$G$907,J1032))</f>
        <v>1.8943044073642036E-2</v>
      </c>
      <c r="E1032" s="21">
        <f>SUMIFS(SETORES!$D:$D,SETORES!$A:$A,A1032,SETORES!$F:$F,J1032)</f>
        <v>176476.64</v>
      </c>
      <c r="F1032" s="21">
        <f t="shared" si="57"/>
        <v>3343.0047694882592</v>
      </c>
      <c r="G1032" s="14">
        <f>SUMIFS(PARÂMETROS!$F$8:$F$907,PARÂMETROS!$A$8:$A$907,C1032,PARÂMETROS!$G$8:$G$907,J1032)</f>
        <v>0</v>
      </c>
      <c r="H1032" s="21">
        <f t="shared" si="55"/>
        <v>0</v>
      </c>
      <c r="I1032" s="21">
        <f t="shared" si="56"/>
        <v>3343.0047694882592</v>
      </c>
      <c r="J1032" s="2" t="s">
        <v>88</v>
      </c>
    </row>
    <row r="1033" spans="1:10" ht="14.25" customHeight="1" x14ac:dyDescent="0.3">
      <c r="A1033" s="11" t="s">
        <v>46</v>
      </c>
      <c r="B1033" s="19" t="str">
        <f>INDEX(SETORES!$B:$B,MATCH(A1033,SETORES!$A:$A,0))</f>
        <v>Clientes</v>
      </c>
      <c r="C1033" s="11" t="s">
        <v>15</v>
      </c>
      <c r="D1033" s="9">
        <f>IF(B1033="Clientes",SUMIFS(PARÂMETROS!$D$8:$D$907,PARÂMETROS!$A$8:$A$907,C1033,PARÂMETROS!$G$8:$G$907,J1033),SUMIFS(PARÂMETROS!$E$8:$E$907,PARÂMETROS!$A$8:$A$907,C1033,PARÂMETROS!$G$8:$G$907,J1033))</f>
        <v>3.3478723943804842E-2</v>
      </c>
      <c r="E1033" s="20">
        <f>SUMIFS(SETORES!$D:$D,SETORES!$A:$A,A1033,SETORES!$F:$F,J1033)</f>
        <v>176476.64</v>
      </c>
      <c r="F1033" s="20">
        <f t="shared" si="57"/>
        <v>5908.2127130902281</v>
      </c>
      <c r="G1033" s="9">
        <f>SUMIFS(PARÂMETROS!$F$8:$F$907,PARÂMETROS!$A$8:$A$907,C1033,PARÂMETROS!$G$8:$G$907,J1033)</f>
        <v>0</v>
      </c>
      <c r="H1033" s="20">
        <f t="shared" si="55"/>
        <v>0</v>
      </c>
      <c r="I1033" s="20">
        <f t="shared" si="56"/>
        <v>5908.2127130902281</v>
      </c>
      <c r="J1033" s="11" t="s">
        <v>88</v>
      </c>
    </row>
    <row r="1034" spans="1:10" ht="14.25" customHeight="1" x14ac:dyDescent="0.3">
      <c r="A1034" s="2" t="s">
        <v>46</v>
      </c>
      <c r="B1034" s="2" t="str">
        <f>INDEX(SETORES!$B:$B,MATCH(A1034,SETORES!$A:$A,0))</f>
        <v>Clientes</v>
      </c>
      <c r="C1034" s="2" t="s">
        <v>16</v>
      </c>
      <c r="D1034" s="14">
        <f>IF(B1034="Clientes",SUMIFS(PARÂMETROS!$D$8:$D$907,PARÂMETROS!$A$8:$A$907,C1034,PARÂMETROS!$G$8:$G$907,J1034),SUMIFS(PARÂMETROS!$E$8:$E$907,PARÂMETROS!$A$8:$A$907,C1034,PARÂMETROS!$G$8:$G$907,J1034))</f>
        <v>2.4288684891210631E-2</v>
      </c>
      <c r="E1034" s="21">
        <f>SUMIFS(SETORES!$D:$D,SETORES!$A:$A,A1034,SETORES!$F:$F,J1034)</f>
        <v>176476.64</v>
      </c>
      <c r="F1034" s="21">
        <f t="shared" si="57"/>
        <v>4286.3854996196178</v>
      </c>
      <c r="G1034" s="14">
        <f>SUMIFS(PARÂMETROS!$F$8:$F$907,PARÂMETROS!$A$8:$A$907,C1034,PARÂMETROS!$G$8:$G$907,J1034)</f>
        <v>0</v>
      </c>
      <c r="H1034" s="21">
        <f t="shared" si="55"/>
        <v>0</v>
      </c>
      <c r="I1034" s="21">
        <f t="shared" si="56"/>
        <v>4286.3854996196178</v>
      </c>
      <c r="J1034" s="2" t="s">
        <v>88</v>
      </c>
    </row>
    <row r="1035" spans="1:10" ht="14.25" customHeight="1" x14ac:dyDescent="0.3">
      <c r="A1035" s="11" t="s">
        <v>46</v>
      </c>
      <c r="B1035" s="19" t="str">
        <f>INDEX(SETORES!$B:$B,MATCH(A1035,SETORES!$A:$A,0))</f>
        <v>Clientes</v>
      </c>
      <c r="C1035" s="11" t="s">
        <v>17</v>
      </c>
      <c r="D1035" s="9">
        <f>IF(B1035="Clientes",SUMIFS(PARÂMETROS!$D$8:$D$907,PARÂMETROS!$A$8:$A$907,C1035,PARÂMETROS!$G$8:$G$907,J1035),SUMIFS(PARÂMETROS!$E$8:$E$907,PARÂMETROS!$A$8:$A$907,C1035,PARÂMETROS!$G$8:$G$907,J1035))</f>
        <v>2.4324187249581578E-2</v>
      </c>
      <c r="E1035" s="20">
        <f>SUMIFS(SETORES!$D:$D,SETORES!$A:$A,A1035,SETORES!$F:$F,J1035)</f>
        <v>176476.64</v>
      </c>
      <c r="F1035" s="20">
        <f t="shared" si="57"/>
        <v>4292.6508365369991</v>
      </c>
      <c r="G1035" s="9">
        <f>SUMIFS(PARÂMETROS!$F$8:$F$907,PARÂMETROS!$A$8:$A$907,C1035,PARÂMETROS!$G$8:$G$907,J1035)</f>
        <v>0</v>
      </c>
      <c r="H1035" s="20">
        <f t="shared" si="55"/>
        <v>0</v>
      </c>
      <c r="I1035" s="20">
        <f t="shared" si="56"/>
        <v>4292.6508365369991</v>
      </c>
      <c r="J1035" s="11" t="s">
        <v>88</v>
      </c>
    </row>
    <row r="1036" spans="1:10" ht="14.25" customHeight="1" x14ac:dyDescent="0.3">
      <c r="A1036" s="2" t="s">
        <v>46</v>
      </c>
      <c r="B1036" s="2" t="str">
        <f>INDEX(SETORES!$B:$B,MATCH(A1036,SETORES!$A:$A,0))</f>
        <v>Clientes</v>
      </c>
      <c r="C1036" s="2" t="s">
        <v>18</v>
      </c>
      <c r="D1036" s="14">
        <f>IF(B1036="Clientes",SUMIFS(PARÂMETROS!$D$8:$D$907,PARÂMETROS!$A$8:$A$907,C1036,PARÂMETROS!$G$8:$G$907,J1036),SUMIFS(PARÂMETROS!$E$8:$E$907,PARÂMETROS!$A$8:$A$907,C1036,PARÂMETROS!$G$8:$G$907,J1036))</f>
        <v>0.7221940457473246</v>
      </c>
      <c r="E1036" s="21">
        <f>SUMIFS(SETORES!$D:$D,SETORES!$A:$A,A1036,SETORES!$F:$F,J1036)</f>
        <v>176476.64</v>
      </c>
      <c r="F1036" s="21">
        <f t="shared" si="57"/>
        <v>127450.37862149415</v>
      </c>
      <c r="G1036" s="14">
        <f>SUMIFS(PARÂMETROS!$F$8:$F$907,PARÂMETROS!$A$8:$A$907,C1036,PARÂMETROS!$G$8:$G$907,J1036)</f>
        <v>0</v>
      </c>
      <c r="H1036" s="21">
        <f t="shared" si="55"/>
        <v>0</v>
      </c>
      <c r="I1036" s="21">
        <f t="shared" si="56"/>
        <v>127450.37862149415</v>
      </c>
      <c r="J1036" s="2" t="s">
        <v>88</v>
      </c>
    </row>
    <row r="1037" spans="1:10" ht="14.25" customHeight="1" x14ac:dyDescent="0.3">
      <c r="A1037" s="11" t="s">
        <v>47</v>
      </c>
      <c r="B1037" s="19" t="str">
        <f>INDEX(SETORES!$B:$B,MATCH(A1037,SETORES!$A:$A,0))</f>
        <v>Clientes</v>
      </c>
      <c r="C1037" s="11" t="s">
        <v>10</v>
      </c>
      <c r="D1037" s="9">
        <f>IF(B1037="Clientes",SUMIFS(PARÂMETROS!$D$8:$D$907,PARÂMETROS!$A$8:$A$907,C1037,PARÂMETROS!$G$8:$G$907,J1037),SUMIFS(PARÂMETROS!$E$8:$E$907,PARÂMETROS!$A$8:$A$907,C1037,PARÂMETROS!$G$8:$G$907,J1037))</f>
        <v>3.3712025155956789E-2</v>
      </c>
      <c r="E1037" s="20">
        <f>SUMIFS(SETORES!$D:$D,SETORES!$A:$A,A1037,SETORES!$F:$F,J1037)</f>
        <v>133708.31999999998</v>
      </c>
      <c r="F1037" s="20">
        <f t="shared" ref="F1037:F1068" si="58">IFERROR(D1037*E1037,0)</f>
        <v>4507.5782474007192</v>
      </c>
      <c r="G1037" s="9">
        <f>SUMIFS(PARÂMETROS!$F$8:$F$907,PARÂMETROS!$A$8:$A$907,C1037,PARÂMETROS!$G$8:$G$907,J1037)</f>
        <v>0</v>
      </c>
      <c r="H1037" s="20">
        <f t="shared" ref="H1037:H1100" si="59">IFERROR(F1037*G1037,0)</f>
        <v>0</v>
      </c>
      <c r="I1037" s="20">
        <f t="shared" ref="I1037:I1100" si="60">F1037+H1037</f>
        <v>4507.5782474007192</v>
      </c>
      <c r="J1037" s="11" t="s">
        <v>88</v>
      </c>
    </row>
    <row r="1038" spans="1:10" ht="14.25" customHeight="1" x14ac:dyDescent="0.3">
      <c r="A1038" s="2" t="s">
        <v>47</v>
      </c>
      <c r="B1038" s="2" t="str">
        <f>INDEX(SETORES!$B:$B,MATCH(A1038,SETORES!$A:$A,0))</f>
        <v>Clientes</v>
      </c>
      <c r="C1038" s="2" t="s">
        <v>12</v>
      </c>
      <c r="D1038" s="14">
        <f>IF(B1038="Clientes",SUMIFS(PARÂMETROS!$D$8:$D$907,PARÂMETROS!$A$8:$A$907,C1038,PARÂMETROS!$G$8:$G$907,J1038),SUMIFS(PARÂMETROS!$E$8:$E$907,PARÂMETROS!$A$8:$A$907,C1038,PARÂMETROS!$G$8:$G$907,J1038))</f>
        <v>6.8519551655931432E-2</v>
      </c>
      <c r="E1038" s="21">
        <f>SUMIFS(SETORES!$D:$D,SETORES!$A:$A,A1038,SETORES!$F:$F,J1038)</f>
        <v>133708.31999999998</v>
      </c>
      <c r="F1038" s="21">
        <f t="shared" si="58"/>
        <v>9161.6341390678081</v>
      </c>
      <c r="G1038" s="14">
        <f>SUMIFS(PARÂMETROS!$F$8:$F$907,PARÂMETROS!$A$8:$A$907,C1038,PARÂMETROS!$G$8:$G$907,J1038)</f>
        <v>0</v>
      </c>
      <c r="H1038" s="21">
        <f t="shared" si="59"/>
        <v>0</v>
      </c>
      <c r="I1038" s="21">
        <f t="shared" si="60"/>
        <v>9161.6341390678081</v>
      </c>
      <c r="J1038" s="2" t="s">
        <v>88</v>
      </c>
    </row>
    <row r="1039" spans="1:10" ht="14.25" customHeight="1" x14ac:dyDescent="0.3">
      <c r="A1039" s="11" t="s">
        <v>47</v>
      </c>
      <c r="B1039" s="19" t="str">
        <f>INDEX(SETORES!$B:$B,MATCH(A1039,SETORES!$A:$A,0))</f>
        <v>Clientes</v>
      </c>
      <c r="C1039" s="11" t="s">
        <v>13</v>
      </c>
      <c r="D1039" s="9">
        <f>IF(B1039="Clientes",SUMIFS(PARÂMETROS!$D$8:$D$907,PARÂMETROS!$A$8:$A$907,C1039,PARÂMETROS!$G$8:$G$907,J1039),SUMIFS(PARÂMETROS!$E$8:$E$907,PARÂMETROS!$A$8:$A$907,C1039,PARÂMETROS!$G$8:$G$907,J1039))</f>
        <v>7.4539737282548049E-2</v>
      </c>
      <c r="E1039" s="20">
        <f>SUMIFS(SETORES!$D:$D,SETORES!$A:$A,A1039,SETORES!$F:$F,J1039)</f>
        <v>133708.31999999998</v>
      </c>
      <c r="F1039" s="20">
        <f t="shared" si="58"/>
        <v>9966.5830452908631</v>
      </c>
      <c r="G1039" s="9">
        <f>SUMIFS(PARÂMETROS!$F$8:$F$907,PARÂMETROS!$A$8:$A$907,C1039,PARÂMETROS!$G$8:$G$907,J1039)</f>
        <v>0</v>
      </c>
      <c r="H1039" s="20">
        <f t="shared" si="59"/>
        <v>0</v>
      </c>
      <c r="I1039" s="20">
        <f t="shared" si="60"/>
        <v>9966.5830452908631</v>
      </c>
      <c r="J1039" s="11" t="s">
        <v>88</v>
      </c>
    </row>
    <row r="1040" spans="1:10" ht="14.25" customHeight="1" x14ac:dyDescent="0.3">
      <c r="A1040" s="2" t="s">
        <v>47</v>
      </c>
      <c r="B1040" s="2" t="str">
        <f>INDEX(SETORES!$B:$B,MATCH(A1040,SETORES!$A:$A,0))</f>
        <v>Clientes</v>
      </c>
      <c r="C1040" s="2" t="s">
        <v>14</v>
      </c>
      <c r="D1040" s="14">
        <f>IF(B1040="Clientes",SUMIFS(PARÂMETROS!$D$8:$D$907,PARÂMETROS!$A$8:$A$907,C1040,PARÂMETROS!$G$8:$G$907,J1040),SUMIFS(PARÂMETROS!$E$8:$E$907,PARÂMETROS!$A$8:$A$907,C1040,PARÂMETROS!$G$8:$G$907,J1040))</f>
        <v>1.8943044073642036E-2</v>
      </c>
      <c r="E1040" s="21">
        <f>SUMIFS(SETORES!$D:$D,SETORES!$A:$A,A1040,SETORES!$F:$F,J1040)</f>
        <v>133708.31999999998</v>
      </c>
      <c r="F1040" s="21">
        <f t="shared" si="58"/>
        <v>2532.8425987726323</v>
      </c>
      <c r="G1040" s="14">
        <f>SUMIFS(PARÂMETROS!$F$8:$F$907,PARÂMETROS!$A$8:$A$907,C1040,PARÂMETROS!$G$8:$G$907,J1040)</f>
        <v>0</v>
      </c>
      <c r="H1040" s="21">
        <f t="shared" si="59"/>
        <v>0</v>
      </c>
      <c r="I1040" s="21">
        <f t="shared" si="60"/>
        <v>2532.8425987726323</v>
      </c>
      <c r="J1040" s="2" t="s">
        <v>88</v>
      </c>
    </row>
    <row r="1041" spans="1:10" ht="14.25" customHeight="1" x14ac:dyDescent="0.3">
      <c r="A1041" s="11" t="s">
        <v>47</v>
      </c>
      <c r="B1041" s="19" t="str">
        <f>INDEX(SETORES!$B:$B,MATCH(A1041,SETORES!$A:$A,0))</f>
        <v>Clientes</v>
      </c>
      <c r="C1041" s="11" t="s">
        <v>15</v>
      </c>
      <c r="D1041" s="9">
        <f>IF(B1041="Clientes",SUMIFS(PARÂMETROS!$D$8:$D$907,PARÂMETROS!$A$8:$A$907,C1041,PARÂMETROS!$G$8:$G$907,J1041),SUMIFS(PARÂMETROS!$E$8:$E$907,PARÂMETROS!$A$8:$A$907,C1041,PARÂMETROS!$G$8:$G$907,J1041))</f>
        <v>3.3478723943804842E-2</v>
      </c>
      <c r="E1041" s="20">
        <f>SUMIFS(SETORES!$D:$D,SETORES!$A:$A,A1041,SETORES!$F:$F,J1041)</f>
        <v>133708.31999999998</v>
      </c>
      <c r="F1041" s="20">
        <f t="shared" si="58"/>
        <v>4476.3839342699193</v>
      </c>
      <c r="G1041" s="9">
        <f>SUMIFS(PARÂMETROS!$F$8:$F$907,PARÂMETROS!$A$8:$A$907,C1041,PARÂMETROS!$G$8:$G$907,J1041)</f>
        <v>0</v>
      </c>
      <c r="H1041" s="20">
        <f t="shared" si="59"/>
        <v>0</v>
      </c>
      <c r="I1041" s="20">
        <f t="shared" si="60"/>
        <v>4476.3839342699193</v>
      </c>
      <c r="J1041" s="11" t="s">
        <v>88</v>
      </c>
    </row>
    <row r="1042" spans="1:10" ht="14.25" customHeight="1" x14ac:dyDescent="0.3">
      <c r="A1042" s="2" t="s">
        <v>47</v>
      </c>
      <c r="B1042" s="2" t="str">
        <f>INDEX(SETORES!$B:$B,MATCH(A1042,SETORES!$A:$A,0))</f>
        <v>Clientes</v>
      </c>
      <c r="C1042" s="2" t="s">
        <v>16</v>
      </c>
      <c r="D1042" s="14">
        <f>IF(B1042="Clientes",SUMIFS(PARÂMETROS!$D$8:$D$907,PARÂMETROS!$A$8:$A$907,C1042,PARÂMETROS!$G$8:$G$907,J1042),SUMIFS(PARÂMETROS!$E$8:$E$907,PARÂMETROS!$A$8:$A$907,C1042,PARÂMETROS!$G$8:$G$907,J1042))</f>
        <v>2.4288684891210631E-2</v>
      </c>
      <c r="E1042" s="21">
        <f>SUMIFS(SETORES!$D:$D,SETORES!$A:$A,A1042,SETORES!$F:$F,J1042)</f>
        <v>133708.31999999998</v>
      </c>
      <c r="F1042" s="21">
        <f t="shared" si="58"/>
        <v>3247.5992518131557</v>
      </c>
      <c r="G1042" s="14">
        <f>SUMIFS(PARÂMETROS!$F$8:$F$907,PARÂMETROS!$A$8:$A$907,C1042,PARÂMETROS!$G$8:$G$907,J1042)</f>
        <v>0</v>
      </c>
      <c r="H1042" s="21">
        <f t="shared" si="59"/>
        <v>0</v>
      </c>
      <c r="I1042" s="21">
        <f t="shared" si="60"/>
        <v>3247.5992518131557</v>
      </c>
      <c r="J1042" s="2" t="s">
        <v>88</v>
      </c>
    </row>
    <row r="1043" spans="1:10" ht="14.25" customHeight="1" x14ac:dyDescent="0.3">
      <c r="A1043" s="11" t="s">
        <v>47</v>
      </c>
      <c r="B1043" s="19" t="str">
        <f>INDEX(SETORES!$B:$B,MATCH(A1043,SETORES!$A:$A,0))</f>
        <v>Clientes</v>
      </c>
      <c r="C1043" s="11" t="s">
        <v>17</v>
      </c>
      <c r="D1043" s="9">
        <f>IF(B1043="Clientes",SUMIFS(PARÂMETROS!$D$8:$D$907,PARÂMETROS!$A$8:$A$907,C1043,PARÂMETROS!$G$8:$G$907,J1043),SUMIFS(PARÂMETROS!$E$8:$E$907,PARÂMETROS!$A$8:$A$907,C1043,PARÂMETROS!$G$8:$G$907,J1043))</f>
        <v>2.4324187249581578E-2</v>
      </c>
      <c r="E1043" s="20">
        <f>SUMIFS(SETORES!$D:$D,SETORES!$A:$A,A1043,SETORES!$F:$F,J1043)</f>
        <v>133708.31999999998</v>
      </c>
      <c r="F1043" s="20">
        <f t="shared" si="58"/>
        <v>3252.3462125069732</v>
      </c>
      <c r="G1043" s="9">
        <f>SUMIFS(PARÂMETROS!$F$8:$F$907,PARÂMETROS!$A$8:$A$907,C1043,PARÂMETROS!$G$8:$G$907,J1043)</f>
        <v>0</v>
      </c>
      <c r="H1043" s="20">
        <f t="shared" si="59"/>
        <v>0</v>
      </c>
      <c r="I1043" s="20">
        <f t="shared" si="60"/>
        <v>3252.3462125069732</v>
      </c>
      <c r="J1043" s="11" t="s">
        <v>88</v>
      </c>
    </row>
    <row r="1044" spans="1:10" ht="14.25" customHeight="1" x14ac:dyDescent="0.3">
      <c r="A1044" s="2" t="s">
        <v>47</v>
      </c>
      <c r="B1044" s="2" t="str">
        <f>INDEX(SETORES!$B:$B,MATCH(A1044,SETORES!$A:$A,0))</f>
        <v>Clientes</v>
      </c>
      <c r="C1044" s="2" t="s">
        <v>18</v>
      </c>
      <c r="D1044" s="14">
        <f>IF(B1044="Clientes",SUMIFS(PARÂMETROS!$D$8:$D$907,PARÂMETROS!$A$8:$A$907,C1044,PARÂMETROS!$G$8:$G$907,J1044),SUMIFS(PARÂMETROS!$E$8:$E$907,PARÂMETROS!$A$8:$A$907,C1044,PARÂMETROS!$G$8:$G$907,J1044))</f>
        <v>0.7221940457473246</v>
      </c>
      <c r="E1044" s="21">
        <f>SUMIFS(SETORES!$D:$D,SETORES!$A:$A,A1044,SETORES!$F:$F,J1044)</f>
        <v>133708.31999999998</v>
      </c>
      <c r="F1044" s="21">
        <f t="shared" si="58"/>
        <v>96563.352570877905</v>
      </c>
      <c r="G1044" s="14">
        <f>SUMIFS(PARÂMETROS!$F$8:$F$907,PARÂMETROS!$A$8:$A$907,C1044,PARÂMETROS!$G$8:$G$907,J1044)</f>
        <v>0</v>
      </c>
      <c r="H1044" s="21">
        <f t="shared" si="59"/>
        <v>0</v>
      </c>
      <c r="I1044" s="21">
        <f t="shared" si="60"/>
        <v>96563.352570877905</v>
      </c>
      <c r="J1044" s="2" t="s">
        <v>88</v>
      </c>
    </row>
    <row r="1045" spans="1:10" ht="14.25" customHeight="1" x14ac:dyDescent="0.3">
      <c r="A1045" s="11" t="s">
        <v>48</v>
      </c>
      <c r="B1045" s="19" t="str">
        <f>INDEX(SETORES!$B:$B,MATCH(A1045,SETORES!$A:$A,0))</f>
        <v>Clientes</v>
      </c>
      <c r="C1045" s="11" t="s">
        <v>10</v>
      </c>
      <c r="D1045" s="9">
        <f>IF(B1045="Clientes",SUMIFS(PARÂMETROS!$D$8:$D$907,PARÂMETROS!$A$8:$A$907,C1045,PARÂMETROS!$G$8:$G$907,J1045),SUMIFS(PARÂMETROS!$E$8:$E$907,PARÂMETROS!$A$8:$A$907,C1045,PARÂMETROS!$G$8:$G$907,J1045))</f>
        <v>3.3712025155956789E-2</v>
      </c>
      <c r="E1045" s="20">
        <f>SUMIFS(SETORES!$D:$D,SETORES!$A:$A,A1045,SETORES!$F:$F,J1045)</f>
        <v>147825.81</v>
      </c>
      <c r="F1045" s="20">
        <f t="shared" si="58"/>
        <v>4983.5074254196888</v>
      </c>
      <c r="G1045" s="9">
        <f>SUMIFS(PARÂMETROS!$F$8:$F$907,PARÂMETROS!$A$8:$A$907,C1045,PARÂMETROS!$G$8:$G$907,J1045)</f>
        <v>0</v>
      </c>
      <c r="H1045" s="20">
        <f t="shared" si="59"/>
        <v>0</v>
      </c>
      <c r="I1045" s="20">
        <f t="shared" si="60"/>
        <v>4983.5074254196888</v>
      </c>
      <c r="J1045" s="11" t="s">
        <v>88</v>
      </c>
    </row>
    <row r="1046" spans="1:10" ht="14.25" customHeight="1" x14ac:dyDescent="0.3">
      <c r="A1046" s="2" t="s">
        <v>48</v>
      </c>
      <c r="B1046" s="2" t="str">
        <f>INDEX(SETORES!$B:$B,MATCH(A1046,SETORES!$A:$A,0))</f>
        <v>Clientes</v>
      </c>
      <c r="C1046" s="2" t="s">
        <v>12</v>
      </c>
      <c r="D1046" s="14">
        <f>IF(B1046="Clientes",SUMIFS(PARÂMETROS!$D$8:$D$907,PARÂMETROS!$A$8:$A$907,C1046,PARÂMETROS!$G$8:$G$907,J1046),SUMIFS(PARÂMETROS!$E$8:$E$907,PARÂMETROS!$A$8:$A$907,C1046,PARÂMETROS!$G$8:$G$907,J1046))</f>
        <v>6.8519551655931432E-2</v>
      </c>
      <c r="E1046" s="21">
        <f>SUMIFS(SETORES!$D:$D,SETORES!$A:$A,A1046,SETORES!$F:$F,J1046)</f>
        <v>147825.81</v>
      </c>
      <c r="F1046" s="21">
        <f t="shared" si="58"/>
        <v>10128.958224374905</v>
      </c>
      <c r="G1046" s="14">
        <f>SUMIFS(PARÂMETROS!$F$8:$F$907,PARÂMETROS!$A$8:$A$907,C1046,PARÂMETROS!$G$8:$G$907,J1046)</f>
        <v>0</v>
      </c>
      <c r="H1046" s="21">
        <f t="shared" si="59"/>
        <v>0</v>
      </c>
      <c r="I1046" s="21">
        <f t="shared" si="60"/>
        <v>10128.958224374905</v>
      </c>
      <c r="J1046" s="2" t="s">
        <v>88</v>
      </c>
    </row>
    <row r="1047" spans="1:10" ht="14.25" customHeight="1" x14ac:dyDescent="0.3">
      <c r="A1047" s="11" t="s">
        <v>48</v>
      </c>
      <c r="B1047" s="19" t="str">
        <f>INDEX(SETORES!$B:$B,MATCH(A1047,SETORES!$A:$A,0))</f>
        <v>Clientes</v>
      </c>
      <c r="C1047" s="11" t="s">
        <v>13</v>
      </c>
      <c r="D1047" s="9">
        <f>IF(B1047="Clientes",SUMIFS(PARÂMETROS!$D$8:$D$907,PARÂMETROS!$A$8:$A$907,C1047,PARÂMETROS!$G$8:$G$907,J1047),SUMIFS(PARÂMETROS!$E$8:$E$907,PARÂMETROS!$A$8:$A$907,C1047,PARÂMETROS!$G$8:$G$907,J1047))</f>
        <v>7.4539737282548049E-2</v>
      </c>
      <c r="E1047" s="20">
        <f>SUMIFS(SETORES!$D:$D,SETORES!$A:$A,A1047,SETORES!$F:$F,J1047)</f>
        <v>147825.81</v>
      </c>
      <c r="F1047" s="20">
        <f t="shared" si="58"/>
        <v>11018.897040979864</v>
      </c>
      <c r="G1047" s="9">
        <f>SUMIFS(PARÂMETROS!$F$8:$F$907,PARÂMETROS!$A$8:$A$907,C1047,PARÂMETROS!$G$8:$G$907,J1047)</f>
        <v>0</v>
      </c>
      <c r="H1047" s="20">
        <f t="shared" si="59"/>
        <v>0</v>
      </c>
      <c r="I1047" s="20">
        <f t="shared" si="60"/>
        <v>11018.897040979864</v>
      </c>
      <c r="J1047" s="11" t="s">
        <v>88</v>
      </c>
    </row>
    <row r="1048" spans="1:10" ht="14.25" customHeight="1" x14ac:dyDescent="0.3">
      <c r="A1048" s="2" t="s">
        <v>48</v>
      </c>
      <c r="B1048" s="2" t="str">
        <f>INDEX(SETORES!$B:$B,MATCH(A1048,SETORES!$A:$A,0))</f>
        <v>Clientes</v>
      </c>
      <c r="C1048" s="2" t="s">
        <v>14</v>
      </c>
      <c r="D1048" s="14">
        <f>IF(B1048="Clientes",SUMIFS(PARÂMETROS!$D$8:$D$907,PARÂMETROS!$A$8:$A$907,C1048,PARÂMETROS!$G$8:$G$907,J1048),SUMIFS(PARÂMETROS!$E$8:$E$907,PARÂMETROS!$A$8:$A$907,C1048,PARÂMETROS!$G$8:$G$907,J1048))</f>
        <v>1.8943044073642036E-2</v>
      </c>
      <c r="E1048" s="21">
        <f>SUMIFS(SETORES!$D:$D,SETORES!$A:$A,A1048,SETORES!$F:$F,J1048)</f>
        <v>147825.81</v>
      </c>
      <c r="F1048" s="21">
        <f t="shared" si="58"/>
        <v>2800.2708340518334</v>
      </c>
      <c r="G1048" s="14">
        <f>SUMIFS(PARÂMETROS!$F$8:$F$907,PARÂMETROS!$A$8:$A$907,C1048,PARÂMETROS!$G$8:$G$907,J1048)</f>
        <v>0</v>
      </c>
      <c r="H1048" s="21">
        <f t="shared" si="59"/>
        <v>0</v>
      </c>
      <c r="I1048" s="21">
        <f t="shared" si="60"/>
        <v>2800.2708340518334</v>
      </c>
      <c r="J1048" s="2" t="s">
        <v>88</v>
      </c>
    </row>
    <row r="1049" spans="1:10" ht="14.25" customHeight="1" x14ac:dyDescent="0.3">
      <c r="A1049" s="11" t="s">
        <v>48</v>
      </c>
      <c r="B1049" s="19" t="str">
        <f>INDEX(SETORES!$B:$B,MATCH(A1049,SETORES!$A:$A,0))</f>
        <v>Clientes</v>
      </c>
      <c r="C1049" s="11" t="s">
        <v>15</v>
      </c>
      <c r="D1049" s="9">
        <f>IF(B1049="Clientes",SUMIFS(PARÂMETROS!$D$8:$D$907,PARÂMETROS!$A$8:$A$907,C1049,PARÂMETROS!$G$8:$G$907,J1049),SUMIFS(PARÂMETROS!$E$8:$E$907,PARÂMETROS!$A$8:$A$907,C1049,PARÂMETROS!$G$8:$G$907,J1049))</f>
        <v>3.3478723943804842E-2</v>
      </c>
      <c r="E1049" s="20">
        <f>SUMIFS(SETORES!$D:$D,SETORES!$A:$A,A1049,SETORES!$F:$F,J1049)</f>
        <v>147825.81</v>
      </c>
      <c r="F1049" s="20">
        <f t="shared" si="58"/>
        <v>4949.0194847593448</v>
      </c>
      <c r="G1049" s="9">
        <f>SUMIFS(PARÂMETROS!$F$8:$F$907,PARÂMETROS!$A$8:$A$907,C1049,PARÂMETROS!$G$8:$G$907,J1049)</f>
        <v>0</v>
      </c>
      <c r="H1049" s="20">
        <f t="shared" si="59"/>
        <v>0</v>
      </c>
      <c r="I1049" s="20">
        <f t="shared" si="60"/>
        <v>4949.0194847593448</v>
      </c>
      <c r="J1049" s="11" t="s">
        <v>88</v>
      </c>
    </row>
    <row r="1050" spans="1:10" ht="14.25" customHeight="1" x14ac:dyDescent="0.3">
      <c r="A1050" s="2" t="s">
        <v>48</v>
      </c>
      <c r="B1050" s="2" t="str">
        <f>INDEX(SETORES!$B:$B,MATCH(A1050,SETORES!$A:$A,0))</f>
        <v>Clientes</v>
      </c>
      <c r="C1050" s="2" t="s">
        <v>16</v>
      </c>
      <c r="D1050" s="14">
        <f>IF(B1050="Clientes",SUMIFS(PARÂMETROS!$D$8:$D$907,PARÂMETROS!$A$8:$A$907,C1050,PARÂMETROS!$G$8:$G$907,J1050),SUMIFS(PARÂMETROS!$E$8:$E$907,PARÂMETROS!$A$8:$A$907,C1050,PARÂMETROS!$G$8:$G$907,J1050))</f>
        <v>2.4288684891210631E-2</v>
      </c>
      <c r="E1050" s="21">
        <f>SUMIFS(SETORES!$D:$D,SETORES!$A:$A,A1050,SETORES!$F:$F,J1050)</f>
        <v>147825.81</v>
      </c>
      <c r="F1050" s="21">
        <f t="shared" si="58"/>
        <v>3590.4945178779735</v>
      </c>
      <c r="G1050" s="14">
        <f>SUMIFS(PARÂMETROS!$F$8:$F$907,PARÂMETROS!$A$8:$A$907,C1050,PARÂMETROS!$G$8:$G$907,J1050)</f>
        <v>0</v>
      </c>
      <c r="H1050" s="21">
        <f t="shared" si="59"/>
        <v>0</v>
      </c>
      <c r="I1050" s="21">
        <f t="shared" si="60"/>
        <v>3590.4945178779735</v>
      </c>
      <c r="J1050" s="2" t="s">
        <v>88</v>
      </c>
    </row>
    <row r="1051" spans="1:10" ht="14.25" customHeight="1" x14ac:dyDescent="0.3">
      <c r="A1051" s="11" t="s">
        <v>48</v>
      </c>
      <c r="B1051" s="19" t="str">
        <f>INDEX(SETORES!$B:$B,MATCH(A1051,SETORES!$A:$A,0))</f>
        <v>Clientes</v>
      </c>
      <c r="C1051" s="11" t="s">
        <v>17</v>
      </c>
      <c r="D1051" s="9">
        <f>IF(B1051="Clientes",SUMIFS(PARÂMETROS!$D$8:$D$907,PARÂMETROS!$A$8:$A$907,C1051,PARÂMETROS!$G$8:$G$907,J1051),SUMIFS(PARÂMETROS!$E$8:$E$907,PARÂMETROS!$A$8:$A$907,C1051,PARÂMETROS!$G$8:$G$907,J1051))</f>
        <v>2.4324187249581578E-2</v>
      </c>
      <c r="E1051" s="20">
        <f>SUMIFS(SETORES!$D:$D,SETORES!$A:$A,A1051,SETORES!$F:$F,J1051)</f>
        <v>147825.81</v>
      </c>
      <c r="F1051" s="20">
        <f t="shared" si="58"/>
        <v>3595.7426827610689</v>
      </c>
      <c r="G1051" s="9">
        <f>SUMIFS(PARÂMETROS!$F$8:$F$907,PARÂMETROS!$A$8:$A$907,C1051,PARÂMETROS!$G$8:$G$907,J1051)</f>
        <v>0</v>
      </c>
      <c r="H1051" s="20">
        <f t="shared" si="59"/>
        <v>0</v>
      </c>
      <c r="I1051" s="20">
        <f t="shared" si="60"/>
        <v>3595.7426827610689</v>
      </c>
      <c r="J1051" s="11" t="s">
        <v>88</v>
      </c>
    </row>
    <row r="1052" spans="1:10" ht="14.25" customHeight="1" x14ac:dyDescent="0.3">
      <c r="A1052" s="2" t="s">
        <v>48</v>
      </c>
      <c r="B1052" s="2" t="str">
        <f>INDEX(SETORES!$B:$B,MATCH(A1052,SETORES!$A:$A,0))</f>
        <v>Clientes</v>
      </c>
      <c r="C1052" s="2" t="s">
        <v>18</v>
      </c>
      <c r="D1052" s="14">
        <f>IF(B1052="Clientes",SUMIFS(PARÂMETROS!$D$8:$D$907,PARÂMETROS!$A$8:$A$907,C1052,PARÂMETROS!$G$8:$G$907,J1052),SUMIFS(PARÂMETROS!$E$8:$E$907,PARÂMETROS!$A$8:$A$907,C1052,PARÂMETROS!$G$8:$G$907,J1052))</f>
        <v>0.7221940457473246</v>
      </c>
      <c r="E1052" s="21">
        <f>SUMIFS(SETORES!$D:$D,SETORES!$A:$A,A1052,SETORES!$F:$F,J1052)</f>
        <v>147825.81</v>
      </c>
      <c r="F1052" s="21">
        <f t="shared" si="58"/>
        <v>106758.91978977532</v>
      </c>
      <c r="G1052" s="14">
        <f>SUMIFS(PARÂMETROS!$F$8:$F$907,PARÂMETROS!$A$8:$A$907,C1052,PARÂMETROS!$G$8:$G$907,J1052)</f>
        <v>0</v>
      </c>
      <c r="H1052" s="21">
        <f t="shared" si="59"/>
        <v>0</v>
      </c>
      <c r="I1052" s="21">
        <f t="shared" si="60"/>
        <v>106758.91978977532</v>
      </c>
      <c r="J1052" s="2" t="s">
        <v>88</v>
      </c>
    </row>
    <row r="1053" spans="1:10" ht="14.25" customHeight="1" x14ac:dyDescent="0.3">
      <c r="A1053" s="11" t="s">
        <v>49</v>
      </c>
      <c r="B1053" s="19" t="str">
        <f>INDEX(SETORES!$B:$B,MATCH(A1053,SETORES!$A:$A,0))</f>
        <v>Clientes</v>
      </c>
      <c r="C1053" s="11" t="s">
        <v>10</v>
      </c>
      <c r="D1053" s="9">
        <f>IF(B1053="Clientes",SUMIFS(PARÂMETROS!$D$8:$D$907,PARÂMETROS!$A$8:$A$907,C1053,PARÂMETROS!$G$8:$G$907,J1053),SUMIFS(PARÂMETROS!$E$8:$E$907,PARÂMETROS!$A$8:$A$907,C1053,PARÂMETROS!$G$8:$G$907,J1053))</f>
        <v>3.3712025155956789E-2</v>
      </c>
      <c r="E1053" s="20">
        <f>SUMIFS(SETORES!$D:$D,SETORES!$A:$A,A1053,SETORES!$F:$F,J1053)</f>
        <v>31126.48</v>
      </c>
      <c r="F1053" s="20">
        <f t="shared" si="58"/>
        <v>1049.336676776386</v>
      </c>
      <c r="G1053" s="9">
        <f>SUMIFS(PARÂMETROS!$F$8:$F$907,PARÂMETROS!$A$8:$A$907,C1053,PARÂMETROS!$G$8:$G$907,J1053)</f>
        <v>0</v>
      </c>
      <c r="H1053" s="20">
        <f t="shared" si="59"/>
        <v>0</v>
      </c>
      <c r="I1053" s="20">
        <f t="shared" si="60"/>
        <v>1049.336676776386</v>
      </c>
      <c r="J1053" s="11" t="s">
        <v>88</v>
      </c>
    </row>
    <row r="1054" spans="1:10" ht="14.25" customHeight="1" x14ac:dyDescent="0.3">
      <c r="A1054" s="2" t="s">
        <v>49</v>
      </c>
      <c r="B1054" s="2" t="str">
        <f>INDEX(SETORES!$B:$B,MATCH(A1054,SETORES!$A:$A,0))</f>
        <v>Clientes</v>
      </c>
      <c r="C1054" s="2" t="s">
        <v>12</v>
      </c>
      <c r="D1054" s="14">
        <f>IF(B1054="Clientes",SUMIFS(PARÂMETROS!$D$8:$D$907,PARÂMETROS!$A$8:$A$907,C1054,PARÂMETROS!$G$8:$G$907,J1054),SUMIFS(PARÂMETROS!$E$8:$E$907,PARÂMETROS!$A$8:$A$907,C1054,PARÂMETROS!$G$8:$G$907,J1054))</f>
        <v>6.8519551655931432E-2</v>
      </c>
      <c r="E1054" s="21">
        <f>SUMIFS(SETORES!$D:$D,SETORES!$A:$A,A1054,SETORES!$F:$F,J1054)</f>
        <v>31126.48</v>
      </c>
      <c r="F1054" s="21">
        <f t="shared" si="58"/>
        <v>2132.7724542273168</v>
      </c>
      <c r="G1054" s="14">
        <f>SUMIFS(PARÂMETROS!$F$8:$F$907,PARÂMETROS!$A$8:$A$907,C1054,PARÂMETROS!$G$8:$G$907,J1054)</f>
        <v>0</v>
      </c>
      <c r="H1054" s="21">
        <f t="shared" si="59"/>
        <v>0</v>
      </c>
      <c r="I1054" s="21">
        <f t="shared" si="60"/>
        <v>2132.7724542273168</v>
      </c>
      <c r="J1054" s="2" t="s">
        <v>88</v>
      </c>
    </row>
    <row r="1055" spans="1:10" ht="14.25" customHeight="1" x14ac:dyDescent="0.3">
      <c r="A1055" s="11" t="s">
        <v>49</v>
      </c>
      <c r="B1055" s="19" t="str">
        <f>INDEX(SETORES!$B:$B,MATCH(A1055,SETORES!$A:$A,0))</f>
        <v>Clientes</v>
      </c>
      <c r="C1055" s="11" t="s">
        <v>13</v>
      </c>
      <c r="D1055" s="9">
        <f>IF(B1055="Clientes",SUMIFS(PARÂMETROS!$D$8:$D$907,PARÂMETROS!$A$8:$A$907,C1055,PARÂMETROS!$G$8:$G$907,J1055),SUMIFS(PARÂMETROS!$E$8:$E$907,PARÂMETROS!$A$8:$A$907,C1055,PARÂMETROS!$G$8:$G$907,J1055))</f>
        <v>7.4539737282548049E-2</v>
      </c>
      <c r="E1055" s="20">
        <f>SUMIFS(SETORES!$D:$D,SETORES!$A:$A,A1055,SETORES!$F:$F,J1055)</f>
        <v>31126.48</v>
      </c>
      <c r="F1055" s="20">
        <f t="shared" si="58"/>
        <v>2320.1596417304863</v>
      </c>
      <c r="G1055" s="9">
        <f>SUMIFS(PARÂMETROS!$F$8:$F$907,PARÂMETROS!$A$8:$A$907,C1055,PARÂMETROS!$G$8:$G$907,J1055)</f>
        <v>0</v>
      </c>
      <c r="H1055" s="20">
        <f t="shared" si="59"/>
        <v>0</v>
      </c>
      <c r="I1055" s="20">
        <f t="shared" si="60"/>
        <v>2320.1596417304863</v>
      </c>
      <c r="J1055" s="11" t="s">
        <v>88</v>
      </c>
    </row>
    <row r="1056" spans="1:10" ht="14.25" customHeight="1" x14ac:dyDescent="0.3">
      <c r="A1056" s="2" t="s">
        <v>49</v>
      </c>
      <c r="B1056" s="2" t="str">
        <f>INDEX(SETORES!$B:$B,MATCH(A1056,SETORES!$A:$A,0))</f>
        <v>Clientes</v>
      </c>
      <c r="C1056" s="2" t="s">
        <v>14</v>
      </c>
      <c r="D1056" s="14">
        <f>IF(B1056="Clientes",SUMIFS(PARÂMETROS!$D$8:$D$907,PARÂMETROS!$A$8:$A$907,C1056,PARÂMETROS!$G$8:$G$907,J1056),SUMIFS(PARÂMETROS!$E$8:$E$907,PARÂMETROS!$A$8:$A$907,C1056,PARÂMETROS!$G$8:$G$907,J1056))</f>
        <v>1.8943044073642036E-2</v>
      </c>
      <c r="E1056" s="21">
        <f>SUMIFS(SETORES!$D:$D,SETORES!$A:$A,A1056,SETORES!$F:$F,J1056)</f>
        <v>31126.48</v>
      </c>
      <c r="F1056" s="21">
        <f t="shared" si="58"/>
        <v>589.63028249733736</v>
      </c>
      <c r="G1056" s="14">
        <f>SUMIFS(PARÂMETROS!$F$8:$F$907,PARÂMETROS!$A$8:$A$907,C1056,PARÂMETROS!$G$8:$G$907,J1056)</f>
        <v>0</v>
      </c>
      <c r="H1056" s="21">
        <f t="shared" si="59"/>
        <v>0</v>
      </c>
      <c r="I1056" s="21">
        <f t="shared" si="60"/>
        <v>589.63028249733736</v>
      </c>
      <c r="J1056" s="2" t="s">
        <v>88</v>
      </c>
    </row>
    <row r="1057" spans="1:10" ht="14.25" customHeight="1" x14ac:dyDescent="0.3">
      <c r="A1057" s="11" t="s">
        <v>49</v>
      </c>
      <c r="B1057" s="19" t="str">
        <f>INDEX(SETORES!$B:$B,MATCH(A1057,SETORES!$A:$A,0))</f>
        <v>Clientes</v>
      </c>
      <c r="C1057" s="11" t="s">
        <v>15</v>
      </c>
      <c r="D1057" s="9">
        <f>IF(B1057="Clientes",SUMIFS(PARÂMETROS!$D$8:$D$907,PARÂMETROS!$A$8:$A$907,C1057,PARÂMETROS!$G$8:$G$907,J1057),SUMIFS(PARÂMETROS!$E$8:$E$907,PARÂMETROS!$A$8:$A$907,C1057,PARÂMETROS!$G$8:$G$907,J1057))</f>
        <v>3.3478723943804842E-2</v>
      </c>
      <c r="E1057" s="20">
        <f>SUMIFS(SETORES!$D:$D,SETORES!$A:$A,A1057,SETORES!$F:$F,J1057)</f>
        <v>31126.48</v>
      </c>
      <c r="F1057" s="20">
        <f t="shared" si="58"/>
        <v>1042.0748312623625</v>
      </c>
      <c r="G1057" s="9">
        <f>SUMIFS(PARÂMETROS!$F$8:$F$907,PARÂMETROS!$A$8:$A$907,C1057,PARÂMETROS!$G$8:$G$907,J1057)</f>
        <v>0</v>
      </c>
      <c r="H1057" s="20">
        <f t="shared" si="59"/>
        <v>0</v>
      </c>
      <c r="I1057" s="20">
        <f t="shared" si="60"/>
        <v>1042.0748312623625</v>
      </c>
      <c r="J1057" s="11" t="s">
        <v>88</v>
      </c>
    </row>
    <row r="1058" spans="1:10" ht="14.25" customHeight="1" x14ac:dyDescent="0.3">
      <c r="A1058" s="2" t="s">
        <v>49</v>
      </c>
      <c r="B1058" s="2" t="str">
        <f>INDEX(SETORES!$B:$B,MATCH(A1058,SETORES!$A:$A,0))</f>
        <v>Clientes</v>
      </c>
      <c r="C1058" s="2" t="s">
        <v>16</v>
      </c>
      <c r="D1058" s="14">
        <f>IF(B1058="Clientes",SUMIFS(PARÂMETROS!$D$8:$D$907,PARÂMETROS!$A$8:$A$907,C1058,PARÂMETROS!$G$8:$G$907,J1058),SUMIFS(PARÂMETROS!$E$8:$E$907,PARÂMETROS!$A$8:$A$907,C1058,PARÂMETROS!$G$8:$G$907,J1058))</f>
        <v>2.4288684891210631E-2</v>
      </c>
      <c r="E1058" s="21">
        <f>SUMIFS(SETORES!$D:$D,SETORES!$A:$A,A1058,SETORES!$F:$F,J1058)</f>
        <v>31126.48</v>
      </c>
      <c r="F1058" s="21">
        <f t="shared" si="58"/>
        <v>756.02126449256991</v>
      </c>
      <c r="G1058" s="14">
        <f>SUMIFS(PARÂMETROS!$F$8:$F$907,PARÂMETROS!$A$8:$A$907,C1058,PARÂMETROS!$G$8:$G$907,J1058)</f>
        <v>0</v>
      </c>
      <c r="H1058" s="21">
        <f t="shared" si="59"/>
        <v>0</v>
      </c>
      <c r="I1058" s="21">
        <f t="shared" si="60"/>
        <v>756.02126449256991</v>
      </c>
      <c r="J1058" s="2" t="s">
        <v>88</v>
      </c>
    </row>
    <row r="1059" spans="1:10" ht="14.25" customHeight="1" x14ac:dyDescent="0.3">
      <c r="A1059" s="11" t="s">
        <v>49</v>
      </c>
      <c r="B1059" s="19" t="str">
        <f>INDEX(SETORES!$B:$B,MATCH(A1059,SETORES!$A:$A,0))</f>
        <v>Clientes</v>
      </c>
      <c r="C1059" s="11" t="s">
        <v>17</v>
      </c>
      <c r="D1059" s="9">
        <f>IF(B1059="Clientes",SUMIFS(PARÂMETROS!$D$8:$D$907,PARÂMETROS!$A$8:$A$907,C1059,PARÂMETROS!$G$8:$G$907,J1059),SUMIFS(PARÂMETROS!$E$8:$E$907,PARÂMETROS!$A$8:$A$907,C1059,PARÂMETROS!$G$8:$G$907,J1059))</f>
        <v>2.4324187249581578E-2</v>
      </c>
      <c r="E1059" s="20">
        <f>SUMIFS(SETORES!$D:$D,SETORES!$A:$A,A1059,SETORES!$F:$F,J1059)</f>
        <v>31126.48</v>
      </c>
      <c r="F1059" s="20">
        <f t="shared" si="58"/>
        <v>757.12632794035596</v>
      </c>
      <c r="G1059" s="9">
        <f>SUMIFS(PARÂMETROS!$F$8:$F$907,PARÂMETROS!$A$8:$A$907,C1059,PARÂMETROS!$G$8:$G$907,J1059)</f>
        <v>0</v>
      </c>
      <c r="H1059" s="20">
        <f t="shared" si="59"/>
        <v>0</v>
      </c>
      <c r="I1059" s="20">
        <f t="shared" si="60"/>
        <v>757.12632794035596</v>
      </c>
      <c r="J1059" s="11" t="s">
        <v>88</v>
      </c>
    </row>
    <row r="1060" spans="1:10" ht="14.25" customHeight="1" x14ac:dyDescent="0.3">
      <c r="A1060" s="2" t="s">
        <v>49</v>
      </c>
      <c r="B1060" s="2" t="str">
        <f>INDEX(SETORES!$B:$B,MATCH(A1060,SETORES!$A:$A,0))</f>
        <v>Clientes</v>
      </c>
      <c r="C1060" s="2" t="s">
        <v>18</v>
      </c>
      <c r="D1060" s="14">
        <f>IF(B1060="Clientes",SUMIFS(PARÂMETROS!$D$8:$D$907,PARÂMETROS!$A$8:$A$907,C1060,PARÂMETROS!$G$8:$G$907,J1060),SUMIFS(PARÂMETROS!$E$8:$E$907,PARÂMETROS!$A$8:$A$907,C1060,PARÂMETROS!$G$8:$G$907,J1060))</f>
        <v>0.7221940457473246</v>
      </c>
      <c r="E1060" s="21">
        <f>SUMIFS(SETORES!$D:$D,SETORES!$A:$A,A1060,SETORES!$F:$F,J1060)</f>
        <v>31126.48</v>
      </c>
      <c r="F1060" s="21">
        <f t="shared" si="58"/>
        <v>22479.358521073184</v>
      </c>
      <c r="G1060" s="14">
        <f>SUMIFS(PARÂMETROS!$F$8:$F$907,PARÂMETROS!$A$8:$A$907,C1060,PARÂMETROS!$G$8:$G$907,J1060)</f>
        <v>0</v>
      </c>
      <c r="H1060" s="21">
        <f t="shared" si="59"/>
        <v>0</v>
      </c>
      <c r="I1060" s="21">
        <f t="shared" si="60"/>
        <v>22479.358521073184</v>
      </c>
      <c r="J1060" s="2" t="s">
        <v>88</v>
      </c>
    </row>
    <row r="1061" spans="1:10" ht="14.25" customHeight="1" x14ac:dyDescent="0.3">
      <c r="A1061" s="11" t="s">
        <v>50</v>
      </c>
      <c r="B1061" s="19" t="str">
        <f>INDEX(SETORES!$B:$B,MATCH(A1061,SETORES!$A:$A,0))</f>
        <v>Clientes</v>
      </c>
      <c r="C1061" s="11" t="s">
        <v>10</v>
      </c>
      <c r="D1061" s="9">
        <f>IF(B1061="Clientes",SUMIFS(PARÂMETROS!$D$8:$D$907,PARÂMETROS!$A$8:$A$907,C1061,PARÂMETROS!$G$8:$G$907,J1061),SUMIFS(PARÂMETROS!$E$8:$E$907,PARÂMETROS!$A$8:$A$907,C1061,PARÂMETROS!$G$8:$G$907,J1061))</f>
        <v>3.3712025155956789E-2</v>
      </c>
      <c r="E1061" s="20">
        <f>SUMIFS(SETORES!$D:$D,SETORES!$A:$A,A1061,SETORES!$F:$F,J1061)</f>
        <v>100549.43999999999</v>
      </c>
      <c r="F1061" s="20">
        <f t="shared" si="58"/>
        <v>3389.7252506973673</v>
      </c>
      <c r="G1061" s="9">
        <f>SUMIFS(PARÂMETROS!$F$8:$F$907,PARÂMETROS!$A$8:$A$907,C1061,PARÂMETROS!$G$8:$G$907,J1061)</f>
        <v>0</v>
      </c>
      <c r="H1061" s="20">
        <f t="shared" si="59"/>
        <v>0</v>
      </c>
      <c r="I1061" s="20">
        <f t="shared" si="60"/>
        <v>3389.7252506973673</v>
      </c>
      <c r="J1061" s="11" t="s">
        <v>88</v>
      </c>
    </row>
    <row r="1062" spans="1:10" ht="14.25" customHeight="1" x14ac:dyDescent="0.3">
      <c r="A1062" s="2" t="s">
        <v>50</v>
      </c>
      <c r="B1062" s="2" t="str">
        <f>INDEX(SETORES!$B:$B,MATCH(A1062,SETORES!$A:$A,0))</f>
        <v>Clientes</v>
      </c>
      <c r="C1062" s="2" t="s">
        <v>12</v>
      </c>
      <c r="D1062" s="14">
        <f>IF(B1062="Clientes",SUMIFS(PARÂMETROS!$D$8:$D$907,PARÂMETROS!$A$8:$A$907,C1062,PARÂMETROS!$G$8:$G$907,J1062),SUMIFS(PARÂMETROS!$E$8:$E$907,PARÂMETROS!$A$8:$A$907,C1062,PARÂMETROS!$G$8:$G$907,J1062))</f>
        <v>6.8519551655931432E-2</v>
      </c>
      <c r="E1062" s="21">
        <f>SUMIFS(SETORES!$D:$D,SETORES!$A:$A,A1062,SETORES!$F:$F,J1062)</f>
        <v>100549.43999999999</v>
      </c>
      <c r="F1062" s="21">
        <f t="shared" si="58"/>
        <v>6889.602548054977</v>
      </c>
      <c r="G1062" s="14">
        <f>SUMIFS(PARÂMETROS!$F$8:$F$907,PARÂMETROS!$A$8:$A$907,C1062,PARÂMETROS!$G$8:$G$907,J1062)</f>
        <v>0</v>
      </c>
      <c r="H1062" s="21">
        <f t="shared" si="59"/>
        <v>0</v>
      </c>
      <c r="I1062" s="21">
        <f t="shared" si="60"/>
        <v>6889.602548054977</v>
      </c>
      <c r="J1062" s="2" t="s">
        <v>88</v>
      </c>
    </row>
    <row r="1063" spans="1:10" ht="14.25" customHeight="1" x14ac:dyDescent="0.3">
      <c r="A1063" s="11" t="s">
        <v>50</v>
      </c>
      <c r="B1063" s="19" t="str">
        <f>INDEX(SETORES!$B:$B,MATCH(A1063,SETORES!$A:$A,0))</f>
        <v>Clientes</v>
      </c>
      <c r="C1063" s="11" t="s">
        <v>13</v>
      </c>
      <c r="D1063" s="9">
        <f>IF(B1063="Clientes",SUMIFS(PARÂMETROS!$D$8:$D$907,PARÂMETROS!$A$8:$A$907,C1063,PARÂMETROS!$G$8:$G$907,J1063),SUMIFS(PARÂMETROS!$E$8:$E$907,PARÂMETROS!$A$8:$A$907,C1063,PARÂMETROS!$G$8:$G$907,J1063))</f>
        <v>7.4539737282548049E-2</v>
      </c>
      <c r="E1063" s="20">
        <f>SUMIFS(SETORES!$D:$D,SETORES!$A:$A,A1063,SETORES!$F:$F,J1063)</f>
        <v>100549.43999999999</v>
      </c>
      <c r="F1063" s="20">
        <f t="shared" si="58"/>
        <v>7494.928841507327</v>
      </c>
      <c r="G1063" s="9">
        <f>SUMIFS(PARÂMETROS!$F$8:$F$907,PARÂMETROS!$A$8:$A$907,C1063,PARÂMETROS!$G$8:$G$907,J1063)</f>
        <v>0</v>
      </c>
      <c r="H1063" s="20">
        <f t="shared" si="59"/>
        <v>0</v>
      </c>
      <c r="I1063" s="20">
        <f t="shared" si="60"/>
        <v>7494.928841507327</v>
      </c>
      <c r="J1063" s="11" t="s">
        <v>88</v>
      </c>
    </row>
    <row r="1064" spans="1:10" ht="14.25" customHeight="1" x14ac:dyDescent="0.3">
      <c r="A1064" s="2" t="s">
        <v>50</v>
      </c>
      <c r="B1064" s="2" t="str">
        <f>INDEX(SETORES!$B:$B,MATCH(A1064,SETORES!$A:$A,0))</f>
        <v>Clientes</v>
      </c>
      <c r="C1064" s="2" t="s">
        <v>14</v>
      </c>
      <c r="D1064" s="14">
        <f>IF(B1064="Clientes",SUMIFS(PARÂMETROS!$D$8:$D$907,PARÂMETROS!$A$8:$A$907,C1064,PARÂMETROS!$G$8:$G$907,J1064),SUMIFS(PARÂMETROS!$E$8:$E$907,PARÂMETROS!$A$8:$A$907,C1064,PARÂMETROS!$G$8:$G$907,J1064))</f>
        <v>1.8943044073642036E-2</v>
      </c>
      <c r="E1064" s="21">
        <f>SUMIFS(SETORES!$D:$D,SETORES!$A:$A,A1064,SETORES!$F:$F,J1064)</f>
        <v>100549.43999999999</v>
      </c>
      <c r="F1064" s="21">
        <f t="shared" si="58"/>
        <v>1904.7124735000252</v>
      </c>
      <c r="G1064" s="14">
        <f>SUMIFS(PARÂMETROS!$F$8:$F$907,PARÂMETROS!$A$8:$A$907,C1064,PARÂMETROS!$G$8:$G$907,J1064)</f>
        <v>0</v>
      </c>
      <c r="H1064" s="21">
        <f t="shared" si="59"/>
        <v>0</v>
      </c>
      <c r="I1064" s="21">
        <f t="shared" si="60"/>
        <v>1904.7124735000252</v>
      </c>
      <c r="J1064" s="2" t="s">
        <v>88</v>
      </c>
    </row>
    <row r="1065" spans="1:10" ht="14.25" customHeight="1" x14ac:dyDescent="0.3">
      <c r="A1065" s="11" t="s">
        <v>50</v>
      </c>
      <c r="B1065" s="19" t="str">
        <f>INDEX(SETORES!$B:$B,MATCH(A1065,SETORES!$A:$A,0))</f>
        <v>Clientes</v>
      </c>
      <c r="C1065" s="11" t="s">
        <v>15</v>
      </c>
      <c r="D1065" s="9">
        <f>IF(B1065="Clientes",SUMIFS(PARÂMETROS!$D$8:$D$907,PARÂMETROS!$A$8:$A$907,C1065,PARÂMETROS!$G$8:$G$907,J1065),SUMIFS(PARÂMETROS!$E$8:$E$907,PARÂMETROS!$A$8:$A$907,C1065,PARÂMETROS!$G$8:$G$907,J1065))</f>
        <v>3.3478723943804842E-2</v>
      </c>
      <c r="E1065" s="20">
        <f>SUMIFS(SETORES!$D:$D,SETORES!$A:$A,A1065,SETORES!$F:$F,J1065)</f>
        <v>100549.43999999999</v>
      </c>
      <c r="F1065" s="20">
        <f t="shared" si="58"/>
        <v>3366.2669444641679</v>
      </c>
      <c r="G1065" s="9">
        <f>SUMIFS(PARÂMETROS!$F$8:$F$907,PARÂMETROS!$A$8:$A$907,C1065,PARÂMETROS!$G$8:$G$907,J1065)</f>
        <v>0</v>
      </c>
      <c r="H1065" s="20">
        <f t="shared" si="59"/>
        <v>0</v>
      </c>
      <c r="I1065" s="20">
        <f t="shared" si="60"/>
        <v>3366.2669444641679</v>
      </c>
      <c r="J1065" s="11" t="s">
        <v>88</v>
      </c>
    </row>
    <row r="1066" spans="1:10" ht="14.25" customHeight="1" x14ac:dyDescent="0.3">
      <c r="A1066" s="2" t="s">
        <v>50</v>
      </c>
      <c r="B1066" s="2" t="str">
        <f>INDEX(SETORES!$B:$B,MATCH(A1066,SETORES!$A:$A,0))</f>
        <v>Clientes</v>
      </c>
      <c r="C1066" s="2" t="s">
        <v>16</v>
      </c>
      <c r="D1066" s="14">
        <f>IF(B1066="Clientes",SUMIFS(PARÂMETROS!$D$8:$D$907,PARÂMETROS!$A$8:$A$907,C1066,PARÂMETROS!$G$8:$G$907,J1066),SUMIFS(PARÂMETROS!$E$8:$E$907,PARÂMETROS!$A$8:$A$907,C1066,PARÂMETROS!$G$8:$G$907,J1066))</f>
        <v>2.4288684891210631E-2</v>
      </c>
      <c r="E1066" s="21">
        <f>SUMIFS(SETORES!$D:$D,SETORES!$A:$A,A1066,SETORES!$F:$F,J1066)</f>
        <v>100549.43999999999</v>
      </c>
      <c r="F1066" s="21">
        <f t="shared" si="58"/>
        <v>2442.2136641476895</v>
      </c>
      <c r="G1066" s="14">
        <f>SUMIFS(PARÂMETROS!$F$8:$F$907,PARÂMETROS!$A$8:$A$907,C1066,PARÂMETROS!$G$8:$G$907,J1066)</f>
        <v>0</v>
      </c>
      <c r="H1066" s="21">
        <f t="shared" si="59"/>
        <v>0</v>
      </c>
      <c r="I1066" s="21">
        <f t="shared" si="60"/>
        <v>2442.2136641476895</v>
      </c>
      <c r="J1066" s="2" t="s">
        <v>88</v>
      </c>
    </row>
    <row r="1067" spans="1:10" ht="14.25" customHeight="1" x14ac:dyDescent="0.3">
      <c r="A1067" s="11" t="s">
        <v>50</v>
      </c>
      <c r="B1067" s="19" t="str">
        <f>INDEX(SETORES!$B:$B,MATCH(A1067,SETORES!$A:$A,0))</f>
        <v>Clientes</v>
      </c>
      <c r="C1067" s="11" t="s">
        <v>17</v>
      </c>
      <c r="D1067" s="9">
        <f>IF(B1067="Clientes",SUMIFS(PARÂMETROS!$D$8:$D$907,PARÂMETROS!$A$8:$A$907,C1067,PARÂMETROS!$G$8:$G$907,J1067),SUMIFS(PARÂMETROS!$E$8:$E$907,PARÂMETROS!$A$8:$A$907,C1067,PARÂMETROS!$G$8:$G$907,J1067))</f>
        <v>2.4324187249581578E-2</v>
      </c>
      <c r="E1067" s="20">
        <f>SUMIFS(SETORES!$D:$D,SETORES!$A:$A,A1067,SETORES!$F:$F,J1067)</f>
        <v>100549.43999999999</v>
      </c>
      <c r="F1067" s="20">
        <f t="shared" si="58"/>
        <v>2445.7834064005674</v>
      </c>
      <c r="G1067" s="9">
        <f>SUMIFS(PARÂMETROS!$F$8:$F$907,PARÂMETROS!$A$8:$A$907,C1067,PARÂMETROS!$G$8:$G$907,J1067)</f>
        <v>0</v>
      </c>
      <c r="H1067" s="20">
        <f t="shared" si="59"/>
        <v>0</v>
      </c>
      <c r="I1067" s="20">
        <f t="shared" si="60"/>
        <v>2445.7834064005674</v>
      </c>
      <c r="J1067" s="11" t="s">
        <v>88</v>
      </c>
    </row>
    <row r="1068" spans="1:10" ht="14.25" customHeight="1" x14ac:dyDescent="0.3">
      <c r="A1068" s="2" t="s">
        <v>50</v>
      </c>
      <c r="B1068" s="2" t="str">
        <f>INDEX(SETORES!$B:$B,MATCH(A1068,SETORES!$A:$A,0))</f>
        <v>Clientes</v>
      </c>
      <c r="C1068" s="2" t="s">
        <v>18</v>
      </c>
      <c r="D1068" s="14">
        <f>IF(B1068="Clientes",SUMIFS(PARÂMETROS!$D$8:$D$907,PARÂMETROS!$A$8:$A$907,C1068,PARÂMETROS!$G$8:$G$907,J1068),SUMIFS(PARÂMETROS!$E$8:$E$907,PARÂMETROS!$A$8:$A$907,C1068,PARÂMETROS!$G$8:$G$907,J1068))</f>
        <v>0.7221940457473246</v>
      </c>
      <c r="E1068" s="21">
        <f>SUMIFS(SETORES!$D:$D,SETORES!$A:$A,A1068,SETORES!$F:$F,J1068)</f>
        <v>100549.43999999999</v>
      </c>
      <c r="F1068" s="21">
        <f t="shared" si="58"/>
        <v>72616.206871227856</v>
      </c>
      <c r="G1068" s="14">
        <f>SUMIFS(PARÂMETROS!$F$8:$F$907,PARÂMETROS!$A$8:$A$907,C1068,PARÂMETROS!$G$8:$G$907,J1068)</f>
        <v>0</v>
      </c>
      <c r="H1068" s="21">
        <f t="shared" si="59"/>
        <v>0</v>
      </c>
      <c r="I1068" s="21">
        <f t="shared" si="60"/>
        <v>72616.206871227856</v>
      </c>
      <c r="J1068" s="2" t="s">
        <v>88</v>
      </c>
    </row>
    <row r="1069" spans="1:10" ht="14.25" customHeight="1" x14ac:dyDescent="0.3">
      <c r="A1069" s="11" t="s">
        <v>51</v>
      </c>
      <c r="B1069" s="19" t="str">
        <f>INDEX(SETORES!$B:$B,MATCH(A1069,SETORES!$A:$A,0))</f>
        <v>Clientes</v>
      </c>
      <c r="C1069" s="11" t="s">
        <v>10</v>
      </c>
      <c r="D1069" s="9">
        <f>IF(B1069="Clientes",SUMIFS(PARÂMETROS!$D$8:$D$907,PARÂMETROS!$A$8:$A$907,C1069,PARÂMETROS!$G$8:$G$907,J1069),SUMIFS(PARÂMETROS!$E$8:$E$907,PARÂMETROS!$A$8:$A$907,C1069,PARÂMETROS!$G$8:$G$907,J1069))</f>
        <v>3.3712025155956789E-2</v>
      </c>
      <c r="E1069" s="20">
        <f>SUMIFS(SETORES!$D:$D,SETORES!$A:$A,A1069,SETORES!$F:$F,J1069)</f>
        <v>132190.15000000002</v>
      </c>
      <c r="F1069" s="20">
        <f t="shared" ref="F1069:F1100" si="61">IFERROR(D1069*E1069,0)</f>
        <v>4456.397662169702</v>
      </c>
      <c r="G1069" s="9">
        <f>SUMIFS(PARÂMETROS!$F$8:$F$907,PARÂMETROS!$A$8:$A$907,C1069,PARÂMETROS!$G$8:$G$907,J1069)</f>
        <v>0</v>
      </c>
      <c r="H1069" s="20">
        <f t="shared" si="59"/>
        <v>0</v>
      </c>
      <c r="I1069" s="20">
        <f t="shared" si="60"/>
        <v>4456.397662169702</v>
      </c>
      <c r="J1069" s="11" t="s">
        <v>88</v>
      </c>
    </row>
    <row r="1070" spans="1:10" ht="14.25" customHeight="1" x14ac:dyDescent="0.3">
      <c r="A1070" s="2" t="s">
        <v>51</v>
      </c>
      <c r="B1070" s="2" t="str">
        <f>INDEX(SETORES!$B:$B,MATCH(A1070,SETORES!$A:$A,0))</f>
        <v>Clientes</v>
      </c>
      <c r="C1070" s="2" t="s">
        <v>12</v>
      </c>
      <c r="D1070" s="14">
        <f>IF(B1070="Clientes",SUMIFS(PARÂMETROS!$D$8:$D$907,PARÂMETROS!$A$8:$A$907,C1070,PARÂMETROS!$G$8:$G$907,J1070),SUMIFS(PARÂMETROS!$E$8:$E$907,PARÂMETROS!$A$8:$A$907,C1070,PARÂMETROS!$G$8:$G$907,J1070))</f>
        <v>6.8519551655931432E-2</v>
      </c>
      <c r="E1070" s="21">
        <f>SUMIFS(SETORES!$D:$D,SETORES!$A:$A,A1070,SETORES!$F:$F,J1070)</f>
        <v>132190.15000000002</v>
      </c>
      <c r="F1070" s="21">
        <f t="shared" si="61"/>
        <v>9057.6098113303251</v>
      </c>
      <c r="G1070" s="14">
        <f>SUMIFS(PARÂMETROS!$F$8:$F$907,PARÂMETROS!$A$8:$A$907,C1070,PARÂMETROS!$G$8:$G$907,J1070)</f>
        <v>0</v>
      </c>
      <c r="H1070" s="21">
        <f t="shared" si="59"/>
        <v>0</v>
      </c>
      <c r="I1070" s="21">
        <f t="shared" si="60"/>
        <v>9057.6098113303251</v>
      </c>
      <c r="J1070" s="2" t="s">
        <v>88</v>
      </c>
    </row>
    <row r="1071" spans="1:10" ht="14.25" customHeight="1" x14ac:dyDescent="0.3">
      <c r="A1071" s="11" t="s">
        <v>51</v>
      </c>
      <c r="B1071" s="19" t="str">
        <f>INDEX(SETORES!$B:$B,MATCH(A1071,SETORES!$A:$A,0))</f>
        <v>Clientes</v>
      </c>
      <c r="C1071" s="11" t="s">
        <v>13</v>
      </c>
      <c r="D1071" s="9">
        <f>IF(B1071="Clientes",SUMIFS(PARÂMETROS!$D$8:$D$907,PARÂMETROS!$A$8:$A$907,C1071,PARÂMETROS!$G$8:$G$907,J1071),SUMIFS(PARÂMETROS!$E$8:$E$907,PARÂMETROS!$A$8:$A$907,C1071,PARÂMETROS!$G$8:$G$907,J1071))</f>
        <v>7.4539737282548049E-2</v>
      </c>
      <c r="E1071" s="20">
        <f>SUMIFS(SETORES!$D:$D,SETORES!$A:$A,A1071,SETORES!$F:$F,J1071)</f>
        <v>132190.15000000002</v>
      </c>
      <c r="F1071" s="20">
        <f t="shared" si="61"/>
        <v>9853.4190523406214</v>
      </c>
      <c r="G1071" s="9">
        <f>SUMIFS(PARÂMETROS!$F$8:$F$907,PARÂMETROS!$A$8:$A$907,C1071,PARÂMETROS!$G$8:$G$907,J1071)</f>
        <v>0</v>
      </c>
      <c r="H1071" s="20">
        <f t="shared" si="59"/>
        <v>0</v>
      </c>
      <c r="I1071" s="20">
        <f t="shared" si="60"/>
        <v>9853.4190523406214</v>
      </c>
      <c r="J1071" s="11" t="s">
        <v>88</v>
      </c>
    </row>
    <row r="1072" spans="1:10" ht="14.25" customHeight="1" x14ac:dyDescent="0.3">
      <c r="A1072" s="2" t="s">
        <v>51</v>
      </c>
      <c r="B1072" s="2" t="str">
        <f>INDEX(SETORES!$B:$B,MATCH(A1072,SETORES!$A:$A,0))</f>
        <v>Clientes</v>
      </c>
      <c r="C1072" s="2" t="s">
        <v>14</v>
      </c>
      <c r="D1072" s="14">
        <f>IF(B1072="Clientes",SUMIFS(PARÂMETROS!$D$8:$D$907,PARÂMETROS!$A$8:$A$907,C1072,PARÂMETROS!$G$8:$G$907,J1072),SUMIFS(PARÂMETROS!$E$8:$E$907,PARÂMETROS!$A$8:$A$907,C1072,PARÂMETROS!$G$8:$G$907,J1072))</f>
        <v>1.8943044073642036E-2</v>
      </c>
      <c r="E1072" s="21">
        <f>SUMIFS(SETORES!$D:$D,SETORES!$A:$A,A1072,SETORES!$F:$F,J1072)</f>
        <v>132190.15000000002</v>
      </c>
      <c r="F1072" s="21">
        <f t="shared" si="61"/>
        <v>2504.0838375513522</v>
      </c>
      <c r="G1072" s="14">
        <f>SUMIFS(PARÂMETROS!$F$8:$F$907,PARÂMETROS!$A$8:$A$907,C1072,PARÂMETROS!$G$8:$G$907,J1072)</f>
        <v>0</v>
      </c>
      <c r="H1072" s="21">
        <f t="shared" si="59"/>
        <v>0</v>
      </c>
      <c r="I1072" s="21">
        <f t="shared" si="60"/>
        <v>2504.0838375513522</v>
      </c>
      <c r="J1072" s="2" t="s">
        <v>88</v>
      </c>
    </row>
    <row r="1073" spans="1:10" ht="14.25" customHeight="1" x14ac:dyDescent="0.3">
      <c r="A1073" s="11" t="s">
        <v>51</v>
      </c>
      <c r="B1073" s="19" t="str">
        <f>INDEX(SETORES!$B:$B,MATCH(A1073,SETORES!$A:$A,0))</f>
        <v>Clientes</v>
      </c>
      <c r="C1073" s="11" t="s">
        <v>15</v>
      </c>
      <c r="D1073" s="9">
        <f>IF(B1073="Clientes",SUMIFS(PARÂMETROS!$D$8:$D$907,PARÂMETROS!$A$8:$A$907,C1073,PARÂMETROS!$G$8:$G$907,J1073),SUMIFS(PARÂMETROS!$E$8:$E$907,PARÂMETROS!$A$8:$A$907,C1073,PARÂMETROS!$G$8:$G$907,J1073))</f>
        <v>3.3478723943804842E-2</v>
      </c>
      <c r="E1073" s="20">
        <f>SUMIFS(SETORES!$D:$D,SETORES!$A:$A,A1073,SETORES!$F:$F,J1073)</f>
        <v>132190.15000000002</v>
      </c>
      <c r="F1073" s="20">
        <f t="shared" si="61"/>
        <v>4425.5575399401541</v>
      </c>
      <c r="G1073" s="9">
        <f>SUMIFS(PARÂMETROS!$F$8:$F$907,PARÂMETROS!$A$8:$A$907,C1073,PARÂMETROS!$G$8:$G$907,J1073)</f>
        <v>0</v>
      </c>
      <c r="H1073" s="20">
        <f t="shared" si="59"/>
        <v>0</v>
      </c>
      <c r="I1073" s="20">
        <f t="shared" si="60"/>
        <v>4425.5575399401541</v>
      </c>
      <c r="J1073" s="11" t="s">
        <v>88</v>
      </c>
    </row>
    <row r="1074" spans="1:10" ht="14.25" customHeight="1" x14ac:dyDescent="0.3">
      <c r="A1074" s="2" t="s">
        <v>51</v>
      </c>
      <c r="B1074" s="2" t="str">
        <f>INDEX(SETORES!$B:$B,MATCH(A1074,SETORES!$A:$A,0))</f>
        <v>Clientes</v>
      </c>
      <c r="C1074" s="2" t="s">
        <v>16</v>
      </c>
      <c r="D1074" s="14">
        <f>IF(B1074="Clientes",SUMIFS(PARÂMETROS!$D$8:$D$907,PARÂMETROS!$A$8:$A$907,C1074,PARÂMETROS!$G$8:$G$907,J1074),SUMIFS(PARÂMETROS!$E$8:$E$907,PARÂMETROS!$A$8:$A$907,C1074,PARÂMETROS!$G$8:$G$907,J1074))</f>
        <v>2.4288684891210631E-2</v>
      </c>
      <c r="E1074" s="21">
        <f>SUMIFS(SETORES!$D:$D,SETORES!$A:$A,A1074,SETORES!$F:$F,J1074)</f>
        <v>132190.15000000002</v>
      </c>
      <c r="F1074" s="21">
        <f t="shared" si="61"/>
        <v>3210.7248990718676</v>
      </c>
      <c r="G1074" s="14">
        <f>SUMIFS(PARÂMETROS!$F$8:$F$907,PARÂMETROS!$A$8:$A$907,C1074,PARÂMETROS!$G$8:$G$907,J1074)</f>
        <v>0</v>
      </c>
      <c r="H1074" s="21">
        <f t="shared" si="59"/>
        <v>0</v>
      </c>
      <c r="I1074" s="21">
        <f t="shared" si="60"/>
        <v>3210.7248990718676</v>
      </c>
      <c r="J1074" s="2" t="s">
        <v>88</v>
      </c>
    </row>
    <row r="1075" spans="1:10" ht="14.25" customHeight="1" x14ac:dyDescent="0.3">
      <c r="A1075" s="11" t="s">
        <v>51</v>
      </c>
      <c r="B1075" s="19" t="str">
        <f>INDEX(SETORES!$B:$B,MATCH(A1075,SETORES!$A:$A,0))</f>
        <v>Clientes</v>
      </c>
      <c r="C1075" s="11" t="s">
        <v>17</v>
      </c>
      <c r="D1075" s="9">
        <f>IF(B1075="Clientes",SUMIFS(PARÂMETROS!$D$8:$D$907,PARÂMETROS!$A$8:$A$907,C1075,PARÂMETROS!$G$8:$G$907,J1075),SUMIFS(PARÂMETROS!$E$8:$E$907,PARÂMETROS!$A$8:$A$907,C1075,PARÂMETROS!$G$8:$G$907,J1075))</f>
        <v>2.4324187249581578E-2</v>
      </c>
      <c r="E1075" s="20">
        <f>SUMIFS(SETORES!$D:$D,SETORES!$A:$A,A1075,SETORES!$F:$F,J1075)</f>
        <v>132190.15000000002</v>
      </c>
      <c r="F1075" s="20">
        <f t="shared" si="61"/>
        <v>3215.4179611502768</v>
      </c>
      <c r="G1075" s="9">
        <f>SUMIFS(PARÂMETROS!$F$8:$F$907,PARÂMETROS!$A$8:$A$907,C1075,PARÂMETROS!$G$8:$G$907,J1075)</f>
        <v>0</v>
      </c>
      <c r="H1075" s="20">
        <f t="shared" si="59"/>
        <v>0</v>
      </c>
      <c r="I1075" s="20">
        <f t="shared" si="60"/>
        <v>3215.4179611502768</v>
      </c>
      <c r="J1075" s="11" t="s">
        <v>88</v>
      </c>
    </row>
    <row r="1076" spans="1:10" ht="14.25" customHeight="1" x14ac:dyDescent="0.3">
      <c r="A1076" s="2" t="s">
        <v>51</v>
      </c>
      <c r="B1076" s="2" t="str">
        <f>INDEX(SETORES!$B:$B,MATCH(A1076,SETORES!$A:$A,0))</f>
        <v>Clientes</v>
      </c>
      <c r="C1076" s="2" t="s">
        <v>18</v>
      </c>
      <c r="D1076" s="14">
        <f>IF(B1076="Clientes",SUMIFS(PARÂMETROS!$D$8:$D$907,PARÂMETROS!$A$8:$A$907,C1076,PARÂMETROS!$G$8:$G$907,J1076),SUMIFS(PARÂMETROS!$E$8:$E$907,PARÂMETROS!$A$8:$A$907,C1076,PARÂMETROS!$G$8:$G$907,J1076))</f>
        <v>0.7221940457473246</v>
      </c>
      <c r="E1076" s="21">
        <f>SUMIFS(SETORES!$D:$D,SETORES!$A:$A,A1076,SETORES!$F:$F,J1076)</f>
        <v>132190.15000000002</v>
      </c>
      <c r="F1076" s="21">
        <f t="shared" si="61"/>
        <v>95466.939236445716</v>
      </c>
      <c r="G1076" s="14">
        <f>SUMIFS(PARÂMETROS!$F$8:$F$907,PARÂMETROS!$A$8:$A$907,C1076,PARÂMETROS!$G$8:$G$907,J1076)</f>
        <v>0</v>
      </c>
      <c r="H1076" s="21">
        <f t="shared" si="59"/>
        <v>0</v>
      </c>
      <c r="I1076" s="21">
        <f t="shared" si="60"/>
        <v>95466.939236445716</v>
      </c>
      <c r="J1076" s="2" t="s">
        <v>88</v>
      </c>
    </row>
    <row r="1077" spans="1:10" ht="14.25" customHeight="1" x14ac:dyDescent="0.3">
      <c r="A1077" s="11" t="s">
        <v>52</v>
      </c>
      <c r="B1077" s="19" t="str">
        <f>INDEX(SETORES!$B:$B,MATCH(A1077,SETORES!$A:$A,0))</f>
        <v>Clientes</v>
      </c>
      <c r="C1077" s="11" t="s">
        <v>10</v>
      </c>
      <c r="D1077" s="9">
        <f>IF(B1077="Clientes",SUMIFS(PARÂMETROS!$D$8:$D$907,PARÂMETROS!$A$8:$A$907,C1077,PARÂMETROS!$G$8:$G$907,J1077),SUMIFS(PARÂMETROS!$E$8:$E$907,PARÂMETROS!$A$8:$A$907,C1077,PARÂMETROS!$G$8:$G$907,J1077))</f>
        <v>3.3712025155956789E-2</v>
      </c>
      <c r="E1077" s="20">
        <f>SUMIFS(SETORES!$D:$D,SETORES!$A:$A,A1077,SETORES!$F:$F,J1077)</f>
        <v>33432.330000000009</v>
      </c>
      <c r="F1077" s="20">
        <f t="shared" si="61"/>
        <v>1127.0715499822491</v>
      </c>
      <c r="G1077" s="9">
        <f>SUMIFS(PARÂMETROS!$F$8:$F$907,PARÂMETROS!$A$8:$A$907,C1077,PARÂMETROS!$G$8:$G$907,J1077)</f>
        <v>0</v>
      </c>
      <c r="H1077" s="20">
        <f t="shared" si="59"/>
        <v>0</v>
      </c>
      <c r="I1077" s="20">
        <f t="shared" si="60"/>
        <v>1127.0715499822491</v>
      </c>
      <c r="J1077" s="11" t="s">
        <v>88</v>
      </c>
    </row>
    <row r="1078" spans="1:10" ht="14.25" customHeight="1" x14ac:dyDescent="0.3">
      <c r="A1078" s="2" t="s">
        <v>52</v>
      </c>
      <c r="B1078" s="2" t="str">
        <f>INDEX(SETORES!$B:$B,MATCH(A1078,SETORES!$A:$A,0))</f>
        <v>Clientes</v>
      </c>
      <c r="C1078" s="2" t="s">
        <v>12</v>
      </c>
      <c r="D1078" s="14">
        <f>IF(B1078="Clientes",SUMIFS(PARÂMETROS!$D$8:$D$907,PARÂMETROS!$A$8:$A$907,C1078,PARÂMETROS!$G$8:$G$907,J1078),SUMIFS(PARÂMETROS!$E$8:$E$907,PARÂMETROS!$A$8:$A$907,C1078,PARÂMETROS!$G$8:$G$907,J1078))</f>
        <v>6.8519551655931432E-2</v>
      </c>
      <c r="E1078" s="21">
        <f>SUMIFS(SETORES!$D:$D,SETORES!$A:$A,A1078,SETORES!$F:$F,J1078)</f>
        <v>33432.330000000009</v>
      </c>
      <c r="F1078" s="21">
        <f t="shared" si="61"/>
        <v>2290.7682624131467</v>
      </c>
      <c r="G1078" s="14">
        <f>SUMIFS(PARÂMETROS!$F$8:$F$907,PARÂMETROS!$A$8:$A$907,C1078,PARÂMETROS!$G$8:$G$907,J1078)</f>
        <v>0</v>
      </c>
      <c r="H1078" s="21">
        <f t="shared" si="59"/>
        <v>0</v>
      </c>
      <c r="I1078" s="21">
        <f t="shared" si="60"/>
        <v>2290.7682624131467</v>
      </c>
      <c r="J1078" s="2" t="s">
        <v>88</v>
      </c>
    </row>
    <row r="1079" spans="1:10" ht="14.25" customHeight="1" x14ac:dyDescent="0.3">
      <c r="A1079" s="11" t="s">
        <v>52</v>
      </c>
      <c r="B1079" s="19" t="str">
        <f>INDEX(SETORES!$B:$B,MATCH(A1079,SETORES!$A:$A,0))</f>
        <v>Clientes</v>
      </c>
      <c r="C1079" s="11" t="s">
        <v>13</v>
      </c>
      <c r="D1079" s="9">
        <f>IF(B1079="Clientes",SUMIFS(PARÂMETROS!$D$8:$D$907,PARÂMETROS!$A$8:$A$907,C1079,PARÂMETROS!$G$8:$G$907,J1079),SUMIFS(PARÂMETROS!$E$8:$E$907,PARÂMETROS!$A$8:$A$907,C1079,PARÂMETROS!$G$8:$G$907,J1079))</f>
        <v>7.4539737282548049E-2</v>
      </c>
      <c r="E1079" s="20">
        <f>SUMIFS(SETORES!$D:$D,SETORES!$A:$A,A1079,SETORES!$F:$F,J1079)</f>
        <v>33432.330000000009</v>
      </c>
      <c r="F1079" s="20">
        <f t="shared" si="61"/>
        <v>2492.0370949434505</v>
      </c>
      <c r="G1079" s="9">
        <f>SUMIFS(PARÂMETROS!$F$8:$F$907,PARÂMETROS!$A$8:$A$907,C1079,PARÂMETROS!$G$8:$G$907,J1079)</f>
        <v>0</v>
      </c>
      <c r="H1079" s="20">
        <f t="shared" si="59"/>
        <v>0</v>
      </c>
      <c r="I1079" s="20">
        <f t="shared" si="60"/>
        <v>2492.0370949434505</v>
      </c>
      <c r="J1079" s="11" t="s">
        <v>88</v>
      </c>
    </row>
    <row r="1080" spans="1:10" ht="14.25" customHeight="1" x14ac:dyDescent="0.3">
      <c r="A1080" s="2" t="s">
        <v>52</v>
      </c>
      <c r="B1080" s="2" t="str">
        <f>INDEX(SETORES!$B:$B,MATCH(A1080,SETORES!$A:$A,0))</f>
        <v>Clientes</v>
      </c>
      <c r="C1080" s="2" t="s">
        <v>14</v>
      </c>
      <c r="D1080" s="14">
        <f>IF(B1080="Clientes",SUMIFS(PARÂMETROS!$D$8:$D$907,PARÂMETROS!$A$8:$A$907,C1080,PARÂMETROS!$G$8:$G$907,J1080),SUMIFS(PARÂMETROS!$E$8:$E$907,PARÂMETROS!$A$8:$A$907,C1080,PARÂMETROS!$G$8:$G$907,J1080))</f>
        <v>1.8943044073642036E-2</v>
      </c>
      <c r="E1080" s="21">
        <f>SUMIFS(SETORES!$D:$D,SETORES!$A:$A,A1080,SETORES!$F:$F,J1080)</f>
        <v>33432.330000000009</v>
      </c>
      <c r="F1080" s="21">
        <f t="shared" si="61"/>
        <v>633.31010067454497</v>
      </c>
      <c r="G1080" s="14">
        <f>SUMIFS(PARÂMETROS!$F$8:$F$907,PARÂMETROS!$A$8:$A$907,C1080,PARÂMETROS!$G$8:$G$907,J1080)</f>
        <v>0</v>
      </c>
      <c r="H1080" s="21">
        <f t="shared" si="59"/>
        <v>0</v>
      </c>
      <c r="I1080" s="21">
        <f t="shared" si="60"/>
        <v>633.31010067454497</v>
      </c>
      <c r="J1080" s="2" t="s">
        <v>88</v>
      </c>
    </row>
    <row r="1081" spans="1:10" ht="14.25" customHeight="1" x14ac:dyDescent="0.3">
      <c r="A1081" s="11" t="s">
        <v>52</v>
      </c>
      <c r="B1081" s="19" t="str">
        <f>INDEX(SETORES!$B:$B,MATCH(A1081,SETORES!$A:$A,0))</f>
        <v>Clientes</v>
      </c>
      <c r="C1081" s="11" t="s">
        <v>15</v>
      </c>
      <c r="D1081" s="9">
        <f>IF(B1081="Clientes",SUMIFS(PARÂMETROS!$D$8:$D$907,PARÂMETROS!$A$8:$A$907,C1081,PARÂMETROS!$G$8:$G$907,J1081),SUMIFS(PARÂMETROS!$E$8:$E$907,PARÂMETROS!$A$8:$A$907,C1081,PARÂMETROS!$G$8:$G$907,J1081))</f>
        <v>3.3478723943804842E-2</v>
      </c>
      <c r="E1081" s="20">
        <f>SUMIFS(SETORES!$D:$D,SETORES!$A:$A,A1081,SETORES!$F:$F,J1081)</f>
        <v>33432.330000000009</v>
      </c>
      <c r="F1081" s="20">
        <f t="shared" si="61"/>
        <v>1119.2717468681851</v>
      </c>
      <c r="G1081" s="9">
        <f>SUMIFS(PARÂMETROS!$F$8:$F$907,PARÂMETROS!$A$8:$A$907,C1081,PARÂMETROS!$G$8:$G$907,J1081)</f>
        <v>0</v>
      </c>
      <c r="H1081" s="20">
        <f t="shared" si="59"/>
        <v>0</v>
      </c>
      <c r="I1081" s="20">
        <f t="shared" si="60"/>
        <v>1119.2717468681851</v>
      </c>
      <c r="J1081" s="11" t="s">
        <v>88</v>
      </c>
    </row>
    <row r="1082" spans="1:10" ht="14.25" customHeight="1" x14ac:dyDescent="0.3">
      <c r="A1082" s="2" t="s">
        <v>52</v>
      </c>
      <c r="B1082" s="2" t="str">
        <f>INDEX(SETORES!$B:$B,MATCH(A1082,SETORES!$A:$A,0))</f>
        <v>Clientes</v>
      </c>
      <c r="C1082" s="2" t="s">
        <v>16</v>
      </c>
      <c r="D1082" s="14">
        <f>IF(B1082="Clientes",SUMIFS(PARÂMETROS!$D$8:$D$907,PARÂMETROS!$A$8:$A$907,C1082,PARÂMETROS!$G$8:$G$907,J1082),SUMIFS(PARÂMETROS!$E$8:$E$907,PARÂMETROS!$A$8:$A$907,C1082,PARÂMETROS!$G$8:$G$907,J1082))</f>
        <v>2.4288684891210631E-2</v>
      </c>
      <c r="E1082" s="21">
        <f>SUMIFS(SETORES!$D:$D,SETORES!$A:$A,A1082,SETORES!$F:$F,J1082)</f>
        <v>33432.330000000009</v>
      </c>
      <c r="F1082" s="21">
        <f t="shared" si="61"/>
        <v>812.02732854896817</v>
      </c>
      <c r="G1082" s="14">
        <f>SUMIFS(PARÂMETROS!$F$8:$F$907,PARÂMETROS!$A$8:$A$907,C1082,PARÂMETROS!$G$8:$G$907,J1082)</f>
        <v>0</v>
      </c>
      <c r="H1082" s="21">
        <f t="shared" si="59"/>
        <v>0</v>
      </c>
      <c r="I1082" s="21">
        <f t="shared" si="60"/>
        <v>812.02732854896817</v>
      </c>
      <c r="J1082" s="2" t="s">
        <v>88</v>
      </c>
    </row>
    <row r="1083" spans="1:10" ht="14.25" customHeight="1" x14ac:dyDescent="0.3">
      <c r="A1083" s="11" t="s">
        <v>52</v>
      </c>
      <c r="B1083" s="19" t="str">
        <f>INDEX(SETORES!$B:$B,MATCH(A1083,SETORES!$A:$A,0))</f>
        <v>Clientes</v>
      </c>
      <c r="C1083" s="11" t="s">
        <v>17</v>
      </c>
      <c r="D1083" s="9">
        <f>IF(B1083="Clientes",SUMIFS(PARÂMETROS!$D$8:$D$907,PARÂMETROS!$A$8:$A$907,C1083,PARÂMETROS!$G$8:$G$907,J1083),SUMIFS(PARÂMETROS!$E$8:$E$907,PARÂMETROS!$A$8:$A$907,C1083,PARÂMETROS!$G$8:$G$907,J1083))</f>
        <v>2.4324187249581578E-2</v>
      </c>
      <c r="E1083" s="20">
        <f>SUMIFS(SETORES!$D:$D,SETORES!$A:$A,A1083,SETORES!$F:$F,J1083)</f>
        <v>33432.330000000009</v>
      </c>
      <c r="F1083" s="20">
        <f t="shared" si="61"/>
        <v>813.21425510980396</v>
      </c>
      <c r="G1083" s="9">
        <f>SUMIFS(PARÂMETROS!$F$8:$F$907,PARÂMETROS!$A$8:$A$907,C1083,PARÂMETROS!$G$8:$G$907,J1083)</f>
        <v>0</v>
      </c>
      <c r="H1083" s="20">
        <f t="shared" si="59"/>
        <v>0</v>
      </c>
      <c r="I1083" s="20">
        <f t="shared" si="60"/>
        <v>813.21425510980396</v>
      </c>
      <c r="J1083" s="11" t="s">
        <v>88</v>
      </c>
    </row>
    <row r="1084" spans="1:10" ht="14.25" customHeight="1" x14ac:dyDescent="0.3">
      <c r="A1084" s="2" t="s">
        <v>52</v>
      </c>
      <c r="B1084" s="2" t="str">
        <f>INDEX(SETORES!$B:$B,MATCH(A1084,SETORES!$A:$A,0))</f>
        <v>Clientes</v>
      </c>
      <c r="C1084" s="2" t="s">
        <v>18</v>
      </c>
      <c r="D1084" s="14">
        <f>IF(B1084="Clientes",SUMIFS(PARÂMETROS!$D$8:$D$907,PARÂMETROS!$A$8:$A$907,C1084,PARÂMETROS!$G$8:$G$907,J1084),SUMIFS(PARÂMETROS!$E$8:$E$907,PARÂMETROS!$A$8:$A$907,C1084,PARÂMETROS!$G$8:$G$907,J1084))</f>
        <v>0.7221940457473246</v>
      </c>
      <c r="E1084" s="21">
        <f>SUMIFS(SETORES!$D:$D,SETORES!$A:$A,A1084,SETORES!$F:$F,J1084)</f>
        <v>33432.330000000009</v>
      </c>
      <c r="F1084" s="21">
        <f t="shared" si="61"/>
        <v>24144.629661459658</v>
      </c>
      <c r="G1084" s="14">
        <f>SUMIFS(PARÂMETROS!$F$8:$F$907,PARÂMETROS!$A$8:$A$907,C1084,PARÂMETROS!$G$8:$G$907,J1084)</f>
        <v>0</v>
      </c>
      <c r="H1084" s="21">
        <f t="shared" si="59"/>
        <v>0</v>
      </c>
      <c r="I1084" s="21">
        <f t="shared" si="60"/>
        <v>24144.629661459658</v>
      </c>
      <c r="J1084" s="2" t="s">
        <v>88</v>
      </c>
    </row>
    <row r="1085" spans="1:10" ht="14.25" customHeight="1" x14ac:dyDescent="0.3">
      <c r="A1085" s="11" t="s">
        <v>53</v>
      </c>
      <c r="B1085" s="19" t="str">
        <f>INDEX(SETORES!$B:$B,MATCH(A1085,SETORES!$A:$A,0))</f>
        <v>Clientes</v>
      </c>
      <c r="C1085" s="11" t="s">
        <v>10</v>
      </c>
      <c r="D1085" s="9">
        <f>IF(B1085="Clientes",SUMIFS(PARÂMETROS!$D$8:$D$907,PARÂMETROS!$A$8:$A$907,C1085,PARÂMETROS!$G$8:$G$907,J1085),SUMIFS(PARÂMETROS!$E$8:$E$907,PARÂMETROS!$A$8:$A$907,C1085,PARÂMETROS!$G$8:$G$907,J1085))</f>
        <v>3.3712025155956789E-2</v>
      </c>
      <c r="E1085" s="20">
        <f>SUMIFS(SETORES!$D:$D,SETORES!$A:$A,A1085,SETORES!$F:$F,J1085)</f>
        <v>118279.62000000001</v>
      </c>
      <c r="F1085" s="20">
        <f t="shared" si="61"/>
        <v>3987.44552487701</v>
      </c>
      <c r="G1085" s="9">
        <f>SUMIFS(PARÂMETROS!$F$8:$F$907,PARÂMETROS!$A$8:$A$907,C1085,PARÂMETROS!$G$8:$G$907,J1085)</f>
        <v>0</v>
      </c>
      <c r="H1085" s="20">
        <f t="shared" si="59"/>
        <v>0</v>
      </c>
      <c r="I1085" s="20">
        <f t="shared" si="60"/>
        <v>3987.44552487701</v>
      </c>
      <c r="J1085" s="11" t="s">
        <v>88</v>
      </c>
    </row>
    <row r="1086" spans="1:10" ht="14.25" customHeight="1" x14ac:dyDescent="0.3">
      <c r="A1086" s="2" t="s">
        <v>53</v>
      </c>
      <c r="B1086" s="2" t="str">
        <f>INDEX(SETORES!$B:$B,MATCH(A1086,SETORES!$A:$A,0))</f>
        <v>Clientes</v>
      </c>
      <c r="C1086" s="2" t="s">
        <v>12</v>
      </c>
      <c r="D1086" s="14">
        <f>IF(B1086="Clientes",SUMIFS(PARÂMETROS!$D$8:$D$907,PARÂMETROS!$A$8:$A$907,C1086,PARÂMETROS!$G$8:$G$907,J1086),SUMIFS(PARÂMETROS!$E$8:$E$907,PARÂMETROS!$A$8:$A$907,C1086,PARÂMETROS!$G$8:$G$907,J1086))</f>
        <v>6.8519551655931432E-2</v>
      </c>
      <c r="E1086" s="21">
        <f>SUMIFS(SETORES!$D:$D,SETORES!$A:$A,A1086,SETORES!$F:$F,J1086)</f>
        <v>118279.62000000001</v>
      </c>
      <c r="F1086" s="21">
        <f t="shared" si="61"/>
        <v>8104.4665324339412</v>
      </c>
      <c r="G1086" s="14">
        <f>SUMIFS(PARÂMETROS!$F$8:$F$907,PARÂMETROS!$A$8:$A$907,C1086,PARÂMETROS!$G$8:$G$907,J1086)</f>
        <v>0</v>
      </c>
      <c r="H1086" s="21">
        <f t="shared" si="59"/>
        <v>0</v>
      </c>
      <c r="I1086" s="21">
        <f t="shared" si="60"/>
        <v>8104.4665324339412</v>
      </c>
      <c r="J1086" s="2" t="s">
        <v>88</v>
      </c>
    </row>
    <row r="1087" spans="1:10" ht="14.25" customHeight="1" x14ac:dyDescent="0.3">
      <c r="A1087" s="11" t="s">
        <v>53</v>
      </c>
      <c r="B1087" s="19" t="str">
        <f>INDEX(SETORES!$B:$B,MATCH(A1087,SETORES!$A:$A,0))</f>
        <v>Clientes</v>
      </c>
      <c r="C1087" s="11" t="s">
        <v>13</v>
      </c>
      <c r="D1087" s="9">
        <f>IF(B1087="Clientes",SUMIFS(PARÂMETROS!$D$8:$D$907,PARÂMETROS!$A$8:$A$907,C1087,PARÂMETROS!$G$8:$G$907,J1087),SUMIFS(PARÂMETROS!$E$8:$E$907,PARÂMETROS!$A$8:$A$907,C1087,PARÂMETROS!$G$8:$G$907,J1087))</f>
        <v>7.4539737282548049E-2</v>
      </c>
      <c r="E1087" s="20">
        <f>SUMIFS(SETORES!$D:$D,SETORES!$A:$A,A1087,SETORES!$F:$F,J1087)</f>
        <v>118279.62000000001</v>
      </c>
      <c r="F1087" s="20">
        <f t="shared" si="61"/>
        <v>8816.5318006796169</v>
      </c>
      <c r="G1087" s="9">
        <f>SUMIFS(PARÂMETROS!$F$8:$F$907,PARÂMETROS!$A$8:$A$907,C1087,PARÂMETROS!$G$8:$G$907,J1087)</f>
        <v>0</v>
      </c>
      <c r="H1087" s="20">
        <f t="shared" si="59"/>
        <v>0</v>
      </c>
      <c r="I1087" s="20">
        <f t="shared" si="60"/>
        <v>8816.5318006796169</v>
      </c>
      <c r="J1087" s="11" t="s">
        <v>88</v>
      </c>
    </row>
    <row r="1088" spans="1:10" ht="14.25" customHeight="1" x14ac:dyDescent="0.3">
      <c r="A1088" s="2" t="s">
        <v>53</v>
      </c>
      <c r="B1088" s="2" t="str">
        <f>INDEX(SETORES!$B:$B,MATCH(A1088,SETORES!$A:$A,0))</f>
        <v>Clientes</v>
      </c>
      <c r="C1088" s="2" t="s">
        <v>14</v>
      </c>
      <c r="D1088" s="14">
        <f>IF(B1088="Clientes",SUMIFS(PARÂMETROS!$D$8:$D$907,PARÂMETROS!$A$8:$A$907,C1088,PARÂMETROS!$G$8:$G$907,J1088),SUMIFS(PARÂMETROS!$E$8:$E$907,PARÂMETROS!$A$8:$A$907,C1088,PARÂMETROS!$G$8:$G$907,J1088))</f>
        <v>1.8943044073642036E-2</v>
      </c>
      <c r="E1088" s="21">
        <f>SUMIFS(SETORES!$D:$D,SETORES!$A:$A,A1088,SETORES!$F:$F,J1088)</f>
        <v>118279.62000000001</v>
      </c>
      <c r="F1088" s="21">
        <f t="shared" si="61"/>
        <v>2240.5760546736324</v>
      </c>
      <c r="G1088" s="14">
        <f>SUMIFS(PARÂMETROS!$F$8:$F$907,PARÂMETROS!$A$8:$A$907,C1088,PARÂMETROS!$G$8:$G$907,J1088)</f>
        <v>0</v>
      </c>
      <c r="H1088" s="21">
        <f t="shared" si="59"/>
        <v>0</v>
      </c>
      <c r="I1088" s="21">
        <f t="shared" si="60"/>
        <v>2240.5760546736324</v>
      </c>
      <c r="J1088" s="2" t="s">
        <v>88</v>
      </c>
    </row>
    <row r="1089" spans="1:10" ht="14.25" customHeight="1" x14ac:dyDescent="0.3">
      <c r="A1089" s="11" t="s">
        <v>53</v>
      </c>
      <c r="B1089" s="19" t="str">
        <f>INDEX(SETORES!$B:$B,MATCH(A1089,SETORES!$A:$A,0))</f>
        <v>Clientes</v>
      </c>
      <c r="C1089" s="11" t="s">
        <v>15</v>
      </c>
      <c r="D1089" s="9">
        <f>IF(B1089="Clientes",SUMIFS(PARÂMETROS!$D$8:$D$907,PARÂMETROS!$A$8:$A$907,C1089,PARÂMETROS!$G$8:$G$907,J1089),SUMIFS(PARÂMETROS!$E$8:$E$907,PARÂMETROS!$A$8:$A$907,C1089,PARÂMETROS!$G$8:$G$907,J1089))</f>
        <v>3.3478723943804842E-2</v>
      </c>
      <c r="E1089" s="20">
        <f>SUMIFS(SETORES!$D:$D,SETORES!$A:$A,A1089,SETORES!$F:$F,J1089)</f>
        <v>118279.62000000001</v>
      </c>
      <c r="F1089" s="20">
        <f t="shared" si="61"/>
        <v>3959.8507461581385</v>
      </c>
      <c r="G1089" s="9">
        <f>SUMIFS(PARÂMETROS!$F$8:$F$907,PARÂMETROS!$A$8:$A$907,C1089,PARÂMETROS!$G$8:$G$907,J1089)</f>
        <v>0</v>
      </c>
      <c r="H1089" s="20">
        <f t="shared" si="59"/>
        <v>0</v>
      </c>
      <c r="I1089" s="20">
        <f t="shared" si="60"/>
        <v>3959.8507461581385</v>
      </c>
      <c r="J1089" s="11" t="s">
        <v>88</v>
      </c>
    </row>
    <row r="1090" spans="1:10" ht="14.25" customHeight="1" x14ac:dyDescent="0.3">
      <c r="A1090" s="2" t="s">
        <v>53</v>
      </c>
      <c r="B1090" s="2" t="str">
        <f>INDEX(SETORES!$B:$B,MATCH(A1090,SETORES!$A:$A,0))</f>
        <v>Clientes</v>
      </c>
      <c r="C1090" s="2" t="s">
        <v>16</v>
      </c>
      <c r="D1090" s="14">
        <f>IF(B1090="Clientes",SUMIFS(PARÂMETROS!$D$8:$D$907,PARÂMETROS!$A$8:$A$907,C1090,PARÂMETROS!$G$8:$G$907,J1090),SUMIFS(PARÂMETROS!$E$8:$E$907,PARÂMETROS!$A$8:$A$907,C1090,PARÂMETROS!$G$8:$G$907,J1090))</f>
        <v>2.4288684891210631E-2</v>
      </c>
      <c r="E1090" s="21">
        <f>SUMIFS(SETORES!$D:$D,SETORES!$A:$A,A1090,SETORES!$F:$F,J1090)</f>
        <v>118279.62000000001</v>
      </c>
      <c r="F1090" s="21">
        <f t="shared" si="61"/>
        <v>2872.8564192321351</v>
      </c>
      <c r="G1090" s="14">
        <f>SUMIFS(PARÂMETROS!$F$8:$F$907,PARÂMETROS!$A$8:$A$907,C1090,PARÂMETROS!$G$8:$G$907,J1090)</f>
        <v>0</v>
      </c>
      <c r="H1090" s="21">
        <f t="shared" si="59"/>
        <v>0</v>
      </c>
      <c r="I1090" s="21">
        <f t="shared" si="60"/>
        <v>2872.8564192321351</v>
      </c>
      <c r="J1090" s="2" t="s">
        <v>88</v>
      </c>
    </row>
    <row r="1091" spans="1:10" ht="14.25" customHeight="1" x14ac:dyDescent="0.3">
      <c r="A1091" s="11" t="s">
        <v>53</v>
      </c>
      <c r="B1091" s="19" t="str">
        <f>INDEX(SETORES!$B:$B,MATCH(A1091,SETORES!$A:$A,0))</f>
        <v>Clientes</v>
      </c>
      <c r="C1091" s="11" t="s">
        <v>17</v>
      </c>
      <c r="D1091" s="9">
        <f>IF(B1091="Clientes",SUMIFS(PARÂMETROS!$D$8:$D$907,PARÂMETROS!$A$8:$A$907,C1091,PARÂMETROS!$G$8:$G$907,J1091),SUMIFS(PARÂMETROS!$E$8:$E$907,PARÂMETROS!$A$8:$A$907,C1091,PARÂMETROS!$G$8:$G$907,J1091))</f>
        <v>2.4324187249581578E-2</v>
      </c>
      <c r="E1091" s="20">
        <f>SUMIFS(SETORES!$D:$D,SETORES!$A:$A,A1091,SETORES!$F:$F,J1091)</f>
        <v>118279.62000000001</v>
      </c>
      <c r="F1091" s="20">
        <f t="shared" si="61"/>
        <v>2877.0556246893543</v>
      </c>
      <c r="G1091" s="9">
        <f>SUMIFS(PARÂMETROS!$F$8:$F$907,PARÂMETROS!$A$8:$A$907,C1091,PARÂMETROS!$G$8:$G$907,J1091)</f>
        <v>0</v>
      </c>
      <c r="H1091" s="20">
        <f t="shared" si="59"/>
        <v>0</v>
      </c>
      <c r="I1091" s="20">
        <f t="shared" si="60"/>
        <v>2877.0556246893543</v>
      </c>
      <c r="J1091" s="11" t="s">
        <v>88</v>
      </c>
    </row>
    <row r="1092" spans="1:10" ht="14.25" customHeight="1" x14ac:dyDescent="0.3">
      <c r="A1092" s="2" t="s">
        <v>53</v>
      </c>
      <c r="B1092" s="2" t="str">
        <f>INDEX(SETORES!$B:$B,MATCH(A1092,SETORES!$A:$A,0))</f>
        <v>Clientes</v>
      </c>
      <c r="C1092" s="2" t="s">
        <v>18</v>
      </c>
      <c r="D1092" s="14">
        <f>IF(B1092="Clientes",SUMIFS(PARÂMETROS!$D$8:$D$907,PARÂMETROS!$A$8:$A$907,C1092,PARÂMETROS!$G$8:$G$907,J1092),SUMIFS(PARÂMETROS!$E$8:$E$907,PARÂMETROS!$A$8:$A$907,C1092,PARÂMETROS!$G$8:$G$907,J1092))</f>
        <v>0.7221940457473246</v>
      </c>
      <c r="E1092" s="21">
        <f>SUMIFS(SETORES!$D:$D,SETORES!$A:$A,A1092,SETORES!$F:$F,J1092)</f>
        <v>118279.62000000001</v>
      </c>
      <c r="F1092" s="21">
        <f t="shared" si="61"/>
        <v>85420.837297256177</v>
      </c>
      <c r="G1092" s="14">
        <f>SUMIFS(PARÂMETROS!$F$8:$F$907,PARÂMETROS!$A$8:$A$907,C1092,PARÂMETROS!$G$8:$G$907,J1092)</f>
        <v>0</v>
      </c>
      <c r="H1092" s="21">
        <f t="shared" si="59"/>
        <v>0</v>
      </c>
      <c r="I1092" s="21">
        <f t="shared" si="60"/>
        <v>85420.837297256177</v>
      </c>
      <c r="J1092" s="2" t="s">
        <v>88</v>
      </c>
    </row>
    <row r="1093" spans="1:10" ht="14.25" customHeight="1" x14ac:dyDescent="0.3">
      <c r="A1093" s="11" t="s">
        <v>54</v>
      </c>
      <c r="B1093" s="19" t="str">
        <f>INDEX(SETORES!$B:$B,MATCH(A1093,SETORES!$A:$A,0))</f>
        <v>Clientes</v>
      </c>
      <c r="C1093" s="11" t="s">
        <v>10</v>
      </c>
      <c r="D1093" s="9">
        <f>IF(B1093="Clientes",SUMIFS(PARÂMETROS!$D$8:$D$907,PARÂMETROS!$A$8:$A$907,C1093,PARÂMETROS!$G$8:$G$907,J1093),SUMIFS(PARÂMETROS!$E$8:$E$907,PARÂMETROS!$A$8:$A$907,C1093,PARÂMETROS!$G$8:$G$907,J1093))</f>
        <v>3.3712025155956789E-2</v>
      </c>
      <c r="E1093" s="20">
        <f>SUMIFS(SETORES!$D:$D,SETORES!$A:$A,A1093,SETORES!$F:$F,J1093)</f>
        <v>203018.86000000002</v>
      </c>
      <c r="F1093" s="20">
        <f t="shared" si="61"/>
        <v>6844.1769154536696</v>
      </c>
      <c r="G1093" s="9">
        <f>SUMIFS(PARÂMETROS!$F$8:$F$907,PARÂMETROS!$A$8:$A$907,C1093,PARÂMETROS!$G$8:$G$907,J1093)</f>
        <v>0</v>
      </c>
      <c r="H1093" s="20">
        <f t="shared" si="59"/>
        <v>0</v>
      </c>
      <c r="I1093" s="20">
        <f t="shared" si="60"/>
        <v>6844.1769154536696</v>
      </c>
      <c r="J1093" s="11" t="s">
        <v>88</v>
      </c>
    </row>
    <row r="1094" spans="1:10" ht="14.25" customHeight="1" x14ac:dyDescent="0.3">
      <c r="A1094" s="2" t="s">
        <v>54</v>
      </c>
      <c r="B1094" s="2" t="str">
        <f>INDEX(SETORES!$B:$B,MATCH(A1094,SETORES!$A:$A,0))</f>
        <v>Clientes</v>
      </c>
      <c r="C1094" s="2" t="s">
        <v>12</v>
      </c>
      <c r="D1094" s="14">
        <f>IF(B1094="Clientes",SUMIFS(PARÂMETROS!$D$8:$D$907,PARÂMETROS!$A$8:$A$907,C1094,PARÂMETROS!$G$8:$G$907,J1094),SUMIFS(PARÂMETROS!$E$8:$E$907,PARÂMETROS!$A$8:$A$907,C1094,PARÂMETROS!$G$8:$G$907,J1094))</f>
        <v>6.8519551655931432E-2</v>
      </c>
      <c r="E1094" s="21">
        <f>SUMIFS(SETORES!$D:$D,SETORES!$A:$A,A1094,SETORES!$F:$F,J1094)</f>
        <v>203018.86000000002</v>
      </c>
      <c r="F1094" s="21">
        <f t="shared" si="61"/>
        <v>13910.761264898312</v>
      </c>
      <c r="G1094" s="14">
        <f>SUMIFS(PARÂMETROS!$F$8:$F$907,PARÂMETROS!$A$8:$A$907,C1094,PARÂMETROS!$G$8:$G$907,J1094)</f>
        <v>0</v>
      </c>
      <c r="H1094" s="21">
        <f t="shared" si="59"/>
        <v>0</v>
      </c>
      <c r="I1094" s="21">
        <f t="shared" si="60"/>
        <v>13910.761264898312</v>
      </c>
      <c r="J1094" s="2" t="s">
        <v>88</v>
      </c>
    </row>
    <row r="1095" spans="1:10" ht="14.25" customHeight="1" x14ac:dyDescent="0.3">
      <c r="A1095" s="11" t="s">
        <v>54</v>
      </c>
      <c r="B1095" s="19" t="str">
        <f>INDEX(SETORES!$B:$B,MATCH(A1095,SETORES!$A:$A,0))</f>
        <v>Clientes</v>
      </c>
      <c r="C1095" s="11" t="s">
        <v>13</v>
      </c>
      <c r="D1095" s="9">
        <f>IF(B1095="Clientes",SUMIFS(PARÂMETROS!$D$8:$D$907,PARÂMETROS!$A$8:$A$907,C1095,PARÂMETROS!$G$8:$G$907,J1095),SUMIFS(PARÂMETROS!$E$8:$E$907,PARÂMETROS!$A$8:$A$907,C1095,PARÂMETROS!$G$8:$G$907,J1095))</f>
        <v>7.4539737282548049E-2</v>
      </c>
      <c r="E1095" s="20">
        <f>SUMIFS(SETORES!$D:$D,SETORES!$A:$A,A1095,SETORES!$F:$F,J1095)</f>
        <v>203018.86000000002</v>
      </c>
      <c r="F1095" s="20">
        <f t="shared" si="61"/>
        <v>15132.972487802404</v>
      </c>
      <c r="G1095" s="9">
        <f>SUMIFS(PARÂMETROS!$F$8:$F$907,PARÂMETROS!$A$8:$A$907,C1095,PARÂMETROS!$G$8:$G$907,J1095)</f>
        <v>0</v>
      </c>
      <c r="H1095" s="20">
        <f t="shared" si="59"/>
        <v>0</v>
      </c>
      <c r="I1095" s="20">
        <f t="shared" si="60"/>
        <v>15132.972487802404</v>
      </c>
      <c r="J1095" s="11" t="s">
        <v>88</v>
      </c>
    </row>
    <row r="1096" spans="1:10" ht="14.25" customHeight="1" x14ac:dyDescent="0.3">
      <c r="A1096" s="2" t="s">
        <v>54</v>
      </c>
      <c r="B1096" s="2" t="str">
        <f>INDEX(SETORES!$B:$B,MATCH(A1096,SETORES!$A:$A,0))</f>
        <v>Clientes</v>
      </c>
      <c r="C1096" s="2" t="s">
        <v>14</v>
      </c>
      <c r="D1096" s="14">
        <f>IF(B1096="Clientes",SUMIFS(PARÂMETROS!$D$8:$D$907,PARÂMETROS!$A$8:$A$907,C1096,PARÂMETROS!$G$8:$G$907,J1096),SUMIFS(PARÂMETROS!$E$8:$E$907,PARÂMETROS!$A$8:$A$907,C1096,PARÂMETROS!$G$8:$G$907,J1096))</f>
        <v>1.8943044073642036E-2</v>
      </c>
      <c r="E1096" s="21">
        <f>SUMIFS(SETORES!$D:$D,SETORES!$A:$A,A1096,SETORES!$F:$F,J1096)</f>
        <v>203018.86000000002</v>
      </c>
      <c r="F1096" s="21">
        <f t="shared" si="61"/>
        <v>3845.7952127605627</v>
      </c>
      <c r="G1096" s="14">
        <f>SUMIFS(PARÂMETROS!$F$8:$F$907,PARÂMETROS!$A$8:$A$907,C1096,PARÂMETROS!$G$8:$G$907,J1096)</f>
        <v>0</v>
      </c>
      <c r="H1096" s="21">
        <f t="shared" si="59"/>
        <v>0</v>
      </c>
      <c r="I1096" s="21">
        <f t="shared" si="60"/>
        <v>3845.7952127605627</v>
      </c>
      <c r="J1096" s="2" t="s">
        <v>88</v>
      </c>
    </row>
    <row r="1097" spans="1:10" ht="14.25" customHeight="1" x14ac:dyDescent="0.3">
      <c r="A1097" s="11" t="s">
        <v>54</v>
      </c>
      <c r="B1097" s="19" t="str">
        <f>INDEX(SETORES!$B:$B,MATCH(A1097,SETORES!$A:$A,0))</f>
        <v>Clientes</v>
      </c>
      <c r="C1097" s="11" t="s">
        <v>15</v>
      </c>
      <c r="D1097" s="9">
        <f>IF(B1097="Clientes",SUMIFS(PARÂMETROS!$D$8:$D$907,PARÂMETROS!$A$8:$A$907,C1097,PARÂMETROS!$G$8:$G$907,J1097),SUMIFS(PARÂMETROS!$E$8:$E$907,PARÂMETROS!$A$8:$A$907,C1097,PARÂMETROS!$G$8:$G$907,J1097))</f>
        <v>3.3478723943804842E-2</v>
      </c>
      <c r="E1097" s="20">
        <f>SUMIFS(SETORES!$D:$D,SETORES!$A:$A,A1097,SETORES!$F:$F,J1097)</f>
        <v>203018.86000000002</v>
      </c>
      <c r="F1097" s="20">
        <f t="shared" si="61"/>
        <v>6796.8123693259631</v>
      </c>
      <c r="G1097" s="9">
        <f>SUMIFS(PARÂMETROS!$F$8:$F$907,PARÂMETROS!$A$8:$A$907,C1097,PARÂMETROS!$G$8:$G$907,J1097)</f>
        <v>0</v>
      </c>
      <c r="H1097" s="20">
        <f t="shared" si="59"/>
        <v>0</v>
      </c>
      <c r="I1097" s="20">
        <f t="shared" si="60"/>
        <v>6796.8123693259631</v>
      </c>
      <c r="J1097" s="11" t="s">
        <v>88</v>
      </c>
    </row>
    <row r="1098" spans="1:10" ht="14.25" customHeight="1" x14ac:dyDescent="0.3">
      <c r="A1098" s="2" t="s">
        <v>54</v>
      </c>
      <c r="B1098" s="2" t="str">
        <f>INDEX(SETORES!$B:$B,MATCH(A1098,SETORES!$A:$A,0))</f>
        <v>Clientes</v>
      </c>
      <c r="C1098" s="2" t="s">
        <v>16</v>
      </c>
      <c r="D1098" s="14">
        <f>IF(B1098="Clientes",SUMIFS(PARÂMETROS!$D$8:$D$907,PARÂMETROS!$A$8:$A$907,C1098,PARÂMETROS!$G$8:$G$907,J1098),SUMIFS(PARÂMETROS!$E$8:$E$907,PARÂMETROS!$A$8:$A$907,C1098,PARÂMETROS!$G$8:$G$907,J1098))</f>
        <v>2.4288684891210631E-2</v>
      </c>
      <c r="E1098" s="21">
        <f>SUMIFS(SETORES!$D:$D,SETORES!$A:$A,A1098,SETORES!$F:$F,J1098)</f>
        <v>203018.86000000002</v>
      </c>
      <c r="F1098" s="21">
        <f t="shared" si="61"/>
        <v>4931.061117512807</v>
      </c>
      <c r="G1098" s="14">
        <f>SUMIFS(PARÂMETROS!$F$8:$F$907,PARÂMETROS!$A$8:$A$907,C1098,PARÂMETROS!$G$8:$G$907,J1098)</f>
        <v>0</v>
      </c>
      <c r="H1098" s="21">
        <f t="shared" si="59"/>
        <v>0</v>
      </c>
      <c r="I1098" s="21">
        <f t="shared" si="60"/>
        <v>4931.061117512807</v>
      </c>
      <c r="J1098" s="2" t="s">
        <v>88</v>
      </c>
    </row>
    <row r="1099" spans="1:10" ht="14.25" customHeight="1" x14ac:dyDescent="0.3">
      <c r="A1099" s="11" t="s">
        <v>54</v>
      </c>
      <c r="B1099" s="19" t="str">
        <f>INDEX(SETORES!$B:$B,MATCH(A1099,SETORES!$A:$A,0))</f>
        <v>Clientes</v>
      </c>
      <c r="C1099" s="11" t="s">
        <v>17</v>
      </c>
      <c r="D1099" s="9">
        <f>IF(B1099="Clientes",SUMIFS(PARÂMETROS!$D$8:$D$907,PARÂMETROS!$A$8:$A$907,C1099,PARÂMETROS!$G$8:$G$907,J1099),SUMIFS(PARÂMETROS!$E$8:$E$907,PARÂMETROS!$A$8:$A$907,C1099,PARÂMETROS!$G$8:$G$907,J1099))</f>
        <v>2.4324187249581578E-2</v>
      </c>
      <c r="E1099" s="20">
        <f>SUMIFS(SETORES!$D:$D,SETORES!$A:$A,A1099,SETORES!$F:$F,J1099)</f>
        <v>203018.86000000002</v>
      </c>
      <c r="F1099" s="20">
        <f t="shared" si="61"/>
        <v>4938.2687658365876</v>
      </c>
      <c r="G1099" s="9">
        <f>SUMIFS(PARÂMETROS!$F$8:$F$907,PARÂMETROS!$A$8:$A$907,C1099,PARÂMETROS!$G$8:$G$907,J1099)</f>
        <v>0</v>
      </c>
      <c r="H1099" s="20">
        <f t="shared" si="59"/>
        <v>0</v>
      </c>
      <c r="I1099" s="20">
        <f t="shared" si="60"/>
        <v>4938.2687658365876</v>
      </c>
      <c r="J1099" s="11" t="s">
        <v>88</v>
      </c>
    </row>
    <row r="1100" spans="1:10" ht="14.25" customHeight="1" x14ac:dyDescent="0.3">
      <c r="A1100" s="2" t="s">
        <v>54</v>
      </c>
      <c r="B1100" s="2" t="str">
        <f>INDEX(SETORES!$B:$B,MATCH(A1100,SETORES!$A:$A,0))</f>
        <v>Clientes</v>
      </c>
      <c r="C1100" s="2" t="s">
        <v>18</v>
      </c>
      <c r="D1100" s="14">
        <f>IF(B1100="Clientes",SUMIFS(PARÂMETROS!$D$8:$D$907,PARÂMETROS!$A$8:$A$907,C1100,PARÂMETROS!$G$8:$G$907,J1100),SUMIFS(PARÂMETROS!$E$8:$E$907,PARÂMETROS!$A$8:$A$907,C1100,PARÂMETROS!$G$8:$G$907,J1100))</f>
        <v>0.7221940457473246</v>
      </c>
      <c r="E1100" s="21">
        <f>SUMIFS(SETORES!$D:$D,SETORES!$A:$A,A1100,SETORES!$F:$F,J1100)</f>
        <v>203018.86000000002</v>
      </c>
      <c r="F1100" s="21">
        <f t="shared" si="61"/>
        <v>146619.01186640971</v>
      </c>
      <c r="G1100" s="14">
        <f>SUMIFS(PARÂMETROS!$F$8:$F$907,PARÂMETROS!$A$8:$A$907,C1100,PARÂMETROS!$G$8:$G$907,J1100)</f>
        <v>0</v>
      </c>
      <c r="H1100" s="21">
        <f t="shared" si="59"/>
        <v>0</v>
      </c>
      <c r="I1100" s="21">
        <f t="shared" si="60"/>
        <v>146619.01186640971</v>
      </c>
      <c r="J1100" s="2" t="s">
        <v>88</v>
      </c>
    </row>
    <row r="1101" spans="1:10" ht="14.25" customHeight="1" x14ac:dyDescent="0.3">
      <c r="A1101" s="11" t="s">
        <v>55</v>
      </c>
      <c r="B1101" s="19" t="str">
        <f>INDEX(SETORES!$B:$B,MATCH(A1101,SETORES!$A:$A,0))</f>
        <v>Funcionários</v>
      </c>
      <c r="C1101" s="11" t="s">
        <v>10</v>
      </c>
      <c r="D1101" s="9">
        <f>IF(B1101="Clientes",SUMIFS(PARÂMETROS!$D$8:$D$907,PARÂMETROS!$A$8:$A$907,C1101,PARÂMETROS!$G$8:$G$907,J1101),SUMIFS(PARÂMETROS!$E$8:$E$907,PARÂMETROS!$A$8:$A$907,C1101,PARÂMETROS!$G$8:$G$907,J1101))</f>
        <v>2.8517110266159697E-2</v>
      </c>
      <c r="E1101" s="20">
        <f>SUMIFS(SETORES!$D:$D,SETORES!$A:$A,A1101,SETORES!$F:$F,J1101)</f>
        <v>23340.09</v>
      </c>
      <c r="F1101" s="20">
        <f t="shared" ref="F1101:F1108" si="62">IFERROR(D1101*E1101,0)</f>
        <v>665.59192015209123</v>
      </c>
      <c r="G1101" s="9">
        <f>SUMIFS(PARÂMETROS!$F$8:$F$907,PARÂMETROS!$A$8:$A$907,C1101,PARÂMETROS!$G$8:$G$907,J1101)</f>
        <v>0</v>
      </c>
      <c r="H1101" s="20">
        <f t="shared" ref="H1101:H1164" si="63">IFERROR(F1101*G1101,0)</f>
        <v>0</v>
      </c>
      <c r="I1101" s="20">
        <f t="shared" ref="I1101:I1164" si="64">F1101+H1101</f>
        <v>665.59192015209123</v>
      </c>
      <c r="J1101" s="11" t="s">
        <v>88</v>
      </c>
    </row>
    <row r="1102" spans="1:10" ht="14.25" customHeight="1" x14ac:dyDescent="0.3">
      <c r="A1102" s="2" t="s">
        <v>55</v>
      </c>
      <c r="B1102" s="2" t="str">
        <f>INDEX(SETORES!$B:$B,MATCH(A1102,SETORES!$A:$A,0))</f>
        <v>Funcionários</v>
      </c>
      <c r="C1102" s="2" t="s">
        <v>12</v>
      </c>
      <c r="D1102" s="14">
        <f>IF(B1102="Clientes",SUMIFS(PARÂMETROS!$D$8:$D$907,PARÂMETROS!$A$8:$A$907,C1102,PARÂMETROS!$G$8:$G$907,J1102),SUMIFS(PARÂMETROS!$E$8:$E$907,PARÂMETROS!$A$8:$A$907,C1102,PARÂMETROS!$G$8:$G$907,J1102))</f>
        <v>0</v>
      </c>
      <c r="E1102" s="21">
        <f>SUMIFS(SETORES!$D:$D,SETORES!$A:$A,A1102,SETORES!$F:$F,J1102)</f>
        <v>23340.09</v>
      </c>
      <c r="F1102" s="21">
        <f t="shared" si="62"/>
        <v>0</v>
      </c>
      <c r="G1102" s="14">
        <f>SUMIFS(PARÂMETROS!$F$8:$F$907,PARÂMETROS!$A$8:$A$907,C1102,PARÂMETROS!$G$8:$G$907,J1102)</f>
        <v>0</v>
      </c>
      <c r="H1102" s="21">
        <f t="shared" si="63"/>
        <v>0</v>
      </c>
      <c r="I1102" s="21">
        <f t="shared" si="64"/>
        <v>0</v>
      </c>
      <c r="J1102" s="2" t="s">
        <v>88</v>
      </c>
    </row>
    <row r="1103" spans="1:10" ht="14.25" customHeight="1" x14ac:dyDescent="0.3">
      <c r="A1103" s="11" t="s">
        <v>55</v>
      </c>
      <c r="B1103" s="19" t="str">
        <f>INDEX(SETORES!$B:$B,MATCH(A1103,SETORES!$A:$A,0))</f>
        <v>Funcionários</v>
      </c>
      <c r="C1103" s="11" t="s">
        <v>13</v>
      </c>
      <c r="D1103" s="9">
        <f>IF(B1103="Clientes",SUMIFS(PARÂMETROS!$D$8:$D$907,PARÂMETROS!$A$8:$A$907,C1103,PARÂMETROS!$G$8:$G$907,J1103),SUMIFS(PARÂMETROS!$E$8:$E$907,PARÂMETROS!$A$8:$A$907,C1103,PARÂMETROS!$G$8:$G$907,J1103))</f>
        <v>4.2775665399239542E-2</v>
      </c>
      <c r="E1103" s="20">
        <f>SUMIFS(SETORES!$D:$D,SETORES!$A:$A,A1103,SETORES!$F:$F,J1103)</f>
        <v>23340.09</v>
      </c>
      <c r="F1103" s="20">
        <f t="shared" si="62"/>
        <v>998.38788022813685</v>
      </c>
      <c r="G1103" s="9">
        <f>SUMIFS(PARÂMETROS!$F$8:$F$907,PARÂMETROS!$A$8:$A$907,C1103,PARÂMETROS!$G$8:$G$907,J1103)</f>
        <v>0</v>
      </c>
      <c r="H1103" s="20">
        <f t="shared" si="63"/>
        <v>0</v>
      </c>
      <c r="I1103" s="20">
        <f t="shared" si="64"/>
        <v>998.38788022813685</v>
      </c>
      <c r="J1103" s="11" t="s">
        <v>88</v>
      </c>
    </row>
    <row r="1104" spans="1:10" ht="14.25" customHeight="1" x14ac:dyDescent="0.3">
      <c r="A1104" s="2" t="s">
        <v>55</v>
      </c>
      <c r="B1104" s="2" t="str">
        <f>INDEX(SETORES!$B:$B,MATCH(A1104,SETORES!$A:$A,0))</f>
        <v>Funcionários</v>
      </c>
      <c r="C1104" s="2" t="s">
        <v>14</v>
      </c>
      <c r="D1104" s="14">
        <f>IF(B1104="Clientes",SUMIFS(PARÂMETROS!$D$8:$D$907,PARÂMETROS!$A$8:$A$907,C1104,PARÂMETROS!$G$8:$G$907,J1104),SUMIFS(PARÂMETROS!$E$8:$E$907,PARÂMETROS!$A$8:$A$907,C1104,PARÂMETROS!$G$8:$G$907,J1104))</f>
        <v>9.5057034220532317E-3</v>
      </c>
      <c r="E1104" s="21">
        <f>SUMIFS(SETORES!$D:$D,SETORES!$A:$A,A1104,SETORES!$F:$F,J1104)</f>
        <v>23340.09</v>
      </c>
      <c r="F1104" s="21">
        <f t="shared" si="62"/>
        <v>221.8639733840304</v>
      </c>
      <c r="G1104" s="14">
        <f>SUMIFS(PARÂMETROS!$F$8:$F$907,PARÂMETROS!$A$8:$A$907,C1104,PARÂMETROS!$G$8:$G$907,J1104)</f>
        <v>0</v>
      </c>
      <c r="H1104" s="21">
        <f t="shared" si="63"/>
        <v>0</v>
      </c>
      <c r="I1104" s="21">
        <f t="shared" si="64"/>
        <v>221.8639733840304</v>
      </c>
      <c r="J1104" s="2" t="s">
        <v>88</v>
      </c>
    </row>
    <row r="1105" spans="1:10" ht="14.25" customHeight="1" x14ac:dyDescent="0.3">
      <c r="A1105" s="11" t="s">
        <v>55</v>
      </c>
      <c r="B1105" s="19" t="str">
        <f>INDEX(SETORES!$B:$B,MATCH(A1105,SETORES!$A:$A,0))</f>
        <v>Funcionários</v>
      </c>
      <c r="C1105" s="11" t="s">
        <v>15</v>
      </c>
      <c r="D1105" s="9">
        <f>IF(B1105="Clientes",SUMIFS(PARÂMETROS!$D$8:$D$907,PARÂMETROS!$A$8:$A$907,C1105,PARÂMETROS!$G$8:$G$907,J1105),SUMIFS(PARÂMETROS!$E$8:$E$907,PARÂMETROS!$A$8:$A$907,C1105,PARÂMETROS!$G$8:$G$907,J1105))</f>
        <v>4.3726235741444866E-2</v>
      </c>
      <c r="E1105" s="20">
        <f>SUMIFS(SETORES!$D:$D,SETORES!$A:$A,A1105,SETORES!$F:$F,J1105)</f>
        <v>23340.09</v>
      </c>
      <c r="F1105" s="20">
        <f t="shared" si="62"/>
        <v>1020.5742775665399</v>
      </c>
      <c r="G1105" s="9">
        <f>SUMIFS(PARÂMETROS!$F$8:$F$907,PARÂMETROS!$A$8:$A$907,C1105,PARÂMETROS!$G$8:$G$907,J1105)</f>
        <v>0</v>
      </c>
      <c r="H1105" s="20">
        <f t="shared" si="63"/>
        <v>0</v>
      </c>
      <c r="I1105" s="20">
        <f t="shared" si="64"/>
        <v>1020.5742775665399</v>
      </c>
      <c r="J1105" s="11" t="s">
        <v>88</v>
      </c>
    </row>
    <row r="1106" spans="1:10" ht="14.25" customHeight="1" x14ac:dyDescent="0.3">
      <c r="A1106" s="2" t="s">
        <v>55</v>
      </c>
      <c r="B1106" s="2" t="str">
        <f>INDEX(SETORES!$B:$B,MATCH(A1106,SETORES!$A:$A,0))</f>
        <v>Funcionários</v>
      </c>
      <c r="C1106" s="2" t="s">
        <v>16</v>
      </c>
      <c r="D1106" s="14">
        <f>IF(B1106="Clientes",SUMIFS(PARÂMETROS!$D$8:$D$907,PARÂMETROS!$A$8:$A$907,C1106,PARÂMETROS!$G$8:$G$907,J1106),SUMIFS(PARÂMETROS!$E$8:$E$907,PARÂMETROS!$A$8:$A$907,C1106,PARÂMETROS!$G$8:$G$907,J1106))</f>
        <v>1.6159695817490494E-2</v>
      </c>
      <c r="E1106" s="21">
        <f>SUMIFS(SETORES!$D:$D,SETORES!$A:$A,A1106,SETORES!$F:$F,J1106)</f>
        <v>23340.09</v>
      </c>
      <c r="F1106" s="21">
        <f t="shared" si="62"/>
        <v>377.16875475285173</v>
      </c>
      <c r="G1106" s="14">
        <f>SUMIFS(PARÂMETROS!$F$8:$F$907,PARÂMETROS!$A$8:$A$907,C1106,PARÂMETROS!$G$8:$G$907,J1106)</f>
        <v>0</v>
      </c>
      <c r="H1106" s="21">
        <f t="shared" si="63"/>
        <v>0</v>
      </c>
      <c r="I1106" s="21">
        <f t="shared" si="64"/>
        <v>377.16875475285173</v>
      </c>
      <c r="J1106" s="2" t="s">
        <v>88</v>
      </c>
    </row>
    <row r="1107" spans="1:10" ht="14.25" customHeight="1" x14ac:dyDescent="0.3">
      <c r="A1107" s="11" t="s">
        <v>55</v>
      </c>
      <c r="B1107" s="19" t="str">
        <f>INDEX(SETORES!$B:$B,MATCH(A1107,SETORES!$A:$A,0))</f>
        <v>Funcionários</v>
      </c>
      <c r="C1107" s="11" t="s">
        <v>17</v>
      </c>
      <c r="D1107" s="9">
        <f>IF(B1107="Clientes",SUMIFS(PARÂMETROS!$D$8:$D$907,PARÂMETROS!$A$8:$A$907,C1107,PARÂMETROS!$G$8:$G$907,J1107),SUMIFS(PARÂMETROS!$E$8:$E$907,PARÂMETROS!$A$8:$A$907,C1107,PARÂMETROS!$G$8:$G$907,J1107))</f>
        <v>2.1863117870722433E-2</v>
      </c>
      <c r="E1107" s="20">
        <f>SUMIFS(SETORES!$D:$D,SETORES!$A:$A,A1107,SETORES!$F:$F,J1107)</f>
        <v>23340.09</v>
      </c>
      <c r="F1107" s="20">
        <f t="shared" si="62"/>
        <v>510.28713878326994</v>
      </c>
      <c r="G1107" s="9">
        <f>SUMIFS(PARÂMETROS!$F$8:$F$907,PARÂMETROS!$A$8:$A$907,C1107,PARÂMETROS!$G$8:$G$907,J1107)</f>
        <v>0</v>
      </c>
      <c r="H1107" s="20">
        <f t="shared" si="63"/>
        <v>0</v>
      </c>
      <c r="I1107" s="20">
        <f t="shared" si="64"/>
        <v>510.28713878326994</v>
      </c>
      <c r="J1107" s="11" t="s">
        <v>88</v>
      </c>
    </row>
    <row r="1108" spans="1:10" ht="14.25" customHeight="1" x14ac:dyDescent="0.3">
      <c r="A1108" s="2" t="s">
        <v>55</v>
      </c>
      <c r="B1108" s="2" t="str">
        <f>INDEX(SETORES!$B:$B,MATCH(A1108,SETORES!$A:$A,0))</f>
        <v>Funcionários</v>
      </c>
      <c r="C1108" s="2" t="s">
        <v>18</v>
      </c>
      <c r="D1108" s="14">
        <f>IF(B1108="Clientes",SUMIFS(PARÂMETROS!$D$8:$D$907,PARÂMETROS!$A$8:$A$907,C1108,PARÂMETROS!$G$8:$G$907,J1108),SUMIFS(PARÂMETROS!$E$8:$E$907,PARÂMETROS!$A$8:$A$907,C1108,PARÂMETROS!$G$8:$G$907,J1108))</f>
        <v>0.8374524714828897</v>
      </c>
      <c r="E1108" s="21">
        <f>SUMIFS(SETORES!$D:$D,SETORES!$A:$A,A1108,SETORES!$F:$F,J1108)</f>
        <v>23340.09</v>
      </c>
      <c r="F1108" s="21">
        <f t="shared" si="62"/>
        <v>19546.216055133078</v>
      </c>
      <c r="G1108" s="14">
        <f>SUMIFS(PARÂMETROS!$F$8:$F$907,PARÂMETROS!$A$8:$A$907,C1108,PARÂMETROS!$G$8:$G$907,J1108)</f>
        <v>0</v>
      </c>
      <c r="H1108" s="21">
        <f t="shared" si="63"/>
        <v>0</v>
      </c>
      <c r="I1108" s="21">
        <f t="shared" si="64"/>
        <v>19546.216055133078</v>
      </c>
      <c r="J1108" s="2" t="s">
        <v>88</v>
      </c>
    </row>
    <row r="1109" spans="1:10" ht="14.25" customHeight="1" x14ac:dyDescent="0.3">
      <c r="A1109" t="s">
        <v>78</v>
      </c>
      <c r="B1109" t="str">
        <f>INDEX(SETORES!$B:$B,MATCH(A1109,SETORES!$A:$A,0))</f>
        <v>Clientes</v>
      </c>
      <c r="C1109" t="s">
        <v>10</v>
      </c>
      <c r="D1109" s="23">
        <f>IF(B1109="Clientes",SUMIFS(PARÂMETROS!$D$8:$D$907,PARÂMETROS!$A$8:$A$907,C1109,PARÂMETROS!$G$8:$G$907,J1109),SUMIFS(PARÂMETROS!$E$8:$E$907,PARÂMETROS!$A$8:$A$907,C1109,PARÂMETROS!$G$8:$G$907,J1109))</f>
        <v>3.3712025155956789E-2</v>
      </c>
      <c r="E1109" s="24">
        <f>SUMIFS(SETORES!$D:$D,SETORES!$A:$A,A1109,SETORES!$F:$F,J1109)</f>
        <v>74343.280000000013</v>
      </c>
      <c r="F1109" s="24">
        <v>0</v>
      </c>
      <c r="G1109" s="23">
        <f>SUMIFS(PARÂMETROS!$F$8:$F$907,PARÂMETROS!$A$8:$A$907,C1109,PARÂMETROS!$G$8:$G$907,J1109)</f>
        <v>0</v>
      </c>
      <c r="H1109" s="24">
        <f t="shared" si="63"/>
        <v>0</v>
      </c>
      <c r="I1109" s="24">
        <f t="shared" si="64"/>
        <v>0</v>
      </c>
      <c r="J1109" t="s">
        <v>88</v>
      </c>
    </row>
    <row r="1110" spans="1:10" ht="14.25" customHeight="1" x14ac:dyDescent="0.3">
      <c r="A1110" t="s">
        <v>78</v>
      </c>
      <c r="B1110" t="str">
        <f>INDEX(SETORES!$B:$B,MATCH(A1110,SETORES!$A:$A,0))</f>
        <v>Clientes</v>
      </c>
      <c r="C1110" t="s">
        <v>12</v>
      </c>
      <c r="D1110" s="23">
        <f>IF(B1110="Clientes",SUMIFS(PARÂMETROS!$D$8:$D$907,PARÂMETROS!$A$8:$A$907,C1110,PARÂMETROS!$G$8:$G$907,J1110),SUMIFS(PARÂMETROS!$E$8:$E$907,PARÂMETROS!$A$8:$A$907,C1110,PARÂMETROS!$G$8:$G$907,J1110))</f>
        <v>6.8519551655931432E-2</v>
      </c>
      <c r="E1110" s="24">
        <f>SUMIFS(SETORES!$D:$D,SETORES!$A:$A,A1110,SETORES!$F:$F,J1110)</f>
        <v>74343.280000000013</v>
      </c>
      <c r="F1110" s="24">
        <v>0</v>
      </c>
      <c r="G1110" s="23">
        <f>SUMIFS(PARÂMETROS!$F$8:$F$907,PARÂMETROS!$A$8:$A$907,C1110,PARÂMETROS!$G$8:$G$907,J1110)</f>
        <v>0</v>
      </c>
      <c r="H1110" s="24">
        <f t="shared" si="63"/>
        <v>0</v>
      </c>
      <c r="I1110" s="24">
        <f t="shared" si="64"/>
        <v>0</v>
      </c>
      <c r="J1110" t="s">
        <v>88</v>
      </c>
    </row>
    <row r="1111" spans="1:10" ht="14.25" customHeight="1" x14ac:dyDescent="0.3">
      <c r="A1111" t="s">
        <v>78</v>
      </c>
      <c r="B1111" t="str">
        <f>INDEX(SETORES!$B:$B,MATCH(A1111,SETORES!$A:$A,0))</f>
        <v>Clientes</v>
      </c>
      <c r="C1111" t="s">
        <v>13</v>
      </c>
      <c r="D1111" s="23">
        <f>IF(B1111="Clientes",SUMIFS(PARÂMETROS!$D$8:$D$907,PARÂMETROS!$A$8:$A$907,C1111,PARÂMETROS!$G$8:$G$907,J1111),SUMIFS(PARÂMETROS!$E$8:$E$907,PARÂMETROS!$A$8:$A$907,C1111,PARÂMETROS!$G$8:$G$907,J1111))</f>
        <v>7.4539737282548049E-2</v>
      </c>
      <c r="E1111" s="24">
        <f>SUMIFS(SETORES!$D:$D,SETORES!$A:$A,A1111,SETORES!$F:$F,J1111)</f>
        <v>74343.280000000013</v>
      </c>
      <c r="F1111" s="24">
        <v>6316.27</v>
      </c>
      <c r="G1111" s="23">
        <f>SUMIFS(PARÂMETROS!$F$8:$F$907,PARÂMETROS!$A$8:$A$907,C1111,PARÂMETROS!$G$8:$G$907,J1111)</f>
        <v>0</v>
      </c>
      <c r="H1111" s="24">
        <f t="shared" si="63"/>
        <v>0</v>
      </c>
      <c r="I1111" s="24">
        <f t="shared" si="64"/>
        <v>6316.27</v>
      </c>
      <c r="J1111" t="s">
        <v>88</v>
      </c>
    </row>
    <row r="1112" spans="1:10" ht="14.25" customHeight="1" x14ac:dyDescent="0.3">
      <c r="A1112" t="s">
        <v>78</v>
      </c>
      <c r="B1112" t="str">
        <f>INDEX(SETORES!$B:$B,MATCH(A1112,SETORES!$A:$A,0))</f>
        <v>Clientes</v>
      </c>
      <c r="C1112" t="s">
        <v>14</v>
      </c>
      <c r="D1112" s="23">
        <f>IF(B1112="Clientes",SUMIFS(PARÂMETROS!$D$8:$D$907,PARÂMETROS!$A$8:$A$907,C1112,PARÂMETROS!$G$8:$G$907,J1112),SUMIFS(PARÂMETROS!$E$8:$E$907,PARÂMETROS!$A$8:$A$907,C1112,PARÂMETROS!$G$8:$G$907,J1112))</f>
        <v>1.8943044073642036E-2</v>
      </c>
      <c r="E1112" s="24">
        <f>SUMIFS(SETORES!$D:$D,SETORES!$A:$A,A1112,SETORES!$F:$F,J1112)</f>
        <v>74343.280000000013</v>
      </c>
      <c r="F1112" s="24">
        <v>1618.95</v>
      </c>
      <c r="G1112" s="23">
        <f>SUMIFS(PARÂMETROS!$F$8:$F$907,PARÂMETROS!$A$8:$A$907,C1112,PARÂMETROS!$G$8:$G$907,J1112)</f>
        <v>0</v>
      </c>
      <c r="H1112" s="24">
        <f t="shared" si="63"/>
        <v>0</v>
      </c>
      <c r="I1112" s="24">
        <f t="shared" si="64"/>
        <v>1618.95</v>
      </c>
      <c r="J1112" t="s">
        <v>88</v>
      </c>
    </row>
    <row r="1113" spans="1:10" ht="14.25" customHeight="1" x14ac:dyDescent="0.3">
      <c r="A1113" t="s">
        <v>78</v>
      </c>
      <c r="B1113" t="str">
        <f>INDEX(SETORES!$B:$B,MATCH(A1113,SETORES!$A:$A,0))</f>
        <v>Clientes</v>
      </c>
      <c r="C1113" t="s">
        <v>15</v>
      </c>
      <c r="D1113" s="23">
        <f>IF(B1113="Clientes",SUMIFS(PARÂMETROS!$D$8:$D$907,PARÂMETROS!$A$8:$A$907,C1113,PARÂMETROS!$G$8:$G$907,J1113),SUMIFS(PARÂMETROS!$E$8:$E$907,PARÂMETROS!$A$8:$A$907,C1113,PARÂMETROS!$G$8:$G$907,J1113))</f>
        <v>3.3478723943804842E-2</v>
      </c>
      <c r="E1113" s="24">
        <f>SUMIFS(SETORES!$D:$D,SETORES!$A:$A,A1113,SETORES!$F:$F,J1113)</f>
        <v>74343.280000000013</v>
      </c>
      <c r="F1113" s="24">
        <v>0</v>
      </c>
      <c r="G1113" s="23">
        <f>SUMIFS(PARÂMETROS!$F$8:$F$907,PARÂMETROS!$A$8:$A$907,C1113,PARÂMETROS!$G$8:$G$907,J1113)</f>
        <v>0</v>
      </c>
      <c r="H1113" s="24">
        <f t="shared" si="63"/>
        <v>0</v>
      </c>
      <c r="I1113" s="24">
        <f t="shared" si="64"/>
        <v>0</v>
      </c>
      <c r="J1113" t="s">
        <v>88</v>
      </c>
    </row>
    <row r="1114" spans="1:10" ht="14.25" customHeight="1" x14ac:dyDescent="0.3">
      <c r="A1114" t="s">
        <v>78</v>
      </c>
      <c r="B1114" t="str">
        <f>INDEX(SETORES!$B:$B,MATCH(A1114,SETORES!$A:$A,0))</f>
        <v>Clientes</v>
      </c>
      <c r="C1114" t="s">
        <v>16</v>
      </c>
      <c r="D1114" s="23">
        <f>IF(B1114="Clientes",SUMIFS(PARÂMETROS!$D$8:$D$907,PARÂMETROS!$A$8:$A$907,C1114,PARÂMETROS!$G$8:$G$907,J1114),SUMIFS(PARÂMETROS!$E$8:$E$907,PARÂMETROS!$A$8:$A$907,C1114,PARÂMETROS!$G$8:$G$907,J1114))</f>
        <v>2.4288684891210631E-2</v>
      </c>
      <c r="E1114" s="24">
        <f>SUMIFS(SETORES!$D:$D,SETORES!$A:$A,A1114,SETORES!$F:$F,J1114)</f>
        <v>74343.280000000013</v>
      </c>
      <c r="F1114" s="24">
        <v>0</v>
      </c>
      <c r="G1114" s="23">
        <f>SUMIFS(PARÂMETROS!$F$8:$F$907,PARÂMETROS!$A$8:$A$907,C1114,PARÂMETROS!$G$8:$G$907,J1114)</f>
        <v>0</v>
      </c>
      <c r="H1114" s="24">
        <f t="shared" si="63"/>
        <v>0</v>
      </c>
      <c r="I1114" s="24">
        <f t="shared" si="64"/>
        <v>0</v>
      </c>
      <c r="J1114" t="s">
        <v>88</v>
      </c>
    </row>
    <row r="1115" spans="1:10" ht="14.25" customHeight="1" x14ac:dyDescent="0.3">
      <c r="A1115" t="s">
        <v>78</v>
      </c>
      <c r="B1115" t="str">
        <f>INDEX(SETORES!$B:$B,MATCH(A1115,SETORES!$A:$A,0))</f>
        <v>Clientes</v>
      </c>
      <c r="C1115" t="s">
        <v>17</v>
      </c>
      <c r="D1115" s="23">
        <f>IF(B1115="Clientes",SUMIFS(PARÂMETROS!$D$8:$D$907,PARÂMETROS!$A$8:$A$907,C1115,PARÂMETROS!$G$8:$G$907,J1115),SUMIFS(PARÂMETROS!$E$8:$E$907,PARÂMETROS!$A$8:$A$907,C1115,PARÂMETROS!$G$8:$G$907,J1115))</f>
        <v>2.4324187249581578E-2</v>
      </c>
      <c r="E1115" s="24">
        <f>SUMIFS(SETORES!$D:$D,SETORES!$A:$A,A1115,SETORES!$F:$F,J1115)</f>
        <v>74343.280000000013</v>
      </c>
      <c r="F1115" s="24">
        <v>2066.58</v>
      </c>
      <c r="G1115" s="23">
        <f>SUMIFS(PARÂMETROS!$F$8:$F$907,PARÂMETROS!$A$8:$A$907,C1115,PARÂMETROS!$G$8:$G$907,J1115)</f>
        <v>0</v>
      </c>
      <c r="H1115" s="24">
        <f t="shared" si="63"/>
        <v>0</v>
      </c>
      <c r="I1115" s="24">
        <f t="shared" si="64"/>
        <v>2066.58</v>
      </c>
      <c r="J1115" t="s">
        <v>88</v>
      </c>
    </row>
    <row r="1116" spans="1:10" ht="14.25" customHeight="1" x14ac:dyDescent="0.3">
      <c r="A1116" t="s">
        <v>78</v>
      </c>
      <c r="B1116" t="str">
        <f>INDEX(SETORES!$B:$B,MATCH(A1116,SETORES!$A:$A,0))</f>
        <v>Clientes</v>
      </c>
      <c r="C1116" t="s">
        <v>18</v>
      </c>
      <c r="D1116" s="23">
        <f>IF(B1116="Clientes",SUMIFS(PARÂMETROS!$D$8:$D$907,PARÂMETROS!$A$8:$A$907,C1116,PARÂMETROS!$G$8:$G$907,J1116),SUMIFS(PARÂMETROS!$E$8:$E$907,PARÂMETROS!$A$8:$A$907,C1116,PARÂMETROS!$G$8:$G$907,J1116))</f>
        <v>0.7221940457473246</v>
      </c>
      <c r="E1116" s="24">
        <f>SUMIFS(SETORES!$D:$D,SETORES!$A:$A,A1116,SETORES!$F:$F,J1116)</f>
        <v>74343.280000000013</v>
      </c>
      <c r="F1116" s="24">
        <f t="shared" ref="F1116:F1147" si="65">IFERROR(D1116*E1116,0)</f>
        <v>53690.274157326174</v>
      </c>
      <c r="G1116" s="23">
        <f>SUMIFS(PARÂMETROS!$F$8:$F$907,PARÂMETROS!$A$8:$A$907,C1116,PARÂMETROS!$G$8:$G$907,J1116)</f>
        <v>0</v>
      </c>
      <c r="H1116" s="24">
        <f t="shared" si="63"/>
        <v>0</v>
      </c>
      <c r="I1116" s="24">
        <f t="shared" si="64"/>
        <v>53690.274157326174</v>
      </c>
      <c r="J1116" t="s">
        <v>88</v>
      </c>
    </row>
    <row r="1117" spans="1:10" ht="14.25" customHeight="1" x14ac:dyDescent="0.3">
      <c r="A1117" t="s">
        <v>79</v>
      </c>
      <c r="B1117" t="str">
        <f>INDEX(SETORES!$B:$B,MATCH(A1117,SETORES!$A:$A,0))</f>
        <v>Funcionários</v>
      </c>
      <c r="C1117" t="s">
        <v>10</v>
      </c>
      <c r="D1117" s="23">
        <f>IF(B1117="Clientes",SUMIFS(PARÂMETROS!$D$8:$D$907,PARÂMETROS!$A$8:$A$907,C1117,PARÂMETROS!$G$8:$G$907,J1117),SUMIFS(PARÂMETROS!$E$8:$E$907,PARÂMETROS!$A$8:$A$907,C1117,PARÂMETROS!$G$8:$G$907,J1117))</f>
        <v>2.8517110266159697E-2</v>
      </c>
      <c r="E1117" s="24">
        <f>SUMIFS(SETORES!$D:$D,SETORES!$A:$A,A1117,SETORES!$F:$F,J1117)</f>
        <v>25628.29</v>
      </c>
      <c r="F1117" s="24">
        <f t="shared" si="65"/>
        <v>730.8447718631179</v>
      </c>
      <c r="G1117" s="23">
        <f>SUMIFS(PARÂMETROS!$F$8:$F$907,PARÂMETROS!$A$8:$A$907,C1117,PARÂMETROS!$G$8:$G$907,J1117)</f>
        <v>0</v>
      </c>
      <c r="H1117" s="24">
        <f t="shared" si="63"/>
        <v>0</v>
      </c>
      <c r="I1117" s="24">
        <f t="shared" si="64"/>
        <v>730.8447718631179</v>
      </c>
      <c r="J1117" t="s">
        <v>88</v>
      </c>
    </row>
    <row r="1118" spans="1:10" ht="14.25" customHeight="1" x14ac:dyDescent="0.3">
      <c r="A1118" t="s">
        <v>79</v>
      </c>
      <c r="B1118" t="str">
        <f>INDEX(SETORES!$B:$B,MATCH(A1118,SETORES!$A:$A,0))</f>
        <v>Funcionários</v>
      </c>
      <c r="C1118" t="s">
        <v>12</v>
      </c>
      <c r="D1118" s="23">
        <f>IF(B1118="Clientes",SUMIFS(PARÂMETROS!$D$8:$D$907,PARÂMETROS!$A$8:$A$907,C1118,PARÂMETROS!$G$8:$G$907,J1118),SUMIFS(PARÂMETROS!$E$8:$E$907,PARÂMETROS!$A$8:$A$907,C1118,PARÂMETROS!$G$8:$G$907,J1118))</f>
        <v>0</v>
      </c>
      <c r="E1118" s="24">
        <f>SUMIFS(SETORES!$D:$D,SETORES!$A:$A,A1118,SETORES!$F:$F,J1118)</f>
        <v>25628.29</v>
      </c>
      <c r="F1118" s="24">
        <f t="shared" si="65"/>
        <v>0</v>
      </c>
      <c r="G1118" s="23">
        <f>SUMIFS(PARÂMETROS!$F$8:$F$907,PARÂMETROS!$A$8:$A$907,C1118,PARÂMETROS!$G$8:$G$907,J1118)</f>
        <v>0</v>
      </c>
      <c r="H1118" s="24">
        <f t="shared" si="63"/>
        <v>0</v>
      </c>
      <c r="I1118" s="24">
        <f t="shared" si="64"/>
        <v>0</v>
      </c>
      <c r="J1118" t="s">
        <v>88</v>
      </c>
    </row>
    <row r="1119" spans="1:10" ht="14.25" customHeight="1" x14ac:dyDescent="0.3">
      <c r="A1119" t="s">
        <v>79</v>
      </c>
      <c r="B1119" t="str">
        <f>INDEX(SETORES!$B:$B,MATCH(A1119,SETORES!$A:$A,0))</f>
        <v>Funcionários</v>
      </c>
      <c r="C1119" t="s">
        <v>13</v>
      </c>
      <c r="D1119" s="23">
        <f>IF(B1119="Clientes",SUMIFS(PARÂMETROS!$D$8:$D$907,PARÂMETROS!$A$8:$A$907,C1119,PARÂMETROS!$G$8:$G$907,J1119),SUMIFS(PARÂMETROS!$E$8:$E$907,PARÂMETROS!$A$8:$A$907,C1119,PARÂMETROS!$G$8:$G$907,J1119))</f>
        <v>4.2775665399239542E-2</v>
      </c>
      <c r="E1119" s="24">
        <f>SUMIFS(SETORES!$D:$D,SETORES!$A:$A,A1119,SETORES!$F:$F,J1119)</f>
        <v>25628.29</v>
      </c>
      <c r="F1119" s="24">
        <f t="shared" si="65"/>
        <v>1096.2671577946767</v>
      </c>
      <c r="G1119" s="23">
        <f>SUMIFS(PARÂMETROS!$F$8:$F$907,PARÂMETROS!$A$8:$A$907,C1119,PARÂMETROS!$G$8:$G$907,J1119)</f>
        <v>0</v>
      </c>
      <c r="H1119" s="24">
        <f t="shared" si="63"/>
        <v>0</v>
      </c>
      <c r="I1119" s="24">
        <f t="shared" si="64"/>
        <v>1096.2671577946767</v>
      </c>
      <c r="J1119" t="s">
        <v>88</v>
      </c>
    </row>
    <row r="1120" spans="1:10" ht="14.25" customHeight="1" x14ac:dyDescent="0.3">
      <c r="A1120" t="s">
        <v>79</v>
      </c>
      <c r="B1120" t="str">
        <f>INDEX(SETORES!$B:$B,MATCH(A1120,SETORES!$A:$A,0))</f>
        <v>Funcionários</v>
      </c>
      <c r="C1120" t="s">
        <v>14</v>
      </c>
      <c r="D1120" s="23">
        <f>IF(B1120="Clientes",SUMIFS(PARÂMETROS!$D$8:$D$907,PARÂMETROS!$A$8:$A$907,C1120,PARÂMETROS!$G$8:$G$907,J1120),SUMIFS(PARÂMETROS!$E$8:$E$907,PARÂMETROS!$A$8:$A$907,C1120,PARÂMETROS!$G$8:$G$907,J1120))</f>
        <v>9.5057034220532317E-3</v>
      </c>
      <c r="E1120" s="24">
        <f>SUMIFS(SETORES!$D:$D,SETORES!$A:$A,A1120,SETORES!$F:$F,J1120)</f>
        <v>25628.29</v>
      </c>
      <c r="F1120" s="24">
        <f t="shared" si="65"/>
        <v>243.61492395437261</v>
      </c>
      <c r="G1120" s="23">
        <f>SUMIFS(PARÂMETROS!$F$8:$F$907,PARÂMETROS!$A$8:$A$907,C1120,PARÂMETROS!$G$8:$G$907,J1120)</f>
        <v>0</v>
      </c>
      <c r="H1120" s="24">
        <f t="shared" si="63"/>
        <v>0</v>
      </c>
      <c r="I1120" s="24">
        <f t="shared" si="64"/>
        <v>243.61492395437261</v>
      </c>
      <c r="J1120" t="s">
        <v>88</v>
      </c>
    </row>
    <row r="1121" spans="1:10" ht="14.25" customHeight="1" x14ac:dyDescent="0.3">
      <c r="A1121" t="s">
        <v>79</v>
      </c>
      <c r="B1121" t="str">
        <f>INDEX(SETORES!$B:$B,MATCH(A1121,SETORES!$A:$A,0))</f>
        <v>Funcionários</v>
      </c>
      <c r="C1121" t="s">
        <v>15</v>
      </c>
      <c r="D1121" s="23">
        <f>IF(B1121="Clientes",SUMIFS(PARÂMETROS!$D$8:$D$907,PARÂMETROS!$A$8:$A$907,C1121,PARÂMETROS!$G$8:$G$907,J1121),SUMIFS(PARÂMETROS!$E$8:$E$907,PARÂMETROS!$A$8:$A$907,C1121,PARÂMETROS!$G$8:$G$907,J1121))</f>
        <v>4.3726235741444866E-2</v>
      </c>
      <c r="E1121" s="24">
        <f>SUMIFS(SETORES!$D:$D,SETORES!$A:$A,A1121,SETORES!$F:$F,J1121)</f>
        <v>25628.29</v>
      </c>
      <c r="F1121" s="24">
        <f t="shared" si="65"/>
        <v>1120.6286501901141</v>
      </c>
      <c r="G1121" s="23">
        <f>SUMIFS(PARÂMETROS!$F$8:$F$907,PARÂMETROS!$A$8:$A$907,C1121,PARÂMETROS!$G$8:$G$907,J1121)</f>
        <v>0</v>
      </c>
      <c r="H1121" s="24">
        <f t="shared" si="63"/>
        <v>0</v>
      </c>
      <c r="I1121" s="24">
        <f t="shared" si="64"/>
        <v>1120.6286501901141</v>
      </c>
      <c r="J1121" t="s">
        <v>88</v>
      </c>
    </row>
    <row r="1122" spans="1:10" ht="14.25" customHeight="1" x14ac:dyDescent="0.3">
      <c r="A1122" t="s">
        <v>79</v>
      </c>
      <c r="B1122" t="str">
        <f>INDEX(SETORES!$B:$B,MATCH(A1122,SETORES!$A:$A,0))</f>
        <v>Funcionários</v>
      </c>
      <c r="C1122" t="s">
        <v>16</v>
      </c>
      <c r="D1122" s="23">
        <f>IF(B1122="Clientes",SUMIFS(PARÂMETROS!$D$8:$D$907,PARÂMETROS!$A$8:$A$907,C1122,PARÂMETROS!$G$8:$G$907,J1122),SUMIFS(PARÂMETROS!$E$8:$E$907,PARÂMETROS!$A$8:$A$907,C1122,PARÂMETROS!$G$8:$G$907,J1122))</f>
        <v>1.6159695817490494E-2</v>
      </c>
      <c r="E1122" s="24">
        <f>SUMIFS(SETORES!$D:$D,SETORES!$A:$A,A1122,SETORES!$F:$F,J1122)</f>
        <v>25628.29</v>
      </c>
      <c r="F1122" s="24">
        <f t="shared" si="65"/>
        <v>414.14537072243348</v>
      </c>
      <c r="G1122" s="23">
        <f>SUMIFS(PARÂMETROS!$F$8:$F$907,PARÂMETROS!$A$8:$A$907,C1122,PARÂMETROS!$G$8:$G$907,J1122)</f>
        <v>0</v>
      </c>
      <c r="H1122" s="24">
        <f t="shared" si="63"/>
        <v>0</v>
      </c>
      <c r="I1122" s="24">
        <f t="shared" si="64"/>
        <v>414.14537072243348</v>
      </c>
      <c r="J1122" t="s">
        <v>88</v>
      </c>
    </row>
    <row r="1123" spans="1:10" ht="14.25" customHeight="1" x14ac:dyDescent="0.3">
      <c r="A1123" t="s">
        <v>79</v>
      </c>
      <c r="B1123" t="str">
        <f>INDEX(SETORES!$B:$B,MATCH(A1123,SETORES!$A:$A,0))</f>
        <v>Funcionários</v>
      </c>
      <c r="C1123" t="s">
        <v>17</v>
      </c>
      <c r="D1123" s="23">
        <f>IF(B1123="Clientes",SUMIFS(PARÂMETROS!$D$8:$D$907,PARÂMETROS!$A$8:$A$907,C1123,PARÂMETROS!$G$8:$G$907,J1123),SUMIFS(PARÂMETROS!$E$8:$E$907,PARÂMETROS!$A$8:$A$907,C1123,PARÂMETROS!$G$8:$G$907,J1123))</f>
        <v>2.1863117870722433E-2</v>
      </c>
      <c r="E1123" s="24">
        <f>SUMIFS(SETORES!$D:$D,SETORES!$A:$A,A1123,SETORES!$F:$F,J1123)</f>
        <v>25628.29</v>
      </c>
      <c r="F1123" s="24">
        <f t="shared" si="65"/>
        <v>560.31432509505703</v>
      </c>
      <c r="G1123" s="23">
        <f>SUMIFS(PARÂMETROS!$F$8:$F$907,PARÂMETROS!$A$8:$A$907,C1123,PARÂMETROS!$G$8:$G$907,J1123)</f>
        <v>0</v>
      </c>
      <c r="H1123" s="24">
        <f t="shared" si="63"/>
        <v>0</v>
      </c>
      <c r="I1123" s="24">
        <f t="shared" si="64"/>
        <v>560.31432509505703</v>
      </c>
      <c r="J1123" t="s">
        <v>88</v>
      </c>
    </row>
    <row r="1124" spans="1:10" ht="14.25" customHeight="1" x14ac:dyDescent="0.3">
      <c r="A1124" t="s">
        <v>79</v>
      </c>
      <c r="B1124" t="str">
        <f>INDEX(SETORES!$B:$B,MATCH(A1124,SETORES!$A:$A,0))</f>
        <v>Funcionários</v>
      </c>
      <c r="C1124" t="s">
        <v>18</v>
      </c>
      <c r="D1124" s="23">
        <f>IF(B1124="Clientes",SUMIFS(PARÂMETROS!$D$8:$D$907,PARÂMETROS!$A$8:$A$907,C1124,PARÂMETROS!$G$8:$G$907,J1124),SUMIFS(PARÂMETROS!$E$8:$E$907,PARÂMETROS!$A$8:$A$907,C1124,PARÂMETROS!$G$8:$G$907,J1124))</f>
        <v>0.8374524714828897</v>
      </c>
      <c r="E1124" s="24">
        <f>SUMIFS(SETORES!$D:$D,SETORES!$A:$A,A1124,SETORES!$F:$F,J1124)</f>
        <v>25628.29</v>
      </c>
      <c r="F1124" s="24">
        <f t="shared" si="65"/>
        <v>21462.474800380227</v>
      </c>
      <c r="G1124" s="23">
        <f>SUMIFS(PARÂMETROS!$F$8:$F$907,PARÂMETROS!$A$8:$A$907,C1124,PARÂMETROS!$G$8:$G$907,J1124)</f>
        <v>0</v>
      </c>
      <c r="H1124" s="24">
        <f t="shared" si="63"/>
        <v>0</v>
      </c>
      <c r="I1124" s="24">
        <f t="shared" si="64"/>
        <v>21462.474800380227</v>
      </c>
      <c r="J1124" t="s">
        <v>88</v>
      </c>
    </row>
    <row r="1125" spans="1:10" ht="14.25" customHeight="1" x14ac:dyDescent="0.3">
      <c r="A1125" t="s">
        <v>80</v>
      </c>
      <c r="B1125" t="str">
        <f>INDEX(SETORES!$B:$B,MATCH(A1125,SETORES!$A:$A,0))</f>
        <v>Clientes</v>
      </c>
      <c r="C1125" t="s">
        <v>10</v>
      </c>
      <c r="D1125" s="23">
        <f>IF(B1125="Clientes",SUMIFS(PARÂMETROS!$D$8:$D$907,PARÂMETROS!$A$8:$A$907,C1125,PARÂMETROS!$G$8:$G$907,J1125),SUMIFS(PARÂMETROS!$E$8:$E$907,PARÂMETROS!$A$8:$A$907,C1125,PARÂMETROS!$G$8:$G$907,J1125))</f>
        <v>3.3712025155956789E-2</v>
      </c>
      <c r="E1125" s="24">
        <f>SUMIFS(SETORES!$D:$D,SETORES!$A:$A,A1125,SETORES!$F:$F,J1125)</f>
        <v>11549.89</v>
      </c>
      <c r="F1125" s="24">
        <f t="shared" si="65"/>
        <v>389.37018222853374</v>
      </c>
      <c r="G1125" s="23">
        <f>SUMIFS(PARÂMETROS!$F$8:$F$907,PARÂMETROS!$A$8:$A$907,C1125,PARÂMETROS!$G$8:$G$907,J1125)</f>
        <v>0</v>
      </c>
      <c r="H1125" s="24">
        <f t="shared" si="63"/>
        <v>0</v>
      </c>
      <c r="I1125" s="24">
        <f t="shared" si="64"/>
        <v>389.37018222853374</v>
      </c>
      <c r="J1125" t="s">
        <v>88</v>
      </c>
    </row>
    <row r="1126" spans="1:10" ht="14.25" customHeight="1" x14ac:dyDescent="0.3">
      <c r="A1126" t="s">
        <v>80</v>
      </c>
      <c r="B1126" t="str">
        <f>INDEX(SETORES!$B:$B,MATCH(A1126,SETORES!$A:$A,0))</f>
        <v>Clientes</v>
      </c>
      <c r="C1126" t="s">
        <v>12</v>
      </c>
      <c r="D1126" s="23">
        <f>IF(B1126="Clientes",SUMIFS(PARÂMETROS!$D$8:$D$907,PARÂMETROS!$A$8:$A$907,C1126,PARÂMETROS!$G$8:$G$907,J1126),SUMIFS(PARÂMETROS!$E$8:$E$907,PARÂMETROS!$A$8:$A$907,C1126,PARÂMETROS!$G$8:$G$907,J1126))</f>
        <v>6.8519551655931432E-2</v>
      </c>
      <c r="E1126" s="24">
        <f>SUMIFS(SETORES!$D:$D,SETORES!$A:$A,A1126,SETORES!$F:$F,J1126)</f>
        <v>11549.89</v>
      </c>
      <c r="F1126" s="24">
        <f t="shared" si="65"/>
        <v>791.3932844753258</v>
      </c>
      <c r="G1126" s="23">
        <f>SUMIFS(PARÂMETROS!$F$8:$F$907,PARÂMETROS!$A$8:$A$907,C1126,PARÂMETROS!$G$8:$G$907,J1126)</f>
        <v>0</v>
      </c>
      <c r="H1126" s="24">
        <f t="shared" si="63"/>
        <v>0</v>
      </c>
      <c r="I1126" s="24">
        <f t="shared" si="64"/>
        <v>791.3932844753258</v>
      </c>
      <c r="J1126" t="s">
        <v>88</v>
      </c>
    </row>
    <row r="1127" spans="1:10" ht="14.25" customHeight="1" x14ac:dyDescent="0.3">
      <c r="A1127" t="s">
        <v>80</v>
      </c>
      <c r="B1127" t="str">
        <f>INDEX(SETORES!$B:$B,MATCH(A1127,SETORES!$A:$A,0))</f>
        <v>Clientes</v>
      </c>
      <c r="C1127" t="s">
        <v>13</v>
      </c>
      <c r="D1127" s="23">
        <f>IF(B1127="Clientes",SUMIFS(PARÂMETROS!$D$8:$D$907,PARÂMETROS!$A$8:$A$907,C1127,PARÂMETROS!$G$8:$G$907,J1127),SUMIFS(PARÂMETROS!$E$8:$E$907,PARÂMETROS!$A$8:$A$907,C1127,PARÂMETROS!$G$8:$G$907,J1127))</f>
        <v>7.4539737282548049E-2</v>
      </c>
      <c r="E1127" s="24">
        <f>SUMIFS(SETORES!$D:$D,SETORES!$A:$A,A1127,SETORES!$F:$F,J1127)</f>
        <v>11549.89</v>
      </c>
      <c r="F1127" s="24">
        <f t="shared" si="65"/>
        <v>860.92576624232879</v>
      </c>
      <c r="G1127" s="23">
        <f>SUMIFS(PARÂMETROS!$F$8:$F$907,PARÂMETROS!$A$8:$A$907,C1127,PARÂMETROS!$G$8:$G$907,J1127)</f>
        <v>0</v>
      </c>
      <c r="H1127" s="24">
        <f t="shared" si="63"/>
        <v>0</v>
      </c>
      <c r="I1127" s="24">
        <f t="shared" si="64"/>
        <v>860.92576624232879</v>
      </c>
      <c r="J1127" t="s">
        <v>88</v>
      </c>
    </row>
    <row r="1128" spans="1:10" ht="14.25" customHeight="1" x14ac:dyDescent="0.3">
      <c r="A1128" t="s">
        <v>80</v>
      </c>
      <c r="B1128" t="str">
        <f>INDEX(SETORES!$B:$B,MATCH(A1128,SETORES!$A:$A,0))</f>
        <v>Clientes</v>
      </c>
      <c r="C1128" t="s">
        <v>14</v>
      </c>
      <c r="D1128" s="23">
        <f>IF(B1128="Clientes",SUMIFS(PARÂMETROS!$D$8:$D$907,PARÂMETROS!$A$8:$A$907,C1128,PARÂMETROS!$G$8:$G$907,J1128),SUMIFS(PARÂMETROS!$E$8:$E$907,PARÂMETROS!$A$8:$A$907,C1128,PARÂMETROS!$G$8:$G$907,J1128))</f>
        <v>1.8943044073642036E-2</v>
      </c>
      <c r="E1128" s="24">
        <f>SUMIFS(SETORES!$D:$D,SETORES!$A:$A,A1128,SETORES!$F:$F,J1128)</f>
        <v>11549.89</v>
      </c>
      <c r="F1128" s="24">
        <f t="shared" si="65"/>
        <v>218.79007531571742</v>
      </c>
      <c r="G1128" s="23">
        <f>SUMIFS(PARÂMETROS!$F$8:$F$907,PARÂMETROS!$A$8:$A$907,C1128,PARÂMETROS!$G$8:$G$907,J1128)</f>
        <v>0</v>
      </c>
      <c r="H1128" s="24">
        <f t="shared" si="63"/>
        <v>0</v>
      </c>
      <c r="I1128" s="24">
        <f t="shared" si="64"/>
        <v>218.79007531571742</v>
      </c>
      <c r="J1128" t="s">
        <v>88</v>
      </c>
    </row>
    <row r="1129" spans="1:10" ht="14.25" customHeight="1" x14ac:dyDescent="0.3">
      <c r="A1129" t="s">
        <v>80</v>
      </c>
      <c r="B1129" t="str">
        <f>INDEX(SETORES!$B:$B,MATCH(A1129,SETORES!$A:$A,0))</f>
        <v>Clientes</v>
      </c>
      <c r="C1129" t="s">
        <v>15</v>
      </c>
      <c r="D1129" s="23">
        <f>IF(B1129="Clientes",SUMIFS(PARÂMETROS!$D$8:$D$907,PARÂMETROS!$A$8:$A$907,C1129,PARÂMETROS!$G$8:$G$907,J1129),SUMIFS(PARÂMETROS!$E$8:$E$907,PARÂMETROS!$A$8:$A$907,C1129,PARÂMETROS!$G$8:$G$907,J1129))</f>
        <v>3.3478723943804842E-2</v>
      </c>
      <c r="E1129" s="24">
        <f>SUMIFS(SETORES!$D:$D,SETORES!$A:$A,A1129,SETORES!$F:$F,J1129)</f>
        <v>11549.89</v>
      </c>
      <c r="F1129" s="24">
        <f t="shared" si="65"/>
        <v>386.67557889131206</v>
      </c>
      <c r="G1129" s="23">
        <f>SUMIFS(PARÂMETROS!$F$8:$F$907,PARÂMETROS!$A$8:$A$907,C1129,PARÂMETROS!$G$8:$G$907,J1129)</f>
        <v>0</v>
      </c>
      <c r="H1129" s="24">
        <f t="shared" si="63"/>
        <v>0</v>
      </c>
      <c r="I1129" s="24">
        <f t="shared" si="64"/>
        <v>386.67557889131206</v>
      </c>
      <c r="J1129" t="s">
        <v>88</v>
      </c>
    </row>
    <row r="1130" spans="1:10" ht="14.25" customHeight="1" x14ac:dyDescent="0.3">
      <c r="A1130" t="s">
        <v>80</v>
      </c>
      <c r="B1130" t="str">
        <f>INDEX(SETORES!$B:$B,MATCH(A1130,SETORES!$A:$A,0))</f>
        <v>Clientes</v>
      </c>
      <c r="C1130" t="s">
        <v>16</v>
      </c>
      <c r="D1130" s="23">
        <f>IF(B1130="Clientes",SUMIFS(PARÂMETROS!$D$8:$D$907,PARÂMETROS!$A$8:$A$907,C1130,PARÂMETROS!$G$8:$G$907,J1130),SUMIFS(PARÂMETROS!$E$8:$E$907,PARÂMETROS!$A$8:$A$907,C1130,PARÂMETROS!$G$8:$G$907,J1130))</f>
        <v>2.4288684891210631E-2</v>
      </c>
      <c r="E1130" s="24">
        <f>SUMIFS(SETORES!$D:$D,SETORES!$A:$A,A1130,SETORES!$F:$F,J1130)</f>
        <v>11549.89</v>
      </c>
      <c r="F1130" s="24">
        <f t="shared" si="65"/>
        <v>280.53163873814475</v>
      </c>
      <c r="G1130" s="23">
        <f>SUMIFS(PARÂMETROS!$F$8:$F$907,PARÂMETROS!$A$8:$A$907,C1130,PARÂMETROS!$G$8:$G$907,J1130)</f>
        <v>0</v>
      </c>
      <c r="H1130" s="24">
        <f t="shared" si="63"/>
        <v>0</v>
      </c>
      <c r="I1130" s="24">
        <f t="shared" si="64"/>
        <v>280.53163873814475</v>
      </c>
      <c r="J1130" t="s">
        <v>88</v>
      </c>
    </row>
    <row r="1131" spans="1:10" ht="14.25" customHeight="1" x14ac:dyDescent="0.3">
      <c r="A1131" t="s">
        <v>80</v>
      </c>
      <c r="B1131" t="str">
        <f>INDEX(SETORES!$B:$B,MATCH(A1131,SETORES!$A:$A,0))</f>
        <v>Clientes</v>
      </c>
      <c r="C1131" t="s">
        <v>17</v>
      </c>
      <c r="D1131" s="23">
        <f>IF(B1131="Clientes",SUMIFS(PARÂMETROS!$D$8:$D$907,PARÂMETROS!$A$8:$A$907,C1131,PARÂMETROS!$G$8:$G$907,J1131),SUMIFS(PARÂMETROS!$E$8:$E$907,PARÂMETROS!$A$8:$A$907,C1131,PARÂMETROS!$G$8:$G$907,J1131))</f>
        <v>2.4324187249581578E-2</v>
      </c>
      <c r="E1131" s="24">
        <f>SUMIFS(SETORES!$D:$D,SETORES!$A:$A,A1131,SETORES!$F:$F,J1131)</f>
        <v>11549.89</v>
      </c>
      <c r="F1131" s="24">
        <f t="shared" si="65"/>
        <v>280.94168707206978</v>
      </c>
      <c r="G1131" s="23">
        <f>SUMIFS(PARÂMETROS!$F$8:$F$907,PARÂMETROS!$A$8:$A$907,C1131,PARÂMETROS!$G$8:$G$907,J1131)</f>
        <v>0</v>
      </c>
      <c r="H1131" s="24">
        <f t="shared" si="63"/>
        <v>0</v>
      </c>
      <c r="I1131" s="24">
        <f t="shared" si="64"/>
        <v>280.94168707206978</v>
      </c>
      <c r="J1131" t="s">
        <v>88</v>
      </c>
    </row>
    <row r="1132" spans="1:10" ht="14.25" customHeight="1" x14ac:dyDescent="0.3">
      <c r="A1132" t="s">
        <v>80</v>
      </c>
      <c r="B1132" t="str">
        <f>INDEX(SETORES!$B:$B,MATCH(A1132,SETORES!$A:$A,0))</f>
        <v>Clientes</v>
      </c>
      <c r="C1132" t="s">
        <v>18</v>
      </c>
      <c r="D1132" s="23">
        <f>IF(B1132="Clientes",SUMIFS(PARÂMETROS!$D$8:$D$907,PARÂMETROS!$A$8:$A$907,C1132,PARÂMETROS!$G$8:$G$907,J1132),SUMIFS(PARÂMETROS!$E$8:$E$907,PARÂMETROS!$A$8:$A$907,C1132,PARÂMETROS!$G$8:$G$907,J1132))</f>
        <v>0.7221940457473246</v>
      </c>
      <c r="E1132" s="24">
        <f>SUMIFS(SETORES!$D:$D,SETORES!$A:$A,A1132,SETORES!$F:$F,J1132)</f>
        <v>11549.89</v>
      </c>
      <c r="F1132" s="24">
        <f t="shared" si="65"/>
        <v>8341.2617870365666</v>
      </c>
      <c r="G1132" s="23">
        <f>SUMIFS(PARÂMETROS!$F$8:$F$907,PARÂMETROS!$A$8:$A$907,C1132,PARÂMETROS!$G$8:$G$907,J1132)</f>
        <v>0</v>
      </c>
      <c r="H1132" s="24">
        <f t="shared" si="63"/>
        <v>0</v>
      </c>
      <c r="I1132" s="24">
        <f t="shared" si="64"/>
        <v>8341.2617870365666</v>
      </c>
      <c r="J1132" t="s">
        <v>88</v>
      </c>
    </row>
    <row r="1133" spans="1:10" ht="14.25" customHeight="1" x14ac:dyDescent="0.3">
      <c r="A1133" t="s">
        <v>81</v>
      </c>
      <c r="B1133" t="str">
        <f>INDEX(SETORES!$B:$B,MATCH(A1133,SETORES!$A:$A,0))</f>
        <v>Clientes</v>
      </c>
      <c r="C1133" t="s">
        <v>10</v>
      </c>
      <c r="D1133" s="23">
        <f>IF(B1133="Clientes",SUMIFS(PARÂMETROS!$D$8:$D$907,PARÂMETROS!$A$8:$A$907,C1133,PARÂMETROS!$G$8:$G$907,J1133),SUMIFS(PARÂMETROS!$E$8:$E$907,PARÂMETROS!$A$8:$A$907,C1133,PARÂMETROS!$G$8:$G$907,J1133))</f>
        <v>3.3712025155956789E-2</v>
      </c>
      <c r="E1133" s="24">
        <f>SUMIFS(SETORES!$D:$D,SETORES!$A:$A,A1133,SETORES!$F:$F,J1133)</f>
        <v>14975.34</v>
      </c>
      <c r="F1133" s="24">
        <f t="shared" si="65"/>
        <v>504.84903879900594</v>
      </c>
      <c r="G1133" s="23">
        <f>SUMIFS(PARÂMETROS!$F$8:$F$907,PARÂMETROS!$A$8:$A$907,C1133,PARÂMETROS!$G$8:$G$907,J1133)</f>
        <v>0</v>
      </c>
      <c r="H1133" s="24">
        <f t="shared" si="63"/>
        <v>0</v>
      </c>
      <c r="I1133" s="24">
        <f t="shared" si="64"/>
        <v>504.84903879900594</v>
      </c>
      <c r="J1133" t="s">
        <v>88</v>
      </c>
    </row>
    <row r="1134" spans="1:10" ht="14.25" customHeight="1" x14ac:dyDescent="0.3">
      <c r="A1134" t="s">
        <v>81</v>
      </c>
      <c r="B1134" t="str">
        <f>INDEX(SETORES!$B:$B,MATCH(A1134,SETORES!$A:$A,0))</f>
        <v>Clientes</v>
      </c>
      <c r="C1134" t="s">
        <v>12</v>
      </c>
      <c r="D1134" s="23">
        <f>IF(B1134="Clientes",SUMIFS(PARÂMETROS!$D$8:$D$907,PARÂMETROS!$A$8:$A$907,C1134,PARÂMETROS!$G$8:$G$907,J1134),SUMIFS(PARÂMETROS!$E$8:$E$907,PARÂMETROS!$A$8:$A$907,C1134,PARÂMETROS!$G$8:$G$907,J1134))</f>
        <v>6.8519551655931432E-2</v>
      </c>
      <c r="E1134" s="24">
        <f>SUMIFS(SETORES!$D:$D,SETORES!$A:$A,A1134,SETORES!$F:$F,J1134)</f>
        <v>14975.34</v>
      </c>
      <c r="F1134" s="24">
        <f t="shared" si="65"/>
        <v>1026.1035826951363</v>
      </c>
      <c r="G1134" s="23">
        <f>SUMIFS(PARÂMETROS!$F$8:$F$907,PARÂMETROS!$A$8:$A$907,C1134,PARÂMETROS!$G$8:$G$907,J1134)</f>
        <v>0</v>
      </c>
      <c r="H1134" s="24">
        <f t="shared" si="63"/>
        <v>0</v>
      </c>
      <c r="I1134" s="24">
        <f t="shared" si="64"/>
        <v>1026.1035826951363</v>
      </c>
      <c r="J1134" t="s">
        <v>88</v>
      </c>
    </row>
    <row r="1135" spans="1:10" ht="14.25" customHeight="1" x14ac:dyDescent="0.3">
      <c r="A1135" t="s">
        <v>81</v>
      </c>
      <c r="B1135" t="str">
        <f>INDEX(SETORES!$B:$B,MATCH(A1135,SETORES!$A:$A,0))</f>
        <v>Clientes</v>
      </c>
      <c r="C1135" t="s">
        <v>13</v>
      </c>
      <c r="D1135" s="23">
        <f>IF(B1135="Clientes",SUMIFS(PARÂMETROS!$D$8:$D$907,PARÂMETROS!$A$8:$A$907,C1135,PARÂMETROS!$G$8:$G$907,J1135),SUMIFS(PARÂMETROS!$E$8:$E$907,PARÂMETROS!$A$8:$A$907,C1135,PARÂMETROS!$G$8:$G$907,J1135))</f>
        <v>7.4539737282548049E-2</v>
      </c>
      <c r="E1135" s="24">
        <f>SUMIFS(SETORES!$D:$D,SETORES!$A:$A,A1135,SETORES!$F:$F,J1135)</f>
        <v>14975.34</v>
      </c>
      <c r="F1135" s="24">
        <f t="shared" si="65"/>
        <v>1116.2579093168331</v>
      </c>
      <c r="G1135" s="23">
        <f>SUMIFS(PARÂMETROS!$F$8:$F$907,PARÂMETROS!$A$8:$A$907,C1135,PARÂMETROS!$G$8:$G$907,J1135)</f>
        <v>0</v>
      </c>
      <c r="H1135" s="24">
        <f t="shared" si="63"/>
        <v>0</v>
      </c>
      <c r="I1135" s="24">
        <f t="shared" si="64"/>
        <v>1116.2579093168331</v>
      </c>
      <c r="J1135" t="s">
        <v>88</v>
      </c>
    </row>
    <row r="1136" spans="1:10" ht="14.25" customHeight="1" x14ac:dyDescent="0.3">
      <c r="A1136" t="s">
        <v>81</v>
      </c>
      <c r="B1136" t="str">
        <f>INDEX(SETORES!$B:$B,MATCH(A1136,SETORES!$A:$A,0))</f>
        <v>Clientes</v>
      </c>
      <c r="C1136" t="s">
        <v>14</v>
      </c>
      <c r="D1136" s="23">
        <f>IF(B1136="Clientes",SUMIFS(PARÂMETROS!$D$8:$D$907,PARÂMETROS!$A$8:$A$907,C1136,PARÂMETROS!$G$8:$G$907,J1136),SUMIFS(PARÂMETROS!$E$8:$E$907,PARÂMETROS!$A$8:$A$907,C1136,PARÂMETROS!$G$8:$G$907,J1136))</f>
        <v>1.8943044073642036E-2</v>
      </c>
      <c r="E1136" s="24">
        <f>SUMIFS(SETORES!$D:$D,SETORES!$A:$A,A1136,SETORES!$F:$F,J1136)</f>
        <v>14975.34</v>
      </c>
      <c r="F1136" s="24">
        <f t="shared" si="65"/>
        <v>283.67852563777456</v>
      </c>
      <c r="G1136" s="23">
        <f>SUMIFS(PARÂMETROS!$F$8:$F$907,PARÂMETROS!$A$8:$A$907,C1136,PARÂMETROS!$G$8:$G$907,J1136)</f>
        <v>0</v>
      </c>
      <c r="H1136" s="24">
        <f t="shared" si="63"/>
        <v>0</v>
      </c>
      <c r="I1136" s="24">
        <f t="shared" si="64"/>
        <v>283.67852563777456</v>
      </c>
      <c r="J1136" t="s">
        <v>88</v>
      </c>
    </row>
    <row r="1137" spans="1:10" ht="14.25" customHeight="1" x14ac:dyDescent="0.3">
      <c r="A1137" t="s">
        <v>81</v>
      </c>
      <c r="B1137" t="str">
        <f>INDEX(SETORES!$B:$B,MATCH(A1137,SETORES!$A:$A,0))</f>
        <v>Clientes</v>
      </c>
      <c r="C1137" t="s">
        <v>15</v>
      </c>
      <c r="D1137" s="23">
        <f>IF(B1137="Clientes",SUMIFS(PARÂMETROS!$D$8:$D$907,PARÂMETROS!$A$8:$A$907,C1137,PARÂMETROS!$G$8:$G$907,J1137),SUMIFS(PARÂMETROS!$E$8:$E$907,PARÂMETROS!$A$8:$A$907,C1137,PARÂMETROS!$G$8:$G$907,J1137))</f>
        <v>3.3478723943804842E-2</v>
      </c>
      <c r="E1137" s="24">
        <f>SUMIFS(SETORES!$D:$D,SETORES!$A:$A,A1137,SETORES!$F:$F,J1137)</f>
        <v>14975.34</v>
      </c>
      <c r="F1137" s="24">
        <f t="shared" si="65"/>
        <v>501.35527382461839</v>
      </c>
      <c r="G1137" s="23">
        <f>SUMIFS(PARÂMETROS!$F$8:$F$907,PARÂMETROS!$A$8:$A$907,C1137,PARÂMETROS!$G$8:$G$907,J1137)</f>
        <v>0</v>
      </c>
      <c r="H1137" s="24">
        <f t="shared" si="63"/>
        <v>0</v>
      </c>
      <c r="I1137" s="24">
        <f t="shared" si="64"/>
        <v>501.35527382461839</v>
      </c>
      <c r="J1137" t="s">
        <v>88</v>
      </c>
    </row>
    <row r="1138" spans="1:10" ht="14.25" customHeight="1" x14ac:dyDescent="0.3">
      <c r="A1138" t="s">
        <v>81</v>
      </c>
      <c r="B1138" t="str">
        <f>INDEX(SETORES!$B:$B,MATCH(A1138,SETORES!$A:$A,0))</f>
        <v>Clientes</v>
      </c>
      <c r="C1138" t="s">
        <v>16</v>
      </c>
      <c r="D1138" s="23">
        <f>IF(B1138="Clientes",SUMIFS(PARÂMETROS!$D$8:$D$907,PARÂMETROS!$A$8:$A$907,C1138,PARÂMETROS!$G$8:$G$907,J1138),SUMIFS(PARÂMETROS!$E$8:$E$907,PARÂMETROS!$A$8:$A$907,C1138,PARÂMETROS!$G$8:$G$907,J1138))</f>
        <v>2.4288684891210631E-2</v>
      </c>
      <c r="E1138" s="24">
        <f>SUMIFS(SETORES!$D:$D,SETORES!$A:$A,A1138,SETORES!$F:$F,J1138)</f>
        <v>14975.34</v>
      </c>
      <c r="F1138" s="24">
        <f t="shared" si="65"/>
        <v>363.7313143987422</v>
      </c>
      <c r="G1138" s="23">
        <f>SUMIFS(PARÂMETROS!$F$8:$F$907,PARÂMETROS!$A$8:$A$907,C1138,PARÂMETROS!$G$8:$G$907,J1138)</f>
        <v>0</v>
      </c>
      <c r="H1138" s="24">
        <f t="shared" si="63"/>
        <v>0</v>
      </c>
      <c r="I1138" s="24">
        <f t="shared" si="64"/>
        <v>363.7313143987422</v>
      </c>
      <c r="J1138" t="s">
        <v>88</v>
      </c>
    </row>
    <row r="1139" spans="1:10" ht="14.25" customHeight="1" x14ac:dyDescent="0.3">
      <c r="A1139" t="s">
        <v>81</v>
      </c>
      <c r="B1139" t="str">
        <f>INDEX(SETORES!$B:$B,MATCH(A1139,SETORES!$A:$A,0))</f>
        <v>Clientes</v>
      </c>
      <c r="C1139" t="s">
        <v>17</v>
      </c>
      <c r="D1139" s="23">
        <f>IF(B1139="Clientes",SUMIFS(PARÂMETROS!$D$8:$D$907,PARÂMETROS!$A$8:$A$907,C1139,PARÂMETROS!$G$8:$G$907,J1139),SUMIFS(PARÂMETROS!$E$8:$E$907,PARÂMETROS!$A$8:$A$907,C1139,PARÂMETROS!$G$8:$G$907,J1139))</f>
        <v>2.4324187249581578E-2</v>
      </c>
      <c r="E1139" s="24">
        <f>SUMIFS(SETORES!$D:$D,SETORES!$A:$A,A1139,SETORES!$F:$F,J1139)</f>
        <v>14975.34</v>
      </c>
      <c r="F1139" s="24">
        <f t="shared" si="65"/>
        <v>364.26297428614902</v>
      </c>
      <c r="G1139" s="23">
        <f>SUMIFS(PARÂMETROS!$F$8:$F$907,PARÂMETROS!$A$8:$A$907,C1139,PARÂMETROS!$G$8:$G$907,J1139)</f>
        <v>0</v>
      </c>
      <c r="H1139" s="24">
        <f t="shared" si="63"/>
        <v>0</v>
      </c>
      <c r="I1139" s="24">
        <f t="shared" si="64"/>
        <v>364.26297428614902</v>
      </c>
      <c r="J1139" t="s">
        <v>88</v>
      </c>
    </row>
    <row r="1140" spans="1:10" ht="14.25" customHeight="1" x14ac:dyDescent="0.3">
      <c r="A1140" t="s">
        <v>81</v>
      </c>
      <c r="B1140" t="str">
        <f>INDEX(SETORES!$B:$B,MATCH(A1140,SETORES!$A:$A,0))</f>
        <v>Clientes</v>
      </c>
      <c r="C1140" t="s">
        <v>18</v>
      </c>
      <c r="D1140" s="23">
        <f>IF(B1140="Clientes",SUMIFS(PARÂMETROS!$D$8:$D$907,PARÂMETROS!$A$8:$A$907,C1140,PARÂMETROS!$G$8:$G$907,J1140),SUMIFS(PARÂMETROS!$E$8:$E$907,PARÂMETROS!$A$8:$A$907,C1140,PARÂMETROS!$G$8:$G$907,J1140))</f>
        <v>0.7221940457473246</v>
      </c>
      <c r="E1140" s="24">
        <f>SUMIFS(SETORES!$D:$D,SETORES!$A:$A,A1140,SETORES!$F:$F,J1140)</f>
        <v>14975.34</v>
      </c>
      <c r="F1140" s="24">
        <f t="shared" si="65"/>
        <v>10815.101381041741</v>
      </c>
      <c r="G1140" s="23">
        <f>SUMIFS(PARÂMETROS!$F$8:$F$907,PARÂMETROS!$A$8:$A$907,C1140,PARÂMETROS!$G$8:$G$907,J1140)</f>
        <v>0</v>
      </c>
      <c r="H1140" s="24">
        <f t="shared" si="63"/>
        <v>0</v>
      </c>
      <c r="I1140" s="24">
        <f t="shared" si="64"/>
        <v>10815.101381041741</v>
      </c>
      <c r="J1140" t="s">
        <v>88</v>
      </c>
    </row>
    <row r="1141" spans="1:10" ht="14.25" customHeight="1" x14ac:dyDescent="0.3">
      <c r="A1141" t="s">
        <v>82</v>
      </c>
      <c r="B1141" t="str">
        <f>INDEX(SETORES!$B:$B,MATCH(A1141,SETORES!$A:$A,0))</f>
        <v>Clientes</v>
      </c>
      <c r="C1141" t="s">
        <v>10</v>
      </c>
      <c r="D1141" s="23">
        <f>IF(B1141="Clientes",SUMIFS(PARÂMETROS!$D$8:$D$907,PARÂMETROS!$A$8:$A$907,C1141,PARÂMETROS!$G$8:$G$907,J1141),SUMIFS(PARÂMETROS!$E$8:$E$907,PARÂMETROS!$A$8:$A$907,C1141,PARÂMETROS!$G$8:$G$907,J1141))</f>
        <v>3.3712025155956789E-2</v>
      </c>
      <c r="E1141" s="24">
        <f>SUMIFS(SETORES!$D:$D,SETORES!$A:$A,A1141,SETORES!$F:$F,J1141)</f>
        <v>132016.27000000002</v>
      </c>
      <c r="F1141" s="24">
        <f t="shared" si="65"/>
        <v>4450.5358152355839</v>
      </c>
      <c r="G1141" s="23">
        <f>SUMIFS(PARÂMETROS!$F$8:$F$907,PARÂMETROS!$A$8:$A$907,C1141,PARÂMETROS!$G$8:$G$907,J1141)</f>
        <v>0</v>
      </c>
      <c r="H1141" s="24">
        <f t="shared" si="63"/>
        <v>0</v>
      </c>
      <c r="I1141" s="24">
        <f t="shared" si="64"/>
        <v>4450.5358152355839</v>
      </c>
      <c r="J1141" t="s">
        <v>88</v>
      </c>
    </row>
    <row r="1142" spans="1:10" ht="14.25" customHeight="1" x14ac:dyDescent="0.3">
      <c r="A1142" t="s">
        <v>82</v>
      </c>
      <c r="B1142" t="str">
        <f>INDEX(SETORES!$B:$B,MATCH(A1142,SETORES!$A:$A,0))</f>
        <v>Clientes</v>
      </c>
      <c r="C1142" t="s">
        <v>12</v>
      </c>
      <c r="D1142" s="23">
        <f>IF(B1142="Clientes",SUMIFS(PARÂMETROS!$D$8:$D$907,PARÂMETROS!$A$8:$A$907,C1142,PARÂMETROS!$G$8:$G$907,J1142),SUMIFS(PARÂMETROS!$E$8:$E$907,PARÂMETROS!$A$8:$A$907,C1142,PARÂMETROS!$G$8:$G$907,J1142))</f>
        <v>6.8519551655931432E-2</v>
      </c>
      <c r="E1142" s="24">
        <f>SUMIFS(SETORES!$D:$D,SETORES!$A:$A,A1142,SETORES!$F:$F,J1142)</f>
        <v>132016.27000000002</v>
      </c>
      <c r="F1142" s="24">
        <f t="shared" si="65"/>
        <v>9045.6956316883916</v>
      </c>
      <c r="G1142" s="23">
        <f>SUMIFS(PARÂMETROS!$F$8:$F$907,PARÂMETROS!$A$8:$A$907,C1142,PARÂMETROS!$G$8:$G$907,J1142)</f>
        <v>0</v>
      </c>
      <c r="H1142" s="24">
        <f t="shared" si="63"/>
        <v>0</v>
      </c>
      <c r="I1142" s="24">
        <f t="shared" si="64"/>
        <v>9045.6956316883916</v>
      </c>
      <c r="J1142" t="s">
        <v>88</v>
      </c>
    </row>
    <row r="1143" spans="1:10" ht="14.25" customHeight="1" x14ac:dyDescent="0.3">
      <c r="A1143" t="s">
        <v>82</v>
      </c>
      <c r="B1143" t="str">
        <f>INDEX(SETORES!$B:$B,MATCH(A1143,SETORES!$A:$A,0))</f>
        <v>Clientes</v>
      </c>
      <c r="C1143" t="s">
        <v>13</v>
      </c>
      <c r="D1143" s="23">
        <f>IF(B1143="Clientes",SUMIFS(PARÂMETROS!$D$8:$D$907,PARÂMETROS!$A$8:$A$907,C1143,PARÂMETROS!$G$8:$G$907,J1143),SUMIFS(PARÂMETROS!$E$8:$E$907,PARÂMETROS!$A$8:$A$907,C1143,PARÂMETROS!$G$8:$G$907,J1143))</f>
        <v>7.4539737282548049E-2</v>
      </c>
      <c r="E1143" s="24">
        <f>SUMIFS(SETORES!$D:$D,SETORES!$A:$A,A1143,SETORES!$F:$F,J1143)</f>
        <v>132016.27000000002</v>
      </c>
      <c r="F1143" s="24">
        <f t="shared" si="65"/>
        <v>9840.4580828219314</v>
      </c>
      <c r="G1143" s="23">
        <f>SUMIFS(PARÂMETROS!$F$8:$F$907,PARÂMETROS!$A$8:$A$907,C1143,PARÂMETROS!$G$8:$G$907,J1143)</f>
        <v>0</v>
      </c>
      <c r="H1143" s="24">
        <f t="shared" si="63"/>
        <v>0</v>
      </c>
      <c r="I1143" s="24">
        <f t="shared" si="64"/>
        <v>9840.4580828219314</v>
      </c>
      <c r="J1143" t="s">
        <v>88</v>
      </c>
    </row>
    <row r="1144" spans="1:10" ht="14.25" customHeight="1" x14ac:dyDescent="0.3">
      <c r="A1144" t="s">
        <v>82</v>
      </c>
      <c r="B1144" t="str">
        <f>INDEX(SETORES!$B:$B,MATCH(A1144,SETORES!$A:$A,0))</f>
        <v>Clientes</v>
      </c>
      <c r="C1144" t="s">
        <v>14</v>
      </c>
      <c r="D1144" s="23">
        <f>IF(B1144="Clientes",SUMIFS(PARÂMETROS!$D$8:$D$907,PARÂMETROS!$A$8:$A$907,C1144,PARÂMETROS!$G$8:$G$907,J1144),SUMIFS(PARÂMETROS!$E$8:$E$907,PARÂMETROS!$A$8:$A$907,C1144,PARÂMETROS!$G$8:$G$907,J1144))</f>
        <v>1.8943044073642036E-2</v>
      </c>
      <c r="E1144" s="24">
        <f>SUMIFS(SETORES!$D:$D,SETORES!$A:$A,A1144,SETORES!$F:$F,J1144)</f>
        <v>132016.27000000002</v>
      </c>
      <c r="F1144" s="24">
        <f t="shared" si="65"/>
        <v>2500.7900210478274</v>
      </c>
      <c r="G1144" s="23">
        <f>SUMIFS(PARÂMETROS!$F$8:$F$907,PARÂMETROS!$A$8:$A$907,C1144,PARÂMETROS!$G$8:$G$907,J1144)</f>
        <v>0</v>
      </c>
      <c r="H1144" s="24">
        <f t="shared" si="63"/>
        <v>0</v>
      </c>
      <c r="I1144" s="24">
        <f t="shared" si="64"/>
        <v>2500.7900210478274</v>
      </c>
      <c r="J1144" t="s">
        <v>88</v>
      </c>
    </row>
    <row r="1145" spans="1:10" ht="14.25" customHeight="1" x14ac:dyDescent="0.3">
      <c r="A1145" t="s">
        <v>82</v>
      </c>
      <c r="B1145" t="str">
        <f>INDEX(SETORES!$B:$B,MATCH(A1145,SETORES!$A:$A,0))</f>
        <v>Clientes</v>
      </c>
      <c r="C1145" t="s">
        <v>15</v>
      </c>
      <c r="D1145" s="23">
        <f>IF(B1145="Clientes",SUMIFS(PARÂMETROS!$D$8:$D$907,PARÂMETROS!$A$8:$A$907,C1145,PARÂMETROS!$G$8:$G$907,J1145),SUMIFS(PARÂMETROS!$E$8:$E$907,PARÂMETROS!$A$8:$A$907,C1145,PARÂMETROS!$G$8:$G$907,J1145))</f>
        <v>3.3478723943804842E-2</v>
      </c>
      <c r="E1145" s="24">
        <f>SUMIFS(SETORES!$D:$D,SETORES!$A:$A,A1145,SETORES!$F:$F,J1145)</f>
        <v>132016.27000000002</v>
      </c>
      <c r="F1145" s="24">
        <f t="shared" si="65"/>
        <v>4419.7362594208053</v>
      </c>
      <c r="G1145" s="23">
        <f>SUMIFS(PARÂMETROS!$F$8:$F$907,PARÂMETROS!$A$8:$A$907,C1145,PARÂMETROS!$G$8:$G$907,J1145)</f>
        <v>0</v>
      </c>
      <c r="H1145" s="24">
        <f t="shared" si="63"/>
        <v>0</v>
      </c>
      <c r="I1145" s="24">
        <f t="shared" si="64"/>
        <v>4419.7362594208053</v>
      </c>
      <c r="J1145" t="s">
        <v>88</v>
      </c>
    </row>
    <row r="1146" spans="1:10" ht="14.25" customHeight="1" x14ac:dyDescent="0.3">
      <c r="A1146" t="s">
        <v>82</v>
      </c>
      <c r="B1146" t="str">
        <f>INDEX(SETORES!$B:$B,MATCH(A1146,SETORES!$A:$A,0))</f>
        <v>Clientes</v>
      </c>
      <c r="C1146" t="s">
        <v>16</v>
      </c>
      <c r="D1146" s="23">
        <f>IF(B1146="Clientes",SUMIFS(PARÂMETROS!$D$8:$D$907,PARÂMETROS!$A$8:$A$907,C1146,PARÂMETROS!$G$8:$G$907,J1146),SUMIFS(PARÂMETROS!$E$8:$E$907,PARÂMETROS!$A$8:$A$907,C1146,PARÂMETROS!$G$8:$G$907,J1146))</f>
        <v>2.4288684891210631E-2</v>
      </c>
      <c r="E1146" s="24">
        <f>SUMIFS(SETORES!$D:$D,SETORES!$A:$A,A1146,SETORES!$F:$F,J1146)</f>
        <v>132016.27000000002</v>
      </c>
      <c r="F1146" s="24">
        <f t="shared" si="65"/>
        <v>3206.5015825429837</v>
      </c>
      <c r="G1146" s="23">
        <f>SUMIFS(PARÂMETROS!$F$8:$F$907,PARÂMETROS!$A$8:$A$907,C1146,PARÂMETROS!$G$8:$G$907,J1146)</f>
        <v>0</v>
      </c>
      <c r="H1146" s="24">
        <f t="shared" si="63"/>
        <v>0</v>
      </c>
      <c r="I1146" s="24">
        <f t="shared" si="64"/>
        <v>3206.5015825429837</v>
      </c>
      <c r="J1146" t="s">
        <v>88</v>
      </c>
    </row>
    <row r="1147" spans="1:10" ht="14.25" customHeight="1" x14ac:dyDescent="0.3">
      <c r="A1147" t="s">
        <v>82</v>
      </c>
      <c r="B1147" t="str">
        <f>INDEX(SETORES!$B:$B,MATCH(A1147,SETORES!$A:$A,0))</f>
        <v>Clientes</v>
      </c>
      <c r="C1147" t="s">
        <v>17</v>
      </c>
      <c r="D1147" s="23">
        <f>IF(B1147="Clientes",SUMIFS(PARÂMETROS!$D$8:$D$907,PARÂMETROS!$A$8:$A$907,C1147,PARÂMETROS!$G$8:$G$907,J1147),SUMIFS(PARÂMETROS!$E$8:$E$907,PARÂMETROS!$A$8:$A$907,C1147,PARÂMETROS!$G$8:$G$907,J1147))</f>
        <v>2.4324187249581578E-2</v>
      </c>
      <c r="E1147" s="24">
        <f>SUMIFS(SETORES!$D:$D,SETORES!$A:$A,A1147,SETORES!$F:$F,J1147)</f>
        <v>132016.27000000002</v>
      </c>
      <c r="F1147" s="24">
        <f t="shared" si="65"/>
        <v>3211.1884714713196</v>
      </c>
      <c r="G1147" s="23">
        <f>SUMIFS(PARÂMETROS!$F$8:$F$907,PARÂMETROS!$A$8:$A$907,C1147,PARÂMETROS!$G$8:$G$907,J1147)</f>
        <v>0</v>
      </c>
      <c r="H1147" s="24">
        <f t="shared" si="63"/>
        <v>0</v>
      </c>
      <c r="I1147" s="24">
        <f t="shared" si="64"/>
        <v>3211.1884714713196</v>
      </c>
      <c r="J1147" t="s">
        <v>88</v>
      </c>
    </row>
    <row r="1148" spans="1:10" ht="14.25" customHeight="1" x14ac:dyDescent="0.3">
      <c r="A1148" t="s">
        <v>82</v>
      </c>
      <c r="B1148" t="str">
        <f>INDEX(SETORES!$B:$B,MATCH(A1148,SETORES!$A:$A,0))</f>
        <v>Clientes</v>
      </c>
      <c r="C1148" t="s">
        <v>18</v>
      </c>
      <c r="D1148" s="23">
        <f>IF(B1148="Clientes",SUMIFS(PARÂMETROS!$D$8:$D$907,PARÂMETROS!$A$8:$A$907,C1148,PARÂMETROS!$G$8:$G$907,J1148),SUMIFS(PARÂMETROS!$E$8:$E$907,PARÂMETROS!$A$8:$A$907,C1148,PARÂMETROS!$G$8:$G$907,J1148))</f>
        <v>0.7221940457473246</v>
      </c>
      <c r="E1148" s="24">
        <f>SUMIFS(SETORES!$D:$D,SETORES!$A:$A,A1148,SETORES!$F:$F,J1148)</f>
        <v>132016.27000000002</v>
      </c>
      <c r="F1148" s="24">
        <f t="shared" ref="F1148:F1179" si="66">IFERROR(D1148*E1148,0)</f>
        <v>95341.364135771175</v>
      </c>
      <c r="G1148" s="23">
        <f>SUMIFS(PARÂMETROS!$F$8:$F$907,PARÂMETROS!$A$8:$A$907,C1148,PARÂMETROS!$G$8:$G$907,J1148)</f>
        <v>0</v>
      </c>
      <c r="H1148" s="24">
        <f t="shared" si="63"/>
        <v>0</v>
      </c>
      <c r="I1148" s="24">
        <f t="shared" si="64"/>
        <v>95341.364135771175</v>
      </c>
      <c r="J1148" t="s">
        <v>88</v>
      </c>
    </row>
    <row r="1149" spans="1:10" ht="14.25" customHeight="1" x14ac:dyDescent="0.3">
      <c r="A1149" t="s">
        <v>83</v>
      </c>
      <c r="B1149" t="str">
        <f>INDEX(SETORES!$B:$B,MATCH(A1149,SETORES!$A:$A,0))</f>
        <v>Clientes</v>
      </c>
      <c r="C1149" t="s">
        <v>10</v>
      </c>
      <c r="D1149" s="23">
        <f>IF(B1149="Clientes",SUMIFS(PARÂMETROS!$D$8:$D$907,PARÂMETROS!$A$8:$A$907,C1149,PARÂMETROS!$G$8:$G$907,J1149),SUMIFS(PARÂMETROS!$E$8:$E$907,PARÂMETROS!$A$8:$A$907,C1149,PARÂMETROS!$G$8:$G$907,J1149))</f>
        <v>3.3712025155956789E-2</v>
      </c>
      <c r="E1149" s="24">
        <f>SUMIFS(SETORES!$D:$D,SETORES!$A:$A,A1149,SETORES!$F:$F,J1149)</f>
        <v>17214.550000000003</v>
      </c>
      <c r="F1149" s="24">
        <f t="shared" si="66"/>
        <v>580.33734264847601</v>
      </c>
      <c r="G1149" s="23">
        <f>SUMIFS(PARÂMETROS!$F$8:$F$907,PARÂMETROS!$A$8:$A$907,C1149,PARÂMETROS!$G$8:$G$907,J1149)</f>
        <v>0</v>
      </c>
      <c r="H1149" s="24">
        <f t="shared" si="63"/>
        <v>0</v>
      </c>
      <c r="I1149" s="24">
        <f t="shared" si="64"/>
        <v>580.33734264847601</v>
      </c>
      <c r="J1149" t="s">
        <v>88</v>
      </c>
    </row>
    <row r="1150" spans="1:10" ht="14.25" customHeight="1" x14ac:dyDescent="0.3">
      <c r="A1150" t="s">
        <v>83</v>
      </c>
      <c r="B1150" t="str">
        <f>INDEX(SETORES!$B:$B,MATCH(A1150,SETORES!$A:$A,0))</f>
        <v>Clientes</v>
      </c>
      <c r="C1150" t="s">
        <v>12</v>
      </c>
      <c r="D1150" s="23">
        <f>IF(B1150="Clientes",SUMIFS(PARÂMETROS!$D$8:$D$907,PARÂMETROS!$A$8:$A$907,C1150,PARÂMETROS!$G$8:$G$907,J1150),SUMIFS(PARÂMETROS!$E$8:$E$907,PARÂMETROS!$A$8:$A$907,C1150,PARÂMETROS!$G$8:$G$907,J1150))</f>
        <v>6.8519551655931432E-2</v>
      </c>
      <c r="E1150" s="24">
        <f>SUMIFS(SETORES!$D:$D,SETORES!$A:$A,A1150,SETORES!$F:$F,J1150)</f>
        <v>17214.550000000003</v>
      </c>
      <c r="F1150" s="24">
        <f t="shared" si="66"/>
        <v>1179.5332479586145</v>
      </c>
      <c r="G1150" s="23">
        <f>SUMIFS(PARÂMETROS!$F$8:$F$907,PARÂMETROS!$A$8:$A$907,C1150,PARÂMETROS!$G$8:$G$907,J1150)</f>
        <v>0</v>
      </c>
      <c r="H1150" s="24">
        <f t="shared" si="63"/>
        <v>0</v>
      </c>
      <c r="I1150" s="24">
        <f t="shared" si="64"/>
        <v>1179.5332479586145</v>
      </c>
      <c r="J1150" t="s">
        <v>88</v>
      </c>
    </row>
    <row r="1151" spans="1:10" ht="14.25" customHeight="1" x14ac:dyDescent="0.3">
      <c r="A1151" t="s">
        <v>83</v>
      </c>
      <c r="B1151" t="str">
        <f>INDEX(SETORES!$B:$B,MATCH(A1151,SETORES!$A:$A,0))</f>
        <v>Clientes</v>
      </c>
      <c r="C1151" t="s">
        <v>13</v>
      </c>
      <c r="D1151" s="23">
        <f>IF(B1151="Clientes",SUMIFS(PARÂMETROS!$D$8:$D$907,PARÂMETROS!$A$8:$A$907,C1151,PARÂMETROS!$G$8:$G$907,J1151),SUMIFS(PARÂMETROS!$E$8:$E$907,PARÂMETROS!$A$8:$A$907,C1151,PARÂMETROS!$G$8:$G$907,J1151))</f>
        <v>7.4539737282548049E-2</v>
      </c>
      <c r="E1151" s="24">
        <f>SUMIFS(SETORES!$D:$D,SETORES!$A:$A,A1151,SETORES!$F:$F,J1151)</f>
        <v>17214.550000000003</v>
      </c>
      <c r="F1151" s="24">
        <f t="shared" si="66"/>
        <v>1283.1680344372878</v>
      </c>
      <c r="G1151" s="23">
        <f>SUMIFS(PARÂMETROS!$F$8:$F$907,PARÂMETROS!$A$8:$A$907,C1151,PARÂMETROS!$G$8:$G$907,J1151)</f>
        <v>0</v>
      </c>
      <c r="H1151" s="24">
        <f t="shared" si="63"/>
        <v>0</v>
      </c>
      <c r="I1151" s="24">
        <f t="shared" si="64"/>
        <v>1283.1680344372878</v>
      </c>
      <c r="J1151" t="s">
        <v>88</v>
      </c>
    </row>
    <row r="1152" spans="1:10" ht="14.25" customHeight="1" x14ac:dyDescent="0.3">
      <c r="A1152" t="s">
        <v>83</v>
      </c>
      <c r="B1152" t="str">
        <f>INDEX(SETORES!$B:$B,MATCH(A1152,SETORES!$A:$A,0))</f>
        <v>Clientes</v>
      </c>
      <c r="C1152" t="s">
        <v>14</v>
      </c>
      <c r="D1152" s="23">
        <f>IF(B1152="Clientes",SUMIFS(PARÂMETROS!$D$8:$D$907,PARÂMETROS!$A$8:$A$907,C1152,PARÂMETROS!$G$8:$G$907,J1152),SUMIFS(PARÂMETROS!$E$8:$E$907,PARÂMETROS!$A$8:$A$907,C1152,PARÂMETROS!$G$8:$G$907,J1152))</f>
        <v>1.8943044073642036E-2</v>
      </c>
      <c r="E1152" s="24">
        <f>SUMIFS(SETORES!$D:$D,SETORES!$A:$A,A1152,SETORES!$F:$F,J1152)</f>
        <v>17214.550000000003</v>
      </c>
      <c r="F1152" s="24">
        <f t="shared" si="66"/>
        <v>326.09597935791459</v>
      </c>
      <c r="G1152" s="23">
        <f>SUMIFS(PARÂMETROS!$F$8:$F$907,PARÂMETROS!$A$8:$A$907,C1152,PARÂMETROS!$G$8:$G$907,J1152)</f>
        <v>0</v>
      </c>
      <c r="H1152" s="24">
        <f t="shared" si="63"/>
        <v>0</v>
      </c>
      <c r="I1152" s="24">
        <f t="shared" si="64"/>
        <v>326.09597935791459</v>
      </c>
      <c r="J1152" t="s">
        <v>88</v>
      </c>
    </row>
    <row r="1153" spans="1:10" ht="14.25" customHeight="1" x14ac:dyDescent="0.3">
      <c r="A1153" t="s">
        <v>83</v>
      </c>
      <c r="B1153" t="str">
        <f>INDEX(SETORES!$B:$B,MATCH(A1153,SETORES!$A:$A,0))</f>
        <v>Clientes</v>
      </c>
      <c r="C1153" t="s">
        <v>15</v>
      </c>
      <c r="D1153" s="23">
        <f>IF(B1153="Clientes",SUMIFS(PARÂMETROS!$D$8:$D$907,PARÂMETROS!$A$8:$A$907,C1153,PARÂMETROS!$G$8:$G$907,J1153),SUMIFS(PARÂMETROS!$E$8:$E$907,PARÂMETROS!$A$8:$A$907,C1153,PARÂMETROS!$G$8:$G$907,J1153))</f>
        <v>3.3478723943804842E-2</v>
      </c>
      <c r="E1153" s="24">
        <f>SUMIFS(SETORES!$D:$D,SETORES!$A:$A,A1153,SETORES!$F:$F,J1153)</f>
        <v>17214.550000000003</v>
      </c>
      <c r="F1153" s="24">
        <f t="shared" si="66"/>
        <v>576.32116726682568</v>
      </c>
      <c r="G1153" s="23">
        <f>SUMIFS(PARÂMETROS!$F$8:$F$907,PARÂMETROS!$A$8:$A$907,C1153,PARÂMETROS!$G$8:$G$907,J1153)</f>
        <v>0</v>
      </c>
      <c r="H1153" s="24">
        <f t="shared" si="63"/>
        <v>0</v>
      </c>
      <c r="I1153" s="24">
        <f t="shared" si="64"/>
        <v>576.32116726682568</v>
      </c>
      <c r="J1153" t="s">
        <v>88</v>
      </c>
    </row>
    <row r="1154" spans="1:10" ht="14.25" customHeight="1" x14ac:dyDescent="0.3">
      <c r="A1154" t="s">
        <v>83</v>
      </c>
      <c r="B1154" t="str">
        <f>INDEX(SETORES!$B:$B,MATCH(A1154,SETORES!$A:$A,0))</f>
        <v>Clientes</v>
      </c>
      <c r="C1154" t="s">
        <v>16</v>
      </c>
      <c r="D1154" s="23">
        <f>IF(B1154="Clientes",SUMIFS(PARÂMETROS!$D$8:$D$907,PARÂMETROS!$A$8:$A$907,C1154,PARÂMETROS!$G$8:$G$907,J1154),SUMIFS(PARÂMETROS!$E$8:$E$907,PARÂMETROS!$A$8:$A$907,C1154,PARÂMETROS!$G$8:$G$907,J1154))</f>
        <v>2.4288684891210631E-2</v>
      </c>
      <c r="E1154" s="24">
        <f>SUMIFS(SETORES!$D:$D,SETORES!$A:$A,A1154,SETORES!$F:$F,J1154)</f>
        <v>17214.550000000003</v>
      </c>
      <c r="F1154" s="24">
        <f t="shared" si="66"/>
        <v>418.11878049399002</v>
      </c>
      <c r="G1154" s="23">
        <f>SUMIFS(PARÂMETROS!$F$8:$F$907,PARÂMETROS!$A$8:$A$907,C1154,PARÂMETROS!$G$8:$G$907,J1154)</f>
        <v>0</v>
      </c>
      <c r="H1154" s="24">
        <f t="shared" si="63"/>
        <v>0</v>
      </c>
      <c r="I1154" s="24">
        <f t="shared" si="64"/>
        <v>418.11878049399002</v>
      </c>
      <c r="J1154" t="s">
        <v>88</v>
      </c>
    </row>
    <row r="1155" spans="1:10" ht="14.25" customHeight="1" x14ac:dyDescent="0.3">
      <c r="A1155" t="s">
        <v>83</v>
      </c>
      <c r="B1155" t="str">
        <f>INDEX(SETORES!$B:$B,MATCH(A1155,SETORES!$A:$A,0))</f>
        <v>Clientes</v>
      </c>
      <c r="C1155" t="s">
        <v>17</v>
      </c>
      <c r="D1155" s="23">
        <f>IF(B1155="Clientes",SUMIFS(PARÂMETROS!$D$8:$D$907,PARÂMETROS!$A$8:$A$907,C1155,PARÂMETROS!$G$8:$G$907,J1155),SUMIFS(PARÂMETROS!$E$8:$E$907,PARÂMETROS!$A$8:$A$907,C1155,PARÂMETROS!$G$8:$G$907,J1155))</f>
        <v>2.4324187249581578E-2</v>
      </c>
      <c r="E1155" s="24">
        <f>SUMIFS(SETORES!$D:$D,SETORES!$A:$A,A1155,SETORES!$F:$F,J1155)</f>
        <v>17214.550000000003</v>
      </c>
      <c r="F1155" s="24">
        <f t="shared" si="66"/>
        <v>418.72993761728463</v>
      </c>
      <c r="G1155" s="23">
        <f>SUMIFS(PARÂMETROS!$F$8:$F$907,PARÂMETROS!$A$8:$A$907,C1155,PARÂMETROS!$G$8:$G$907,J1155)</f>
        <v>0</v>
      </c>
      <c r="H1155" s="24">
        <f t="shared" si="63"/>
        <v>0</v>
      </c>
      <c r="I1155" s="24">
        <f t="shared" si="64"/>
        <v>418.72993761728463</v>
      </c>
      <c r="J1155" t="s">
        <v>88</v>
      </c>
    </row>
    <row r="1156" spans="1:10" ht="14.25" customHeight="1" x14ac:dyDescent="0.3">
      <c r="A1156" t="s">
        <v>83</v>
      </c>
      <c r="B1156" t="str">
        <f>INDEX(SETORES!$B:$B,MATCH(A1156,SETORES!$A:$A,0))</f>
        <v>Clientes</v>
      </c>
      <c r="C1156" t="s">
        <v>18</v>
      </c>
      <c r="D1156" s="23">
        <f>IF(B1156="Clientes",SUMIFS(PARÂMETROS!$D$8:$D$907,PARÂMETROS!$A$8:$A$907,C1156,PARÂMETROS!$G$8:$G$907,J1156),SUMIFS(PARÂMETROS!$E$8:$E$907,PARÂMETROS!$A$8:$A$907,C1156,PARÂMETROS!$G$8:$G$907,J1156))</f>
        <v>0.7221940457473246</v>
      </c>
      <c r="E1156" s="24">
        <f>SUMIFS(SETORES!$D:$D,SETORES!$A:$A,A1156,SETORES!$F:$F,J1156)</f>
        <v>17214.550000000003</v>
      </c>
      <c r="F1156" s="24">
        <f t="shared" si="66"/>
        <v>12432.245510219609</v>
      </c>
      <c r="G1156" s="23">
        <f>SUMIFS(PARÂMETROS!$F$8:$F$907,PARÂMETROS!$A$8:$A$907,C1156,PARÂMETROS!$G$8:$G$907,J1156)</f>
        <v>0</v>
      </c>
      <c r="H1156" s="24">
        <f t="shared" si="63"/>
        <v>0</v>
      </c>
      <c r="I1156" s="24">
        <f t="shared" si="64"/>
        <v>12432.245510219609</v>
      </c>
      <c r="J1156" t="s">
        <v>88</v>
      </c>
    </row>
    <row r="1157" spans="1:10" ht="14.25" customHeight="1" x14ac:dyDescent="0.3">
      <c r="A1157" t="s">
        <v>84</v>
      </c>
      <c r="B1157" t="str">
        <f>INDEX(SETORES!$B:$B,MATCH(A1157,SETORES!$A:$A,0))</f>
        <v>Clientes</v>
      </c>
      <c r="C1157" t="s">
        <v>10</v>
      </c>
      <c r="D1157" s="23">
        <f>IF(B1157="Clientes",SUMIFS(PARÂMETROS!$D$8:$D$907,PARÂMETROS!$A$8:$A$907,C1157,PARÂMETROS!$G$8:$G$907,J1157),SUMIFS(PARÂMETROS!$E$8:$E$907,PARÂMETROS!$A$8:$A$907,C1157,PARÂMETROS!$G$8:$G$907,J1157))</f>
        <v>3.3712025155956789E-2</v>
      </c>
      <c r="E1157" s="24">
        <f>SUMIFS(SETORES!$D:$D,SETORES!$A:$A,A1157,SETORES!$F:$F,J1157)</f>
        <v>205883.68</v>
      </c>
      <c r="F1157" s="24">
        <f t="shared" si="66"/>
        <v>6940.7557993609571</v>
      </c>
      <c r="G1157" s="23">
        <f>SUMIFS(PARÂMETROS!$F$8:$F$907,PARÂMETROS!$A$8:$A$907,C1157,PARÂMETROS!$G$8:$G$907,J1157)</f>
        <v>0</v>
      </c>
      <c r="H1157" s="24">
        <f t="shared" si="63"/>
        <v>0</v>
      </c>
      <c r="I1157" s="24">
        <f t="shared" si="64"/>
        <v>6940.7557993609571</v>
      </c>
      <c r="J1157" t="s">
        <v>88</v>
      </c>
    </row>
    <row r="1158" spans="1:10" ht="14.25" customHeight="1" x14ac:dyDescent="0.3">
      <c r="A1158" t="s">
        <v>84</v>
      </c>
      <c r="B1158" t="str">
        <f>INDEX(SETORES!$B:$B,MATCH(A1158,SETORES!$A:$A,0))</f>
        <v>Clientes</v>
      </c>
      <c r="C1158" t="s">
        <v>12</v>
      </c>
      <c r="D1158" s="23">
        <f>IF(B1158="Clientes",SUMIFS(PARÂMETROS!$D$8:$D$907,PARÂMETROS!$A$8:$A$907,C1158,PARÂMETROS!$G$8:$G$907,J1158),SUMIFS(PARÂMETROS!$E$8:$E$907,PARÂMETROS!$A$8:$A$907,C1158,PARÂMETROS!$G$8:$G$907,J1158))</f>
        <v>6.8519551655931432E-2</v>
      </c>
      <c r="E1158" s="24">
        <f>SUMIFS(SETORES!$D:$D,SETORES!$A:$A,A1158,SETORES!$F:$F,J1158)</f>
        <v>205883.68</v>
      </c>
      <c r="F1158" s="24">
        <f t="shared" si="66"/>
        <v>14107.057446873258</v>
      </c>
      <c r="G1158" s="23">
        <f>SUMIFS(PARÂMETROS!$F$8:$F$907,PARÂMETROS!$A$8:$A$907,C1158,PARÂMETROS!$G$8:$G$907,J1158)</f>
        <v>0</v>
      </c>
      <c r="H1158" s="24">
        <f t="shared" si="63"/>
        <v>0</v>
      </c>
      <c r="I1158" s="24">
        <f t="shared" si="64"/>
        <v>14107.057446873258</v>
      </c>
      <c r="J1158" t="s">
        <v>88</v>
      </c>
    </row>
    <row r="1159" spans="1:10" ht="14.25" customHeight="1" x14ac:dyDescent="0.3">
      <c r="A1159" t="s">
        <v>84</v>
      </c>
      <c r="B1159" t="str">
        <f>INDEX(SETORES!$B:$B,MATCH(A1159,SETORES!$A:$A,0))</f>
        <v>Clientes</v>
      </c>
      <c r="C1159" t="s">
        <v>13</v>
      </c>
      <c r="D1159" s="23">
        <f>IF(B1159="Clientes",SUMIFS(PARÂMETROS!$D$8:$D$907,PARÂMETROS!$A$8:$A$907,C1159,PARÂMETROS!$G$8:$G$907,J1159),SUMIFS(PARÂMETROS!$E$8:$E$907,PARÂMETROS!$A$8:$A$907,C1159,PARÂMETROS!$G$8:$G$907,J1159))</f>
        <v>7.4539737282548049E-2</v>
      </c>
      <c r="E1159" s="24">
        <f>SUMIFS(SETORES!$D:$D,SETORES!$A:$A,A1159,SETORES!$F:$F,J1159)</f>
        <v>205883.68</v>
      </c>
      <c r="F1159" s="24">
        <f t="shared" si="66"/>
        <v>15346.515417964192</v>
      </c>
      <c r="G1159" s="23">
        <f>SUMIFS(PARÂMETROS!$F$8:$F$907,PARÂMETROS!$A$8:$A$907,C1159,PARÂMETROS!$G$8:$G$907,J1159)</f>
        <v>0</v>
      </c>
      <c r="H1159" s="24">
        <f t="shared" si="63"/>
        <v>0</v>
      </c>
      <c r="I1159" s="24">
        <f t="shared" si="64"/>
        <v>15346.515417964192</v>
      </c>
      <c r="J1159" t="s">
        <v>88</v>
      </c>
    </row>
    <row r="1160" spans="1:10" ht="14.25" customHeight="1" x14ac:dyDescent="0.3">
      <c r="A1160" t="s">
        <v>84</v>
      </c>
      <c r="B1160" t="str">
        <f>INDEX(SETORES!$B:$B,MATCH(A1160,SETORES!$A:$A,0))</f>
        <v>Clientes</v>
      </c>
      <c r="C1160" t="s">
        <v>14</v>
      </c>
      <c r="D1160" s="23">
        <f>IF(B1160="Clientes",SUMIFS(PARÂMETROS!$D$8:$D$907,PARÂMETROS!$A$8:$A$907,C1160,PARÂMETROS!$G$8:$G$907,J1160),SUMIFS(PARÂMETROS!$E$8:$E$907,PARÂMETROS!$A$8:$A$907,C1160,PARÂMETROS!$G$8:$G$907,J1160))</f>
        <v>1.8943044073642036E-2</v>
      </c>
      <c r="E1160" s="24">
        <f>SUMIFS(SETORES!$D:$D,SETORES!$A:$A,A1160,SETORES!$F:$F,J1160)</f>
        <v>205883.68</v>
      </c>
      <c r="F1160" s="24">
        <f t="shared" si="66"/>
        <v>3900.0636242836131</v>
      </c>
      <c r="G1160" s="23">
        <f>SUMIFS(PARÂMETROS!$F$8:$F$907,PARÂMETROS!$A$8:$A$907,C1160,PARÂMETROS!$G$8:$G$907,J1160)</f>
        <v>0</v>
      </c>
      <c r="H1160" s="24">
        <f t="shared" si="63"/>
        <v>0</v>
      </c>
      <c r="I1160" s="24">
        <f t="shared" si="64"/>
        <v>3900.0636242836131</v>
      </c>
      <c r="J1160" t="s">
        <v>88</v>
      </c>
    </row>
    <row r="1161" spans="1:10" ht="14.25" customHeight="1" x14ac:dyDescent="0.3">
      <c r="A1161" t="s">
        <v>84</v>
      </c>
      <c r="B1161" t="str">
        <f>INDEX(SETORES!$B:$B,MATCH(A1161,SETORES!$A:$A,0))</f>
        <v>Clientes</v>
      </c>
      <c r="C1161" t="s">
        <v>15</v>
      </c>
      <c r="D1161" s="23">
        <f>IF(B1161="Clientes",SUMIFS(PARÂMETROS!$D$8:$D$907,PARÂMETROS!$A$8:$A$907,C1161,PARÂMETROS!$G$8:$G$907,J1161),SUMIFS(PARÂMETROS!$E$8:$E$907,PARÂMETROS!$A$8:$A$907,C1161,PARÂMETROS!$G$8:$G$907,J1161))</f>
        <v>3.3478723943804842E-2</v>
      </c>
      <c r="E1161" s="24">
        <f>SUMIFS(SETORES!$D:$D,SETORES!$A:$A,A1161,SETORES!$F:$F,J1161)</f>
        <v>205883.68</v>
      </c>
      <c r="F1161" s="24">
        <f t="shared" si="66"/>
        <v>6892.7228872546539</v>
      </c>
      <c r="G1161" s="23">
        <f>SUMIFS(PARÂMETROS!$F$8:$F$907,PARÂMETROS!$A$8:$A$907,C1161,PARÂMETROS!$G$8:$G$907,J1161)</f>
        <v>0</v>
      </c>
      <c r="H1161" s="24">
        <f t="shared" si="63"/>
        <v>0</v>
      </c>
      <c r="I1161" s="24">
        <f t="shared" si="64"/>
        <v>6892.7228872546539</v>
      </c>
      <c r="J1161" t="s">
        <v>88</v>
      </c>
    </row>
    <row r="1162" spans="1:10" ht="14.25" customHeight="1" x14ac:dyDescent="0.3">
      <c r="A1162" t="s">
        <v>84</v>
      </c>
      <c r="B1162" t="str">
        <f>INDEX(SETORES!$B:$B,MATCH(A1162,SETORES!$A:$A,0))</f>
        <v>Clientes</v>
      </c>
      <c r="C1162" t="s">
        <v>16</v>
      </c>
      <c r="D1162" s="23">
        <f>IF(B1162="Clientes",SUMIFS(PARÂMETROS!$D$8:$D$907,PARÂMETROS!$A$8:$A$907,C1162,PARÂMETROS!$G$8:$G$907,J1162),SUMIFS(PARÂMETROS!$E$8:$E$907,PARÂMETROS!$A$8:$A$907,C1162,PARÂMETROS!$G$8:$G$907,J1162))</f>
        <v>2.4288684891210631E-2</v>
      </c>
      <c r="E1162" s="24">
        <f>SUMIFS(SETORES!$D:$D,SETORES!$A:$A,A1162,SETORES!$F:$F,J1162)</f>
        <v>205883.68</v>
      </c>
      <c r="F1162" s="24">
        <f t="shared" si="66"/>
        <v>5000.643827762844</v>
      </c>
      <c r="G1162" s="23">
        <f>SUMIFS(PARÂMETROS!$F$8:$F$907,PARÂMETROS!$A$8:$A$907,C1162,PARÂMETROS!$G$8:$G$907,J1162)</f>
        <v>0</v>
      </c>
      <c r="H1162" s="24">
        <f t="shared" si="63"/>
        <v>0</v>
      </c>
      <c r="I1162" s="24">
        <f t="shared" si="64"/>
        <v>5000.643827762844</v>
      </c>
      <c r="J1162" t="s">
        <v>88</v>
      </c>
    </row>
    <row r="1163" spans="1:10" ht="14.25" customHeight="1" x14ac:dyDescent="0.3">
      <c r="A1163" t="s">
        <v>84</v>
      </c>
      <c r="B1163" t="str">
        <f>INDEX(SETORES!$B:$B,MATCH(A1163,SETORES!$A:$A,0))</f>
        <v>Clientes</v>
      </c>
      <c r="C1163" t="s">
        <v>17</v>
      </c>
      <c r="D1163" s="23">
        <f>IF(B1163="Clientes",SUMIFS(PARÂMETROS!$D$8:$D$907,PARÂMETROS!$A$8:$A$907,C1163,PARÂMETROS!$G$8:$G$907,J1163),SUMIFS(PARÂMETROS!$E$8:$E$907,PARÂMETROS!$A$8:$A$907,C1163,PARÂMETROS!$G$8:$G$907,J1163))</f>
        <v>2.4324187249581578E-2</v>
      </c>
      <c r="E1163" s="24">
        <f>SUMIFS(SETORES!$D:$D,SETORES!$A:$A,A1163,SETORES!$F:$F,J1163)</f>
        <v>205883.68</v>
      </c>
      <c r="F1163" s="24">
        <f t="shared" si="66"/>
        <v>5007.9531839529336</v>
      </c>
      <c r="G1163" s="23">
        <f>SUMIFS(PARÂMETROS!$F$8:$F$907,PARÂMETROS!$A$8:$A$907,C1163,PARÂMETROS!$G$8:$G$907,J1163)</f>
        <v>0</v>
      </c>
      <c r="H1163" s="24">
        <f t="shared" si="63"/>
        <v>0</v>
      </c>
      <c r="I1163" s="24">
        <f t="shared" si="64"/>
        <v>5007.9531839529336</v>
      </c>
      <c r="J1163" t="s">
        <v>88</v>
      </c>
    </row>
    <row r="1164" spans="1:10" ht="14.25" customHeight="1" x14ac:dyDescent="0.3">
      <c r="A1164" t="s">
        <v>84</v>
      </c>
      <c r="B1164" t="str">
        <f>INDEX(SETORES!$B:$B,MATCH(A1164,SETORES!$A:$A,0))</f>
        <v>Clientes</v>
      </c>
      <c r="C1164" t="s">
        <v>18</v>
      </c>
      <c r="D1164" s="23">
        <f>IF(B1164="Clientes",SUMIFS(PARÂMETROS!$D$8:$D$907,PARÂMETROS!$A$8:$A$907,C1164,PARÂMETROS!$G$8:$G$907,J1164),SUMIFS(PARÂMETROS!$E$8:$E$907,PARÂMETROS!$A$8:$A$907,C1164,PARÂMETROS!$G$8:$G$907,J1164))</f>
        <v>0.7221940457473246</v>
      </c>
      <c r="E1164" s="24">
        <f>SUMIFS(SETORES!$D:$D,SETORES!$A:$A,A1164,SETORES!$F:$F,J1164)</f>
        <v>205883.68</v>
      </c>
      <c r="F1164" s="24">
        <f t="shared" si="66"/>
        <v>148687.96781254755</v>
      </c>
      <c r="G1164" s="23">
        <f>SUMIFS(PARÂMETROS!$F$8:$F$907,PARÂMETROS!$A$8:$A$907,C1164,PARÂMETROS!$G$8:$G$907,J1164)</f>
        <v>0</v>
      </c>
      <c r="H1164" s="24">
        <f t="shared" si="63"/>
        <v>0</v>
      </c>
      <c r="I1164" s="24">
        <f t="shared" si="64"/>
        <v>148687.96781254755</v>
      </c>
      <c r="J1164" t="s">
        <v>88</v>
      </c>
    </row>
    <row r="1165" spans="1:10" ht="14.25" customHeight="1" x14ac:dyDescent="0.3">
      <c r="A1165" t="s">
        <v>85</v>
      </c>
      <c r="B1165" t="str">
        <f>INDEX(SETORES!$B:$B,MATCH(A1165,SETORES!$A:$A,0))</f>
        <v>Clientes</v>
      </c>
      <c r="C1165" t="s">
        <v>10</v>
      </c>
      <c r="D1165" s="23">
        <f>IF(B1165="Clientes",SUMIFS(PARÂMETROS!$D$8:$D$907,PARÂMETROS!$A$8:$A$907,C1165,PARÂMETROS!$G$8:$G$907,J1165),SUMIFS(PARÂMETROS!$E$8:$E$907,PARÂMETROS!$A$8:$A$907,C1165,PARÂMETROS!$G$8:$G$907,J1165))</f>
        <v>3.3712025155956789E-2</v>
      </c>
      <c r="E1165" s="24">
        <f>SUMIFS(SETORES!$D:$D,SETORES!$A:$A,A1165,SETORES!$F:$F,J1165)</f>
        <v>68487.469999999987</v>
      </c>
      <c r="F1165" s="24">
        <f t="shared" si="66"/>
        <v>2308.8513115078354</v>
      </c>
      <c r="G1165" s="23">
        <f>SUMIFS(PARÂMETROS!$F$8:$F$907,PARÂMETROS!$A$8:$A$907,C1165,PARÂMETROS!$G$8:$G$907,J1165)</f>
        <v>0</v>
      </c>
      <c r="H1165" s="24">
        <f t="shared" ref="H1165:H1188" si="67">IFERROR(F1165*G1165,0)</f>
        <v>0</v>
      </c>
      <c r="I1165" s="24">
        <f t="shared" ref="I1165:I1188" si="68">F1165+H1165</f>
        <v>2308.8513115078354</v>
      </c>
      <c r="J1165" t="s">
        <v>88</v>
      </c>
    </row>
    <row r="1166" spans="1:10" ht="14.25" customHeight="1" x14ac:dyDescent="0.3">
      <c r="A1166" t="s">
        <v>85</v>
      </c>
      <c r="B1166" t="str">
        <f>INDEX(SETORES!$B:$B,MATCH(A1166,SETORES!$A:$A,0))</f>
        <v>Clientes</v>
      </c>
      <c r="C1166" t="s">
        <v>12</v>
      </c>
      <c r="D1166" s="23">
        <f>IF(B1166="Clientes",SUMIFS(PARÂMETROS!$D$8:$D$907,PARÂMETROS!$A$8:$A$907,C1166,PARÂMETROS!$G$8:$G$907,J1166),SUMIFS(PARÂMETROS!$E$8:$E$907,PARÂMETROS!$A$8:$A$907,C1166,PARÂMETROS!$G$8:$G$907,J1166))</f>
        <v>6.8519551655931432E-2</v>
      </c>
      <c r="E1166" s="24">
        <f>SUMIFS(SETORES!$D:$D,SETORES!$A:$A,A1166,SETORES!$F:$F,J1166)</f>
        <v>68487.469999999987</v>
      </c>
      <c r="F1166" s="24">
        <f t="shared" si="66"/>
        <v>4692.7307384490532</v>
      </c>
      <c r="G1166" s="23">
        <f>SUMIFS(PARÂMETROS!$F$8:$F$907,PARÂMETROS!$A$8:$A$907,C1166,PARÂMETROS!$G$8:$G$907,J1166)</f>
        <v>0</v>
      </c>
      <c r="H1166" s="24">
        <f t="shared" si="67"/>
        <v>0</v>
      </c>
      <c r="I1166" s="24">
        <f t="shared" si="68"/>
        <v>4692.7307384490532</v>
      </c>
      <c r="J1166" t="s">
        <v>88</v>
      </c>
    </row>
    <row r="1167" spans="1:10" ht="14.25" customHeight="1" x14ac:dyDescent="0.3">
      <c r="A1167" t="s">
        <v>85</v>
      </c>
      <c r="B1167" t="str">
        <f>INDEX(SETORES!$B:$B,MATCH(A1167,SETORES!$A:$A,0))</f>
        <v>Clientes</v>
      </c>
      <c r="C1167" t="s">
        <v>13</v>
      </c>
      <c r="D1167" s="23">
        <f>IF(B1167="Clientes",SUMIFS(PARÂMETROS!$D$8:$D$907,PARÂMETROS!$A$8:$A$907,C1167,PARÂMETROS!$G$8:$G$907,J1167),SUMIFS(PARÂMETROS!$E$8:$E$907,PARÂMETROS!$A$8:$A$907,C1167,PARÂMETROS!$G$8:$G$907,J1167))</f>
        <v>7.4539737282548049E-2</v>
      </c>
      <c r="E1167" s="24">
        <f>SUMIFS(SETORES!$D:$D,SETORES!$A:$A,A1167,SETORES!$F:$F,J1167)</f>
        <v>68487.469999999987</v>
      </c>
      <c r="F1167" s="24">
        <f t="shared" si="66"/>
        <v>5105.0380209463901</v>
      </c>
      <c r="G1167" s="23">
        <f>SUMIFS(PARÂMETROS!$F$8:$F$907,PARÂMETROS!$A$8:$A$907,C1167,PARÂMETROS!$G$8:$G$907,J1167)</f>
        <v>0</v>
      </c>
      <c r="H1167" s="24">
        <f t="shared" si="67"/>
        <v>0</v>
      </c>
      <c r="I1167" s="24">
        <f t="shared" si="68"/>
        <v>5105.0380209463901</v>
      </c>
      <c r="J1167" t="s">
        <v>88</v>
      </c>
    </row>
    <row r="1168" spans="1:10" ht="14.25" customHeight="1" x14ac:dyDescent="0.3">
      <c r="A1168" t="s">
        <v>85</v>
      </c>
      <c r="B1168" t="str">
        <f>INDEX(SETORES!$B:$B,MATCH(A1168,SETORES!$A:$A,0))</f>
        <v>Clientes</v>
      </c>
      <c r="C1168" t="s">
        <v>14</v>
      </c>
      <c r="D1168" s="23">
        <f>IF(B1168="Clientes",SUMIFS(PARÂMETROS!$D$8:$D$907,PARÂMETROS!$A$8:$A$907,C1168,PARÂMETROS!$G$8:$G$907,J1168),SUMIFS(PARÂMETROS!$E$8:$E$907,PARÂMETROS!$A$8:$A$907,C1168,PARÂMETROS!$G$8:$G$907,J1168))</f>
        <v>1.8943044073642036E-2</v>
      </c>
      <c r="E1168" s="24">
        <f>SUMIFS(SETORES!$D:$D,SETORES!$A:$A,A1168,SETORES!$F:$F,J1168)</f>
        <v>68487.469999999987</v>
      </c>
      <c r="F1168" s="24">
        <f t="shared" si="66"/>
        <v>1297.3611627022365</v>
      </c>
      <c r="G1168" s="23">
        <f>SUMIFS(PARÂMETROS!$F$8:$F$907,PARÂMETROS!$A$8:$A$907,C1168,PARÂMETROS!$G$8:$G$907,J1168)</f>
        <v>0</v>
      </c>
      <c r="H1168" s="24">
        <f t="shared" si="67"/>
        <v>0</v>
      </c>
      <c r="I1168" s="24">
        <f t="shared" si="68"/>
        <v>1297.3611627022365</v>
      </c>
      <c r="J1168" t="s">
        <v>88</v>
      </c>
    </row>
    <row r="1169" spans="1:10" ht="14.25" customHeight="1" x14ac:dyDescent="0.3">
      <c r="A1169" t="s">
        <v>85</v>
      </c>
      <c r="B1169" t="str">
        <f>INDEX(SETORES!$B:$B,MATCH(A1169,SETORES!$A:$A,0))</f>
        <v>Clientes</v>
      </c>
      <c r="C1169" t="s">
        <v>15</v>
      </c>
      <c r="D1169" s="23">
        <f>IF(B1169="Clientes",SUMIFS(PARÂMETROS!$D$8:$D$907,PARÂMETROS!$A$8:$A$907,C1169,PARÂMETROS!$G$8:$G$907,J1169),SUMIFS(PARÂMETROS!$E$8:$E$907,PARÂMETROS!$A$8:$A$907,C1169,PARÂMETROS!$G$8:$G$907,J1169))</f>
        <v>3.3478723943804842E-2</v>
      </c>
      <c r="E1169" s="24">
        <f>SUMIFS(SETORES!$D:$D,SETORES!$A:$A,A1169,SETORES!$F:$F,J1169)</f>
        <v>68487.469999999987</v>
      </c>
      <c r="F1169" s="24">
        <f t="shared" si="66"/>
        <v>2292.8731017396153</v>
      </c>
      <c r="G1169" s="23">
        <f>SUMIFS(PARÂMETROS!$F$8:$F$907,PARÂMETROS!$A$8:$A$907,C1169,PARÂMETROS!$G$8:$G$907,J1169)</f>
        <v>0</v>
      </c>
      <c r="H1169" s="24">
        <f t="shared" si="67"/>
        <v>0</v>
      </c>
      <c r="I1169" s="24">
        <f t="shared" si="68"/>
        <v>2292.8731017396153</v>
      </c>
      <c r="J1169" t="s">
        <v>88</v>
      </c>
    </row>
    <row r="1170" spans="1:10" ht="14.25" customHeight="1" x14ac:dyDescent="0.3">
      <c r="A1170" t="s">
        <v>85</v>
      </c>
      <c r="B1170" t="str">
        <f>INDEX(SETORES!$B:$B,MATCH(A1170,SETORES!$A:$A,0))</f>
        <v>Clientes</v>
      </c>
      <c r="C1170" t="s">
        <v>16</v>
      </c>
      <c r="D1170" s="23">
        <f>IF(B1170="Clientes",SUMIFS(PARÂMETROS!$D$8:$D$907,PARÂMETROS!$A$8:$A$907,C1170,PARÂMETROS!$G$8:$G$907,J1170),SUMIFS(PARÂMETROS!$E$8:$E$907,PARÂMETROS!$A$8:$A$907,C1170,PARÂMETROS!$G$8:$G$907,J1170))</f>
        <v>2.4288684891210631E-2</v>
      </c>
      <c r="E1170" s="24">
        <f>SUMIFS(SETORES!$D:$D,SETORES!$A:$A,A1170,SETORES!$F:$F,J1170)</f>
        <v>68487.469999999987</v>
      </c>
      <c r="F1170" s="24">
        <f t="shared" si="66"/>
        <v>1663.470577826241</v>
      </c>
      <c r="G1170" s="23">
        <f>SUMIFS(PARÂMETROS!$F$8:$F$907,PARÂMETROS!$A$8:$A$907,C1170,PARÂMETROS!$G$8:$G$907,J1170)</f>
        <v>0</v>
      </c>
      <c r="H1170" s="24">
        <f t="shared" si="67"/>
        <v>0</v>
      </c>
      <c r="I1170" s="24">
        <f t="shared" si="68"/>
        <v>1663.470577826241</v>
      </c>
      <c r="J1170" t="s">
        <v>88</v>
      </c>
    </row>
    <row r="1171" spans="1:10" ht="14.25" customHeight="1" x14ac:dyDescent="0.3">
      <c r="A1171" t="s">
        <v>85</v>
      </c>
      <c r="B1171" t="str">
        <f>INDEX(SETORES!$B:$B,MATCH(A1171,SETORES!$A:$A,0))</f>
        <v>Clientes</v>
      </c>
      <c r="C1171" t="s">
        <v>17</v>
      </c>
      <c r="D1171" s="23">
        <f>IF(B1171="Clientes",SUMIFS(PARÂMETROS!$D$8:$D$907,PARÂMETROS!$A$8:$A$907,C1171,PARÂMETROS!$G$8:$G$907,J1171),SUMIFS(PARÂMETROS!$E$8:$E$907,PARÂMETROS!$A$8:$A$907,C1171,PARÂMETROS!$G$8:$G$907,J1171))</f>
        <v>2.4324187249581578E-2</v>
      </c>
      <c r="E1171" s="24">
        <f>SUMIFS(SETORES!$D:$D,SETORES!$A:$A,A1171,SETORES!$F:$F,J1171)</f>
        <v>68487.469999999987</v>
      </c>
      <c r="F1171" s="24">
        <f t="shared" si="66"/>
        <v>1665.9020445301005</v>
      </c>
      <c r="G1171" s="23">
        <f>SUMIFS(PARÂMETROS!$F$8:$F$907,PARÂMETROS!$A$8:$A$907,C1171,PARÂMETROS!$G$8:$G$907,J1171)</f>
        <v>0</v>
      </c>
      <c r="H1171" s="24">
        <f t="shared" si="67"/>
        <v>0</v>
      </c>
      <c r="I1171" s="24">
        <f t="shared" si="68"/>
        <v>1665.9020445301005</v>
      </c>
      <c r="J1171" t="s">
        <v>88</v>
      </c>
    </row>
    <row r="1172" spans="1:10" ht="14.25" customHeight="1" x14ac:dyDescent="0.3">
      <c r="A1172" t="s">
        <v>85</v>
      </c>
      <c r="B1172" t="str">
        <f>INDEX(SETORES!$B:$B,MATCH(A1172,SETORES!$A:$A,0))</f>
        <v>Clientes</v>
      </c>
      <c r="C1172" t="s">
        <v>18</v>
      </c>
      <c r="D1172" s="23">
        <f>IF(B1172="Clientes",SUMIFS(PARÂMETROS!$D$8:$D$907,PARÂMETROS!$A$8:$A$907,C1172,PARÂMETROS!$G$8:$G$907,J1172),SUMIFS(PARÂMETROS!$E$8:$E$907,PARÂMETROS!$A$8:$A$907,C1172,PARÂMETROS!$G$8:$G$907,J1172))</f>
        <v>0.7221940457473246</v>
      </c>
      <c r="E1172" s="24">
        <f>SUMIFS(SETORES!$D:$D,SETORES!$A:$A,A1172,SETORES!$F:$F,J1172)</f>
        <v>68487.469999999987</v>
      </c>
      <c r="F1172" s="24">
        <f t="shared" si="66"/>
        <v>49461.243042298513</v>
      </c>
      <c r="G1172" s="23">
        <f>SUMIFS(PARÂMETROS!$F$8:$F$907,PARÂMETROS!$A$8:$A$907,C1172,PARÂMETROS!$G$8:$G$907,J1172)</f>
        <v>0</v>
      </c>
      <c r="H1172" s="24">
        <f t="shared" si="67"/>
        <v>0</v>
      </c>
      <c r="I1172" s="24">
        <f t="shared" si="68"/>
        <v>49461.243042298513</v>
      </c>
      <c r="J1172" t="s">
        <v>88</v>
      </c>
    </row>
    <row r="1173" spans="1:10" ht="14.25" customHeight="1" x14ac:dyDescent="0.3">
      <c r="A1173" t="s">
        <v>86</v>
      </c>
      <c r="B1173" t="str">
        <f>INDEX(SETORES!$B:$B,MATCH(A1173,SETORES!$A:$A,0))</f>
        <v>Clientes</v>
      </c>
      <c r="C1173" t="s">
        <v>10</v>
      </c>
      <c r="D1173" s="23">
        <f>IF(B1173="Clientes",SUMIFS(PARÂMETROS!$D$8:$D$907,PARÂMETROS!$A$8:$A$907,C1173,PARÂMETROS!$G$8:$G$907,J1173),SUMIFS(PARÂMETROS!$E$8:$E$907,PARÂMETROS!$A$8:$A$907,C1173,PARÂMETROS!$G$8:$G$907,J1173))</f>
        <v>3.3712025155956789E-2</v>
      </c>
      <c r="E1173" s="24">
        <f>SUMIFS(SETORES!$D:$D,SETORES!$A:$A,A1173,SETORES!$F:$F,J1173)</f>
        <v>45094.18</v>
      </c>
      <c r="F1173" s="24">
        <f t="shared" si="66"/>
        <v>1520.2161305472434</v>
      </c>
      <c r="G1173" s="23">
        <f>SUMIFS(PARÂMETROS!$F$8:$F$907,PARÂMETROS!$A$8:$A$907,C1173,PARÂMETROS!$G$8:$G$907,J1173)</f>
        <v>0</v>
      </c>
      <c r="H1173" s="24">
        <f t="shared" si="67"/>
        <v>0</v>
      </c>
      <c r="I1173" s="24">
        <f t="shared" si="68"/>
        <v>1520.2161305472434</v>
      </c>
      <c r="J1173" t="s">
        <v>88</v>
      </c>
    </row>
    <row r="1174" spans="1:10" ht="14.25" customHeight="1" x14ac:dyDescent="0.3">
      <c r="A1174" t="s">
        <v>86</v>
      </c>
      <c r="B1174" t="str">
        <f>INDEX(SETORES!$B:$B,MATCH(A1174,SETORES!$A:$A,0))</f>
        <v>Clientes</v>
      </c>
      <c r="C1174" t="s">
        <v>12</v>
      </c>
      <c r="D1174" s="23">
        <f>IF(B1174="Clientes",SUMIFS(PARÂMETROS!$D$8:$D$907,PARÂMETROS!$A$8:$A$907,C1174,PARÂMETROS!$G$8:$G$907,J1174),SUMIFS(PARÂMETROS!$E$8:$E$907,PARÂMETROS!$A$8:$A$907,C1174,PARÂMETROS!$G$8:$G$907,J1174))</f>
        <v>6.8519551655931432E-2</v>
      </c>
      <c r="E1174" s="24">
        <f>SUMIFS(SETORES!$D:$D,SETORES!$A:$A,A1174,SETORES!$F:$F,J1174)</f>
        <v>45094.18</v>
      </c>
      <c r="F1174" s="24">
        <f t="shared" si="66"/>
        <v>3089.8329958918703</v>
      </c>
      <c r="G1174" s="23">
        <f>SUMIFS(PARÂMETROS!$F$8:$F$907,PARÂMETROS!$A$8:$A$907,C1174,PARÂMETROS!$G$8:$G$907,J1174)</f>
        <v>0</v>
      </c>
      <c r="H1174" s="24">
        <f t="shared" si="67"/>
        <v>0</v>
      </c>
      <c r="I1174" s="24">
        <f t="shared" si="68"/>
        <v>3089.8329958918703</v>
      </c>
      <c r="J1174" t="s">
        <v>88</v>
      </c>
    </row>
    <row r="1175" spans="1:10" ht="14.25" customHeight="1" x14ac:dyDescent="0.3">
      <c r="A1175" t="s">
        <v>86</v>
      </c>
      <c r="B1175" t="str">
        <f>INDEX(SETORES!$B:$B,MATCH(A1175,SETORES!$A:$A,0))</f>
        <v>Clientes</v>
      </c>
      <c r="C1175" t="s">
        <v>13</v>
      </c>
      <c r="D1175" s="23">
        <f>IF(B1175="Clientes",SUMIFS(PARÂMETROS!$D$8:$D$907,PARÂMETROS!$A$8:$A$907,C1175,PARÂMETROS!$G$8:$G$907,J1175),SUMIFS(PARÂMETROS!$E$8:$E$907,PARÂMETROS!$A$8:$A$907,C1175,PARÂMETROS!$G$8:$G$907,J1175))</f>
        <v>7.4539737282548049E-2</v>
      </c>
      <c r="E1175" s="24">
        <f>SUMIFS(SETORES!$D:$D,SETORES!$A:$A,A1175,SETORES!$F:$F,J1175)</f>
        <v>45094.18</v>
      </c>
      <c r="F1175" s="24">
        <f t="shared" si="66"/>
        <v>3361.3083301719325</v>
      </c>
      <c r="G1175" s="23">
        <f>SUMIFS(PARÂMETROS!$F$8:$F$907,PARÂMETROS!$A$8:$A$907,C1175,PARÂMETROS!$G$8:$G$907,J1175)</f>
        <v>0</v>
      </c>
      <c r="H1175" s="24">
        <f t="shared" si="67"/>
        <v>0</v>
      </c>
      <c r="I1175" s="24">
        <f t="shared" si="68"/>
        <v>3361.3083301719325</v>
      </c>
      <c r="J1175" t="s">
        <v>88</v>
      </c>
    </row>
    <row r="1176" spans="1:10" ht="14.25" customHeight="1" x14ac:dyDescent="0.3">
      <c r="A1176" t="s">
        <v>86</v>
      </c>
      <c r="B1176" t="str">
        <f>INDEX(SETORES!$B:$B,MATCH(A1176,SETORES!$A:$A,0))</f>
        <v>Clientes</v>
      </c>
      <c r="C1176" t="s">
        <v>14</v>
      </c>
      <c r="D1176" s="23">
        <f>IF(B1176="Clientes",SUMIFS(PARÂMETROS!$D$8:$D$907,PARÂMETROS!$A$8:$A$907,C1176,PARÂMETROS!$G$8:$G$907,J1176),SUMIFS(PARÂMETROS!$E$8:$E$907,PARÂMETROS!$A$8:$A$907,C1176,PARÂMETROS!$G$8:$G$907,J1176))</f>
        <v>1.8943044073642036E-2</v>
      </c>
      <c r="E1176" s="24">
        <f>SUMIFS(SETORES!$D:$D,SETORES!$A:$A,A1176,SETORES!$F:$F,J1176)</f>
        <v>45094.18</v>
      </c>
      <c r="F1176" s="24">
        <f t="shared" si="66"/>
        <v>854.22103920474729</v>
      </c>
      <c r="G1176" s="23">
        <f>SUMIFS(PARÂMETROS!$F$8:$F$907,PARÂMETROS!$A$8:$A$907,C1176,PARÂMETROS!$G$8:$G$907,J1176)</f>
        <v>0</v>
      </c>
      <c r="H1176" s="24">
        <f t="shared" si="67"/>
        <v>0</v>
      </c>
      <c r="I1176" s="24">
        <f t="shared" si="68"/>
        <v>854.22103920474729</v>
      </c>
      <c r="J1176" t="s">
        <v>88</v>
      </c>
    </row>
    <row r="1177" spans="1:10" ht="14.25" customHeight="1" x14ac:dyDescent="0.3">
      <c r="A1177" t="s">
        <v>86</v>
      </c>
      <c r="B1177" t="str">
        <f>INDEX(SETORES!$B:$B,MATCH(A1177,SETORES!$A:$A,0))</f>
        <v>Clientes</v>
      </c>
      <c r="C1177" t="s">
        <v>15</v>
      </c>
      <c r="D1177" s="23">
        <f>IF(B1177="Clientes",SUMIFS(PARÂMETROS!$D$8:$D$907,PARÂMETROS!$A$8:$A$907,C1177,PARÂMETROS!$G$8:$G$907,J1177),SUMIFS(PARÂMETROS!$E$8:$E$907,PARÂMETROS!$A$8:$A$907,C1177,PARÂMETROS!$G$8:$G$907,J1177))</f>
        <v>3.3478723943804842E-2</v>
      </c>
      <c r="E1177" s="24">
        <f>SUMIFS(SETORES!$D:$D,SETORES!$A:$A,A1177,SETORES!$F:$F,J1177)</f>
        <v>45094.18</v>
      </c>
      <c r="F1177" s="24">
        <f t="shared" si="66"/>
        <v>1509.6956036922454</v>
      </c>
      <c r="G1177" s="23">
        <f>SUMIFS(PARÂMETROS!$F$8:$F$907,PARÂMETROS!$A$8:$A$907,C1177,PARÂMETROS!$G$8:$G$907,J1177)</f>
        <v>0</v>
      </c>
      <c r="H1177" s="24">
        <f t="shared" si="67"/>
        <v>0</v>
      </c>
      <c r="I1177" s="24">
        <f t="shared" si="68"/>
        <v>1509.6956036922454</v>
      </c>
      <c r="J1177" t="s">
        <v>88</v>
      </c>
    </row>
    <row r="1178" spans="1:10" ht="14.25" customHeight="1" x14ac:dyDescent="0.3">
      <c r="A1178" t="s">
        <v>86</v>
      </c>
      <c r="B1178" t="str">
        <f>INDEX(SETORES!$B:$B,MATCH(A1178,SETORES!$A:$A,0))</f>
        <v>Clientes</v>
      </c>
      <c r="C1178" t="s">
        <v>16</v>
      </c>
      <c r="D1178" s="23">
        <f>IF(B1178="Clientes",SUMIFS(PARÂMETROS!$D$8:$D$907,PARÂMETROS!$A$8:$A$907,C1178,PARÂMETROS!$G$8:$G$907,J1178),SUMIFS(PARÂMETROS!$E$8:$E$907,PARÂMETROS!$A$8:$A$907,C1178,PARÂMETROS!$G$8:$G$907,J1178))</f>
        <v>2.4288684891210631E-2</v>
      </c>
      <c r="E1178" s="24">
        <f>SUMIFS(SETORES!$D:$D,SETORES!$A:$A,A1178,SETORES!$F:$F,J1178)</f>
        <v>45094.18</v>
      </c>
      <c r="F1178" s="24">
        <f t="shared" si="66"/>
        <v>1095.2783284475327</v>
      </c>
      <c r="G1178" s="23">
        <f>SUMIFS(PARÂMETROS!$F$8:$F$907,PARÂMETROS!$A$8:$A$907,C1178,PARÂMETROS!$G$8:$G$907,J1178)</f>
        <v>0</v>
      </c>
      <c r="H1178" s="24">
        <f t="shared" si="67"/>
        <v>0</v>
      </c>
      <c r="I1178" s="24">
        <f t="shared" si="68"/>
        <v>1095.2783284475327</v>
      </c>
      <c r="J1178" t="s">
        <v>88</v>
      </c>
    </row>
    <row r="1179" spans="1:10" ht="14.25" customHeight="1" x14ac:dyDescent="0.3">
      <c r="A1179" t="s">
        <v>86</v>
      </c>
      <c r="B1179" t="str">
        <f>INDEX(SETORES!$B:$B,MATCH(A1179,SETORES!$A:$A,0))</f>
        <v>Clientes</v>
      </c>
      <c r="C1179" t="s">
        <v>17</v>
      </c>
      <c r="D1179" s="23">
        <f>IF(B1179="Clientes",SUMIFS(PARÂMETROS!$D$8:$D$907,PARÂMETROS!$A$8:$A$907,C1179,PARÂMETROS!$G$8:$G$907,J1179),SUMIFS(PARÂMETROS!$E$8:$E$907,PARÂMETROS!$A$8:$A$907,C1179,PARÂMETROS!$G$8:$G$907,J1179))</f>
        <v>2.4324187249581578E-2</v>
      </c>
      <c r="E1179" s="24">
        <f>SUMIFS(SETORES!$D:$D,SETORES!$A:$A,A1179,SETORES!$F:$F,J1179)</f>
        <v>45094.18</v>
      </c>
      <c r="F1179" s="24">
        <f t="shared" si="66"/>
        <v>1096.8792781863367</v>
      </c>
      <c r="G1179" s="23">
        <f>SUMIFS(PARÂMETROS!$F$8:$F$907,PARÂMETROS!$A$8:$A$907,C1179,PARÂMETROS!$G$8:$G$907,J1179)</f>
        <v>0</v>
      </c>
      <c r="H1179" s="24">
        <f t="shared" si="67"/>
        <v>0</v>
      </c>
      <c r="I1179" s="24">
        <f t="shared" si="68"/>
        <v>1096.8792781863367</v>
      </c>
      <c r="J1179" t="s">
        <v>88</v>
      </c>
    </row>
    <row r="1180" spans="1:10" ht="14.25" customHeight="1" x14ac:dyDescent="0.3">
      <c r="A1180" t="s">
        <v>86</v>
      </c>
      <c r="B1180" t="str">
        <f>INDEX(SETORES!$B:$B,MATCH(A1180,SETORES!$A:$A,0))</f>
        <v>Clientes</v>
      </c>
      <c r="C1180" t="s">
        <v>18</v>
      </c>
      <c r="D1180" s="23">
        <f>IF(B1180="Clientes",SUMIFS(PARÂMETROS!$D$8:$D$907,PARÂMETROS!$A$8:$A$907,C1180,PARÂMETROS!$G$8:$G$907,J1180),SUMIFS(PARÂMETROS!$E$8:$E$907,PARÂMETROS!$A$8:$A$907,C1180,PARÂMETROS!$G$8:$G$907,J1180))</f>
        <v>0.7221940457473246</v>
      </c>
      <c r="E1180" s="24">
        <f>SUMIFS(SETORES!$D:$D,SETORES!$A:$A,A1180,SETORES!$F:$F,J1180)</f>
        <v>45094.18</v>
      </c>
      <c r="F1180" s="24">
        <f t="shared" ref="F1180:F1188" si="69">IFERROR(D1180*E1180,0)</f>
        <v>32566.748293858091</v>
      </c>
      <c r="G1180" s="23">
        <f>SUMIFS(PARÂMETROS!$F$8:$F$907,PARÂMETROS!$A$8:$A$907,C1180,PARÂMETROS!$G$8:$G$907,J1180)</f>
        <v>0</v>
      </c>
      <c r="H1180" s="24">
        <f t="shared" si="67"/>
        <v>0</v>
      </c>
      <c r="I1180" s="24">
        <f t="shared" si="68"/>
        <v>32566.748293858091</v>
      </c>
      <c r="J1180" t="s">
        <v>88</v>
      </c>
    </row>
    <row r="1181" spans="1:10" ht="14.25" customHeight="1" x14ac:dyDescent="0.3">
      <c r="A1181" t="s">
        <v>87</v>
      </c>
      <c r="B1181" t="str">
        <f>INDEX(SETORES!$B:$B,MATCH(A1181,SETORES!$A:$A,0))</f>
        <v>Clientes</v>
      </c>
      <c r="C1181" t="s">
        <v>10</v>
      </c>
      <c r="D1181" s="23">
        <f>IF(B1181="Clientes",SUMIFS(PARÂMETROS!$D$8:$D$907,PARÂMETROS!$A$8:$A$907,C1181,PARÂMETROS!$G$8:$G$907,J1181),SUMIFS(PARÂMETROS!$E$8:$E$907,PARÂMETROS!$A$8:$A$907,C1181,PARÂMETROS!$G$8:$G$907,J1181))</f>
        <v>3.3712025155956789E-2</v>
      </c>
      <c r="E1181" s="24">
        <f>SUMIFS(SETORES!$D:$D,SETORES!$A:$A,A1181,SETORES!$F:$F,J1181)</f>
        <v>36841.599999999991</v>
      </c>
      <c r="F1181" s="24">
        <f t="shared" si="69"/>
        <v>1242.0049459856973</v>
      </c>
      <c r="G1181" s="23">
        <f>SUMIFS(PARÂMETROS!$F$8:$F$907,PARÂMETROS!$A$8:$A$907,C1181,PARÂMETROS!$G$8:$G$907,J1181)</f>
        <v>0</v>
      </c>
      <c r="H1181" s="24">
        <f t="shared" si="67"/>
        <v>0</v>
      </c>
      <c r="I1181" s="24">
        <f t="shared" si="68"/>
        <v>1242.0049459856973</v>
      </c>
      <c r="J1181" t="s">
        <v>88</v>
      </c>
    </row>
    <row r="1182" spans="1:10" ht="14.25" customHeight="1" x14ac:dyDescent="0.3">
      <c r="A1182" t="s">
        <v>87</v>
      </c>
      <c r="B1182" t="str">
        <f>INDEX(SETORES!$B:$B,MATCH(A1182,SETORES!$A:$A,0))</f>
        <v>Clientes</v>
      </c>
      <c r="C1182" t="s">
        <v>12</v>
      </c>
      <c r="D1182" s="23">
        <f>IF(B1182="Clientes",SUMIFS(PARÂMETROS!$D$8:$D$907,PARÂMETROS!$A$8:$A$907,C1182,PARÂMETROS!$G$8:$G$907,J1182),SUMIFS(PARÂMETROS!$E$8:$E$907,PARÂMETROS!$A$8:$A$907,C1182,PARÂMETROS!$G$8:$G$907,J1182))</f>
        <v>6.8519551655931432E-2</v>
      </c>
      <c r="E1182" s="24">
        <f>SUMIFS(SETORES!$D:$D,SETORES!$A:$A,A1182,SETORES!$F:$F,J1182)</f>
        <v>36841.599999999991</v>
      </c>
      <c r="F1182" s="24">
        <f t="shared" si="69"/>
        <v>2524.3699142871628</v>
      </c>
      <c r="G1182" s="23">
        <f>SUMIFS(PARÂMETROS!$F$8:$F$907,PARÂMETROS!$A$8:$A$907,C1182,PARÂMETROS!$G$8:$G$907,J1182)</f>
        <v>0</v>
      </c>
      <c r="H1182" s="24">
        <f t="shared" si="67"/>
        <v>0</v>
      </c>
      <c r="I1182" s="24">
        <f t="shared" si="68"/>
        <v>2524.3699142871628</v>
      </c>
      <c r="J1182" t="s">
        <v>88</v>
      </c>
    </row>
    <row r="1183" spans="1:10" ht="14.25" customHeight="1" x14ac:dyDescent="0.3">
      <c r="A1183" t="s">
        <v>87</v>
      </c>
      <c r="B1183" t="str">
        <f>INDEX(SETORES!$B:$B,MATCH(A1183,SETORES!$A:$A,0))</f>
        <v>Clientes</v>
      </c>
      <c r="C1183" t="s">
        <v>13</v>
      </c>
      <c r="D1183" s="23">
        <f>IF(B1183="Clientes",SUMIFS(PARÂMETROS!$D$8:$D$907,PARÂMETROS!$A$8:$A$907,C1183,PARÂMETROS!$G$8:$G$907,J1183),SUMIFS(PARÂMETROS!$E$8:$E$907,PARÂMETROS!$A$8:$A$907,C1183,PARÂMETROS!$G$8:$G$907,J1183))</f>
        <v>7.4539737282548049E-2</v>
      </c>
      <c r="E1183" s="24">
        <f>SUMIFS(SETORES!$D:$D,SETORES!$A:$A,A1183,SETORES!$F:$F,J1183)</f>
        <v>36841.599999999991</v>
      </c>
      <c r="F1183" s="24">
        <f t="shared" si="69"/>
        <v>2746.1631850687218</v>
      </c>
      <c r="G1183" s="23">
        <f>SUMIFS(PARÂMETROS!$F$8:$F$907,PARÂMETROS!$A$8:$A$907,C1183,PARÂMETROS!$G$8:$G$907,J1183)</f>
        <v>0</v>
      </c>
      <c r="H1183" s="24">
        <f t="shared" si="67"/>
        <v>0</v>
      </c>
      <c r="I1183" s="24">
        <f t="shared" si="68"/>
        <v>2746.1631850687218</v>
      </c>
      <c r="J1183" t="s">
        <v>88</v>
      </c>
    </row>
    <row r="1184" spans="1:10" ht="14.25" customHeight="1" x14ac:dyDescent="0.3">
      <c r="A1184" t="s">
        <v>87</v>
      </c>
      <c r="B1184" t="str">
        <f>INDEX(SETORES!$B:$B,MATCH(A1184,SETORES!$A:$A,0))</f>
        <v>Clientes</v>
      </c>
      <c r="C1184" t="s">
        <v>14</v>
      </c>
      <c r="D1184" s="23">
        <f>IF(B1184="Clientes",SUMIFS(PARÂMETROS!$D$8:$D$907,PARÂMETROS!$A$8:$A$907,C1184,PARÂMETROS!$G$8:$G$907,J1184),SUMIFS(PARÂMETROS!$E$8:$E$907,PARÂMETROS!$A$8:$A$907,C1184,PARÂMETROS!$G$8:$G$907,J1184))</f>
        <v>1.8943044073642036E-2</v>
      </c>
      <c r="E1184" s="24">
        <f>SUMIFS(SETORES!$D:$D,SETORES!$A:$A,A1184,SETORES!$F:$F,J1184)</f>
        <v>36841.599999999991</v>
      </c>
      <c r="F1184" s="24">
        <f t="shared" si="69"/>
        <v>697.89205254349031</v>
      </c>
      <c r="G1184" s="23">
        <f>SUMIFS(PARÂMETROS!$F$8:$F$907,PARÂMETROS!$A$8:$A$907,C1184,PARÂMETROS!$G$8:$G$907,J1184)</f>
        <v>0</v>
      </c>
      <c r="H1184" s="24">
        <f t="shared" si="67"/>
        <v>0</v>
      </c>
      <c r="I1184" s="24">
        <f t="shared" si="68"/>
        <v>697.89205254349031</v>
      </c>
      <c r="J1184" t="s">
        <v>88</v>
      </c>
    </row>
    <row r="1185" spans="1:10" ht="14.25" customHeight="1" x14ac:dyDescent="0.3">
      <c r="A1185" t="s">
        <v>87</v>
      </c>
      <c r="B1185" t="str">
        <f>INDEX(SETORES!$B:$B,MATCH(A1185,SETORES!$A:$A,0))</f>
        <v>Clientes</v>
      </c>
      <c r="C1185" t="s">
        <v>15</v>
      </c>
      <c r="D1185" s="23">
        <f>IF(B1185="Clientes",SUMIFS(PARÂMETROS!$D$8:$D$907,PARÂMETROS!$A$8:$A$907,C1185,PARÂMETROS!$G$8:$G$907,J1185),SUMIFS(PARÂMETROS!$E$8:$E$907,PARÂMETROS!$A$8:$A$907,C1185,PARÂMETROS!$G$8:$G$907,J1185))</f>
        <v>3.3478723943804842E-2</v>
      </c>
      <c r="E1185" s="24">
        <f>SUMIFS(SETORES!$D:$D,SETORES!$A:$A,A1185,SETORES!$F:$F,J1185)</f>
        <v>36841.599999999991</v>
      </c>
      <c r="F1185" s="24">
        <f t="shared" si="69"/>
        <v>1233.4097560480802</v>
      </c>
      <c r="G1185" s="23">
        <f>SUMIFS(PARÂMETROS!$F$8:$F$907,PARÂMETROS!$A$8:$A$907,C1185,PARÂMETROS!$G$8:$G$907,J1185)</f>
        <v>0</v>
      </c>
      <c r="H1185" s="24">
        <f t="shared" si="67"/>
        <v>0</v>
      </c>
      <c r="I1185" s="24">
        <f t="shared" si="68"/>
        <v>1233.4097560480802</v>
      </c>
      <c r="J1185" t="s">
        <v>88</v>
      </c>
    </row>
    <row r="1186" spans="1:10" ht="14.25" customHeight="1" x14ac:dyDescent="0.3">
      <c r="A1186" t="s">
        <v>87</v>
      </c>
      <c r="B1186" t="str">
        <f>INDEX(SETORES!$B:$B,MATCH(A1186,SETORES!$A:$A,0))</f>
        <v>Clientes</v>
      </c>
      <c r="C1186" t="s">
        <v>16</v>
      </c>
      <c r="D1186" s="23">
        <f>IF(B1186="Clientes",SUMIFS(PARÂMETROS!$D$8:$D$907,PARÂMETROS!$A$8:$A$907,C1186,PARÂMETROS!$G$8:$G$907,J1186),SUMIFS(PARÂMETROS!$E$8:$E$907,PARÂMETROS!$A$8:$A$907,C1186,PARÂMETROS!$G$8:$G$907,J1186))</f>
        <v>2.4288684891210631E-2</v>
      </c>
      <c r="E1186" s="24">
        <f>SUMIFS(SETORES!$D:$D,SETORES!$A:$A,A1186,SETORES!$F:$F,J1186)</f>
        <v>36841.599999999991</v>
      </c>
      <c r="F1186" s="24">
        <f t="shared" si="69"/>
        <v>894.8340132880254</v>
      </c>
      <c r="G1186" s="23">
        <f>SUMIFS(PARÂMETROS!$F$8:$F$907,PARÂMETROS!$A$8:$A$907,C1186,PARÂMETROS!$G$8:$G$907,J1186)</f>
        <v>0</v>
      </c>
      <c r="H1186" s="24">
        <f t="shared" si="67"/>
        <v>0</v>
      </c>
      <c r="I1186" s="24">
        <f t="shared" si="68"/>
        <v>894.8340132880254</v>
      </c>
      <c r="J1186" t="s">
        <v>88</v>
      </c>
    </row>
    <row r="1187" spans="1:10" ht="14.25" customHeight="1" x14ac:dyDescent="0.3">
      <c r="A1187" t="s">
        <v>87</v>
      </c>
      <c r="B1187" t="str">
        <f>INDEX(SETORES!$B:$B,MATCH(A1187,SETORES!$A:$A,0))</f>
        <v>Clientes</v>
      </c>
      <c r="C1187" t="s">
        <v>17</v>
      </c>
      <c r="D1187" s="23">
        <f>IF(B1187="Clientes",SUMIFS(PARÂMETROS!$D$8:$D$907,PARÂMETROS!$A$8:$A$907,C1187,PARÂMETROS!$G$8:$G$907,J1187),SUMIFS(PARÂMETROS!$E$8:$E$907,PARÂMETROS!$A$8:$A$907,C1187,PARÂMETROS!$G$8:$G$907,J1187))</f>
        <v>2.4324187249581578E-2</v>
      </c>
      <c r="E1187" s="24">
        <f>SUMIFS(SETORES!$D:$D,SETORES!$A:$A,A1187,SETORES!$F:$F,J1187)</f>
        <v>36841.599999999991</v>
      </c>
      <c r="F1187" s="24">
        <f t="shared" si="69"/>
        <v>896.14197697418444</v>
      </c>
      <c r="G1187" s="23">
        <f>SUMIFS(PARÂMETROS!$F$8:$F$907,PARÂMETROS!$A$8:$A$907,C1187,PARÂMETROS!$G$8:$G$907,J1187)</f>
        <v>0</v>
      </c>
      <c r="H1187" s="24">
        <f t="shared" si="67"/>
        <v>0</v>
      </c>
      <c r="I1187" s="24">
        <f t="shared" si="68"/>
        <v>896.14197697418444</v>
      </c>
      <c r="J1187" t="s">
        <v>88</v>
      </c>
    </row>
    <row r="1188" spans="1:10" ht="14.25" customHeight="1" x14ac:dyDescent="0.3">
      <c r="A1188" t="s">
        <v>87</v>
      </c>
      <c r="B1188" t="str">
        <f>INDEX(SETORES!$B:$B,MATCH(A1188,SETORES!$A:$A,0))</f>
        <v>Clientes</v>
      </c>
      <c r="C1188" t="s">
        <v>18</v>
      </c>
      <c r="D1188" s="23">
        <f>IF(B1188="Clientes",SUMIFS(PARÂMETROS!$D$8:$D$907,PARÂMETROS!$A$8:$A$907,C1188,PARÂMETROS!$G$8:$G$907,J1188),SUMIFS(PARÂMETROS!$E$8:$E$907,PARÂMETROS!$A$8:$A$907,C1188,PARÂMETROS!$G$8:$G$907,J1188))</f>
        <v>0.7221940457473246</v>
      </c>
      <c r="E1188" s="24">
        <f>SUMIFS(SETORES!$D:$D,SETORES!$A:$A,A1188,SETORES!$F:$F,J1188)</f>
        <v>36841.599999999991</v>
      </c>
      <c r="F1188" s="24">
        <f t="shared" si="69"/>
        <v>26606.784155804628</v>
      </c>
      <c r="G1188" s="23">
        <f>SUMIFS(PARÂMETROS!$F$8:$F$907,PARÂMETROS!$A$8:$A$907,C1188,PARÂMETROS!$G$8:$G$907,J1188)</f>
        <v>0</v>
      </c>
      <c r="H1188" s="24">
        <f t="shared" si="67"/>
        <v>0</v>
      </c>
      <c r="I1188" s="24">
        <f t="shared" si="68"/>
        <v>26606.784155804628</v>
      </c>
      <c r="J1188" t="s">
        <v>88</v>
      </c>
    </row>
  </sheetData>
  <autoFilter ref="A38:J638" xr:uid="{00000000-0009-0000-0000-000000000000}">
    <filterColumn colId="2">
      <filters>
        <filter val="Empresa Licenciada SOARES E LINS"/>
      </filters>
    </filterColumn>
  </autoFilter>
  <mergeCells count="16">
    <mergeCell ref="A658:G658"/>
    <mergeCell ref="A653:G653"/>
    <mergeCell ref="A654:G654"/>
    <mergeCell ref="A655:G655"/>
    <mergeCell ref="A656:G656"/>
    <mergeCell ref="A657:G657"/>
    <mergeCell ref="A648:G648"/>
    <mergeCell ref="A649:G649"/>
    <mergeCell ref="A650:G650"/>
    <mergeCell ref="A651:G651"/>
    <mergeCell ref="A652:G652"/>
    <mergeCell ref="A1:G1"/>
    <mergeCell ref="A5:G5"/>
    <mergeCell ref="A35:F35"/>
    <mergeCell ref="A36:I36"/>
    <mergeCell ref="A647:G64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9"/>
  <sheetViews>
    <sheetView showGridLines="0" zoomScaleNormal="100" workbookViewId="0">
      <pane ySplit="4" topLeftCell="A5" activePane="bottomLeft" state="frozen"/>
      <selection pane="bottomLeft" activeCell="C29" sqref="C29"/>
    </sheetView>
  </sheetViews>
  <sheetFormatPr defaultColWidth="8.6640625" defaultRowHeight="14.4" x14ac:dyDescent="0.3"/>
  <cols>
    <col min="1" max="1" width="24.33203125" customWidth="1"/>
    <col min="2" max="2" width="16" customWidth="1"/>
    <col min="3" max="3" width="55" customWidth="1"/>
    <col min="4" max="4" width="20" customWidth="1"/>
    <col min="5" max="5" width="18" customWidth="1"/>
    <col min="6" max="6" width="13" customWidth="1"/>
    <col min="7" max="7" width="22" customWidth="1"/>
  </cols>
  <sheetData>
    <row r="1" spans="1:7" ht="25.5" customHeight="1" x14ac:dyDescent="0.3">
      <c r="A1" s="50" t="s">
        <v>89</v>
      </c>
      <c r="B1" s="50"/>
      <c r="C1" s="50"/>
      <c r="D1" s="50"/>
      <c r="E1" s="50"/>
    </row>
    <row r="2" spans="1:7" ht="15" customHeight="1" x14ac:dyDescent="0.3">
      <c r="A2" s="51" t="s">
        <v>90</v>
      </c>
      <c r="B2" s="51"/>
      <c r="C2" s="51"/>
      <c r="D2" s="51"/>
      <c r="E2" s="51"/>
      <c r="F2" s="51"/>
      <c r="G2" s="51"/>
    </row>
    <row r="4" spans="1:7" ht="27.75" customHeight="1" x14ac:dyDescent="0.3">
      <c r="A4" s="6" t="s">
        <v>24</v>
      </c>
      <c r="B4" s="6" t="s">
        <v>91</v>
      </c>
      <c r="C4" s="6" t="s">
        <v>92</v>
      </c>
      <c r="D4" s="6" t="s">
        <v>93</v>
      </c>
      <c r="E4" s="6" t="s">
        <v>94</v>
      </c>
      <c r="F4" s="6" t="s">
        <v>9</v>
      </c>
      <c r="G4" s="6" t="s">
        <v>95</v>
      </c>
    </row>
    <row r="5" spans="1:7" ht="15" customHeight="1" x14ac:dyDescent="0.3">
      <c r="A5" s="25"/>
      <c r="B5" s="26"/>
      <c r="C5" s="27"/>
      <c r="D5" s="28">
        <f>SUMIFS('CUSTOS MENSAIS'!$F:$F,'CUSTOS MENSAIS'!$A:$A,A5,'CUSTOS MENSAIS'!$H:$H,F5)</f>
        <v>0</v>
      </c>
      <c r="E5" s="28">
        <f>IFERROR(D5/IF(B5="Clientes",SUMIFS(PARÂMETROS!$B$8:$B$907,PARÂMETROS!$G$8:$G$907,F5),SUMIFS(PARÂMETROS!$C$8:$C$907,PARÂMETROS!$G$8:$G$907,F5)),0)</f>
        <v>0</v>
      </c>
      <c r="F5" s="11"/>
      <c r="G5" s="29">
        <f>IF(B5="Clientes",SUMIFS(PARÂMETROS!$B$8:$B$907,PARÂMETROS!$G$8:$G$907,F5),SUMIFS(PARÂMETROS!$C$8:$C$907,PARÂMETROS!$G$8:$G$907,F5))</f>
        <v>0</v>
      </c>
    </row>
    <row r="6" spans="1:7" ht="15" customHeight="1" x14ac:dyDescent="0.3">
      <c r="A6" s="25" t="s">
        <v>31</v>
      </c>
      <c r="B6" s="26" t="s">
        <v>96</v>
      </c>
      <c r="C6" s="27" t="s">
        <v>97</v>
      </c>
      <c r="D6" s="20">
        <f>SUMIFS('CUSTOS MENSAIS'!$F:$F,'CUSTOS MENSAIS'!$A:$A,A6,'CUSTOS MENSAIS'!$H:$H,F6)</f>
        <v>48782.85319999999</v>
      </c>
      <c r="E6" s="20">
        <f>IFERROR(D6/IF(B6="Clientes",SUMIFS(PARÂMETROS!$B$8:$B$907,PARÂMETROS!$G$8:$G$907,F6),SUMIFS(PARÂMETROS!$C$8:$C$907,PARÂMETROS!$G$8:$G$907,F6)),0)</f>
        <v>0.25497108719626604</v>
      </c>
      <c r="F6" s="11" t="s">
        <v>20</v>
      </c>
      <c r="G6" s="29">
        <f>IF(B6="Clientes",SUMIFS(PARÂMETROS!$B$8:$B$907,PARÂMETROS!$G$8:$G$907,F6),SUMIFS(PARÂMETROS!$C$8:$C$907,PARÂMETROS!$G$8:$G$907,F6))</f>
        <v>191327</v>
      </c>
    </row>
    <row r="7" spans="1:7" ht="15" customHeight="1" x14ac:dyDescent="0.3">
      <c r="A7" s="25" t="s">
        <v>32</v>
      </c>
      <c r="B7" s="26" t="s">
        <v>98</v>
      </c>
      <c r="C7" s="27" t="s">
        <v>99</v>
      </c>
      <c r="D7" s="20">
        <f>SUMIFS('CUSTOS MENSAIS'!$F:$F,'CUSTOS MENSAIS'!$A:$A,A7,'CUSTOS MENSAIS'!$H:$H,F7)</f>
        <v>30023.397644000001</v>
      </c>
      <c r="E7" s="20">
        <f>IFERROR(D7/IF(B7="Clientes",SUMIFS(PARÂMETROS!$B$8:$B$907,PARÂMETROS!$G$8:$G$907,F7),SUMIFS(PARÂMETROS!$C$8:$C$907,PARÂMETROS!$G$8:$G$907,F7)),0)</f>
        <v>28.512248474833807</v>
      </c>
      <c r="F7" s="11" t="s">
        <v>20</v>
      </c>
      <c r="G7" s="29">
        <f>IF(B7="Clientes",SUMIFS(PARÂMETROS!$B$8:$B$907,PARÂMETROS!$G$8:$G$907,F7),SUMIFS(PARÂMETROS!$C$8:$C$907,PARÂMETROS!$G$8:$G$907,F7))</f>
        <v>1053</v>
      </c>
    </row>
    <row r="8" spans="1:7" ht="15" customHeight="1" x14ac:dyDescent="0.3">
      <c r="A8" s="25" t="s">
        <v>33</v>
      </c>
      <c r="B8" s="26" t="s">
        <v>98</v>
      </c>
      <c r="C8" s="27" t="s">
        <v>100</v>
      </c>
      <c r="D8" s="20">
        <f>SUMIFS('CUSTOS MENSAIS'!$F:$F,'CUSTOS MENSAIS'!$A:$A,A8,'CUSTOS MENSAIS'!$H:$H,F8)</f>
        <v>49826.445899999999</v>
      </c>
      <c r="E8" s="20">
        <f>IFERROR(D8/IF(B8="Clientes",SUMIFS(PARÂMETROS!$B$8:$B$907,PARÂMETROS!$G$8:$G$907,F8),SUMIFS(PARÂMETROS!$C$8:$C$907,PARÂMETROS!$G$8:$G$907,F8)),0)</f>
        <v>47.318562108262107</v>
      </c>
      <c r="F8" s="11" t="s">
        <v>20</v>
      </c>
      <c r="G8" s="29">
        <f>IF(B8="Clientes",SUMIFS(PARÂMETROS!$B$8:$B$907,PARÂMETROS!$G$8:$G$907,F8),SUMIFS(PARÂMETROS!$C$8:$C$907,PARÂMETROS!$G$8:$G$907,F8))</f>
        <v>1053</v>
      </c>
    </row>
    <row r="9" spans="1:7" ht="15" customHeight="1" x14ac:dyDescent="0.3">
      <c r="A9" s="25" t="s">
        <v>34</v>
      </c>
      <c r="B9" s="26" t="s">
        <v>96</v>
      </c>
      <c r="C9" s="27" t="s">
        <v>101</v>
      </c>
      <c r="D9" s="20">
        <f>SUMIFS('CUSTOS MENSAIS'!$F:$F,'CUSTOS MENSAIS'!$A:$A,A9,'CUSTOS MENSAIS'!$H:$H,F9)</f>
        <v>20198.149555</v>
      </c>
      <c r="E9" s="20">
        <f>IFERROR(D9/IF(B9="Clientes",SUMIFS(PARÂMETROS!$B$8:$B$907,PARÂMETROS!$G$8:$G$907,F9),SUMIFS(PARÂMETROS!$C$8:$C$907,PARÂMETROS!$G$8:$G$907,F9)),0)</f>
        <v>0.10556873601216765</v>
      </c>
      <c r="F9" s="11" t="s">
        <v>20</v>
      </c>
      <c r="G9" s="29">
        <f>IF(B9="Clientes",SUMIFS(PARÂMETROS!$B$8:$B$907,PARÂMETROS!$G$8:$G$907,F9),SUMIFS(PARÂMETROS!$C$8:$C$907,PARÂMETROS!$G$8:$G$907,F9))</f>
        <v>191327</v>
      </c>
    </row>
    <row r="10" spans="1:7" ht="15" customHeight="1" x14ac:dyDescent="0.3">
      <c r="A10" s="25" t="s">
        <v>35</v>
      </c>
      <c r="B10" s="26" t="s">
        <v>96</v>
      </c>
      <c r="C10" s="27" t="s">
        <v>102</v>
      </c>
      <c r="D10" s="20">
        <f>SUMIFS('CUSTOS MENSAIS'!$F:$F,'CUSTOS MENSAIS'!$A:$A,A10,'CUSTOS MENSAIS'!$H:$H,F10)</f>
        <v>16366.8932</v>
      </c>
      <c r="E10" s="20">
        <f>IFERROR(D10/IF(B10="Clientes",SUMIFS(PARÂMETROS!$B$8:$B$907,PARÂMETROS!$G$8:$G$907,F10),SUMIFS(PARÂMETROS!$C$8:$C$907,PARÂMETROS!$G$8:$G$907,F10)),0)</f>
        <v>8.5544085257177507E-2</v>
      </c>
      <c r="F10" s="11" t="s">
        <v>20</v>
      </c>
      <c r="G10" s="29">
        <f>IF(B10="Clientes",SUMIFS(PARÂMETROS!$B$8:$B$907,PARÂMETROS!$G$8:$G$907,F10),SUMIFS(PARÂMETROS!$C$8:$C$907,PARÂMETROS!$G$8:$G$907,F10))</f>
        <v>191327</v>
      </c>
    </row>
    <row r="11" spans="1:7" ht="15" customHeight="1" x14ac:dyDescent="0.3">
      <c r="A11" s="25" t="s">
        <v>36</v>
      </c>
      <c r="B11" s="26" t="s">
        <v>96</v>
      </c>
      <c r="C11" s="27" t="s">
        <v>103</v>
      </c>
      <c r="D11" s="20">
        <f>SUMIFS('CUSTOS MENSAIS'!$F:$F,'CUSTOS MENSAIS'!$A:$A,A11,'CUSTOS MENSAIS'!$H:$H,F11)</f>
        <v>71467.005599999989</v>
      </c>
      <c r="E11" s="20">
        <f>IFERROR(D11/IF(B11="Clientes",SUMIFS(PARÂMETROS!$B$8:$B$907,PARÂMETROS!$G$8:$G$907,F11),SUMIFS(PARÂMETROS!$C$8:$C$907,PARÂMETROS!$G$8:$G$907,F11)),0)</f>
        <v>0.37353329953430509</v>
      </c>
      <c r="F11" s="11" t="s">
        <v>20</v>
      </c>
      <c r="G11" s="29">
        <f>IF(B11="Clientes",SUMIFS(PARÂMETROS!$B$8:$B$907,PARÂMETROS!$G$8:$G$907,F11),SUMIFS(PARÂMETROS!$C$8:$C$907,PARÂMETROS!$G$8:$G$907,F11))</f>
        <v>191327</v>
      </c>
    </row>
    <row r="12" spans="1:7" ht="15" customHeight="1" x14ac:dyDescent="0.3">
      <c r="A12" s="25" t="s">
        <v>37</v>
      </c>
      <c r="B12" s="26" t="s">
        <v>96</v>
      </c>
      <c r="C12" s="27" t="s">
        <v>104</v>
      </c>
      <c r="D12" s="20">
        <f>SUMIFS('CUSTOS MENSAIS'!$F:$F,'CUSTOS MENSAIS'!$A:$A,A12,'CUSTOS MENSAIS'!$H:$H,F12)</f>
        <v>153380.796264</v>
      </c>
      <c r="E12" s="20">
        <f>IFERROR(D12/IF(B12="Clientes",SUMIFS(PARÂMETROS!$B$8:$B$907,PARÂMETROS!$G$8:$G$907,F12),SUMIFS(PARÂMETROS!$C$8:$C$907,PARÂMETROS!$G$8:$G$907,F12)),0)</f>
        <v>0.80166832838020774</v>
      </c>
      <c r="F12" s="11" t="s">
        <v>20</v>
      </c>
      <c r="G12" s="29">
        <f>IF(B12="Clientes",SUMIFS(PARÂMETROS!$B$8:$B$907,PARÂMETROS!$G$8:$G$907,F12),SUMIFS(PARÂMETROS!$C$8:$C$907,PARÂMETROS!$G$8:$G$907,F12))</f>
        <v>191327</v>
      </c>
    </row>
    <row r="13" spans="1:7" ht="15" customHeight="1" x14ac:dyDescent="0.3">
      <c r="A13" s="25" t="s">
        <v>38</v>
      </c>
      <c r="B13" s="26" t="s">
        <v>96</v>
      </c>
      <c r="C13" s="27" t="s">
        <v>105</v>
      </c>
      <c r="D13" s="20">
        <f>SUMIFS('CUSTOS MENSAIS'!$F:$F,'CUSTOS MENSAIS'!$A:$A,A13,'CUSTOS MENSAIS'!$H:$H,F13)</f>
        <v>43385.321576999995</v>
      </c>
      <c r="E13" s="20">
        <f>IFERROR(D13/IF(B13="Clientes",SUMIFS(PARÂMETROS!$B$8:$B$907,PARÂMETROS!$G$8:$G$907,F13),SUMIFS(PARÂMETROS!$C$8:$C$907,PARÂMETROS!$G$8:$G$907,F13)),0)</f>
        <v>0.22676005779111152</v>
      </c>
      <c r="F13" s="11" t="s">
        <v>20</v>
      </c>
      <c r="G13" s="29">
        <f>IF(B13="Clientes",SUMIFS(PARÂMETROS!$B$8:$B$907,PARÂMETROS!$G$8:$G$907,F13),SUMIFS(PARÂMETROS!$C$8:$C$907,PARÂMETROS!$G$8:$G$907,F13))</f>
        <v>191327</v>
      </c>
    </row>
    <row r="14" spans="1:7" ht="15" customHeight="1" x14ac:dyDescent="0.3">
      <c r="A14" s="25" t="s">
        <v>39</v>
      </c>
      <c r="B14" s="26" t="s">
        <v>96</v>
      </c>
      <c r="C14" s="27" t="s">
        <v>106</v>
      </c>
      <c r="D14" s="20">
        <f>SUMIFS('CUSTOS MENSAIS'!$F:$F,'CUSTOS MENSAIS'!$A:$A,A14,'CUSTOS MENSAIS'!$H:$H,F14)</f>
        <v>37959.882963999989</v>
      </c>
      <c r="E14" s="20">
        <f>IFERROR(D14/IF(B14="Clientes",SUMIFS(PARÂMETROS!$B$8:$B$907,PARÂMETROS!$G$8:$G$907,F14),SUMIFS(PARÂMETROS!$C$8:$C$907,PARÂMETROS!$G$8:$G$907,F14)),0)</f>
        <v>0.1984031682094006</v>
      </c>
      <c r="F14" s="11" t="s">
        <v>20</v>
      </c>
      <c r="G14" s="29">
        <f>IF(B14="Clientes",SUMIFS(PARÂMETROS!$B$8:$B$907,PARÂMETROS!$G$8:$G$907,F14),SUMIFS(PARÂMETROS!$C$8:$C$907,PARÂMETROS!$G$8:$G$907,F14))</f>
        <v>191327</v>
      </c>
    </row>
    <row r="15" spans="1:7" ht="15" customHeight="1" x14ac:dyDescent="0.3">
      <c r="A15" s="25" t="s">
        <v>40</v>
      </c>
      <c r="B15" s="26" t="s">
        <v>96</v>
      </c>
      <c r="C15" s="27" t="s">
        <v>107</v>
      </c>
      <c r="D15" s="20">
        <f>SUMIFS('CUSTOS MENSAIS'!$F:$F,'CUSTOS MENSAIS'!$A:$A,A15,'CUSTOS MENSAIS'!$H:$H,F15)</f>
        <v>27353.279554999997</v>
      </c>
      <c r="E15" s="20">
        <f>IFERROR(D15/IF(B15="Clientes",SUMIFS(PARÂMETROS!$B$8:$B$907,PARÂMETROS!$G$8:$G$907,F15),SUMIFS(PARÂMETROS!$C$8:$C$907,PARÂMETROS!$G$8:$G$907,F15)),0)</f>
        <v>0.14296612373057643</v>
      </c>
      <c r="F15" s="11" t="s">
        <v>20</v>
      </c>
      <c r="G15" s="29">
        <f>IF(B15="Clientes",SUMIFS(PARÂMETROS!$B$8:$B$907,PARÂMETROS!$G$8:$G$907,F15),SUMIFS(PARÂMETROS!$C$8:$C$907,PARÂMETROS!$G$8:$G$907,F15))</f>
        <v>191327</v>
      </c>
    </row>
    <row r="16" spans="1:7" ht="15" customHeight="1" x14ac:dyDescent="0.3">
      <c r="A16" s="25" t="s">
        <v>41</v>
      </c>
      <c r="B16" s="26" t="s">
        <v>96</v>
      </c>
      <c r="C16" s="27" t="s">
        <v>108</v>
      </c>
      <c r="D16" s="20">
        <f>SUMIFS('CUSTOS MENSAIS'!$F:$F,'CUSTOS MENSAIS'!$A:$A,A16,'CUSTOS MENSAIS'!$H:$H,F16)</f>
        <v>18180.291910999997</v>
      </c>
      <c r="E16" s="20">
        <f>IFERROR(D16/IF(B16="Clientes",SUMIFS(PARÂMETROS!$B$8:$B$907,PARÂMETROS!$G$8:$G$907,F16),SUMIFS(PARÂMETROS!$C$8:$C$907,PARÂMETROS!$G$8:$G$907,F16)),0)</f>
        <v>9.5022092600626135E-2</v>
      </c>
      <c r="F16" s="11" t="s">
        <v>20</v>
      </c>
      <c r="G16" s="29">
        <f>IF(B16="Clientes",SUMIFS(PARÂMETROS!$B$8:$B$907,PARÂMETROS!$G$8:$G$907,F16),SUMIFS(PARÂMETROS!$C$8:$C$907,PARÂMETROS!$G$8:$G$907,F16))</f>
        <v>191327</v>
      </c>
    </row>
    <row r="17" spans="1:7" ht="15" customHeight="1" x14ac:dyDescent="0.3">
      <c r="A17" s="25" t="s">
        <v>42</v>
      </c>
      <c r="B17" s="26" t="s">
        <v>96</v>
      </c>
      <c r="C17" s="27" t="s">
        <v>109</v>
      </c>
      <c r="D17" s="20">
        <f>SUMIFS('CUSTOS MENSAIS'!$F:$F,'CUSTOS MENSAIS'!$A:$A,A17,'CUSTOS MENSAIS'!$H:$H,F17)</f>
        <v>27798.627199777799</v>
      </c>
      <c r="E17" s="20">
        <f>IFERROR(D17/IF(B17="Clientes",SUMIFS(PARÂMETROS!$B$8:$B$907,PARÂMETROS!$G$8:$G$907,F17),SUMIFS(PARÂMETROS!$C$8:$C$907,PARÂMETROS!$G$8:$G$907,F17)),0)</f>
        <v>0.14529380171004511</v>
      </c>
      <c r="F17" s="11" t="s">
        <v>20</v>
      </c>
      <c r="G17" s="29">
        <f>IF(B17="Clientes",SUMIFS(PARÂMETROS!$B$8:$B$907,PARÂMETROS!$G$8:$G$907,F17),SUMIFS(PARÂMETROS!$C$8:$C$907,PARÂMETROS!$G$8:$G$907,F17))</f>
        <v>191327</v>
      </c>
    </row>
    <row r="18" spans="1:7" ht="15" customHeight="1" x14ac:dyDescent="0.3">
      <c r="A18" s="25" t="s">
        <v>43</v>
      </c>
      <c r="B18" s="26" t="s">
        <v>96</v>
      </c>
      <c r="C18" s="27" t="s">
        <v>110</v>
      </c>
      <c r="D18" s="20">
        <f>SUMIFS('CUSTOS MENSAIS'!$F:$F,'CUSTOS MENSAIS'!$A:$A,A18,'CUSTOS MENSAIS'!$H:$H,F18)</f>
        <v>21989.822400000001</v>
      </c>
      <c r="E18" s="20">
        <f>IFERROR(D18/IF(B18="Clientes",SUMIFS(PARÂMETROS!$B$8:$B$907,PARÂMETROS!$G$8:$G$907,F18),SUMIFS(PARÂMETROS!$C$8:$C$907,PARÂMETROS!$G$8:$G$907,F18)),0)</f>
        <v>0.11493318977457442</v>
      </c>
      <c r="F18" s="11" t="s">
        <v>20</v>
      </c>
      <c r="G18" s="29">
        <f>IF(B18="Clientes",SUMIFS(PARÂMETROS!$B$8:$B$907,PARÂMETROS!$G$8:$G$907,F18),SUMIFS(PARÂMETROS!$C$8:$C$907,PARÂMETROS!$G$8:$G$907,F18))</f>
        <v>191327</v>
      </c>
    </row>
    <row r="19" spans="1:7" ht="14.25" customHeight="1" x14ac:dyDescent="0.3">
      <c r="A19" s="25" t="s">
        <v>44</v>
      </c>
      <c r="B19" s="26" t="s">
        <v>98</v>
      </c>
      <c r="C19" s="27" t="s">
        <v>111</v>
      </c>
      <c r="D19" s="20">
        <f>SUMIFS('CUSTOS MENSAIS'!$F:$F,'CUSTOS MENSAIS'!$A:$A,A19,'CUSTOS MENSAIS'!$H:$H,F19)</f>
        <v>52314.603600000009</v>
      </c>
      <c r="E19" s="20">
        <f>IFERROR(D19/IF(B19="Clientes",SUMIFS(PARÂMETROS!$B$8:$B$907,PARÂMETROS!$G$8:$G$907,F19),SUMIFS(PARÂMETROS!$C$8:$C$907,PARÂMETROS!$G$8:$G$907,F19)),0)</f>
        <v>49.681484900284907</v>
      </c>
      <c r="F19" s="11" t="s">
        <v>20</v>
      </c>
      <c r="G19" s="29">
        <f>IF(B19="Clientes",SUMIFS(PARÂMETROS!$B$8:$B$907,PARÂMETROS!$G$8:$G$907,F19),SUMIFS(PARÂMETROS!$C$8:$C$907,PARÂMETROS!$G$8:$G$907,F19))</f>
        <v>1053</v>
      </c>
    </row>
    <row r="20" spans="1:7" ht="15" customHeight="1" x14ac:dyDescent="0.3">
      <c r="A20" s="25" t="s">
        <v>45</v>
      </c>
      <c r="B20" s="26" t="s">
        <v>96</v>
      </c>
      <c r="C20" s="27" t="s">
        <v>112</v>
      </c>
      <c r="D20" s="20">
        <f>SUMIFS('CUSTOS MENSAIS'!$F:$F,'CUSTOS MENSAIS'!$A:$A,A20,'CUSTOS MENSAIS'!$H:$H,F20)</f>
        <v>72365.309200000018</v>
      </c>
      <c r="E20" s="20">
        <f>IFERROR(D20/IF(B20="Clientes",SUMIFS(PARÂMETROS!$B$8:$B$907,PARÂMETROS!$G$8:$G$907,F20),SUMIFS(PARÂMETROS!$C$8:$C$907,PARÂMETROS!$G$8:$G$907,F20)),0)</f>
        <v>0.37822842149827268</v>
      </c>
      <c r="F20" s="11" t="s">
        <v>20</v>
      </c>
      <c r="G20" s="29">
        <f>IF(B20="Clientes",SUMIFS(PARÂMETROS!$B$8:$B$907,PARÂMETROS!$G$8:$G$907,F20),SUMIFS(PARÂMETROS!$C$8:$C$907,PARÂMETROS!$G$8:$G$907,F20))</f>
        <v>191327</v>
      </c>
    </row>
    <row r="21" spans="1:7" ht="15" customHeight="1" x14ac:dyDescent="0.3">
      <c r="A21" s="25" t="s">
        <v>46</v>
      </c>
      <c r="B21" s="26" t="s">
        <v>96</v>
      </c>
      <c r="C21" s="27" t="s">
        <v>113</v>
      </c>
      <c r="D21" s="20">
        <f>SUMIFS('CUSTOS MENSAIS'!$F:$F,'CUSTOS MENSAIS'!$A:$A,A21,'CUSTOS MENSAIS'!$H:$H,F21)</f>
        <v>184735.24999999997</v>
      </c>
      <c r="E21" s="20">
        <f>IFERROR(D21/IF(B21="Clientes",SUMIFS(PARÂMETROS!$B$8:$B$907,PARÂMETROS!$G$8:$G$907,F21),SUMIFS(PARÂMETROS!$C$8:$C$907,PARÂMETROS!$G$8:$G$907,F21)),0)</f>
        <v>0.9655472045241914</v>
      </c>
      <c r="F21" s="11" t="s">
        <v>20</v>
      </c>
      <c r="G21" s="29">
        <f>IF(B21="Clientes",SUMIFS(PARÂMETROS!$B$8:$B$907,PARÂMETROS!$G$8:$G$907,F21),SUMIFS(PARÂMETROS!$C$8:$C$907,PARÂMETROS!$G$8:$G$907,F21))</f>
        <v>191327</v>
      </c>
    </row>
    <row r="22" spans="1:7" ht="15" customHeight="1" x14ac:dyDescent="0.3">
      <c r="A22" s="25" t="s">
        <v>47</v>
      </c>
      <c r="B22" s="26" t="s">
        <v>96</v>
      </c>
      <c r="C22" s="27" t="s">
        <v>114</v>
      </c>
      <c r="D22" s="20">
        <f>SUMIFS('CUSTOS MENSAIS'!$F:$F,'CUSTOS MENSAIS'!$A:$A,A22,'CUSTOS MENSAIS'!$H:$H,F22)</f>
        <v>137420.51999999999</v>
      </c>
      <c r="E22" s="20">
        <f>IFERROR(D22/IF(B22="Clientes",SUMIFS(PARÂMETROS!$B$8:$B$907,PARÂMETROS!$G$8:$G$907,F22),SUMIFS(PARÂMETROS!$C$8:$C$907,PARÂMETROS!$G$8:$G$907,F22)),0)</f>
        <v>0.71824948909458675</v>
      </c>
      <c r="F22" s="11" t="s">
        <v>20</v>
      </c>
      <c r="G22" s="29">
        <f>IF(B22="Clientes",SUMIFS(PARÂMETROS!$B$8:$B$907,PARÂMETROS!$G$8:$G$907,F22),SUMIFS(PARÂMETROS!$C$8:$C$907,PARÂMETROS!$G$8:$G$907,F22))</f>
        <v>191327</v>
      </c>
    </row>
    <row r="23" spans="1:7" ht="15" customHeight="1" x14ac:dyDescent="0.3">
      <c r="A23" s="25" t="s">
        <v>48</v>
      </c>
      <c r="B23" s="26" t="s">
        <v>96</v>
      </c>
      <c r="C23" s="27" t="s">
        <v>115</v>
      </c>
      <c r="D23" s="20">
        <f>SUMIFS('CUSTOS MENSAIS'!$F:$F,'CUSTOS MENSAIS'!$A:$A,A23,'CUSTOS MENSAIS'!$H:$H,F23)</f>
        <v>119840.847989</v>
      </c>
      <c r="E23" s="20">
        <f>IFERROR(D23/IF(B23="Clientes",SUMIFS(PARÂMETROS!$B$8:$B$907,PARÂMETROS!$G$8:$G$907,F23),SUMIFS(PARÂMETROS!$C$8:$C$907,PARÂMETROS!$G$8:$G$907,F23)),0)</f>
        <v>0.62636662880304406</v>
      </c>
      <c r="F23" s="11" t="s">
        <v>20</v>
      </c>
      <c r="G23" s="29">
        <f>IF(B23="Clientes",SUMIFS(PARÂMETROS!$B$8:$B$907,PARÂMETROS!$G$8:$G$907,F23),SUMIFS(PARÂMETROS!$C$8:$C$907,PARÂMETROS!$G$8:$G$907,F23))</f>
        <v>191327</v>
      </c>
    </row>
    <row r="24" spans="1:7" ht="15" customHeight="1" x14ac:dyDescent="0.3">
      <c r="A24" s="25" t="s">
        <v>49</v>
      </c>
      <c r="B24" s="26" t="s">
        <v>96</v>
      </c>
      <c r="C24" s="27" t="s">
        <v>116</v>
      </c>
      <c r="D24" s="20">
        <f>SUMIFS('CUSTOS MENSAIS'!$F:$F,'CUSTOS MENSAIS'!$A:$A,A24,'CUSTOS MENSAIS'!$H:$H,F24)</f>
        <v>29682.141610999999</v>
      </c>
      <c r="E24" s="20">
        <f>IFERROR(D24/IF(B24="Clientes",SUMIFS(PARÂMETROS!$B$8:$B$907,PARÂMETROS!$G$8:$G$907,F24),SUMIFS(PARÂMETROS!$C$8:$C$907,PARÂMETROS!$G$8:$G$907,F24)),0)</f>
        <v>0.15513827954758083</v>
      </c>
      <c r="F24" s="11" t="s">
        <v>20</v>
      </c>
      <c r="G24" s="29">
        <f>IF(B24="Clientes",SUMIFS(PARÂMETROS!$B$8:$B$907,PARÂMETROS!$G$8:$G$907,F24),SUMIFS(PARÂMETROS!$C$8:$C$907,PARÂMETROS!$G$8:$G$907,F24))</f>
        <v>191327</v>
      </c>
    </row>
    <row r="25" spans="1:7" ht="15" customHeight="1" x14ac:dyDescent="0.3">
      <c r="A25" s="25" t="s">
        <v>50</v>
      </c>
      <c r="B25" s="26" t="s">
        <v>96</v>
      </c>
      <c r="C25" s="27" t="s">
        <v>117</v>
      </c>
      <c r="D25" s="20">
        <f>SUMIFS('CUSTOS MENSAIS'!$F:$F,'CUSTOS MENSAIS'!$A:$A,A25,'CUSTOS MENSAIS'!$H:$H,F25)</f>
        <v>58416.377200000003</v>
      </c>
      <c r="E25" s="20">
        <f>IFERROR(D25/IF(B25="Clientes",SUMIFS(PARÂMETROS!$B$8:$B$907,PARÂMETROS!$G$8:$G$907,F25),SUMIFS(PARÂMETROS!$C$8:$C$907,PARÂMETROS!$G$8:$G$907,F25)),0)</f>
        <v>0.3053221824415791</v>
      </c>
      <c r="F25" s="11" t="s">
        <v>20</v>
      </c>
      <c r="G25" s="29">
        <f>IF(B25="Clientes",SUMIFS(PARÂMETROS!$B$8:$B$907,PARÂMETROS!$G$8:$G$907,F25),SUMIFS(PARÂMETROS!$C$8:$C$907,PARÂMETROS!$G$8:$G$907,F25))</f>
        <v>191327</v>
      </c>
    </row>
    <row r="26" spans="1:7" ht="15" customHeight="1" x14ac:dyDescent="0.3">
      <c r="A26" s="25" t="s">
        <v>51</v>
      </c>
      <c r="B26" s="26" t="s">
        <v>96</v>
      </c>
      <c r="C26" s="27" t="s">
        <v>118</v>
      </c>
      <c r="D26" s="20">
        <f>SUMIFS('CUSTOS MENSAIS'!$F:$F,'CUSTOS MENSAIS'!$A:$A,A26,'CUSTOS MENSAIS'!$H:$H,F26)</f>
        <v>63760.755839555612</v>
      </c>
      <c r="E26" s="20">
        <f>IFERROR(D26/IF(B26="Clientes",SUMIFS(PARÂMETROS!$B$8:$B$907,PARÂMETROS!$G$8:$G$907,F26),SUMIFS(PARÂMETROS!$C$8:$C$907,PARÂMETROS!$G$8:$G$907,F26)),0)</f>
        <v>0.33325539960149697</v>
      </c>
      <c r="F26" s="11" t="s">
        <v>20</v>
      </c>
      <c r="G26" s="29">
        <f>IF(B26="Clientes",SUMIFS(PARÂMETROS!$B$8:$B$907,PARÂMETROS!$G$8:$G$907,F26),SUMIFS(PARÂMETROS!$C$8:$C$907,PARÂMETROS!$G$8:$G$907,F26))</f>
        <v>191327</v>
      </c>
    </row>
    <row r="27" spans="1:7" ht="15" customHeight="1" x14ac:dyDescent="0.3">
      <c r="A27" s="25" t="s">
        <v>52</v>
      </c>
      <c r="B27" s="26" t="s">
        <v>96</v>
      </c>
      <c r="C27" s="27" t="s">
        <v>119</v>
      </c>
      <c r="D27" s="20">
        <f>SUMIFS('CUSTOS MENSAIS'!$F:$F,'CUSTOS MENSAIS'!$A:$A,A27,'CUSTOS MENSAIS'!$H:$H,F27)</f>
        <v>35788.658657999993</v>
      </c>
      <c r="E27" s="20">
        <f>IFERROR(D27/IF(B27="Clientes",SUMIFS(PARÂMETROS!$B$8:$B$907,PARÂMETROS!$G$8:$G$907,F27),SUMIFS(PARÂMETROS!$C$8:$C$907,PARÂMETROS!$G$8:$G$907,F27)),0)</f>
        <v>0.1870549303443842</v>
      </c>
      <c r="F27" s="11" t="s">
        <v>20</v>
      </c>
      <c r="G27" s="29">
        <f>IF(B27="Clientes",SUMIFS(PARÂMETROS!$B$8:$B$907,PARÂMETROS!$G$8:$G$907,F27),SUMIFS(PARÂMETROS!$C$8:$C$907,PARÂMETROS!$G$8:$G$907,F27))</f>
        <v>191327</v>
      </c>
    </row>
    <row r="28" spans="1:7" ht="15" customHeight="1" x14ac:dyDescent="0.3">
      <c r="A28" s="25" t="s">
        <v>53</v>
      </c>
      <c r="B28" s="26" t="s">
        <v>96</v>
      </c>
      <c r="C28" s="27" t="s">
        <v>120</v>
      </c>
      <c r="D28" s="20">
        <f>SUMIFS('CUSTOS MENSAIS'!$F:$F,'CUSTOS MENSAIS'!$A:$A,A28,'CUSTOS MENSAIS'!$H:$H,F28)</f>
        <v>116439.91329999999</v>
      </c>
      <c r="E28" s="20">
        <f>IFERROR(D28/IF(B28="Clientes",SUMIFS(PARÂMETROS!$B$8:$B$907,PARÂMETROS!$G$8:$G$907,F28),SUMIFS(PARÂMETROS!$C$8:$C$907,PARÂMETROS!$G$8:$G$907,F28)),0)</f>
        <v>0.60859112043778441</v>
      </c>
      <c r="F28" s="11" t="s">
        <v>20</v>
      </c>
      <c r="G28" s="29">
        <f>IF(B28="Clientes",SUMIFS(PARÂMETROS!$B$8:$B$907,PARÂMETROS!$G$8:$G$907,F28),SUMIFS(PARÂMETROS!$C$8:$C$907,PARÂMETROS!$G$8:$G$907,F28))</f>
        <v>191327</v>
      </c>
    </row>
    <row r="29" spans="1:7" ht="15" customHeight="1" x14ac:dyDescent="0.3">
      <c r="A29" s="25" t="s">
        <v>54</v>
      </c>
      <c r="B29" s="26" t="s">
        <v>96</v>
      </c>
      <c r="C29" s="27" t="s">
        <v>121</v>
      </c>
      <c r="D29" s="20">
        <f>SUMIFS('CUSTOS MENSAIS'!$F:$F,'CUSTOS MENSAIS'!$A:$A,A29,'CUSTOS MENSAIS'!$H:$H,F29)</f>
        <v>115104.63980999999</v>
      </c>
      <c r="E29" s="20">
        <f>IFERROR(D29/IF(B29="Clientes",SUMIFS(PARÂMETROS!$B$8:$B$907,PARÂMETROS!$G$8:$G$907,F29),SUMIFS(PARÂMETROS!$C$8:$C$907,PARÂMETROS!$G$8:$G$907,F29)),0)</f>
        <v>0.60161210811856136</v>
      </c>
      <c r="F29" s="11" t="s">
        <v>20</v>
      </c>
      <c r="G29" s="29">
        <f>IF(B29="Clientes",SUMIFS(PARÂMETROS!$B$8:$B$907,PARÂMETROS!$G$8:$G$907,F29),SUMIFS(PARÂMETROS!$C$8:$C$907,PARÂMETROS!$G$8:$G$907,F29))</f>
        <v>191327</v>
      </c>
    </row>
    <row r="30" spans="1:7" ht="15" customHeight="1" x14ac:dyDescent="0.3">
      <c r="A30" s="25" t="s">
        <v>55</v>
      </c>
      <c r="B30" s="26" t="s">
        <v>98</v>
      </c>
      <c r="C30" s="27" t="s">
        <v>122</v>
      </c>
      <c r="D30" s="20">
        <f>SUMIFS('CUSTOS MENSAIS'!$F:$F,'CUSTOS MENSAIS'!$A:$A,A30,'CUSTOS MENSAIS'!$H:$H,F30)</f>
        <v>23776.15</v>
      </c>
      <c r="E30" s="20">
        <f>IFERROR(D30/IF(B30="Clientes",SUMIFS(PARÂMETROS!$B$8:$B$907,PARÂMETROS!$G$8:$G$907,F30),SUMIFS(PARÂMETROS!$C$8:$C$907,PARÂMETROS!$G$8:$G$907,F30)),0)</f>
        <v>22.579439696106363</v>
      </c>
      <c r="F30" s="11" t="s">
        <v>20</v>
      </c>
      <c r="G30" s="29">
        <f>IF(B30="Clientes",SUMIFS(PARÂMETROS!$B$8:$B$907,PARÂMETROS!$G$8:$G$907,F30),SUMIFS(PARÂMETROS!$C$8:$C$907,PARÂMETROS!$G$8:$G$907,F30))</f>
        <v>1053</v>
      </c>
    </row>
    <row r="31" spans="1:7" ht="15" customHeight="1" x14ac:dyDescent="0.3">
      <c r="A31" s="25" t="s">
        <v>86</v>
      </c>
      <c r="B31" s="26" t="s">
        <v>96</v>
      </c>
      <c r="C31" s="27" t="s">
        <v>123</v>
      </c>
      <c r="D31" s="20">
        <f>SUMIFS('CUSTOS MENSAIS'!$F:$F,'CUSTOS MENSAIS'!$A:$A,A31,'CUSTOS MENSAIS'!$H:$H,F31)</f>
        <v>25901.077776999999</v>
      </c>
      <c r="E31" s="20">
        <f>IFERROR(D31/IF(B31="Clientes",SUMIFS(PARÂMETROS!$B$8:$B$907,PARÂMETROS!$G$8:$G$907,F31),SUMIFS(PARÂMETROS!$C$8:$C$907,PARÂMETROS!$G$8:$G$907,F31)),0)</f>
        <v>0.13537596772541249</v>
      </c>
      <c r="F31" s="11" t="s">
        <v>20</v>
      </c>
      <c r="G31" s="29">
        <f>IF(B31="Clientes",SUMIFS(PARÂMETROS!$B$8:$B$907,PARÂMETROS!$G$8:$G$907,F31),SUMIFS(PARÂMETROS!$C$8:$C$907,PARÂMETROS!$G$8:$G$907,F31))</f>
        <v>191327</v>
      </c>
    </row>
    <row r="32" spans="1:7" ht="15" customHeight="1" x14ac:dyDescent="0.3">
      <c r="A32" s="25" t="s">
        <v>83</v>
      </c>
      <c r="B32" s="26" t="s">
        <v>96</v>
      </c>
      <c r="C32" s="27" t="s">
        <v>124</v>
      </c>
      <c r="D32" s="20">
        <f>SUMIFS('CUSTOS MENSAIS'!$F:$F,'CUSTOS MENSAIS'!$A:$A,A32,'CUSTOS MENSAIS'!$H:$H,F32)</f>
        <v>12631.53</v>
      </c>
      <c r="E32" s="20">
        <f>IFERROR(D32/IF(B32="Clientes",SUMIFS(PARÂMETROS!$B$8:$B$907,PARÂMETROS!$G$8:$G$907,F32),SUMIFS(PARÂMETROS!$C$8:$C$907,PARÂMETROS!$G$8:$G$907,F32)),0)</f>
        <v>6.6020634829375882E-2</v>
      </c>
      <c r="F32" s="11" t="s">
        <v>20</v>
      </c>
      <c r="G32" s="29">
        <f>IF(B32="Clientes",SUMIFS(PARÂMETROS!$B$8:$B$907,PARÂMETROS!$G$8:$G$907,F32),SUMIFS(PARÂMETROS!$C$8:$C$907,PARÂMETROS!$G$8:$G$907,F32))</f>
        <v>191327</v>
      </c>
    </row>
    <row r="33" spans="1:7" ht="15" customHeight="1" x14ac:dyDescent="0.3">
      <c r="A33" s="25" t="s">
        <v>85</v>
      </c>
      <c r="B33" s="26" t="s">
        <v>96</v>
      </c>
      <c r="C33" s="27" t="s">
        <v>125</v>
      </c>
      <c r="D33" s="20">
        <f>SUMIFS('CUSTOS MENSAIS'!$F:$F,'CUSTOS MENSAIS'!$A:$A,A33,'CUSTOS MENSAIS'!$H:$H,F33)</f>
        <v>61122.089499999995</v>
      </c>
      <c r="E33" s="20">
        <f>IFERROR(D33/IF(B33="Clientes",SUMIFS(PARÂMETROS!$B$8:$B$907,PARÂMETROS!$G$8:$G$907,F33),SUMIFS(PARÂMETROS!$C$8:$C$907,PARÂMETROS!$G$8:$G$907,F33)),0)</f>
        <v>0.31946400403497671</v>
      </c>
      <c r="F33" s="11" t="s">
        <v>20</v>
      </c>
      <c r="G33" s="29">
        <f>IF(B33="Clientes",SUMIFS(PARÂMETROS!$B$8:$B$907,PARÂMETROS!$G$8:$G$907,F33),SUMIFS(PARÂMETROS!$C$8:$C$907,PARÂMETROS!$G$8:$G$907,F33))</f>
        <v>191327</v>
      </c>
    </row>
    <row r="34" spans="1:7" ht="14.25" customHeight="1" x14ac:dyDescent="0.3">
      <c r="A34" s="25" t="s">
        <v>87</v>
      </c>
      <c r="B34" s="26" t="s">
        <v>96</v>
      </c>
      <c r="C34" s="27" t="s">
        <v>126</v>
      </c>
      <c r="D34" s="20">
        <f>SUMIFS('CUSTOS MENSAIS'!$F:$F,'CUSTOS MENSAIS'!$A:$A,A34,'CUSTOS MENSAIS'!$H:$H,F34)</f>
        <v>28475.231465999997</v>
      </c>
      <c r="E34" s="20">
        <f>IFERROR(D34/IF(B34="Clientes",SUMIFS(PARÂMETROS!$B$8:$B$907,PARÂMETROS!$G$8:$G$907,F34),SUMIFS(PARÂMETROS!$C$8:$C$907,PARÂMETROS!$G$8:$G$907,F34)),0)</f>
        <v>0.14883017799892329</v>
      </c>
      <c r="F34" s="11" t="s">
        <v>20</v>
      </c>
      <c r="G34" s="29">
        <f>IF(B34="Clientes",SUMIFS(PARÂMETROS!$B$8:$B$907,PARÂMETROS!$G$8:$G$907,F34),SUMIFS(PARÂMETROS!$C$8:$C$907,PARÂMETROS!$G$8:$G$907,F34))</f>
        <v>191327</v>
      </c>
    </row>
    <row r="35" spans="1:7" ht="14.25" customHeight="1" x14ac:dyDescent="0.3">
      <c r="A35" s="25" t="s">
        <v>78</v>
      </c>
      <c r="B35" s="26" t="s">
        <v>96</v>
      </c>
      <c r="C35" s="27" t="s">
        <v>127</v>
      </c>
      <c r="D35" s="20">
        <f>SUMIFS('CUSTOS MENSAIS'!$F:$F,'CUSTOS MENSAIS'!$A:$A,A35,'CUSTOS MENSAIS'!$H:$H,F35)</f>
        <v>83174.848399999988</v>
      </c>
      <c r="E35" s="20">
        <f>IFERROR(D35/IF(B35="Clientes",SUMIFS(PARÂMETROS!$B$8:$B$907,PARÂMETROS!$G$8:$G$907,F35),SUMIFS(PARÂMETROS!$C$8:$C$907,PARÂMETROS!$G$8:$G$907,F35)),0)</f>
        <v>0.43472614110920044</v>
      </c>
      <c r="F35" s="11" t="s">
        <v>20</v>
      </c>
      <c r="G35" s="29">
        <f>IF(B35="Clientes",SUMIFS(PARÂMETROS!$B$8:$B$907,PARÂMETROS!$G$8:$G$907,F35),SUMIFS(PARÂMETROS!$C$8:$C$907,PARÂMETROS!$G$8:$G$907,F35))</f>
        <v>191327</v>
      </c>
    </row>
    <row r="36" spans="1:7" ht="14.25" customHeight="1" x14ac:dyDescent="0.3">
      <c r="A36" s="25" t="s">
        <v>81</v>
      </c>
      <c r="B36" s="26" t="s">
        <v>96</v>
      </c>
      <c r="C36" s="27" t="s">
        <v>128</v>
      </c>
      <c r="D36" s="20">
        <f>SUMIFS('CUSTOS MENSAIS'!$F:$F,'CUSTOS MENSAIS'!$A:$A,A36,'CUSTOS MENSAIS'!$H:$H,F36)</f>
        <v>9882.542222</v>
      </c>
      <c r="E36" s="20">
        <f>IFERROR(D36/IF(B36="Clientes",SUMIFS(PARÂMETROS!$B$8:$B$907,PARÂMETROS!$G$8:$G$907,F36),SUMIFS(PARÂMETROS!$C$8:$C$907,PARÂMETROS!$G$8:$G$907,F36)),0)</f>
        <v>5.165262729254104E-2</v>
      </c>
      <c r="F36" s="11" t="s">
        <v>20</v>
      </c>
      <c r="G36" s="29">
        <f>IF(B36="Clientes",SUMIFS(PARÂMETROS!$B$8:$B$907,PARÂMETROS!$G$8:$G$907,F36),SUMIFS(PARÂMETROS!$C$8:$C$907,PARÂMETROS!$G$8:$G$907,F36))</f>
        <v>191327</v>
      </c>
    </row>
    <row r="37" spans="1:7" ht="14.25" customHeight="1" x14ac:dyDescent="0.3">
      <c r="A37" s="25" t="s">
        <v>84</v>
      </c>
      <c r="B37" s="26" t="s">
        <v>96</v>
      </c>
      <c r="C37" s="27" t="s">
        <v>129</v>
      </c>
      <c r="D37" s="20">
        <f>SUMIFS('CUSTOS MENSAIS'!$F:$F,'CUSTOS MENSAIS'!$A:$A,A37,'CUSTOS MENSAIS'!$H:$H,F37)</f>
        <v>146025.91000000003</v>
      </c>
      <c r="E37" s="20">
        <f>IFERROR(D37/IF(B37="Clientes",SUMIFS(PARÂMETROS!$B$8:$B$907,PARÂMETROS!$G$8:$G$907,F37),SUMIFS(PARÂMETROS!$C$8:$C$907,PARÂMETROS!$G$8:$G$907,F37)),0)</f>
        <v>0.76322688381671189</v>
      </c>
      <c r="F37" s="11" t="s">
        <v>20</v>
      </c>
      <c r="G37" s="29">
        <f>IF(B37="Clientes",SUMIFS(PARÂMETROS!$B$8:$B$907,PARÂMETROS!$G$8:$G$907,F37),SUMIFS(PARÂMETROS!$C$8:$C$907,PARÂMETROS!$G$8:$G$907,F37))</f>
        <v>191327</v>
      </c>
    </row>
    <row r="38" spans="1:7" ht="14.25" customHeight="1" x14ac:dyDescent="0.3">
      <c r="A38" s="25" t="s">
        <v>82</v>
      </c>
      <c r="B38" s="26" t="s">
        <v>96</v>
      </c>
      <c r="C38" s="27" t="s">
        <v>130</v>
      </c>
      <c r="D38" s="20">
        <f>SUMIFS('CUSTOS MENSAIS'!$F:$F,'CUSTOS MENSAIS'!$A:$A,A38,'CUSTOS MENSAIS'!$H:$H,F38)</f>
        <v>73811.97</v>
      </c>
      <c r="E38" s="20">
        <f>IFERROR(D38/IF(B38="Clientes",SUMIFS(PARÂMETROS!$B$8:$B$907,PARÂMETROS!$G$8:$G$907,F38),SUMIFS(PARÂMETROS!$C$8:$C$907,PARÂMETROS!$G$8:$G$907,F38)),0)</f>
        <v>0.38578961672947365</v>
      </c>
      <c r="F38" s="11" t="s">
        <v>20</v>
      </c>
      <c r="G38" s="29">
        <f>IF(B38="Clientes",SUMIFS(PARÂMETROS!$B$8:$B$907,PARÂMETROS!$G$8:$G$907,F38),SUMIFS(PARÂMETROS!$C$8:$C$907,PARÂMETROS!$G$8:$G$907,F38))</f>
        <v>191327</v>
      </c>
    </row>
    <row r="39" spans="1:7" ht="14.25" customHeight="1" x14ac:dyDescent="0.3">
      <c r="A39" s="25" t="s">
        <v>80</v>
      </c>
      <c r="B39" s="26" t="s">
        <v>96</v>
      </c>
      <c r="C39" s="27" t="s">
        <v>131</v>
      </c>
      <c r="D39" s="20">
        <f>SUMIFS('CUSTOS MENSAIS'!$F:$F,'CUSTOS MENSAIS'!$A:$A,A39,'CUSTOS MENSAIS'!$H:$H,F39)</f>
        <v>29568.365732999999</v>
      </c>
      <c r="E39" s="20">
        <f>IFERROR(D39/IF(B39="Clientes",SUMIFS(PARÂMETROS!$B$8:$B$907,PARÂMETROS!$G$8:$G$907,F39),SUMIFS(PARÂMETROS!$C$8:$C$907,PARÂMETROS!$G$8:$G$907,F39)),0)</f>
        <v>0.15454361241748418</v>
      </c>
      <c r="F39" s="11" t="s">
        <v>20</v>
      </c>
      <c r="G39" s="29">
        <f>IF(B39="Clientes",SUMIFS(PARÂMETROS!$B$8:$B$907,PARÂMETROS!$G$8:$G$907,F39),SUMIFS(PARÂMETROS!$C$8:$C$907,PARÂMETROS!$G$8:$G$907,F39))</f>
        <v>191327</v>
      </c>
    </row>
    <row r="40" spans="1:7" ht="14.25" customHeight="1" x14ac:dyDescent="0.3">
      <c r="A40" s="25" t="s">
        <v>79</v>
      </c>
      <c r="B40" s="26" t="s">
        <v>98</v>
      </c>
      <c r="C40" s="27" t="s">
        <v>132</v>
      </c>
      <c r="D40" s="20">
        <f>SUMIFS('CUSTOS MENSAIS'!$F:$F,'CUSTOS MENSAIS'!$A:$A,A40,'CUSTOS MENSAIS'!$H:$H,F40)</f>
        <v>28357.9892</v>
      </c>
      <c r="E40" s="20">
        <f>IFERROR(D40/G40,0)</f>
        <v>33.36234023529412</v>
      </c>
      <c r="F40" s="11" t="s">
        <v>20</v>
      </c>
      <c r="G40" s="29">
        <f>SUMIFS(PARÂMETROS!$C$8:$C$907,PARÂMETROS!$G$8:$G$907,F40,PARÂMETROS!$A$8:$A$907,"DTEL (uso próprio)")</f>
        <v>850</v>
      </c>
    </row>
    <row r="41" spans="1:7" ht="14.25" customHeight="1" x14ac:dyDescent="0.3">
      <c r="A41" s="16" t="s">
        <v>133</v>
      </c>
      <c r="B41" s="30"/>
      <c r="C41" s="31"/>
      <c r="D41" s="32">
        <f>SUM(D5:D40)+D114+D117+D120+D123</f>
        <v>2151966.9000753332</v>
      </c>
      <c r="E41" s="32"/>
      <c r="F41" s="30"/>
      <c r="G41" s="33"/>
    </row>
    <row r="42" spans="1:7" ht="14.25" customHeight="1" x14ac:dyDescent="0.3">
      <c r="A42" s="25" t="s">
        <v>31</v>
      </c>
      <c r="B42" s="26" t="s">
        <v>96</v>
      </c>
      <c r="C42" s="27" t="s">
        <v>97</v>
      </c>
      <c r="D42" s="20">
        <f>SUMIFS('CUSTOS MENSAIS'!$F:$F,'CUSTOS MENSAIS'!$A:$A,A42,'CUSTOS MENSAIS'!$H:$H,F42)</f>
        <v>69943.8511</v>
      </c>
      <c r="E42" s="20">
        <f>IFERROR(D42/IF(B42="Clientes",SUMIFS(PARÂMETROS!$B$8:$B$907,PARÂMETROS!$G$8:$G$907,F42),SUMIFS(PARÂMETROS!$C$8:$C$907,PARÂMETROS!$G$8:$G$907,F42)),0)</f>
        <v>0.35897543714683106</v>
      </c>
      <c r="F42" s="11" t="s">
        <v>11</v>
      </c>
      <c r="G42" s="29">
        <f>IF(B42="Clientes",SUMIFS(PARÂMETROS!$B$8:$B$907,PARÂMETROS!$G$8:$G$907,F42),SUMIFS(PARÂMETROS!$C$8:$C$907,PARÂMETROS!$G$8:$G$907,F42))</f>
        <v>194843</v>
      </c>
    </row>
    <row r="43" spans="1:7" ht="14.25" customHeight="1" x14ac:dyDescent="0.3">
      <c r="A43" s="25" t="s">
        <v>32</v>
      </c>
      <c r="B43" s="26" t="s">
        <v>98</v>
      </c>
      <c r="C43" s="27" t="s">
        <v>99</v>
      </c>
      <c r="D43" s="20">
        <f>SUMIFS('CUSTOS MENSAIS'!$F:$F,'CUSTOS MENSAIS'!$A:$A,A43,'CUSTOS MENSAIS'!$H:$H,F43)</f>
        <v>36047.874356000008</v>
      </c>
      <c r="E43" s="20">
        <f>IFERROR(D43/IF(B43="Clientes",SUMIFS(PARÂMETROS!$B$8:$B$907,PARÂMETROS!$G$8:$G$907,F43),SUMIFS(PARÂMETROS!$C$8:$C$907,PARÂMETROS!$G$8:$G$907,F43)),0)</f>
        <v>34.364036564347003</v>
      </c>
      <c r="F43" s="11" t="s">
        <v>11</v>
      </c>
      <c r="G43" s="29">
        <f>IF(B43="Clientes",SUMIFS(PARÂMETROS!$B$8:$B$907,PARÂMETROS!$G$8:$G$907,F43),SUMIFS(PARÂMETROS!$C$8:$C$907,PARÂMETROS!$G$8:$G$907,F43))</f>
        <v>1049</v>
      </c>
    </row>
    <row r="44" spans="1:7" ht="14.25" customHeight="1" x14ac:dyDescent="0.3">
      <c r="A44" s="25" t="s">
        <v>33</v>
      </c>
      <c r="B44" s="26" t="s">
        <v>98</v>
      </c>
      <c r="C44" s="27" t="s">
        <v>100</v>
      </c>
      <c r="D44" s="20">
        <f>SUMIFS('CUSTOS MENSAIS'!$F:$F,'CUSTOS MENSAIS'!$A:$A,A44,'CUSTOS MENSAIS'!$H:$H,F44)</f>
        <v>54615.875500000009</v>
      </c>
      <c r="E44" s="20">
        <f>IFERROR(D44/IF(B44="Clientes",SUMIFS(PARÂMETROS!$B$8:$B$907,PARÂMETROS!$G$8:$G$907,F44),SUMIFS(PARÂMETROS!$C$8:$C$907,PARÂMETROS!$G$8:$G$907,F44)),0)</f>
        <v>52.064704957102009</v>
      </c>
      <c r="F44" s="11" t="s">
        <v>11</v>
      </c>
      <c r="G44" s="29">
        <f>IF(B44="Clientes",SUMIFS(PARÂMETROS!$B$8:$B$907,PARÂMETROS!$G$8:$G$907,F44),SUMIFS(PARÂMETROS!$C$8:$C$907,PARÂMETROS!$G$8:$G$907,F44))</f>
        <v>1049</v>
      </c>
    </row>
    <row r="45" spans="1:7" ht="14.25" customHeight="1" x14ac:dyDescent="0.3">
      <c r="A45" s="25" t="s">
        <v>34</v>
      </c>
      <c r="B45" s="26" t="s">
        <v>96</v>
      </c>
      <c r="C45" s="27" t="s">
        <v>101</v>
      </c>
      <c r="D45" s="20">
        <f>SUMIFS('CUSTOS MENSAIS'!$F:$F,'CUSTOS MENSAIS'!$A:$A,A45,'CUSTOS MENSAIS'!$H:$H,F45)</f>
        <v>23728.992920000001</v>
      </c>
      <c r="E45" s="20">
        <f>IFERROR(D45/IF(B45="Clientes",SUMIFS(PARÂMETROS!$B$8:$B$907,PARÂMETROS!$G$8:$G$907,F45),SUMIFS(PARÂMETROS!$C$8:$C$907,PARÂMETROS!$G$8:$G$907,F45)),0)</f>
        <v>0.12178519587565373</v>
      </c>
      <c r="F45" s="11" t="s">
        <v>11</v>
      </c>
      <c r="G45" s="29">
        <f>IF(B45="Clientes",SUMIFS(PARÂMETROS!$B$8:$B$907,PARÂMETROS!$G$8:$G$907,F45),SUMIFS(PARÂMETROS!$C$8:$C$907,PARÂMETROS!$G$8:$G$907,F45))</f>
        <v>194843</v>
      </c>
    </row>
    <row r="46" spans="1:7" ht="14.25" customHeight="1" x14ac:dyDescent="0.3">
      <c r="A46" s="25" t="s">
        <v>35</v>
      </c>
      <c r="B46" s="26" t="s">
        <v>96</v>
      </c>
      <c r="C46" s="27" t="s">
        <v>102</v>
      </c>
      <c r="D46" s="20">
        <f>SUMIFS('CUSTOS MENSAIS'!$F:$F,'CUSTOS MENSAIS'!$A:$A,A46,'CUSTOS MENSAIS'!$H:$H,F46)</f>
        <v>17219.4689</v>
      </c>
      <c r="E46" s="20">
        <f>IFERROR(D46/IF(B46="Clientes",SUMIFS(PARÂMETROS!$B$8:$B$907,PARÂMETROS!$G$8:$G$907,F46),SUMIFS(PARÂMETROS!$C$8:$C$907,PARÂMETROS!$G$8:$G$907,F46)),0)</f>
        <v>8.8376122827096684E-2</v>
      </c>
      <c r="F46" s="11" t="s">
        <v>11</v>
      </c>
      <c r="G46" s="29">
        <f>IF(B46="Clientes",SUMIFS(PARÂMETROS!$B$8:$B$907,PARÂMETROS!$G$8:$G$907,F46),SUMIFS(PARÂMETROS!$C$8:$C$907,PARÂMETROS!$G$8:$G$907,F46))</f>
        <v>194843</v>
      </c>
    </row>
    <row r="47" spans="1:7" ht="14.25" customHeight="1" x14ac:dyDescent="0.3">
      <c r="A47" s="25" t="s">
        <v>36</v>
      </c>
      <c r="B47" s="26" t="s">
        <v>96</v>
      </c>
      <c r="C47" s="27" t="s">
        <v>103</v>
      </c>
      <c r="D47" s="20">
        <f>SUMIFS('CUSTOS MENSAIS'!$F:$F,'CUSTOS MENSAIS'!$A:$A,A47,'CUSTOS MENSAIS'!$H:$H,F47)</f>
        <v>70630.625500000009</v>
      </c>
      <c r="E47" s="20">
        <f>IFERROR(D47/IF(B47="Clientes",SUMIFS(PARÂMETROS!$B$8:$B$907,PARÂMETROS!$G$8:$G$907,F47),SUMIFS(PARÂMETROS!$C$8:$C$907,PARÂMETROS!$G$8:$G$907,F47)),0)</f>
        <v>0.36250019502881814</v>
      </c>
      <c r="F47" s="11" t="s">
        <v>11</v>
      </c>
      <c r="G47" s="29">
        <f>IF(B47="Clientes",SUMIFS(PARÂMETROS!$B$8:$B$907,PARÂMETROS!$G$8:$G$907,F47),SUMIFS(PARÂMETROS!$C$8:$C$907,PARÂMETROS!$G$8:$G$907,F47))</f>
        <v>194843</v>
      </c>
    </row>
    <row r="48" spans="1:7" ht="14.25" customHeight="1" x14ac:dyDescent="0.3">
      <c r="A48" s="25" t="s">
        <v>37</v>
      </c>
      <c r="B48" s="26" t="s">
        <v>96</v>
      </c>
      <c r="C48" s="27" t="s">
        <v>104</v>
      </c>
      <c r="D48" s="20">
        <f>SUMIFS('CUSTOS MENSAIS'!$F:$F,'CUSTOS MENSAIS'!$A:$A,A48,'CUSTOS MENSAIS'!$H:$H,F48)</f>
        <v>173281.41410600001</v>
      </c>
      <c r="E48" s="20">
        <f>IFERROR(D48/IF(B48="Clientes",SUMIFS(PARÂMETROS!$B$8:$B$907,PARÂMETROS!$G$8:$G$907,F48),SUMIFS(PARÂMETROS!$C$8:$C$907,PARÂMETROS!$G$8:$G$907,F48)),0)</f>
        <v>0.88933866808661333</v>
      </c>
      <c r="F48" s="11" t="s">
        <v>11</v>
      </c>
      <c r="G48" s="29">
        <f>IF(B48="Clientes",SUMIFS(PARÂMETROS!$B$8:$B$907,PARÂMETROS!$G$8:$G$907,F48),SUMIFS(PARÂMETROS!$C$8:$C$907,PARÂMETROS!$G$8:$G$907,F48))</f>
        <v>194843</v>
      </c>
    </row>
    <row r="49" spans="1:7" ht="14.25" customHeight="1" x14ac:dyDescent="0.3">
      <c r="A49" s="25" t="s">
        <v>38</v>
      </c>
      <c r="B49" s="26" t="s">
        <v>96</v>
      </c>
      <c r="C49" s="27" t="s">
        <v>105</v>
      </c>
      <c r="D49" s="20">
        <f>SUMIFS('CUSTOS MENSAIS'!$F:$F,'CUSTOS MENSAIS'!$A:$A,A49,'CUSTOS MENSAIS'!$H:$H,F49)</f>
        <v>42678.53605100001</v>
      </c>
      <c r="E49" s="20">
        <f>IFERROR(D49/IF(B49="Clientes",SUMIFS(PARÂMETROS!$B$8:$B$907,PARÂMETROS!$G$8:$G$907,F49),SUMIFS(PARÂMETROS!$C$8:$C$907,PARÂMETROS!$G$8:$G$907,F49)),0)</f>
        <v>0.21904064324096842</v>
      </c>
      <c r="F49" s="11" t="s">
        <v>11</v>
      </c>
      <c r="G49" s="29">
        <f>IF(B49="Clientes",SUMIFS(PARÂMETROS!$B$8:$B$907,PARÂMETROS!$G$8:$G$907,F49),SUMIFS(PARÂMETROS!$C$8:$C$907,PARÂMETROS!$G$8:$G$907,F49))</f>
        <v>194843</v>
      </c>
    </row>
    <row r="50" spans="1:7" ht="14.25" customHeight="1" x14ac:dyDescent="0.3">
      <c r="A50" s="25" t="s">
        <v>39</v>
      </c>
      <c r="B50" s="26" t="s">
        <v>96</v>
      </c>
      <c r="C50" s="27" t="s">
        <v>106</v>
      </c>
      <c r="D50" s="20">
        <f>SUMIFS('CUSTOS MENSAIS'!$F:$F,'CUSTOS MENSAIS'!$A:$A,A50,'CUSTOS MENSAIS'!$H:$H,F50)</f>
        <v>51023.148556</v>
      </c>
      <c r="E50" s="20">
        <f>IFERROR(D50/IF(B50="Clientes",SUMIFS(PARÂMETROS!$B$8:$B$907,PARÂMETROS!$G$8:$G$907,F50),SUMIFS(PARÂMETROS!$C$8:$C$907,PARÂMETROS!$G$8:$G$907,F50)),0)</f>
        <v>0.26186800940244198</v>
      </c>
      <c r="F50" s="11" t="s">
        <v>11</v>
      </c>
      <c r="G50" s="29">
        <f>IF(B50="Clientes",SUMIFS(PARÂMETROS!$B$8:$B$907,PARÂMETROS!$G$8:$G$907,F50),SUMIFS(PARÂMETROS!$C$8:$C$907,PARÂMETROS!$G$8:$G$907,F50))</f>
        <v>194843</v>
      </c>
    </row>
    <row r="51" spans="1:7" ht="14.25" customHeight="1" x14ac:dyDescent="0.3">
      <c r="A51" s="25" t="s">
        <v>40</v>
      </c>
      <c r="B51" s="26" t="s">
        <v>96</v>
      </c>
      <c r="C51" s="27" t="s">
        <v>107</v>
      </c>
      <c r="D51" s="20">
        <f>SUMIFS('CUSTOS MENSAIS'!$F:$F,'CUSTOS MENSAIS'!$A:$A,A51,'CUSTOS MENSAIS'!$H:$H,F51)</f>
        <v>38110.164356000001</v>
      </c>
      <c r="E51" s="20">
        <f>IFERROR(D51/IF(B51="Clientes",SUMIFS(PARÂMETROS!$B$8:$B$907,PARÂMETROS!$G$8:$G$907,F51),SUMIFS(PARÂMETROS!$C$8:$C$907,PARÂMETROS!$G$8:$G$907,F51)),0)</f>
        <v>0.19559421870942245</v>
      </c>
      <c r="F51" s="11" t="s">
        <v>11</v>
      </c>
      <c r="G51" s="29">
        <f>IF(B51="Clientes",SUMIFS(PARÂMETROS!$B$8:$B$907,PARÂMETROS!$G$8:$G$907,F51),SUMIFS(PARÂMETROS!$C$8:$C$907,PARÂMETROS!$G$8:$G$907,F51))</f>
        <v>194843</v>
      </c>
    </row>
    <row r="52" spans="1:7" ht="14.25" customHeight="1" x14ac:dyDescent="0.3">
      <c r="A52" s="25" t="s">
        <v>41</v>
      </c>
      <c r="B52" s="26" t="s">
        <v>96</v>
      </c>
      <c r="C52" s="27" t="s">
        <v>108</v>
      </c>
      <c r="D52" s="20">
        <f>SUMIFS('CUSTOS MENSAIS'!$F:$F,'CUSTOS MENSAIS'!$A:$A,A52,'CUSTOS MENSAIS'!$H:$H,F52)</f>
        <v>18198.008564</v>
      </c>
      <c r="E52" s="20">
        <f>IFERROR(D52/IF(B52="Clientes",SUMIFS(PARÂMETROS!$B$8:$B$907,PARÂMETROS!$G$8:$G$907,F52),SUMIFS(PARÂMETROS!$C$8:$C$907,PARÂMETROS!$G$8:$G$907,F52)),0)</f>
        <v>9.3398318461530558E-2</v>
      </c>
      <c r="F52" s="11" t="s">
        <v>11</v>
      </c>
      <c r="G52" s="29">
        <f>IF(B52="Clientes",SUMIFS(PARÂMETROS!$B$8:$B$907,PARÂMETROS!$G$8:$G$907,F52),SUMIFS(PARÂMETROS!$C$8:$C$907,PARÂMETROS!$G$8:$G$907,F52))</f>
        <v>194843</v>
      </c>
    </row>
    <row r="53" spans="1:7" ht="14.25" customHeight="1" x14ac:dyDescent="0.3">
      <c r="A53" s="25" t="s">
        <v>42</v>
      </c>
      <c r="B53" s="26" t="s">
        <v>96</v>
      </c>
      <c r="C53" s="27" t="s">
        <v>109</v>
      </c>
      <c r="D53" s="20">
        <f>SUMIFS('CUSTOS MENSAIS'!$F:$F,'CUSTOS MENSAIS'!$A:$A,A53,'CUSTOS MENSAIS'!$H:$H,F53)</f>
        <v>28599.527788740801</v>
      </c>
      <c r="E53" s="20">
        <f>IFERROR(D53/IF(B53="Clientes",SUMIFS(PARÂMETROS!$B$8:$B$907,PARÂMETROS!$G$8:$G$907,F53),SUMIFS(PARÂMETROS!$C$8:$C$907,PARÂMETROS!$G$8:$G$907,F53)),0)</f>
        <v>0.14678242373983566</v>
      </c>
      <c r="F53" s="11" t="s">
        <v>11</v>
      </c>
      <c r="G53" s="29">
        <f>IF(B53="Clientes",SUMIFS(PARÂMETROS!$B$8:$B$907,PARÂMETROS!$G$8:$G$907,F53),SUMIFS(PARÂMETROS!$C$8:$C$907,PARÂMETROS!$G$8:$G$907,F53))</f>
        <v>194843</v>
      </c>
    </row>
    <row r="54" spans="1:7" ht="14.25" customHeight="1" x14ac:dyDescent="0.3">
      <c r="A54" s="25" t="s">
        <v>43</v>
      </c>
      <c r="B54" s="26" t="s">
        <v>96</v>
      </c>
      <c r="C54" s="27" t="s">
        <v>110</v>
      </c>
      <c r="D54" s="20">
        <f>SUMIFS('CUSTOS MENSAIS'!$F:$F,'CUSTOS MENSAIS'!$A:$A,A54,'CUSTOS MENSAIS'!$H:$H,F54)</f>
        <v>23910.3904</v>
      </c>
      <c r="E54" s="20">
        <f>IFERROR(D54/IF(B54="Clientes",SUMIFS(PARÂMETROS!$B$8:$B$907,PARÂMETROS!$G$8:$G$907,F54),SUMIFS(PARÂMETROS!$C$8:$C$907,PARÂMETROS!$G$8:$G$907,F54)),0)</f>
        <v>0.12271618893160134</v>
      </c>
      <c r="F54" s="11" t="s">
        <v>11</v>
      </c>
      <c r="G54" s="29">
        <f>IF(B54="Clientes",SUMIFS(PARÂMETROS!$B$8:$B$907,PARÂMETROS!$G$8:$G$907,F54),SUMIFS(PARÂMETROS!$C$8:$C$907,PARÂMETROS!$G$8:$G$907,F54))</f>
        <v>194843</v>
      </c>
    </row>
    <row r="55" spans="1:7" ht="14.25" customHeight="1" x14ac:dyDescent="0.3">
      <c r="A55" s="25" t="s">
        <v>44</v>
      </c>
      <c r="B55" s="26" t="s">
        <v>98</v>
      </c>
      <c r="C55" s="27" t="s">
        <v>111</v>
      </c>
      <c r="D55" s="20">
        <f>SUMIFS('CUSTOS MENSAIS'!$F:$F,'CUSTOS MENSAIS'!$A:$A,A55,'CUSTOS MENSAIS'!$H:$H,F55)</f>
        <v>50475.490600000005</v>
      </c>
      <c r="E55" s="20">
        <f>IFERROR(D55/IF(B55="Clientes",SUMIFS(PARÂMETROS!$B$8:$B$907,PARÂMETROS!$G$8:$G$907,F55),SUMIFS(PARÂMETROS!$C$8:$C$907,PARÂMETROS!$G$8:$G$907,F55)),0)</f>
        <v>48.117722211630131</v>
      </c>
      <c r="F55" s="11" t="s">
        <v>11</v>
      </c>
      <c r="G55" s="29">
        <f>IF(B55="Clientes",SUMIFS(PARÂMETROS!$B$8:$B$907,PARÂMETROS!$G$8:$G$907,F55),SUMIFS(PARÂMETROS!$C$8:$C$907,PARÂMETROS!$G$8:$G$907,F55))</f>
        <v>1049</v>
      </c>
    </row>
    <row r="56" spans="1:7" ht="14.25" customHeight="1" x14ac:dyDescent="0.3">
      <c r="A56" s="25" t="s">
        <v>45</v>
      </c>
      <c r="B56" s="26" t="s">
        <v>96</v>
      </c>
      <c r="C56" s="27" t="s">
        <v>112</v>
      </c>
      <c r="D56" s="20">
        <f>SUMIFS('CUSTOS MENSAIS'!$F:$F,'CUSTOS MENSAIS'!$A:$A,A56,'CUSTOS MENSAIS'!$H:$H,F56)</f>
        <v>73463.700699999987</v>
      </c>
      <c r="E56" s="20">
        <f>IFERROR(D56/IF(B56="Clientes",SUMIFS(PARÂMETROS!$B$8:$B$907,PARÂMETROS!$G$8:$G$907,F56),SUMIFS(PARÂMETROS!$C$8:$C$907,PARÂMETROS!$G$8:$G$907,F56)),0)</f>
        <v>0.37704049260173567</v>
      </c>
      <c r="F56" s="11" t="s">
        <v>11</v>
      </c>
      <c r="G56" s="29">
        <f>IF(B56="Clientes",SUMIFS(PARÂMETROS!$B$8:$B$907,PARÂMETROS!$G$8:$G$907,F56),SUMIFS(PARÂMETROS!$C$8:$C$907,PARÂMETROS!$G$8:$G$907,F56))</f>
        <v>194843</v>
      </c>
    </row>
    <row r="57" spans="1:7" ht="14.25" customHeight="1" x14ac:dyDescent="0.3">
      <c r="A57" s="25" t="s">
        <v>46</v>
      </c>
      <c r="B57" s="26" t="s">
        <v>96</v>
      </c>
      <c r="C57" s="27" t="s">
        <v>113</v>
      </c>
      <c r="D57" s="20">
        <f>SUMIFS('CUSTOS MENSAIS'!$F:$F,'CUSTOS MENSAIS'!$A:$A,A57,'CUSTOS MENSAIS'!$H:$H,F57)</f>
        <v>188228.34999999998</v>
      </c>
      <c r="E57" s="20">
        <f>IFERROR(D57/IF(B57="Clientes",SUMIFS(PARÂMETROS!$B$8:$B$907,PARÂMETROS!$G$8:$G$907,F57),SUMIFS(PARÂMETROS!$C$8:$C$907,PARÂMETROS!$G$8:$G$907,F57)),0)</f>
        <v>0.96605138496122511</v>
      </c>
      <c r="F57" s="11" t="s">
        <v>11</v>
      </c>
      <c r="G57" s="29">
        <f>IF(B57="Clientes",SUMIFS(PARÂMETROS!$B$8:$B$907,PARÂMETROS!$G$8:$G$907,F57),SUMIFS(PARÂMETROS!$C$8:$C$907,PARÂMETROS!$G$8:$G$907,F57))</f>
        <v>194843</v>
      </c>
    </row>
    <row r="58" spans="1:7" ht="15" customHeight="1" x14ac:dyDescent="0.3">
      <c r="A58" s="25" t="s">
        <v>47</v>
      </c>
      <c r="B58" s="26" t="s">
        <v>96</v>
      </c>
      <c r="C58" s="27" t="s">
        <v>114</v>
      </c>
      <c r="D58" s="20">
        <f>SUMIFS('CUSTOS MENSAIS'!$F:$F,'CUSTOS MENSAIS'!$A:$A,A58,'CUSTOS MENSAIS'!$H:$H,F58)</f>
        <v>129568.98999999999</v>
      </c>
      <c r="E58" s="20">
        <f>IFERROR(D58/IF(B58="Clientes",SUMIFS(PARÂMETROS!$B$8:$B$907,PARÂMETROS!$G$8:$G$907,F58),SUMIFS(PARÂMETROS!$C$8:$C$907,PARÂMETROS!$G$8:$G$907,F58)),0)</f>
        <v>0.66499176259860493</v>
      </c>
      <c r="F58" s="11" t="s">
        <v>11</v>
      </c>
      <c r="G58" s="29">
        <f>IF(B58="Clientes",SUMIFS(PARÂMETROS!$B$8:$B$907,PARÂMETROS!$G$8:$G$907,F58),SUMIFS(PARÂMETROS!$C$8:$C$907,PARÂMETROS!$G$8:$G$907,F58))</f>
        <v>194843</v>
      </c>
    </row>
    <row r="59" spans="1:7" ht="15" customHeight="1" x14ac:dyDescent="0.3">
      <c r="A59" s="25" t="s">
        <v>48</v>
      </c>
      <c r="B59" s="26" t="s">
        <v>96</v>
      </c>
      <c r="C59" s="27" t="s">
        <v>115</v>
      </c>
      <c r="D59" s="20">
        <f>SUMIFS('CUSTOS MENSAIS'!$F:$F,'CUSTOS MENSAIS'!$A:$A,A59,'CUSTOS MENSAIS'!$H:$H,F59)</f>
        <v>133032.35675699997</v>
      </c>
      <c r="E59" s="20">
        <f>IFERROR(D59/IF(B59="Clientes",SUMIFS(PARÂMETROS!$B$8:$B$907,PARÂMETROS!$G$8:$G$907,F59),SUMIFS(PARÂMETROS!$C$8:$C$907,PARÂMETROS!$G$8:$G$907,F59)),0)</f>
        <v>0.68276692905056879</v>
      </c>
      <c r="F59" s="11" t="s">
        <v>11</v>
      </c>
      <c r="G59" s="29">
        <f>IF(B59="Clientes",SUMIFS(PARÂMETROS!$B$8:$B$907,PARÂMETROS!$G$8:$G$907,F59),SUMIFS(PARÂMETROS!$C$8:$C$907,PARÂMETROS!$G$8:$G$907,F59))</f>
        <v>194843</v>
      </c>
    </row>
    <row r="60" spans="1:7" ht="15" customHeight="1" x14ac:dyDescent="0.3">
      <c r="A60" s="25" t="s">
        <v>49</v>
      </c>
      <c r="B60" s="26" t="s">
        <v>96</v>
      </c>
      <c r="C60" s="27" t="s">
        <v>116</v>
      </c>
      <c r="D60" s="20">
        <f>SUMIFS('CUSTOS MENSAIS'!$F:$F,'CUSTOS MENSAIS'!$A:$A,A60,'CUSTOS MENSAIS'!$H:$H,F60)</f>
        <v>33247.455043000009</v>
      </c>
      <c r="E60" s="20">
        <f>IFERROR(D60/IF(B60="Clientes",SUMIFS(PARÂMETROS!$B$8:$B$907,PARÂMETROS!$G$8:$G$907,F60),SUMIFS(PARÂMETROS!$C$8:$C$907,PARÂMETROS!$G$8:$G$907,F60)),0)</f>
        <v>0.17063715423700113</v>
      </c>
      <c r="F60" s="11" t="s">
        <v>11</v>
      </c>
      <c r="G60" s="29">
        <f>IF(B60="Clientes",SUMIFS(PARÂMETROS!$B$8:$B$907,PARÂMETROS!$G$8:$G$907,F60),SUMIFS(PARÂMETROS!$C$8:$C$907,PARÂMETROS!$G$8:$G$907,F60))</f>
        <v>194843</v>
      </c>
    </row>
    <row r="61" spans="1:7" ht="15" customHeight="1" x14ac:dyDescent="0.3">
      <c r="A61" s="25" t="s">
        <v>50</v>
      </c>
      <c r="B61" s="26" t="s">
        <v>96</v>
      </c>
      <c r="C61" s="27" t="s">
        <v>117</v>
      </c>
      <c r="D61" s="20">
        <f>SUMIFS('CUSTOS MENSAIS'!$F:$F,'CUSTOS MENSAIS'!$A:$A,A61,'CUSTOS MENSAIS'!$H:$H,F61)</f>
        <v>66303.021199999988</v>
      </c>
      <c r="E61" s="20">
        <f>IFERROR(D61/IF(B61="Clientes",SUMIFS(PARÂMETROS!$B$8:$B$907,PARÂMETROS!$G$8:$G$907,F61),SUMIFS(PARÂMETROS!$C$8:$C$907,PARÂMETROS!$G$8:$G$907,F61)),0)</f>
        <v>0.34028946998352516</v>
      </c>
      <c r="F61" s="11" t="s">
        <v>11</v>
      </c>
      <c r="G61" s="29">
        <f>IF(B61="Clientes",SUMIFS(PARÂMETROS!$B$8:$B$907,PARÂMETROS!$G$8:$G$907,F61),SUMIFS(PARÂMETROS!$C$8:$C$907,PARÂMETROS!$G$8:$G$907,F61))</f>
        <v>194843</v>
      </c>
    </row>
    <row r="62" spans="1:7" ht="15" customHeight="1" x14ac:dyDescent="0.3">
      <c r="A62" s="25" t="s">
        <v>51</v>
      </c>
      <c r="B62" s="26" t="s">
        <v>96</v>
      </c>
      <c r="C62" s="27" t="s">
        <v>118</v>
      </c>
      <c r="D62" s="20">
        <f>SUMIFS('CUSTOS MENSAIS'!$F:$F,'CUSTOS MENSAIS'!$A:$A,A62,'CUSTOS MENSAIS'!$H:$H,F62)</f>
        <v>155386.55811844495</v>
      </c>
      <c r="E62" s="20">
        <f>IFERROR(D62/IF(B62="Clientes",SUMIFS(PARÂMETROS!$B$8:$B$907,PARÂMETROS!$G$8:$G$907,F62),SUMIFS(PARÂMETROS!$C$8:$C$907,PARÂMETROS!$G$8:$G$907,F62)),0)</f>
        <v>0.79749623090613964</v>
      </c>
      <c r="F62" s="11" t="s">
        <v>11</v>
      </c>
      <c r="G62" s="29">
        <f>IF(B62="Clientes",SUMIFS(PARÂMETROS!$B$8:$B$907,PARÂMETROS!$G$8:$G$907,F62),SUMIFS(PARÂMETROS!$C$8:$C$907,PARÂMETROS!$G$8:$G$907,F62))</f>
        <v>194843</v>
      </c>
    </row>
    <row r="63" spans="1:7" ht="15" customHeight="1" x14ac:dyDescent="0.3">
      <c r="A63" s="25" t="s">
        <v>52</v>
      </c>
      <c r="B63" s="26" t="s">
        <v>96</v>
      </c>
      <c r="C63" s="27" t="s">
        <v>119</v>
      </c>
      <c r="D63" s="20">
        <f>SUMIFS('CUSTOS MENSAIS'!$F:$F,'CUSTOS MENSAIS'!$A:$A,A63,'CUSTOS MENSAIS'!$H:$H,F63)</f>
        <v>35189.313446</v>
      </c>
      <c r="E63" s="20">
        <f>IFERROR(D63/IF(B63="Clientes",SUMIFS(PARÂMETROS!$B$8:$B$907,PARÂMETROS!$G$8:$G$907,F63),SUMIFS(PARÂMETROS!$C$8:$C$907,PARÂMETROS!$G$8:$G$907,F63)),0)</f>
        <v>0.18060342658448084</v>
      </c>
      <c r="F63" s="11" t="s">
        <v>11</v>
      </c>
      <c r="G63" s="29">
        <f>IF(B63="Clientes",SUMIFS(PARÂMETROS!$B$8:$B$907,PARÂMETROS!$G$8:$G$907,F63),SUMIFS(PARÂMETROS!$C$8:$C$907,PARÂMETROS!$G$8:$G$907,F63))</f>
        <v>194843</v>
      </c>
    </row>
    <row r="64" spans="1:7" ht="15" customHeight="1" x14ac:dyDescent="0.3">
      <c r="A64" s="25" t="s">
        <v>53</v>
      </c>
      <c r="B64" s="26" t="s">
        <v>96</v>
      </c>
      <c r="C64" s="27" t="s">
        <v>120</v>
      </c>
      <c r="D64" s="20">
        <f>SUMIFS('CUSTOS MENSAIS'!$F:$F,'CUSTOS MENSAIS'!$A:$A,A64,'CUSTOS MENSAIS'!$H:$H,F64)</f>
        <v>126953.68388599997</v>
      </c>
      <c r="E64" s="20">
        <f>IFERROR(D64/IF(B64="Clientes",SUMIFS(PARÂMETROS!$B$8:$B$907,PARÂMETROS!$G$8:$G$907,F64),SUMIFS(PARÂMETROS!$C$8:$C$907,PARÂMETROS!$G$8:$G$907,F64)),0)</f>
        <v>0.65156912943241463</v>
      </c>
      <c r="F64" s="11" t="s">
        <v>11</v>
      </c>
      <c r="G64" s="29">
        <f>IF(B64="Clientes",SUMIFS(PARÂMETROS!$B$8:$B$907,PARÂMETROS!$G$8:$G$907,F64),SUMIFS(PARÂMETROS!$C$8:$C$907,PARÂMETROS!$G$8:$G$907,F64))</f>
        <v>194843</v>
      </c>
    </row>
    <row r="65" spans="1:7" ht="15" customHeight="1" x14ac:dyDescent="0.3">
      <c r="A65" s="25" t="s">
        <v>54</v>
      </c>
      <c r="B65" s="26" t="s">
        <v>134</v>
      </c>
      <c r="C65" s="27" t="s">
        <v>121</v>
      </c>
      <c r="D65" s="20">
        <f>SUMIFS('CUSTOS MENSAIS'!$F:$F,'CUSTOS MENSAIS'!$A:$A,A65,'CUSTOS MENSAIS'!$H:$H,F65)</f>
        <v>143669.76804</v>
      </c>
      <c r="E65" s="20">
        <f>IFERROR(D65/G65,0)</f>
        <v>997.70672249999996</v>
      </c>
      <c r="F65" s="11" t="s">
        <v>11</v>
      </c>
      <c r="G65" s="29">
        <v>144</v>
      </c>
    </row>
    <row r="66" spans="1:7" ht="15" customHeight="1" x14ac:dyDescent="0.3">
      <c r="A66" s="25" t="s">
        <v>55</v>
      </c>
      <c r="B66" s="26" t="s">
        <v>98</v>
      </c>
      <c r="C66" s="27" t="s">
        <v>122</v>
      </c>
      <c r="D66" s="20">
        <f>SUMIFS('CUSTOS MENSAIS'!$F:$F,'CUSTOS MENSAIS'!$A:$A,A66,'CUSTOS MENSAIS'!$H:$H,F66)</f>
        <v>23776.15</v>
      </c>
      <c r="E66" s="20">
        <f>IFERROR(D66/IF(B66="Clientes",SUMIFS(PARÂMETROS!$B$8:$B$907,PARÂMETROS!$G$8:$G$907,F66),SUMIFS(PARÂMETROS!$C$8:$C$907,PARÂMETROS!$G$8:$G$907,F66)),0)</f>
        <v>22.665538608198286</v>
      </c>
      <c r="F66" s="11" t="s">
        <v>11</v>
      </c>
      <c r="G66" s="29">
        <f>IF(B66="Clientes",SUMIFS(PARÂMETROS!$B$8:$B$907,PARÂMETROS!$G$8:$G$907,F66),SUMIFS(PARÂMETROS!$C$8:$C$907,PARÂMETROS!$G$8:$G$907,F66))</f>
        <v>1049</v>
      </c>
    </row>
    <row r="67" spans="1:7" ht="15" customHeight="1" x14ac:dyDescent="0.3">
      <c r="A67" s="25" t="s">
        <v>86</v>
      </c>
      <c r="B67" s="26" t="s">
        <v>96</v>
      </c>
      <c r="C67" s="27" t="s">
        <v>123</v>
      </c>
      <c r="D67" s="20">
        <f>SUMIFS('CUSTOS MENSAIS'!$F:$F,'CUSTOS MENSAIS'!$A:$A,A67,'CUSTOS MENSAIS'!$H:$H,F67)</f>
        <v>35036.850912000002</v>
      </c>
      <c r="E67" s="20">
        <f>IFERROR(D67/IF(B67="Clientes",SUMIFS(PARÂMETROS!$B$8:$B$907,PARÂMETROS!$G$8:$G$907,F67),SUMIFS(PARÂMETROS!$C$8:$C$907,PARÂMETROS!$G$8:$G$907,F67)),0)</f>
        <v>0.17982093743167576</v>
      </c>
      <c r="F67" s="11" t="s">
        <v>11</v>
      </c>
      <c r="G67" s="29">
        <f>IF(B67="Clientes",SUMIFS(PARÂMETROS!$B$8:$B$907,PARÂMETROS!$G$8:$G$907,F67),SUMIFS(PARÂMETROS!$C$8:$C$907,PARÂMETROS!$G$8:$G$907,F67))</f>
        <v>194843</v>
      </c>
    </row>
    <row r="68" spans="1:7" ht="15" customHeight="1" x14ac:dyDescent="0.3">
      <c r="A68" s="25" t="s">
        <v>83</v>
      </c>
      <c r="B68" s="26" t="s">
        <v>96</v>
      </c>
      <c r="C68" s="27" t="s">
        <v>124</v>
      </c>
      <c r="D68" s="20">
        <f>SUMIFS('CUSTOS MENSAIS'!$F:$F,'CUSTOS MENSAIS'!$A:$A,A68,'CUSTOS MENSAIS'!$H:$H,F68)</f>
        <v>15557.95</v>
      </c>
      <c r="E68" s="20">
        <f>IFERROR(D68/IF(B68="Clientes",SUMIFS(PARÂMETROS!$B$8:$B$907,PARÂMETROS!$G$8:$G$907,F68),SUMIFS(PARÂMETROS!$C$8:$C$907,PARÂMETROS!$G$8:$G$907,F68)),0)</f>
        <v>7.9848647372499915E-2</v>
      </c>
      <c r="F68" s="11" t="s">
        <v>11</v>
      </c>
      <c r="G68" s="29">
        <f>IF(B68="Clientes",SUMIFS(PARÂMETROS!$B$8:$B$907,PARÂMETROS!$G$8:$G$907,F68),SUMIFS(PARÂMETROS!$C$8:$C$907,PARÂMETROS!$G$8:$G$907,F68))</f>
        <v>194843</v>
      </c>
    </row>
    <row r="69" spans="1:7" ht="15" customHeight="1" x14ac:dyDescent="0.3">
      <c r="A69" s="25" t="s">
        <v>85</v>
      </c>
      <c r="B69" s="26" t="s">
        <v>96</v>
      </c>
      <c r="C69" s="27" t="s">
        <v>125</v>
      </c>
      <c r="D69" s="20">
        <f>SUMIFS('CUSTOS MENSAIS'!$F:$F,'CUSTOS MENSAIS'!$A:$A,A69,'CUSTOS MENSAIS'!$H:$H,F69)</f>
        <v>57175.1466</v>
      </c>
      <c r="E69" s="20">
        <f>IFERROR(D69/IF(B69="Clientes",SUMIFS(PARÂMETROS!$B$8:$B$907,PARÂMETROS!$G$8:$G$907,F69),SUMIFS(PARÂMETROS!$C$8:$C$907,PARÂMETROS!$G$8:$G$907,F69)),0)</f>
        <v>0.29344213854231355</v>
      </c>
      <c r="F69" s="11" t="s">
        <v>11</v>
      </c>
      <c r="G69" s="29">
        <f>IF(B69="Clientes",SUMIFS(PARÂMETROS!$B$8:$B$907,PARÂMETROS!$G$8:$G$907,F69),SUMIFS(PARÂMETROS!$C$8:$C$907,PARÂMETROS!$G$8:$G$907,F69))</f>
        <v>194843</v>
      </c>
    </row>
    <row r="70" spans="1:7" ht="15" customHeight="1" x14ac:dyDescent="0.3">
      <c r="A70" s="25" t="s">
        <v>87</v>
      </c>
      <c r="B70" s="26" t="s">
        <v>96</v>
      </c>
      <c r="C70" s="27" t="s">
        <v>126</v>
      </c>
      <c r="D70" s="20">
        <f>SUMIFS('CUSTOS MENSAIS'!$F:$F,'CUSTOS MENSAIS'!$A:$A,A70,'CUSTOS MENSAIS'!$H:$H,F70)</f>
        <v>32275.312921000004</v>
      </c>
      <c r="E70" s="20">
        <f>IFERROR(D70/IF(B70="Clientes",SUMIFS(PARÂMETROS!$B$8:$B$907,PARÂMETROS!$G$8:$G$907,F70),SUMIFS(PARÂMETROS!$C$8:$C$907,PARÂMETROS!$G$8:$G$907,F70)),0)</f>
        <v>0.16564779294611562</v>
      </c>
      <c r="F70" s="11" t="s">
        <v>11</v>
      </c>
      <c r="G70" s="29">
        <f>IF(B70="Clientes",SUMIFS(PARÂMETROS!$B$8:$B$907,PARÂMETROS!$G$8:$G$907,F70),SUMIFS(PARÂMETROS!$C$8:$C$907,PARÂMETROS!$G$8:$G$907,F70))</f>
        <v>194843</v>
      </c>
    </row>
    <row r="71" spans="1:7" ht="15" customHeight="1" x14ac:dyDescent="0.3">
      <c r="A71" s="25" t="s">
        <v>78</v>
      </c>
      <c r="B71" s="26" t="s">
        <v>96</v>
      </c>
      <c r="C71" s="27" t="s">
        <v>127</v>
      </c>
      <c r="D71" s="20">
        <f>SUMIFS('CUSTOS MENSAIS'!$F:$F,'CUSTOS MENSAIS'!$A:$A,A71,'CUSTOS MENSAIS'!$H:$H,F71)</f>
        <v>94839.631500000003</v>
      </c>
      <c r="E71" s="20">
        <f>IFERROR(D71/IF(B71="Clientes",SUMIFS(PARÂMETROS!$B$8:$B$907,PARÂMETROS!$G$8:$G$907,F71),SUMIFS(PARÂMETROS!$C$8:$C$907,PARÂMETROS!$G$8:$G$907,F71)),0)</f>
        <v>0.48674897994795813</v>
      </c>
      <c r="F71" s="11" t="s">
        <v>11</v>
      </c>
      <c r="G71" s="29">
        <f>IF(B71="Clientes",SUMIFS(PARÂMETROS!$B$8:$B$907,PARÂMETROS!$G$8:$G$907,F71),SUMIFS(PARÂMETROS!$C$8:$C$907,PARÂMETROS!$G$8:$G$907,F71))</f>
        <v>194843</v>
      </c>
    </row>
    <row r="72" spans="1:7" ht="14.25" customHeight="1" x14ac:dyDescent="0.3">
      <c r="A72" s="25" t="s">
        <v>81</v>
      </c>
      <c r="B72" s="26" t="s">
        <v>96</v>
      </c>
      <c r="C72" s="27" t="s">
        <v>128</v>
      </c>
      <c r="D72" s="20">
        <f>SUMIFS('CUSTOS MENSAIS'!$F:$F,'CUSTOS MENSAIS'!$A:$A,A72,'CUSTOS MENSAIS'!$H:$H,F72)</f>
        <v>13388.392728000001</v>
      </c>
      <c r="E72" s="20">
        <f>IFERROR(D72/IF(B72="Clientes",SUMIFS(PARÂMETROS!$B$8:$B$907,PARÂMETROS!$G$8:$G$907,F72),SUMIFS(PARÂMETROS!$C$8:$C$907,PARÂMETROS!$G$8:$G$907,F72)),0)</f>
        <v>6.871374762244474E-2</v>
      </c>
      <c r="F72" s="11" t="s">
        <v>11</v>
      </c>
      <c r="G72" s="29">
        <f>IF(B72="Clientes",SUMIFS(PARÂMETROS!$B$8:$B$907,PARÂMETROS!$G$8:$G$907,F72),SUMIFS(PARÂMETROS!$C$8:$C$907,PARÂMETROS!$G$8:$G$907,F72))</f>
        <v>194843</v>
      </c>
    </row>
    <row r="73" spans="1:7" ht="15" customHeight="1" x14ac:dyDescent="0.3">
      <c r="A73" s="25" t="s">
        <v>84</v>
      </c>
      <c r="B73" s="26" t="s">
        <v>96</v>
      </c>
      <c r="C73" s="27" t="s">
        <v>129</v>
      </c>
      <c r="D73" s="20">
        <f>SUMIFS('CUSTOS MENSAIS'!$F:$F,'CUSTOS MENSAIS'!$A:$A,A73,'CUSTOS MENSAIS'!$H:$H,F73)</f>
        <v>162834.54</v>
      </c>
      <c r="E73" s="20">
        <f>IFERROR(D73/IF(B73="Clientes",SUMIFS(PARÂMETROS!$B$8:$B$907,PARÂMETROS!$G$8:$G$907,F73),SUMIFS(PARÂMETROS!$C$8:$C$907,PARÂMETROS!$G$8:$G$907,F73)),0)</f>
        <v>0.8357217862586801</v>
      </c>
      <c r="F73" s="11" t="s">
        <v>11</v>
      </c>
      <c r="G73" s="29">
        <f>IF(B73="Clientes",SUMIFS(PARÂMETROS!$B$8:$B$907,PARÂMETROS!$G$8:$G$907,F73),SUMIFS(PARÂMETROS!$C$8:$C$907,PARÂMETROS!$G$8:$G$907,F73))</f>
        <v>194843</v>
      </c>
    </row>
    <row r="74" spans="1:7" ht="15" customHeight="1" x14ac:dyDescent="0.3">
      <c r="A74" s="25" t="s">
        <v>82</v>
      </c>
      <c r="B74" s="26" t="s">
        <v>96</v>
      </c>
      <c r="C74" s="27" t="s">
        <v>130</v>
      </c>
      <c r="D74" s="20">
        <f>SUMIFS('CUSTOS MENSAIS'!$F:$F,'CUSTOS MENSAIS'!$A:$A,A74,'CUSTOS MENSAIS'!$H:$H,F74)</f>
        <v>106633.76999999999</v>
      </c>
      <c r="E74" s="20">
        <f>IFERROR(D74/IF(B74="Clientes",SUMIFS(PARÂMETROS!$B$8:$B$907,PARÂMETROS!$G$8:$G$907,F74),SUMIFS(PARÂMETROS!$C$8:$C$907,PARÂMETROS!$G$8:$G$907,F74)),0)</f>
        <v>0.54728047710207706</v>
      </c>
      <c r="F74" s="11" t="s">
        <v>11</v>
      </c>
      <c r="G74" s="29">
        <f>IF(B74="Clientes",SUMIFS(PARÂMETROS!$B$8:$B$907,PARÂMETROS!$G$8:$G$907,F74),SUMIFS(PARÂMETROS!$C$8:$C$907,PARÂMETROS!$G$8:$G$907,F74))</f>
        <v>194843</v>
      </c>
    </row>
    <row r="75" spans="1:7" ht="15" customHeight="1" x14ac:dyDescent="0.3">
      <c r="A75" s="25" t="s">
        <v>80</v>
      </c>
      <c r="B75" s="26" t="s">
        <v>96</v>
      </c>
      <c r="C75" s="27" t="s">
        <v>131</v>
      </c>
      <c r="D75" s="20">
        <f>SUMIFS('CUSTOS MENSAIS'!$F:$F,'CUSTOS MENSAIS'!$A:$A,A75,'CUSTOS MENSAIS'!$H:$H,F75)</f>
        <v>29374.965692000002</v>
      </c>
      <c r="E75" s="20">
        <f>IFERROR(D75/IF(B75="Clientes",SUMIFS(PARÂMETROS!$B$8:$B$907,PARÂMETROS!$G$8:$G$907,F75),SUMIFS(PARÂMETROS!$C$8:$C$907,PARÂMETROS!$G$8:$G$907,F75)),0)</f>
        <v>0.15076223262832128</v>
      </c>
      <c r="F75" s="11" t="s">
        <v>11</v>
      </c>
      <c r="G75" s="29">
        <f>IF(B75="Clientes",SUMIFS(PARÂMETROS!$B$8:$B$907,PARÂMETROS!$G$8:$G$907,F75),SUMIFS(PARÂMETROS!$C$8:$C$907,PARÂMETROS!$G$8:$G$907,F75))</f>
        <v>194843</v>
      </c>
    </row>
    <row r="76" spans="1:7" ht="15" customHeight="1" x14ac:dyDescent="0.3">
      <c r="A76" s="25" t="s">
        <v>79</v>
      </c>
      <c r="B76" s="26" t="s">
        <v>98</v>
      </c>
      <c r="C76" s="27" t="s">
        <v>132</v>
      </c>
      <c r="D76" s="20">
        <f>SUMIFS('CUSTOS MENSAIS'!$F:$F,'CUSTOS MENSAIS'!$A:$A,A76,'CUSTOS MENSAIS'!$H:$H,F76)</f>
        <v>47063.980699999993</v>
      </c>
      <c r="E76" s="20">
        <f>IFERROR(D76/G76,0)</f>
        <v>55.174654982414999</v>
      </c>
      <c r="F76" s="11" t="s">
        <v>11</v>
      </c>
      <c r="G76" s="29">
        <f>SUMIFS(PARÂMETROS!$C$8:$C$907,PARÂMETROS!$G$8:$G$907,F76,PARÂMETROS!$A$8:$A$907,"DTEL (uso próprio)")</f>
        <v>853</v>
      </c>
    </row>
    <row r="77" spans="1:7" ht="15" customHeight="1" x14ac:dyDescent="0.3">
      <c r="A77" s="16" t="s">
        <v>135</v>
      </c>
      <c r="B77" s="30"/>
      <c r="C77" s="31"/>
      <c r="D77" s="32">
        <f>SUM(D42:D76)+D115+D118+D121+D124</f>
        <v>2500089.9313411857</v>
      </c>
      <c r="E77" s="32"/>
      <c r="F77" s="30"/>
      <c r="G77" s="33"/>
    </row>
    <row r="78" spans="1:7" ht="15" customHeight="1" x14ac:dyDescent="0.3">
      <c r="A78" s="25" t="s">
        <v>31</v>
      </c>
      <c r="B78" s="26" t="s">
        <v>96</v>
      </c>
      <c r="C78" s="27" t="s">
        <v>97</v>
      </c>
      <c r="D78" s="20">
        <f>SUMIFS('CUSTOS MENSAIS'!$F:$F,'CUSTOS MENSAIS'!$A:$A,A78,'CUSTOS MENSAIS'!$H:$H,F78)</f>
        <v>74925.256200000003</v>
      </c>
      <c r="E78" s="20">
        <f>IFERROR(D78/IF(B78="Clientes",SUMIFS(PARÂMETROS!$B$8:$B$907,PARÂMETROS!$G$8:$G$907,F78),SUMIFS(PARÂMETROS!$C$8:$C$907,PARÂMETROS!$G$8:$G$907,F78)),0)</f>
        <v>0.37185410862023616</v>
      </c>
      <c r="F78" s="11" t="s">
        <v>21</v>
      </c>
      <c r="G78" s="29">
        <f>IF(B78="Clientes",SUMIFS(PARÂMETROS!$B$8:$B$907,PARÂMETROS!$G$8:$G$907,F78),SUMIFS(PARÂMETROS!$C$8:$C$907,PARÂMETROS!$G$8:$G$907,F78))</f>
        <v>201491</v>
      </c>
    </row>
    <row r="79" spans="1:7" ht="15" customHeight="1" x14ac:dyDescent="0.3">
      <c r="A79" s="25" t="s">
        <v>32</v>
      </c>
      <c r="B79" s="26" t="s">
        <v>98</v>
      </c>
      <c r="C79" s="27" t="s">
        <v>99</v>
      </c>
      <c r="D79" s="20">
        <f>SUMIFS('CUSTOS MENSAIS'!$F:$F,'CUSTOS MENSAIS'!$A:$A,A79,'CUSTOS MENSAIS'!$H:$H,F79)</f>
        <v>38844.825852000009</v>
      </c>
      <c r="E79" s="20">
        <f>IFERROR(D79/IF(B79="Clientes",SUMIFS(PARÂMETROS!$B$8:$B$907,PARÂMETROS!$G$8:$G$907,F79),SUMIFS(PARÂMETROS!$C$8:$C$907,PARÂMETROS!$G$8:$G$907,F79)),0)</f>
        <v>35.637454910091755</v>
      </c>
      <c r="F79" s="11" t="s">
        <v>21</v>
      </c>
      <c r="G79" s="29">
        <f>IF(B79="Clientes",SUMIFS(PARÂMETROS!$B$8:$B$907,PARÂMETROS!$G$8:$G$907,F79),SUMIFS(PARÂMETROS!$C$8:$C$907,PARÂMETROS!$G$8:$G$907,F79))</f>
        <v>1090</v>
      </c>
    </row>
    <row r="80" spans="1:7" ht="15" customHeight="1" x14ac:dyDescent="0.3">
      <c r="A80" s="25" t="s">
        <v>33</v>
      </c>
      <c r="B80" s="26" t="s">
        <v>98</v>
      </c>
      <c r="C80" s="27" t="s">
        <v>100</v>
      </c>
      <c r="D80" s="20">
        <f>SUMIFS('CUSTOS MENSAIS'!$F:$F,'CUSTOS MENSAIS'!$A:$A,A80,'CUSTOS MENSAIS'!$H:$H,F80)</f>
        <v>57153.85070000001</v>
      </c>
      <c r="E80" s="20">
        <f>IFERROR(D80/IF(B80="Clientes",SUMIFS(PARÂMETROS!$B$8:$B$907,PARÂMETROS!$G$8:$G$907,F80),SUMIFS(PARÂMETROS!$C$8:$C$907,PARÂMETROS!$G$8:$G$907,F80)),0)</f>
        <v>52.434725412844045</v>
      </c>
      <c r="F80" s="11" t="s">
        <v>21</v>
      </c>
      <c r="G80" s="29">
        <f>IF(B80="Clientes",SUMIFS(PARÂMETROS!$B$8:$B$907,PARÂMETROS!$G$8:$G$907,F80),SUMIFS(PARÂMETROS!$C$8:$C$907,PARÂMETROS!$G$8:$G$907,F80))</f>
        <v>1090</v>
      </c>
    </row>
    <row r="81" spans="1:7" ht="15" customHeight="1" x14ac:dyDescent="0.3">
      <c r="A81" s="25" t="s">
        <v>34</v>
      </c>
      <c r="B81" s="26" t="s">
        <v>96</v>
      </c>
      <c r="C81" s="27" t="s">
        <v>101</v>
      </c>
      <c r="D81" s="20">
        <f>SUMIFS('CUSTOS MENSAIS'!$F:$F,'CUSTOS MENSAIS'!$A:$A,A81,'CUSTOS MENSAIS'!$H:$H,F81)</f>
        <v>27303.005652000003</v>
      </c>
      <c r="E81" s="20">
        <f>IFERROR(D81/IF(B81="Clientes",SUMIFS(PARÂMETROS!$B$8:$B$907,PARÂMETROS!$G$8:$G$907,F81),SUMIFS(PARÂMETROS!$C$8:$C$907,PARÂMETROS!$G$8:$G$907,F81)),0)</f>
        <v>0.13550483968018423</v>
      </c>
      <c r="F81" s="11" t="s">
        <v>21</v>
      </c>
      <c r="G81" s="29">
        <f>IF(B81="Clientes",SUMIFS(PARÂMETROS!$B$8:$B$907,PARÂMETROS!$G$8:$G$907,F81),SUMIFS(PARÂMETROS!$C$8:$C$907,PARÂMETROS!$G$8:$G$907,F81))</f>
        <v>201491</v>
      </c>
    </row>
    <row r="82" spans="1:7" ht="15" customHeight="1" x14ac:dyDescent="0.3">
      <c r="A82" s="25" t="s">
        <v>35</v>
      </c>
      <c r="B82" s="26" t="s">
        <v>96</v>
      </c>
      <c r="C82" s="27" t="s">
        <v>102</v>
      </c>
      <c r="D82" s="20">
        <f>SUMIFS('CUSTOS MENSAIS'!$F:$F,'CUSTOS MENSAIS'!$A:$A,A82,'CUSTOS MENSAIS'!$H:$H,F82)</f>
        <v>11204.9218</v>
      </c>
      <c r="E82" s="20">
        <f>IFERROR(D82/IF(B82="Clientes",SUMIFS(PARÂMETROS!$B$8:$B$907,PARÂMETROS!$G$8:$G$907,F82),SUMIFS(PARÂMETROS!$C$8:$C$907,PARÂMETROS!$G$8:$G$907,F82)),0)</f>
        <v>5.5610036180276046E-2</v>
      </c>
      <c r="F82" s="11" t="s">
        <v>21</v>
      </c>
      <c r="G82" s="29">
        <f>IF(B82="Clientes",SUMIFS(PARÂMETROS!$B$8:$B$907,PARÂMETROS!$G$8:$G$907,F82),SUMIFS(PARÂMETROS!$C$8:$C$907,PARÂMETROS!$G$8:$G$907,F82))</f>
        <v>201491</v>
      </c>
    </row>
    <row r="83" spans="1:7" ht="15" customHeight="1" x14ac:dyDescent="0.3">
      <c r="A83" s="25" t="s">
        <v>36</v>
      </c>
      <c r="B83" s="26" t="s">
        <v>96</v>
      </c>
      <c r="C83" s="27" t="s">
        <v>103</v>
      </c>
      <c r="D83" s="20">
        <f>SUMIFS('CUSTOS MENSAIS'!$F:$F,'CUSTOS MENSAIS'!$A:$A,A83,'CUSTOS MENSAIS'!$H:$H,F83)</f>
        <v>75309.688399999999</v>
      </c>
      <c r="E83" s="20">
        <f>IFERROR(D83/IF(B83="Clientes",SUMIFS(PARÂMETROS!$B$8:$B$907,PARÂMETROS!$G$8:$G$907,F83),SUMIFS(PARÂMETROS!$C$8:$C$907,PARÂMETROS!$G$8:$G$907,F83)),0)</f>
        <v>0.37376204594746165</v>
      </c>
      <c r="F83" s="11" t="s">
        <v>21</v>
      </c>
      <c r="G83" s="29">
        <f>IF(B83="Clientes",SUMIFS(PARÂMETROS!$B$8:$B$907,PARÂMETROS!$G$8:$G$907,F83),SUMIFS(PARÂMETROS!$C$8:$C$907,PARÂMETROS!$G$8:$G$907,F83))</f>
        <v>201491</v>
      </c>
    </row>
    <row r="84" spans="1:7" ht="14.25" customHeight="1" x14ac:dyDescent="0.3">
      <c r="A84" s="25" t="s">
        <v>37</v>
      </c>
      <c r="B84" s="26" t="s">
        <v>96</v>
      </c>
      <c r="C84" s="27" t="s">
        <v>104</v>
      </c>
      <c r="D84" s="20">
        <f>SUMIFS('CUSTOS MENSAIS'!$F:$F,'CUSTOS MENSAIS'!$A:$A,A84,'CUSTOS MENSAIS'!$H:$H,F84)</f>
        <v>162494.87608400002</v>
      </c>
      <c r="E84" s="20">
        <f>IFERROR(D84/IF(B84="Clientes",SUMIFS(PARÂMETROS!$B$8:$B$907,PARÂMETROS!$G$8:$G$907,F84),SUMIFS(PARÂMETROS!$C$8:$C$907,PARÂMETROS!$G$8:$G$907,F84)),0)</f>
        <v>0.80646220468408025</v>
      </c>
      <c r="F84" s="11" t="s">
        <v>21</v>
      </c>
      <c r="G84" s="29">
        <f>IF(B84="Clientes",SUMIFS(PARÂMETROS!$B$8:$B$907,PARÂMETROS!$G$8:$G$907,F84),SUMIFS(PARÂMETROS!$C$8:$C$907,PARÂMETROS!$G$8:$G$907,F84))</f>
        <v>201491</v>
      </c>
    </row>
    <row r="85" spans="1:7" ht="14.25" customHeight="1" x14ac:dyDescent="0.3">
      <c r="A85" s="25" t="s">
        <v>38</v>
      </c>
      <c r="B85" s="26" t="s">
        <v>96</v>
      </c>
      <c r="C85" s="27" t="s">
        <v>105</v>
      </c>
      <c r="D85" s="20">
        <f>SUMIFS('CUSTOS MENSAIS'!$F:$F,'CUSTOS MENSAIS'!$A:$A,A85,'CUSTOS MENSAIS'!$H:$H,F85)</f>
        <v>43123.897385999997</v>
      </c>
      <c r="E85" s="20">
        <f>IFERROR(D85/IF(B85="Clientes",SUMIFS(PARÂMETROS!$B$8:$B$907,PARÂMETROS!$G$8:$G$907,F85),SUMIFS(PARÂMETROS!$C$8:$C$907,PARÂMETROS!$G$8:$G$907,F85)),0)</f>
        <v>0.2140239384687157</v>
      </c>
      <c r="F85" s="11" t="s">
        <v>21</v>
      </c>
      <c r="G85" s="29">
        <f>IF(B85="Clientes",SUMIFS(PARÂMETROS!$B$8:$B$907,PARÂMETROS!$G$8:$G$907,F85),SUMIFS(PARÂMETROS!$C$8:$C$907,PARÂMETROS!$G$8:$G$907,F85))</f>
        <v>201491</v>
      </c>
    </row>
    <row r="86" spans="1:7" ht="14.25" customHeight="1" x14ac:dyDescent="0.3">
      <c r="A86" s="25" t="s">
        <v>39</v>
      </c>
      <c r="B86" s="26" t="s">
        <v>96</v>
      </c>
      <c r="C86" s="27" t="s">
        <v>106</v>
      </c>
      <c r="D86" s="20">
        <f>SUMIFS('CUSTOS MENSAIS'!$F:$F,'CUSTOS MENSAIS'!$A:$A,A86,'CUSTOS MENSAIS'!$H:$H,F86)</f>
        <v>52493.491478999997</v>
      </c>
      <c r="E86" s="20">
        <f>IFERROR(D86/IF(B86="Clientes",SUMIFS(PARÂMETROS!$B$8:$B$907,PARÂMETROS!$G$8:$G$907,F86),SUMIFS(PARÂMETROS!$C$8:$C$907,PARÂMETROS!$G$8:$G$907,F86)),0)</f>
        <v>0.26052524171799235</v>
      </c>
      <c r="F86" s="11" t="s">
        <v>21</v>
      </c>
      <c r="G86" s="29">
        <f>IF(B86="Clientes",SUMIFS(PARÂMETROS!$B$8:$B$907,PARÂMETROS!$G$8:$G$907,F86),SUMIFS(PARÂMETROS!$C$8:$C$907,PARÂMETROS!$G$8:$G$907,F86))</f>
        <v>201491</v>
      </c>
    </row>
    <row r="87" spans="1:7" ht="14.25" customHeight="1" x14ac:dyDescent="0.3">
      <c r="A87" s="25" t="s">
        <v>40</v>
      </c>
      <c r="B87" s="26" t="s">
        <v>96</v>
      </c>
      <c r="C87" s="27" t="s">
        <v>107</v>
      </c>
      <c r="D87" s="20">
        <f>SUMIFS('CUSTOS MENSAIS'!$F:$F,'CUSTOS MENSAIS'!$A:$A,A87,'CUSTOS MENSAIS'!$H:$H,F87)</f>
        <v>36743.588160000007</v>
      </c>
      <c r="E87" s="20">
        <f>IFERROR(D87/IF(B87="Clientes",SUMIFS(PARÂMETROS!$B$8:$B$907,PARÂMETROS!$G$8:$G$907,F87),SUMIFS(PARÂMETROS!$C$8:$C$907,PARÂMETROS!$G$8:$G$907,F87)),0)</f>
        <v>0.1823584584919426</v>
      </c>
      <c r="F87" s="11" t="s">
        <v>21</v>
      </c>
      <c r="G87" s="29">
        <f>IF(B87="Clientes",SUMIFS(PARÂMETROS!$B$8:$B$907,PARÂMETROS!$G$8:$G$907,F87),SUMIFS(PARÂMETROS!$C$8:$C$907,PARÂMETROS!$G$8:$G$907,F87))</f>
        <v>201491</v>
      </c>
    </row>
    <row r="88" spans="1:7" ht="14.25" customHeight="1" x14ac:dyDescent="0.3">
      <c r="A88" s="25" t="s">
        <v>41</v>
      </c>
      <c r="B88" s="26" t="s">
        <v>96</v>
      </c>
      <c r="C88" s="27" t="s">
        <v>108</v>
      </c>
      <c r="D88" s="20">
        <f>SUMIFS('CUSTOS MENSAIS'!$F:$F,'CUSTOS MENSAIS'!$A:$A,A88,'CUSTOS MENSAIS'!$H:$H,F88)</f>
        <v>20096.857592</v>
      </c>
      <c r="E88" s="20">
        <f>IFERROR(D88/IF(B88="Clientes",SUMIFS(PARÂMETROS!$B$8:$B$907,PARÂMETROS!$G$8:$G$907,F88),SUMIFS(PARÂMETROS!$C$8:$C$907,PARÂMETROS!$G$8:$G$907,F88)),0)</f>
        <v>9.9740720885796386E-2</v>
      </c>
      <c r="F88" s="11" t="s">
        <v>21</v>
      </c>
      <c r="G88" s="29">
        <f>IF(B88="Clientes",SUMIFS(PARÂMETROS!$B$8:$B$907,PARÂMETROS!$G$8:$G$907,F88),SUMIFS(PARÂMETROS!$C$8:$C$907,PARÂMETROS!$G$8:$G$907,F88))</f>
        <v>201491</v>
      </c>
    </row>
    <row r="89" spans="1:7" ht="14.25" customHeight="1" x14ac:dyDescent="0.3">
      <c r="A89" s="25" t="s">
        <v>42</v>
      </c>
      <c r="B89" s="26" t="s">
        <v>96</v>
      </c>
      <c r="C89" s="27" t="s">
        <v>109</v>
      </c>
      <c r="D89" s="20">
        <f>SUMIFS('CUSTOS MENSAIS'!$F:$F,'CUSTOS MENSAIS'!$A:$A,A89,'CUSTOS MENSAIS'!$H:$H,F89)</f>
        <v>27599.878661777799</v>
      </c>
      <c r="E89" s="20">
        <f>IFERROR(D89/IF(B89="Clientes",SUMIFS(PARÂMETROS!$B$8:$B$907,PARÂMETROS!$G$8:$G$907,F89),SUMIFS(PARÂMETROS!$C$8:$C$907,PARÂMETROS!$G$8:$G$907,F89)),0)</f>
        <v>0.13697822067376605</v>
      </c>
      <c r="F89" s="11" t="s">
        <v>21</v>
      </c>
      <c r="G89" s="29">
        <f>IF(B89="Clientes",SUMIFS(PARÂMETROS!$B$8:$B$907,PARÂMETROS!$G$8:$G$907,F89),SUMIFS(PARÂMETROS!$C$8:$C$907,PARÂMETROS!$G$8:$G$907,F89))</f>
        <v>201491</v>
      </c>
    </row>
    <row r="90" spans="1:7" ht="14.25" customHeight="1" x14ac:dyDescent="0.3">
      <c r="A90" s="25" t="s">
        <v>43</v>
      </c>
      <c r="B90" s="26" t="s">
        <v>96</v>
      </c>
      <c r="C90" s="27" t="s">
        <v>110</v>
      </c>
      <c r="D90" s="20">
        <f>SUMIFS('CUSTOS MENSAIS'!$F:$F,'CUSTOS MENSAIS'!$A:$A,A90,'CUSTOS MENSAIS'!$H:$H,F90)</f>
        <v>27933.494499999997</v>
      </c>
      <c r="E90" s="20">
        <f>IFERROR(D90/IF(B90="Clientes",SUMIFS(PARÂMETROS!$B$8:$B$907,PARÂMETROS!$G$8:$G$907,F90),SUMIFS(PARÂMETROS!$C$8:$C$907,PARÂMETROS!$G$8:$G$907,F90)),0)</f>
        <v>0.13863395635537071</v>
      </c>
      <c r="F90" s="11" t="s">
        <v>21</v>
      </c>
      <c r="G90" s="29">
        <f>IF(B90="Clientes",SUMIFS(PARÂMETROS!$B$8:$B$907,PARÂMETROS!$G$8:$G$907,F90),SUMIFS(PARÂMETROS!$C$8:$C$907,PARÂMETROS!$G$8:$G$907,F90))</f>
        <v>201491</v>
      </c>
    </row>
    <row r="91" spans="1:7" ht="14.25" customHeight="1" x14ac:dyDescent="0.3">
      <c r="A91" s="25" t="s">
        <v>44</v>
      </c>
      <c r="B91" s="26" t="s">
        <v>98</v>
      </c>
      <c r="C91" s="27" t="s">
        <v>111</v>
      </c>
      <c r="D91" s="20">
        <f>SUMIFS('CUSTOS MENSAIS'!$F:$F,'CUSTOS MENSAIS'!$A:$A,A91,'CUSTOS MENSAIS'!$H:$H,F91)</f>
        <v>65489.006099999999</v>
      </c>
      <c r="E91" s="20">
        <f>IFERROR(D91/IF(B91="Clientes",SUMIFS(PARÂMETROS!$B$8:$B$907,PARÂMETROS!$G$8:$G$907,F91),SUMIFS(PARÂMETROS!$C$8:$C$907,PARÂMETROS!$G$8:$G$907,F91)),0)</f>
        <v>60.081656972477063</v>
      </c>
      <c r="F91" s="11" t="s">
        <v>21</v>
      </c>
      <c r="G91" s="29">
        <f>IF(B91="Clientes",SUMIFS(PARÂMETROS!$B$8:$B$907,PARÂMETROS!$G$8:$G$907,F91),SUMIFS(PARÂMETROS!$C$8:$C$907,PARÂMETROS!$G$8:$G$907,F91))</f>
        <v>1090</v>
      </c>
    </row>
    <row r="92" spans="1:7" ht="14.25" customHeight="1" x14ac:dyDescent="0.3">
      <c r="A92" s="25" t="s">
        <v>45</v>
      </c>
      <c r="B92" s="26" t="s">
        <v>96</v>
      </c>
      <c r="C92" s="27" t="s">
        <v>112</v>
      </c>
      <c r="D92" s="20">
        <f>SUMIFS('CUSTOS MENSAIS'!$F:$F,'CUSTOS MENSAIS'!$A:$A,A92,'CUSTOS MENSAIS'!$H:$H,F92)</f>
        <v>89561.188999999969</v>
      </c>
      <c r="E92" s="20">
        <f>IFERROR(D92/IF(B92="Clientes",SUMIFS(PARÂMETROS!$B$8:$B$907,PARÂMETROS!$G$8:$G$907,F92),SUMIFS(PARÂMETROS!$C$8:$C$907,PARÂMETROS!$G$8:$G$907,F92)),0)</f>
        <v>0.44449225523720648</v>
      </c>
      <c r="F92" s="11" t="s">
        <v>21</v>
      </c>
      <c r="G92" s="29">
        <f>IF(B92="Clientes",SUMIFS(PARÂMETROS!$B$8:$B$907,PARÂMETROS!$G$8:$G$907,F92),SUMIFS(PARÂMETROS!$C$8:$C$907,PARÂMETROS!$G$8:$G$907,F92))</f>
        <v>201491</v>
      </c>
    </row>
    <row r="93" spans="1:7" ht="14.25" customHeight="1" x14ac:dyDescent="0.3">
      <c r="A93" s="25" t="s">
        <v>46</v>
      </c>
      <c r="B93" s="26" t="s">
        <v>96</v>
      </c>
      <c r="C93" s="27" t="s">
        <v>113</v>
      </c>
      <c r="D93" s="20">
        <f>SUMIFS('CUSTOS MENSAIS'!$F:$F,'CUSTOS MENSAIS'!$A:$A,A93,'CUSTOS MENSAIS'!$H:$H,F93)</f>
        <v>182531.93999999997</v>
      </c>
      <c r="E93" s="20">
        <f>IFERROR(D93/IF(B93="Clientes",SUMIFS(PARÂMETROS!$B$8:$B$907,PARÂMETROS!$G$8:$G$907,F93),SUMIFS(PARÂMETROS!$C$8:$C$907,PARÂMETROS!$G$8:$G$907,F93)),0)</f>
        <v>0.90590616950633018</v>
      </c>
      <c r="F93" s="11" t="s">
        <v>21</v>
      </c>
      <c r="G93" s="29">
        <f>IF(B93="Clientes",SUMIFS(PARÂMETROS!$B$8:$B$907,PARÂMETROS!$G$8:$G$907,F93),SUMIFS(PARÂMETROS!$C$8:$C$907,PARÂMETROS!$G$8:$G$907,F93))</f>
        <v>201491</v>
      </c>
    </row>
    <row r="94" spans="1:7" ht="14.25" customHeight="1" x14ac:dyDescent="0.3">
      <c r="A94" s="25" t="s">
        <v>47</v>
      </c>
      <c r="B94" s="26" t="s">
        <v>96</v>
      </c>
      <c r="C94" s="27" t="s">
        <v>114</v>
      </c>
      <c r="D94" s="20">
        <f>SUMIFS('CUSTOS MENSAIS'!$F:$F,'CUSTOS MENSAIS'!$A:$A,A94,'CUSTOS MENSAIS'!$H:$H,F94)</f>
        <v>120124.91</v>
      </c>
      <c r="E94" s="20">
        <f>IFERROR(D94/IF(B94="Clientes",SUMIFS(PARÂMETROS!$B$8:$B$907,PARÂMETROS!$G$8:$G$907,F94),SUMIFS(PARÂMETROS!$C$8:$C$907,PARÂMETROS!$G$8:$G$907,F94)),0)</f>
        <v>0.5961800278920647</v>
      </c>
      <c r="F94" s="11" t="s">
        <v>21</v>
      </c>
      <c r="G94" s="29">
        <f>IF(B94="Clientes",SUMIFS(PARÂMETROS!$B$8:$B$907,PARÂMETROS!$G$8:$G$907,F94),SUMIFS(PARÂMETROS!$C$8:$C$907,PARÂMETROS!$G$8:$G$907,F94))</f>
        <v>201491</v>
      </c>
    </row>
    <row r="95" spans="1:7" ht="14.25" customHeight="1" x14ac:dyDescent="0.3">
      <c r="A95" s="25" t="s">
        <v>48</v>
      </c>
      <c r="B95" s="26" t="s">
        <v>96</v>
      </c>
      <c r="C95" s="27" t="s">
        <v>115</v>
      </c>
      <c r="D95" s="20">
        <f>SUMIFS('CUSTOS MENSAIS'!$F:$F,'CUSTOS MENSAIS'!$A:$A,A95,'CUSTOS MENSAIS'!$H:$H,F95)</f>
        <v>143727.07756199999</v>
      </c>
      <c r="E95" s="20">
        <f>IFERROR(D95/IF(B95="Clientes",SUMIFS(PARÂMETROS!$B$8:$B$907,PARÂMETROS!$G$8:$G$907,F95),SUMIFS(PARÂMETROS!$C$8:$C$907,PARÂMETROS!$G$8:$G$907,F95)),0)</f>
        <v>0.71331760506424602</v>
      </c>
      <c r="F95" s="11" t="s">
        <v>21</v>
      </c>
      <c r="G95" s="29">
        <f>IF(B95="Clientes",SUMIFS(PARÂMETROS!$B$8:$B$907,PARÂMETROS!$G$8:$G$907,F95),SUMIFS(PARÂMETROS!$C$8:$C$907,PARÂMETROS!$G$8:$G$907,F95))</f>
        <v>201491</v>
      </c>
    </row>
    <row r="96" spans="1:7" ht="14.25" customHeight="1" x14ac:dyDescent="0.3">
      <c r="A96" s="25" t="s">
        <v>49</v>
      </c>
      <c r="B96" s="26" t="s">
        <v>96</v>
      </c>
      <c r="C96" s="27" t="s">
        <v>116</v>
      </c>
      <c r="D96" s="20">
        <f>SUMIFS('CUSTOS MENSAIS'!$F:$F,'CUSTOS MENSAIS'!$A:$A,A96,'CUSTOS MENSAIS'!$H:$H,F96)</f>
        <v>29394.164638000002</v>
      </c>
      <c r="E96" s="20">
        <f>IFERROR(D96/IF(B96="Clientes",SUMIFS(PARÂMETROS!$B$8:$B$907,PARÂMETROS!$G$8:$G$907,F96),SUMIFS(PARÂMETROS!$C$8:$C$907,PARÂMETROS!$G$8:$G$907,F96)),0)</f>
        <v>0.145883263460899</v>
      </c>
      <c r="F96" s="11" t="s">
        <v>21</v>
      </c>
      <c r="G96" s="29">
        <f>IF(B96="Clientes",SUMIFS(PARÂMETROS!$B$8:$B$907,PARÂMETROS!$G$8:$G$907,F96),SUMIFS(PARÂMETROS!$C$8:$C$907,PARÂMETROS!$G$8:$G$907,F96))</f>
        <v>201491</v>
      </c>
    </row>
    <row r="97" spans="1:7" ht="14.25" customHeight="1" x14ac:dyDescent="0.3">
      <c r="A97" s="25" t="s">
        <v>50</v>
      </c>
      <c r="B97" s="26" t="s">
        <v>96</v>
      </c>
      <c r="C97" s="27" t="s">
        <v>117</v>
      </c>
      <c r="D97" s="20">
        <f>SUMIFS('CUSTOS MENSAIS'!$F:$F,'CUSTOS MENSAIS'!$A:$A,A97,'CUSTOS MENSAIS'!$H:$H,F97)</f>
        <v>117184.52640000002</v>
      </c>
      <c r="E97" s="20">
        <f>IFERROR(D97/IF(B97="Clientes",SUMIFS(PARÂMETROS!$B$8:$B$907,PARÂMETROS!$G$8:$G$907,F97),SUMIFS(PARÂMETROS!$C$8:$C$907,PARÂMETROS!$G$8:$G$907,F97)),0)</f>
        <v>0.5815869016482127</v>
      </c>
      <c r="F97" s="11" t="s">
        <v>21</v>
      </c>
      <c r="G97" s="29">
        <f>IF(B97="Clientes",SUMIFS(PARÂMETROS!$B$8:$B$907,PARÂMETROS!$G$8:$G$907,F97),SUMIFS(PARÂMETROS!$C$8:$C$907,PARÂMETROS!$G$8:$G$907,F97))</f>
        <v>201491</v>
      </c>
    </row>
    <row r="98" spans="1:7" ht="14.25" customHeight="1" x14ac:dyDescent="0.3">
      <c r="A98" s="25" t="s">
        <v>51</v>
      </c>
      <c r="B98" s="26" t="s">
        <v>96</v>
      </c>
      <c r="C98" s="27" t="s">
        <v>118</v>
      </c>
      <c r="D98" s="20">
        <f>SUMIFS('CUSTOS MENSAIS'!$F:$F,'CUSTOS MENSAIS'!$A:$A,A98,'CUSTOS MENSAIS'!$H:$H,F98)</f>
        <v>140869.00717266696</v>
      </c>
      <c r="E98" s="20">
        <f>IFERROR(D98/IF(B98="Clientes",SUMIFS(PARÂMETROS!$B$8:$B$907,PARÂMETROS!$G$8:$G$907,F98),SUMIFS(PARÂMETROS!$C$8:$C$907,PARÂMETROS!$G$8:$G$907,F98)),0)</f>
        <v>0.69913299935315698</v>
      </c>
      <c r="F98" s="11" t="s">
        <v>21</v>
      </c>
      <c r="G98" s="29">
        <f>IF(B98="Clientes",SUMIFS(PARÂMETROS!$B$8:$B$907,PARÂMETROS!$G$8:$G$907,F98),SUMIFS(PARÂMETROS!$C$8:$C$907,PARÂMETROS!$G$8:$G$907,F98))</f>
        <v>201491</v>
      </c>
    </row>
    <row r="99" spans="1:7" ht="14.25" customHeight="1" x14ac:dyDescent="0.3">
      <c r="A99" s="25" t="s">
        <v>52</v>
      </c>
      <c r="B99" s="26" t="s">
        <v>96</v>
      </c>
      <c r="C99" s="27" t="s">
        <v>119</v>
      </c>
      <c r="D99" s="20">
        <f>SUMIFS('CUSTOS MENSAIS'!$F:$F,'CUSTOS MENSAIS'!$A:$A,A99,'CUSTOS MENSAIS'!$H:$H,F99)</f>
        <v>28891.437653000005</v>
      </c>
      <c r="E99" s="20">
        <f>IFERROR(D99/IF(B99="Clientes",SUMIFS(PARÂMETROS!$B$8:$B$907,PARÂMETROS!$G$8:$G$907,F99),SUMIFS(PARÂMETROS!$C$8:$C$907,PARÂMETROS!$G$8:$G$907,F99)),0)</f>
        <v>0.14338822901767326</v>
      </c>
      <c r="F99" s="11" t="s">
        <v>21</v>
      </c>
      <c r="G99" s="29">
        <f>IF(B99="Clientes",SUMIFS(PARÂMETROS!$B$8:$B$907,PARÂMETROS!$G$8:$G$907,F99),SUMIFS(PARÂMETROS!$C$8:$C$907,PARÂMETROS!$G$8:$G$907,F99))</f>
        <v>201491</v>
      </c>
    </row>
    <row r="100" spans="1:7" ht="14.25" customHeight="1" x14ac:dyDescent="0.3">
      <c r="A100" s="25" t="s">
        <v>53</v>
      </c>
      <c r="B100" s="26" t="s">
        <v>96</v>
      </c>
      <c r="C100" s="27" t="s">
        <v>120</v>
      </c>
      <c r="D100" s="20">
        <f>SUMIFS('CUSTOS MENSAIS'!$F:$F,'CUSTOS MENSAIS'!$A:$A,A100,'CUSTOS MENSAIS'!$H:$H,F100)</f>
        <v>213378.49651799997</v>
      </c>
      <c r="E100" s="20">
        <f>IFERROR(D100/IF(B100="Clientes",SUMIFS(PARÂMETROS!$B$8:$B$907,PARÂMETROS!$G$8:$G$907,F100),SUMIFS(PARÂMETROS!$C$8:$C$907,PARÂMETROS!$G$8:$G$907,F100)),0)</f>
        <v>1.0589976550714422</v>
      </c>
      <c r="F100" s="11" t="s">
        <v>21</v>
      </c>
      <c r="G100" s="29">
        <f>IF(B100="Clientes",SUMIFS(PARÂMETROS!$B$8:$B$907,PARÂMETROS!$G$8:$G$907,F100),SUMIFS(PARÂMETROS!$C$8:$C$907,PARÂMETROS!$G$8:$G$907,F100))</f>
        <v>201491</v>
      </c>
    </row>
    <row r="101" spans="1:7" ht="14.25" customHeight="1" x14ac:dyDescent="0.3">
      <c r="A101" s="25" t="s">
        <v>54</v>
      </c>
      <c r="B101" s="26" t="s">
        <v>134</v>
      </c>
      <c r="C101" s="27" t="s">
        <v>121</v>
      </c>
      <c r="D101" s="20">
        <f>SUMIFS('CUSTOS MENSAIS'!$F:$F,'CUSTOS MENSAIS'!$A:$A,A101,'CUSTOS MENSAIS'!$H:$H,F101)</f>
        <v>125647.894012</v>
      </c>
      <c r="E101" s="20">
        <f>IFERROR(D101/G101,0)</f>
        <v>1697.9445136756758</v>
      </c>
      <c r="F101" s="11" t="s">
        <v>21</v>
      </c>
      <c r="G101" s="29">
        <v>74</v>
      </c>
    </row>
    <row r="102" spans="1:7" ht="14.25" customHeight="1" x14ac:dyDescent="0.3">
      <c r="A102" s="25" t="s">
        <v>55</v>
      </c>
      <c r="B102" s="26" t="s">
        <v>98</v>
      </c>
      <c r="C102" s="27" t="s">
        <v>122</v>
      </c>
      <c r="D102" s="20">
        <f>SUMIFS('CUSTOS MENSAIS'!$F:$F,'CUSTOS MENSAIS'!$A:$A,A102,'CUSTOS MENSAIS'!$H:$H,F102)</f>
        <v>23776.09</v>
      </c>
      <c r="E102" s="20">
        <f>IFERROR(D102/IF(B102="Clientes",SUMIFS(PARÂMETROS!$B$8:$B$907,PARÂMETROS!$G$8:$G$907,F102),SUMIFS(PARÂMETROS!$C$8:$C$907,PARÂMETROS!$G$8:$G$907,F102)),0)</f>
        <v>21.812926605504586</v>
      </c>
      <c r="F102" s="11" t="s">
        <v>21</v>
      </c>
      <c r="G102" s="29">
        <f>IF(B102="Clientes",SUMIFS(PARÂMETROS!$B$8:$B$907,PARÂMETROS!$G$8:$G$907,F102),SUMIFS(PARÂMETROS!$C$8:$C$907,PARÂMETROS!$G$8:$G$907,F102))</f>
        <v>1090</v>
      </c>
    </row>
    <row r="103" spans="1:7" ht="14.25" customHeight="1" x14ac:dyDescent="0.3">
      <c r="A103" s="25" t="s">
        <v>86</v>
      </c>
      <c r="B103" s="26" t="s">
        <v>96</v>
      </c>
      <c r="C103" s="27" t="s">
        <v>123</v>
      </c>
      <c r="D103" s="20">
        <f>SUMIFS('CUSTOS MENSAIS'!$F:$F,'CUSTOS MENSAIS'!$A:$A,A103,'CUSTOS MENSAIS'!$H:$H,F103)</f>
        <v>29475.712743999997</v>
      </c>
      <c r="E103" s="20">
        <f>IFERROR(D103/IF(B103="Clientes",SUMIFS(PARÂMETROS!$B$8:$B$907,PARÂMETROS!$G$8:$G$907,F103),SUMIFS(PARÂMETROS!$C$8:$C$907,PARÂMETROS!$G$8:$G$907,F103)),0)</f>
        <v>0.14628798677856578</v>
      </c>
      <c r="F103" s="11" t="s">
        <v>21</v>
      </c>
      <c r="G103" s="29">
        <f>IF(B103="Clientes",SUMIFS(PARÂMETROS!$B$8:$B$907,PARÂMETROS!$G$8:$G$907,F103),SUMIFS(PARÂMETROS!$C$8:$C$907,PARÂMETROS!$G$8:$G$907,F103))</f>
        <v>201491</v>
      </c>
    </row>
    <row r="104" spans="1:7" ht="14.25" customHeight="1" x14ac:dyDescent="0.3">
      <c r="A104" s="25" t="s">
        <v>83</v>
      </c>
      <c r="B104" s="26" t="s">
        <v>96</v>
      </c>
      <c r="C104" s="27" t="s">
        <v>124</v>
      </c>
      <c r="D104" s="20">
        <f>SUMIFS('CUSTOS MENSAIS'!$F:$F,'CUSTOS MENSAIS'!$A:$A,A104,'CUSTOS MENSAIS'!$H:$H,F104)</f>
        <v>15993.409999999998</v>
      </c>
      <c r="E104" s="20">
        <f>IFERROR(D104/IF(B104="Clientes",SUMIFS(PARÂMETROS!$B$8:$B$907,PARÂMETROS!$G$8:$G$907,F104),SUMIFS(PARÂMETROS!$C$8:$C$907,PARÂMETROS!$G$8:$G$907,F104)),0)</f>
        <v>7.9375307085676278E-2</v>
      </c>
      <c r="F104" s="11" t="s">
        <v>21</v>
      </c>
      <c r="G104" s="29">
        <f>IF(B104="Clientes",SUMIFS(PARÂMETROS!$B$8:$B$907,PARÂMETROS!$G$8:$G$907,F104),SUMIFS(PARÂMETROS!$C$8:$C$907,PARÂMETROS!$G$8:$G$907,F104))</f>
        <v>201491</v>
      </c>
    </row>
    <row r="105" spans="1:7" ht="14.25" customHeight="1" x14ac:dyDescent="0.3">
      <c r="A105" s="25" t="s">
        <v>85</v>
      </c>
      <c r="B105" s="26" t="s">
        <v>96</v>
      </c>
      <c r="C105" s="27" t="s">
        <v>125</v>
      </c>
      <c r="D105" s="20">
        <f>SUMIFS('CUSTOS MENSAIS'!$F:$F,'CUSTOS MENSAIS'!$A:$A,A105,'CUSTOS MENSAIS'!$H:$H,F105)</f>
        <v>69876.447</v>
      </c>
      <c r="E105" s="20">
        <f>IFERROR(D105/IF(B105="Clientes",SUMIFS(PARÂMETROS!$B$8:$B$907,PARÂMETROS!$G$8:$G$907,F105),SUMIFS(PARÂMETROS!$C$8:$C$907,PARÂMETROS!$G$8:$G$907,F105)),0)</f>
        <v>0.34679686437607637</v>
      </c>
      <c r="F105" s="11" t="s">
        <v>21</v>
      </c>
      <c r="G105" s="29">
        <f>IF(B105="Clientes",SUMIFS(PARÂMETROS!$B$8:$B$907,PARÂMETROS!$G$8:$G$907,F105),SUMIFS(PARÂMETROS!$C$8:$C$907,PARÂMETROS!$G$8:$G$907,F105))</f>
        <v>201491</v>
      </c>
    </row>
    <row r="106" spans="1:7" ht="14.25" customHeight="1" x14ac:dyDescent="0.3">
      <c r="A106" s="25" t="s">
        <v>87</v>
      </c>
      <c r="B106" s="26" t="s">
        <v>96</v>
      </c>
      <c r="C106" s="27" t="s">
        <v>126</v>
      </c>
      <c r="D106" s="20">
        <f>SUMIFS('CUSTOS MENSAIS'!$F:$F,'CUSTOS MENSAIS'!$A:$A,A106,'CUSTOS MENSAIS'!$H:$H,F106)</f>
        <v>34449.863444000002</v>
      </c>
      <c r="E106" s="20">
        <f>IFERROR(D106/IF(B106="Clientes",SUMIFS(PARÂMETROS!$B$8:$B$907,PARÂMETROS!$G$8:$G$907,F106),SUMIFS(PARÂMETROS!$C$8:$C$907,PARÂMETROS!$G$8:$G$907,F106)),0)</f>
        <v>0.17097470082534705</v>
      </c>
      <c r="F106" s="11" t="s">
        <v>21</v>
      </c>
      <c r="G106" s="29">
        <f>IF(B106="Clientes",SUMIFS(PARÂMETROS!$B$8:$B$907,PARÂMETROS!$G$8:$G$907,F106),SUMIFS(PARÂMETROS!$C$8:$C$907,PARÂMETROS!$G$8:$G$907,F106))</f>
        <v>201491</v>
      </c>
    </row>
    <row r="107" spans="1:7" ht="14.25" customHeight="1" x14ac:dyDescent="0.3">
      <c r="A107" s="25" t="s">
        <v>78</v>
      </c>
      <c r="B107" s="26" t="s">
        <v>96</v>
      </c>
      <c r="C107" s="27" t="s">
        <v>127</v>
      </c>
      <c r="D107" s="20">
        <f>SUMIFS('CUSTOS MENSAIS'!$F:$F,'CUSTOS MENSAIS'!$A:$A,A107,'CUSTOS MENSAIS'!$H:$H,F107)</f>
        <v>78661.700600000011</v>
      </c>
      <c r="E107" s="20">
        <f>IFERROR(D107/IF(B107="Clientes",SUMIFS(PARÂMETROS!$B$8:$B$907,PARÂMETROS!$G$8:$G$907,F107),SUMIFS(PARÂMETROS!$C$8:$C$907,PARÂMETROS!$G$8:$G$907,F107)),0)</f>
        <v>0.39039808527428027</v>
      </c>
      <c r="F107" s="11" t="s">
        <v>21</v>
      </c>
      <c r="G107" s="29">
        <f>IF(B107="Clientes",SUMIFS(PARÂMETROS!$B$8:$B$907,PARÂMETROS!$G$8:$G$907,F107),SUMIFS(PARÂMETROS!$C$8:$C$907,PARÂMETROS!$G$8:$G$907,F107))</f>
        <v>201491</v>
      </c>
    </row>
    <row r="108" spans="1:7" ht="14.25" customHeight="1" x14ac:dyDescent="0.3">
      <c r="A108" s="25" t="s">
        <v>81</v>
      </c>
      <c r="B108" s="26" t="s">
        <v>96</v>
      </c>
      <c r="C108" s="27" t="s">
        <v>128</v>
      </c>
      <c r="D108" s="20">
        <f>SUMIFS('CUSTOS MENSAIS'!$F:$F,'CUSTOS MENSAIS'!$A:$A,A108,'CUSTOS MENSAIS'!$H:$H,F108)</f>
        <v>14339.651176000001</v>
      </c>
      <c r="E108" s="20">
        <f>IFERROR(D108/IF(B108="Clientes",SUMIFS(PARÂMETROS!$B$8:$B$907,PARÂMETROS!$G$8:$G$907,F108),SUMIFS(PARÂMETROS!$C$8:$C$907,PARÂMETROS!$G$8:$G$907,F108)),0)</f>
        <v>7.1167700671494014E-2</v>
      </c>
      <c r="F108" s="11" t="s">
        <v>21</v>
      </c>
      <c r="G108" s="29">
        <f>IF(B108="Clientes",SUMIFS(PARÂMETROS!$B$8:$B$907,PARÂMETROS!$G$8:$G$907,F108),SUMIFS(PARÂMETROS!$C$8:$C$907,PARÂMETROS!$G$8:$G$907,F108))</f>
        <v>201491</v>
      </c>
    </row>
    <row r="109" spans="1:7" ht="14.25" customHeight="1" x14ac:dyDescent="0.3">
      <c r="A109" s="25" t="s">
        <v>84</v>
      </c>
      <c r="B109" s="26" t="s">
        <v>96</v>
      </c>
      <c r="C109" s="27" t="s">
        <v>129</v>
      </c>
      <c r="D109" s="20">
        <f>SUMIFS('CUSTOS MENSAIS'!$F:$F,'CUSTOS MENSAIS'!$A:$A,A109,'CUSTOS MENSAIS'!$H:$H,F109)</f>
        <v>180159.93</v>
      </c>
      <c r="E109" s="20">
        <f>IFERROR(D109/IF(B109="Clientes",SUMIFS(PARÂMETROS!$B$8:$B$907,PARÂMETROS!$G$8:$G$907,F109),SUMIFS(PARÂMETROS!$C$8:$C$907,PARÂMETROS!$G$8:$G$907,F109)),0)</f>
        <v>0.89413388191035825</v>
      </c>
      <c r="F109" s="11" t="s">
        <v>21</v>
      </c>
      <c r="G109" s="29">
        <f>IF(B109="Clientes",SUMIFS(PARÂMETROS!$B$8:$B$907,PARÂMETROS!$G$8:$G$907,F109),SUMIFS(PARÂMETROS!$C$8:$C$907,PARÂMETROS!$G$8:$G$907,F109))</f>
        <v>201491</v>
      </c>
    </row>
    <row r="110" spans="1:7" ht="14.25" customHeight="1" x14ac:dyDescent="0.3">
      <c r="A110" s="25" t="s">
        <v>82</v>
      </c>
      <c r="B110" s="26" t="s">
        <v>96</v>
      </c>
      <c r="C110" s="27" t="s">
        <v>130</v>
      </c>
      <c r="D110" s="20">
        <f>SUMIFS('CUSTOS MENSAIS'!$F:$F,'CUSTOS MENSAIS'!$A:$A,A110,'CUSTOS MENSAIS'!$H:$H,F110)</f>
        <v>75864.529999999984</v>
      </c>
      <c r="E110" s="20">
        <f>IFERROR(D110/IF(B110="Clientes",SUMIFS(PARÂMETROS!$B$8:$B$907,PARÂMETROS!$G$8:$G$907,F110),SUMIFS(PARÂMETROS!$C$8:$C$907,PARÂMETROS!$G$8:$G$907,F110)),0)</f>
        <v>0.37651572526812604</v>
      </c>
      <c r="F110" s="11" t="s">
        <v>21</v>
      </c>
      <c r="G110" s="29">
        <f>IF(B110="Clientes",SUMIFS(PARÂMETROS!$B$8:$B$907,PARÂMETROS!$G$8:$G$907,F110),SUMIFS(PARÂMETROS!$C$8:$C$907,PARÂMETROS!$G$8:$G$907,F110))</f>
        <v>201491</v>
      </c>
    </row>
    <row r="111" spans="1:7" ht="14.25" customHeight="1" x14ac:dyDescent="0.3">
      <c r="A111" s="25" t="s">
        <v>80</v>
      </c>
      <c r="B111" s="26" t="s">
        <v>96</v>
      </c>
      <c r="C111" s="27" t="s">
        <v>131</v>
      </c>
      <c r="D111" s="20">
        <f>SUMIFS('CUSTOS MENSAIS'!$F:$F,'CUSTOS MENSAIS'!$A:$A,A111,'CUSTOS MENSAIS'!$H:$H,F111)</f>
        <v>29274.582976000002</v>
      </c>
      <c r="E111" s="20">
        <f>IFERROR(D111/IF(B111="Clientes",SUMIFS(PARÂMETROS!$B$8:$B$907,PARÂMETROS!$G$8:$G$907,F111),SUMIFS(PARÂMETROS!$C$8:$C$907,PARÂMETROS!$G$8:$G$907,F111)),0)</f>
        <v>0.14528977957328121</v>
      </c>
      <c r="F111" s="11" t="s">
        <v>21</v>
      </c>
      <c r="G111" s="29">
        <f>IF(B111="Clientes",SUMIFS(PARÂMETROS!$B$8:$B$907,PARÂMETROS!$G$8:$G$907,F111),SUMIFS(PARÂMETROS!$C$8:$C$907,PARÂMETROS!$G$8:$G$907,F111))</f>
        <v>201491</v>
      </c>
    </row>
    <row r="112" spans="1:7" ht="14.25" customHeight="1" x14ac:dyDescent="0.3">
      <c r="A112" s="25" t="s">
        <v>79</v>
      </c>
      <c r="B112" s="26" t="s">
        <v>98</v>
      </c>
      <c r="C112" s="27" t="s">
        <v>132</v>
      </c>
      <c r="D112" s="20">
        <f>SUMIFS('CUSTOS MENSAIS'!$F:$F,'CUSTOS MENSAIS'!$A:$A,A112,'CUSTOS MENSAIS'!$H:$H,F112)</f>
        <v>120488.69450000001</v>
      </c>
      <c r="E112" s="20">
        <f>IFERROR(D112/G112,0)</f>
        <v>132.98972902869758</v>
      </c>
      <c r="F112" s="11" t="s">
        <v>21</v>
      </c>
      <c r="G112" s="29">
        <f>SUMIFS(PARÂMETROS!$C$8:$C$907,PARÂMETROS!$G$8:$G$907,F112,PARÂMETROS!$A$8:$A$907,"DTEL (uso próprio)")</f>
        <v>906</v>
      </c>
    </row>
    <row r="113" spans="1:7" ht="14.25" customHeight="1" x14ac:dyDescent="0.3">
      <c r="A113" s="16" t="s">
        <v>136</v>
      </c>
      <c r="B113" s="30"/>
      <c r="C113" s="31"/>
      <c r="D113" s="32">
        <f>SUM(D78:D112)+D116+D119+D122+D125</f>
        <v>2684845.168462445</v>
      </c>
      <c r="E113" s="32"/>
      <c r="F113" s="30"/>
      <c r="G113" s="33"/>
    </row>
    <row r="114" spans="1:7" ht="14.25" customHeight="1" x14ac:dyDescent="0.3">
      <c r="A114" s="25" t="s">
        <v>137</v>
      </c>
      <c r="B114" s="26" t="s">
        <v>96</v>
      </c>
      <c r="C114" s="27" t="s">
        <v>138</v>
      </c>
      <c r="D114" s="20">
        <f>SUMIFS('CUSTOS MENSAIS'!$F:$F,'CUSTOS MENSAIS'!$A:$A,A114,'CUSTOS MENSAIS'!$H:$H,F114)</f>
        <v>7773.691600000001</v>
      </c>
      <c r="E114" s="20">
        <f>IFERROR(D114/IF(B114="Clientes",SUMIFS(PARÂMETROS!$B$8:$B$907,PARÂMETROS!$G$8:$G$907,F114),SUMIFS(PARÂMETROS!$C$8:$C$907,PARÂMETROS!$G$8:$G$907,F114)),0)</f>
        <v>4.0630395082764066E-2</v>
      </c>
      <c r="F114" s="11" t="s">
        <v>20</v>
      </c>
      <c r="G114" s="29">
        <f>IF(B114="Clientes",SUMIFS(PARÂMETROS!$B$8:$B$907,PARÂMETROS!$G$8:$G$907,F114),SUMIFS(PARÂMETROS!$C$8:$C$907,PARÂMETROS!$G$8:$G$907,F114))</f>
        <v>191327</v>
      </c>
    </row>
    <row r="115" spans="1:7" ht="14.25" customHeight="1" x14ac:dyDescent="0.3">
      <c r="A115" s="25" t="s">
        <v>137</v>
      </c>
      <c r="B115" s="26" t="s">
        <v>96</v>
      </c>
      <c r="C115" s="27" t="s">
        <v>138</v>
      </c>
      <c r="D115" s="20">
        <f>SUMIFS('CUSTOS MENSAIS'!$F:$F,'CUSTOS MENSAIS'!$A:$A,A115,'CUSTOS MENSAIS'!$H:$H,F115)</f>
        <v>8501.6744000000017</v>
      </c>
      <c r="E115" s="20">
        <f>IFERROR(D115/IF(B115="Clientes",SUMIFS(PARÂMETROS!$B$8:$B$907,PARÂMETROS!$G$8:$G$907,F115),SUMIFS(PARÂMETROS!$C$8:$C$907,PARÂMETROS!$G$8:$G$907,F115)),0)</f>
        <v>4.3633460786376733E-2</v>
      </c>
      <c r="F115" s="11" t="s">
        <v>11</v>
      </c>
      <c r="G115" s="29">
        <f>IF(B115="Clientes",SUMIFS(PARÂMETROS!$B$8:$B$907,PARÂMETROS!$G$8:$G$907,F115),SUMIFS(PARÂMETROS!$C$8:$C$907,PARÂMETROS!$G$8:$G$907,F115))</f>
        <v>194843</v>
      </c>
    </row>
    <row r="116" spans="1:7" ht="14.25" customHeight="1" x14ac:dyDescent="0.3">
      <c r="A116" s="25" t="s">
        <v>137</v>
      </c>
      <c r="B116" s="26" t="s">
        <v>96</v>
      </c>
      <c r="C116" s="27" t="s">
        <v>138</v>
      </c>
      <c r="D116" s="20">
        <f>SUMIFS('CUSTOS MENSAIS'!$F:$F,'CUSTOS MENSAIS'!$A:$A,A116,'CUSTOS MENSAIS'!$H:$H,F116)</f>
        <v>7791.2645000000002</v>
      </c>
      <c r="E116" s="20">
        <f>IFERROR(D116/IF(B116="Clientes",SUMIFS(PARÂMETROS!$B$8:$B$907,PARÂMETROS!$G$8:$G$907,F116),SUMIFS(PARÂMETROS!$C$8:$C$907,PARÂMETROS!$G$8:$G$907,F116)),0)</f>
        <v>3.8668052171064712E-2</v>
      </c>
      <c r="F116" s="11" t="s">
        <v>21</v>
      </c>
      <c r="G116" s="29">
        <f>IF(B116="Clientes",SUMIFS(PARÂMETROS!$B$8:$B$907,PARÂMETROS!$G$8:$G$907,F116),SUMIFS(PARÂMETROS!$C$8:$C$907,PARÂMETROS!$G$8:$G$907,F116))</f>
        <v>201491</v>
      </c>
    </row>
    <row r="117" spans="1:7" ht="14.25" customHeight="1" x14ac:dyDescent="0.3">
      <c r="A117" s="25" t="s">
        <v>139</v>
      </c>
      <c r="B117" s="26" t="s">
        <v>98</v>
      </c>
      <c r="C117" s="27" t="s">
        <v>140</v>
      </c>
      <c r="D117" s="20">
        <f>SUMIFS('CUSTOS MENSAIS'!$F:$F,'CUSTOS MENSAIS'!$A:$A,A117,'CUSTOS MENSAIS'!$H:$H,F117)</f>
        <v>15250.17</v>
      </c>
      <c r="E117" s="20">
        <f>IFERROR(D117/IF(B117="Clientes",SUMIFS(PARÂMETROS!$B$8:$B$907,PARÂMETROS!$G$8:$G$907,F117),SUMIFS(PARÂMETROS!$C$8:$C$907,PARÂMETROS!$G$8:$G$907,F117)),0)</f>
        <v>14.482592592592592</v>
      </c>
      <c r="F117" s="11" t="s">
        <v>20</v>
      </c>
      <c r="G117" s="29">
        <f>IF(B117="Clientes",SUMIFS(PARÂMETROS!$B$8:$B$907,PARÂMETROS!$G$8:$G$907,F117),SUMIFS(PARÂMETROS!$C$8:$C$907,PARÂMETROS!$G$8:$G$907,F117))</f>
        <v>1053</v>
      </c>
    </row>
    <row r="118" spans="1:7" ht="14.25" customHeight="1" x14ac:dyDescent="0.3">
      <c r="A118" s="25" t="s">
        <v>139</v>
      </c>
      <c r="B118" s="26" t="s">
        <v>98</v>
      </c>
      <c r="C118" s="27" t="s">
        <v>140</v>
      </c>
      <c r="D118" s="20">
        <f>SUMIFS('CUSTOS MENSAIS'!$F:$F,'CUSTOS MENSAIS'!$A:$A,A118,'CUSTOS MENSAIS'!$H:$H,F118)</f>
        <v>24041.250000000004</v>
      </c>
      <c r="E118" s="20">
        <f>IFERROR(D118/IF(B118="Clientes",SUMIFS(PARÂMETROS!$B$8:$B$907,PARÂMETROS!$G$8:$G$907,F118),SUMIFS(PARÂMETROS!$C$8:$C$907,PARÂMETROS!$G$8:$G$907,F118)),0)</f>
        <v>22.918255481410871</v>
      </c>
      <c r="F118" s="11" t="s">
        <v>11</v>
      </c>
      <c r="G118" s="29">
        <f>IF(B118="Clientes",SUMIFS(PARÂMETROS!$B$8:$B$907,PARÂMETROS!$G$8:$G$907,F118),SUMIFS(PARÂMETROS!$C$8:$C$907,PARÂMETROS!$G$8:$G$907,F118))</f>
        <v>1049</v>
      </c>
    </row>
    <row r="119" spans="1:7" ht="14.25" customHeight="1" x14ac:dyDescent="0.3">
      <c r="A119" s="25" t="s">
        <v>139</v>
      </c>
      <c r="B119" s="26" t="s">
        <v>98</v>
      </c>
      <c r="C119" s="27" t="s">
        <v>140</v>
      </c>
      <c r="D119" s="20">
        <f>SUMIFS('CUSTOS MENSAIS'!$F:$F,'CUSTOS MENSAIS'!$A:$A,A119,'CUSTOS MENSAIS'!$H:$H,F119)</f>
        <v>25265.37</v>
      </c>
      <c r="E119" s="20">
        <f>IFERROR(D119/IF(B119="Clientes",SUMIFS(PARÂMETROS!$B$8:$B$907,PARÂMETROS!$G$8:$G$907,F119),SUMIFS(PARÂMETROS!$C$8:$C$907,PARÂMETROS!$G$8:$G$907,F119)),0)</f>
        <v>23.179238532110091</v>
      </c>
      <c r="F119" s="11" t="s">
        <v>21</v>
      </c>
      <c r="G119" s="29">
        <f>IF(B119="Clientes",SUMIFS(PARÂMETROS!$B$8:$B$907,PARÂMETROS!$G$8:$G$907,F119),SUMIFS(PARÂMETROS!$C$8:$C$907,PARÂMETROS!$G$8:$G$907,F119))</f>
        <v>1090</v>
      </c>
    </row>
    <row r="120" spans="1:7" ht="14.25" customHeight="1" x14ac:dyDescent="0.3">
      <c r="A120" s="25" t="s">
        <v>141</v>
      </c>
      <c r="B120" s="26" t="s">
        <v>96</v>
      </c>
      <c r="C120" s="27" t="s">
        <v>142</v>
      </c>
      <c r="D120" s="20">
        <f>SUMIFS('CUSTOS MENSAIS'!$F:$F,'CUSTOS MENSAIS'!$A:$A,A120,'CUSTOS MENSAIS'!$H:$H,F120)</f>
        <v>18352.580000000002</v>
      </c>
      <c r="E120" s="20">
        <f>IFERROR(D120/IF(B120="Clientes",SUMIFS(PARÂMETROS!$B$8:$B$907,PARÂMETROS!$G$8:$G$907,F120),SUMIFS(PARÂMETROS!$C$8:$C$907,PARÂMETROS!$G$8:$G$907,F120)),0)</f>
        <v>9.5922582803263531E-2</v>
      </c>
      <c r="F120" s="11" t="s">
        <v>20</v>
      </c>
      <c r="G120" s="29">
        <f>IF(B120="Clientes",SUMIFS(PARÂMETROS!$B$8:$B$907,PARÂMETROS!$G$8:$G$907,F120),SUMIFS(PARÂMETROS!$C$8:$C$907,PARÂMETROS!$G$8:$G$907,F120))</f>
        <v>191327</v>
      </c>
    </row>
    <row r="121" spans="1:7" ht="14.25" customHeight="1" x14ac:dyDescent="0.3">
      <c r="A121" s="25" t="s">
        <v>141</v>
      </c>
      <c r="B121" s="26" t="s">
        <v>96</v>
      </c>
      <c r="C121" s="27" t="s">
        <v>142</v>
      </c>
      <c r="D121" s="20">
        <f>SUMIFS('CUSTOS MENSAIS'!$F:$F,'CUSTOS MENSAIS'!$A:$A,A121,'CUSTOS MENSAIS'!$H:$H,F121)</f>
        <v>20632.939999999999</v>
      </c>
      <c r="E121" s="20">
        <f>IFERROR(D121/IF(B121="Clientes",SUMIFS(PARÂMETROS!$B$8:$B$907,PARÂMETROS!$G$8:$G$907,F121),SUMIFS(PARÂMETROS!$C$8:$C$907,PARÂMETROS!$G$8:$G$907,F121)),0)</f>
        <v>0.10589520793664642</v>
      </c>
      <c r="F121" s="11" t="s">
        <v>11</v>
      </c>
      <c r="G121" s="29">
        <f>IF(B121="Clientes",SUMIFS(PARÂMETROS!$B$8:$B$907,PARÂMETROS!$G$8:$G$907,F121),SUMIFS(PARÂMETROS!$C$8:$C$907,PARÂMETROS!$G$8:$G$907,F121))</f>
        <v>194843</v>
      </c>
    </row>
    <row r="122" spans="1:7" ht="14.25" customHeight="1" x14ac:dyDescent="0.3">
      <c r="A122" s="25" t="s">
        <v>141</v>
      </c>
      <c r="B122" s="26" t="s">
        <v>96</v>
      </c>
      <c r="C122" s="27" t="s">
        <v>142</v>
      </c>
      <c r="D122" s="20">
        <f>SUMIFS('CUSTOS MENSAIS'!$F:$F,'CUSTOS MENSAIS'!$A:$A,A122,'CUSTOS MENSAIS'!$H:$H,F122)</f>
        <v>20362.12</v>
      </c>
      <c r="E122" s="20">
        <f>IFERROR(D122/IF(B122="Clientes",SUMIFS(PARÂMETROS!$B$8:$B$907,PARÂMETROS!$G$8:$G$907,F122),SUMIFS(PARÂMETROS!$C$8:$C$907,PARÂMETROS!$G$8:$G$907,F122)),0)</f>
        <v>0.10105721843655548</v>
      </c>
      <c r="F122" s="11" t="s">
        <v>21</v>
      </c>
      <c r="G122" s="29">
        <f>IF(B122="Clientes",SUMIFS(PARÂMETROS!$B$8:$B$907,PARÂMETROS!$G$8:$G$907,F122),SUMIFS(PARÂMETROS!$C$8:$C$907,PARÂMETROS!$G$8:$G$907,F122))</f>
        <v>201491</v>
      </c>
    </row>
    <row r="123" spans="1:7" ht="14.25" customHeight="1" x14ac:dyDescent="0.3">
      <c r="A123" t="s">
        <v>143</v>
      </c>
      <c r="B123" t="s">
        <v>96</v>
      </c>
      <c r="C123" t="s">
        <v>144</v>
      </c>
      <c r="D123">
        <f>SUMIFS('CUSTOS MENSAIS'!$F:$F,'CUSTOS MENSAIS'!$A:$A,A123,'CUSTOS MENSAIS'!$H:$H,F123)</f>
        <v>35280.97</v>
      </c>
      <c r="E123">
        <f>IFERROR(D123/IF(B123="Clientes",SUMIFS(PARÂMETROS!$B$8:$B$907,PARÂMETROS!$G$8:$G$907,F123),SUMIFS(PARÂMETROS!$C$8:$C$907,PARÂMETROS!$G$8:$G$907,F123)),0)</f>
        <v>0.18440141746852248</v>
      </c>
      <c r="F123" t="s">
        <v>20</v>
      </c>
      <c r="G123">
        <f>IF(B123="Clientes",SUMIFS(PARÂMETROS!$B$8:$B$907,PARÂMETROS!$G$8:$G$907,F123),SUMIFS(PARÂMETROS!$C$8:$C$907,PARÂMETROS!$G$8:$G$907,F123))</f>
        <v>191327</v>
      </c>
    </row>
    <row r="124" spans="1:7" ht="14.25" customHeight="1" x14ac:dyDescent="0.3">
      <c r="A124" t="s">
        <v>143</v>
      </c>
      <c r="B124" t="s">
        <v>96</v>
      </c>
      <c r="C124" t="s">
        <v>144</v>
      </c>
      <c r="D124">
        <f>SUMIFS('CUSTOS MENSAIS'!$F:$F,'CUSTOS MENSAIS'!$A:$A,A124,'CUSTOS MENSAIS'!$H:$H,F124)</f>
        <v>45450.81</v>
      </c>
      <c r="E124">
        <f>IFERROR(D124/IF(B124="Clientes",SUMIFS(PARÂMETROS!$B$8:$B$907,PARÂMETROS!$G$8:$G$907,F124),SUMIFS(PARÂMETROS!$C$8:$C$907,PARÂMETROS!$G$8:$G$907,F124)),0)</f>
        <v>0.23326888828441358</v>
      </c>
      <c r="F124" t="s">
        <v>11</v>
      </c>
      <c r="G124">
        <f>IF(B124="Clientes",SUMIFS(PARÂMETROS!$B$8:$B$907,PARÂMETROS!$G$8:$G$907,F124),SUMIFS(PARÂMETROS!$C$8:$C$907,PARÂMETROS!$G$8:$G$907,F124))</f>
        <v>194843</v>
      </c>
    </row>
    <row r="125" spans="1:7" ht="14.25" customHeight="1" x14ac:dyDescent="0.3">
      <c r="A125" t="s">
        <v>143</v>
      </c>
      <c r="B125" t="s">
        <v>96</v>
      </c>
      <c r="C125" t="s">
        <v>144</v>
      </c>
      <c r="D125">
        <f>SUMIFS('CUSTOS MENSAIS'!$F:$F,'CUSTOS MENSAIS'!$A:$A,A125,'CUSTOS MENSAIS'!$H:$H,F125)</f>
        <v>47038.520000000004</v>
      </c>
      <c r="E125">
        <f>IFERROR(D125/IF(B125="Clientes",SUMIFS(PARÂMETROS!$B$8:$B$907,PARÂMETROS!$G$8:$G$907,F125),SUMIFS(PARÂMETROS!$C$8:$C$907,PARÂMETROS!$G$8:$G$907,F125)),0)</f>
        <v>0.23345221374651973</v>
      </c>
      <c r="F125" t="s">
        <v>21</v>
      </c>
      <c r="G125">
        <f>IF(B125="Clientes",SUMIFS(PARÂMETROS!$B$8:$B$907,PARÂMETROS!$G$8:$G$907,F125),SUMIFS(PARÂMETROS!$C$8:$C$907,PARÂMETROS!$G$8:$G$907,F125))</f>
        <v>201491</v>
      </c>
    </row>
    <row r="126" spans="1:7" ht="14.25" customHeight="1" x14ac:dyDescent="0.3">
      <c r="A126" s="25" t="s">
        <v>31</v>
      </c>
      <c r="B126" s="26" t="s">
        <v>96</v>
      </c>
      <c r="C126" s="27" t="s">
        <v>97</v>
      </c>
      <c r="D126" s="20">
        <f>SUMIFS('CUSTOS MENSAIS'!$F:$F,'CUSTOS MENSAIS'!$A:$A,A126,'CUSTOS MENSAIS'!$H:$H,F126)</f>
        <v>45087.200000000004</v>
      </c>
      <c r="E126" s="20">
        <f>IFERROR(D126/IF(B126="Clientes",SUMIFS(PARÂMETROS!$B$8:$B$907,PARÂMETROS!$G$8:$G$907,F126),SUMIFS(PARÂMETROS!$C$8:$C$907,PARÂMETROS!$G$8:$G$907,F126)),0)</f>
        <v>0.22867170462037836</v>
      </c>
      <c r="F126" s="11" t="s">
        <v>88</v>
      </c>
      <c r="G126" s="29">
        <f>IF(B126="Clientes",SUMIFS(PARÂMETROS!$B$8:$B$907,PARÂMETROS!$G$8:$G$907,F126),SUMIFS(PARÂMETROS!$C$8:$C$907,PARÂMETROS!$G$8:$G$907,F126))</f>
        <v>197170</v>
      </c>
    </row>
    <row r="127" spans="1:7" ht="14.25" customHeight="1" x14ac:dyDescent="0.3">
      <c r="A127" s="25" t="s">
        <v>32</v>
      </c>
      <c r="B127" s="26" t="s">
        <v>98</v>
      </c>
      <c r="C127" s="27" t="s">
        <v>99</v>
      </c>
      <c r="D127" s="20">
        <f>SUMIFS('CUSTOS MENSAIS'!$F:$F,'CUSTOS MENSAIS'!$A:$A,A127,'CUSTOS MENSAIS'!$H:$H,F127)</f>
        <v>38957.079999999994</v>
      </c>
      <c r="E127" s="20">
        <f>IFERROR(D127/IF(B127="Clientes",SUMIFS(PARÂMETROS!$B$8:$B$907,PARÂMETROS!$G$8:$G$907,F127),SUMIFS(PARÂMETROS!$C$8:$C$907,PARÂMETROS!$G$8:$G$907,F127)),0)</f>
        <v>37.031444866920147</v>
      </c>
      <c r="F127" s="11" t="s">
        <v>88</v>
      </c>
      <c r="G127" s="29">
        <f>IF(B127="Clientes",SUMIFS(PARÂMETROS!$B$8:$B$907,PARÂMETROS!$G$8:$G$907,F127),SUMIFS(PARÂMETROS!$C$8:$C$907,PARÂMETROS!$G$8:$G$907,F127))</f>
        <v>1052</v>
      </c>
    </row>
    <row r="128" spans="1:7" ht="14.25" customHeight="1" x14ac:dyDescent="0.3">
      <c r="A128" s="25" t="s">
        <v>33</v>
      </c>
      <c r="B128" s="26" t="s">
        <v>98</v>
      </c>
      <c r="C128" s="27" t="s">
        <v>100</v>
      </c>
      <c r="D128" s="20">
        <f>SUMIFS('CUSTOS MENSAIS'!$F:$F,'CUSTOS MENSAIS'!$A:$A,A128,'CUSTOS MENSAIS'!$H:$H,F128)</f>
        <v>53318.060000000005</v>
      </c>
      <c r="E128" s="20">
        <f>IFERROR(D128/IF(B128="Clientes",SUMIFS(PARÂMETROS!$B$8:$B$907,PARÂMETROS!$G$8:$G$907,F128),SUMIFS(PARÂMETROS!$C$8:$C$907,PARÂMETROS!$G$8:$G$907,F128)),0)</f>
        <v>50.682566539923961</v>
      </c>
      <c r="F128" s="11" t="s">
        <v>88</v>
      </c>
      <c r="G128" s="29">
        <f>IF(B128="Clientes",SUMIFS(PARÂMETROS!$B$8:$B$907,PARÂMETROS!$G$8:$G$907,F128),SUMIFS(PARÂMETROS!$C$8:$C$907,PARÂMETROS!$G$8:$G$907,F128))</f>
        <v>1052</v>
      </c>
    </row>
    <row r="129" spans="1:7" ht="14.25" customHeight="1" x14ac:dyDescent="0.3">
      <c r="A129" s="25" t="s">
        <v>34</v>
      </c>
      <c r="B129" s="26" t="s">
        <v>96</v>
      </c>
      <c r="C129" s="27" t="s">
        <v>101</v>
      </c>
      <c r="D129" s="20">
        <f>SUMIFS('CUSTOS MENSAIS'!$F:$F,'CUSTOS MENSAIS'!$A:$A,A129,'CUSTOS MENSAIS'!$H:$H,F129)</f>
        <v>66006.859999999986</v>
      </c>
      <c r="E129" s="20">
        <f>IFERROR(D129/IF(B129="Clientes",SUMIFS(PARÂMETROS!$B$8:$B$907,PARÂMETROS!$G$8:$G$907,F129),SUMIFS(PARÂMETROS!$C$8:$C$907,PARÂMETROS!$G$8:$G$907,F129)),0)</f>
        <v>0.33477131409443622</v>
      </c>
      <c r="F129" s="11" t="s">
        <v>88</v>
      </c>
      <c r="G129" s="29">
        <f>IF(B129="Clientes",SUMIFS(PARÂMETROS!$B$8:$B$907,PARÂMETROS!$G$8:$G$907,F129),SUMIFS(PARÂMETROS!$C$8:$C$907,PARÂMETROS!$G$8:$G$907,F129))</f>
        <v>197170</v>
      </c>
    </row>
    <row r="130" spans="1:7" ht="14.25" customHeight="1" x14ac:dyDescent="0.3">
      <c r="A130" s="25" t="s">
        <v>35</v>
      </c>
      <c r="B130" s="26" t="s">
        <v>96</v>
      </c>
      <c r="C130" s="27" t="s">
        <v>102</v>
      </c>
      <c r="D130" s="20">
        <f>SUMIFS('CUSTOS MENSAIS'!$F:$F,'CUSTOS MENSAIS'!$A:$A,A130,'CUSTOS MENSAIS'!$H:$H,F130)</f>
        <v>23577.379999999997</v>
      </c>
      <c r="E130" s="20">
        <f>IFERROR(D130/IF(B130="Clientes",SUMIFS(PARÂMETROS!$B$8:$B$907,PARÂMETROS!$G$8:$G$907,F130),SUMIFS(PARÂMETROS!$C$8:$C$907,PARÂMETROS!$G$8:$G$907,F130)),0)</f>
        <v>0.11957894202972054</v>
      </c>
      <c r="F130" s="11" t="s">
        <v>88</v>
      </c>
      <c r="G130" s="29">
        <f>IF(B130="Clientes",SUMIFS(PARÂMETROS!$B$8:$B$907,PARÂMETROS!$G$8:$G$907,F130),SUMIFS(PARÂMETROS!$C$8:$C$907,PARÂMETROS!$G$8:$G$907,F130))</f>
        <v>197170</v>
      </c>
    </row>
    <row r="131" spans="1:7" ht="14.25" customHeight="1" x14ac:dyDescent="0.3">
      <c r="A131" s="25" t="s">
        <v>36</v>
      </c>
      <c r="B131" s="26" t="s">
        <v>96</v>
      </c>
      <c r="C131" s="27" t="s">
        <v>103</v>
      </c>
      <c r="D131" s="20">
        <f>SUMIFS('CUSTOS MENSAIS'!$F:$F,'CUSTOS MENSAIS'!$A:$A,A131,'CUSTOS MENSAIS'!$H:$H,F131)</f>
        <v>35351.579999999994</v>
      </c>
      <c r="E131" s="20">
        <f>IFERROR(D131/IF(B131="Clientes",SUMIFS(PARÂMETROS!$B$8:$B$907,PARÂMETROS!$G$8:$G$907,F131),SUMIFS(PARÂMETROS!$C$8:$C$907,PARÂMETROS!$G$8:$G$907,F131)),0)</f>
        <v>0.17929492316275292</v>
      </c>
      <c r="F131" s="11" t="s">
        <v>88</v>
      </c>
      <c r="G131" s="29">
        <f>IF(B131="Clientes",SUMIFS(PARÂMETROS!$B$8:$B$907,PARÂMETROS!$G$8:$G$907,F131),SUMIFS(PARÂMETROS!$C$8:$C$907,PARÂMETROS!$G$8:$G$907,F131))</f>
        <v>197170</v>
      </c>
    </row>
    <row r="132" spans="1:7" ht="14.25" customHeight="1" x14ac:dyDescent="0.3">
      <c r="A132" s="25" t="s">
        <v>37</v>
      </c>
      <c r="B132" s="26" t="s">
        <v>96</v>
      </c>
      <c r="C132" s="27" t="s">
        <v>104</v>
      </c>
      <c r="D132" s="20">
        <f>SUMIFS('CUSTOS MENSAIS'!$F:$F,'CUSTOS MENSAIS'!$A:$A,A132,'CUSTOS MENSAIS'!$H:$H,F132)</f>
        <v>159505.65000000002</v>
      </c>
      <c r="E132" s="20">
        <f>IFERROR(D132/IF(B132="Clientes",SUMIFS(PARÂMETROS!$B$8:$B$907,PARÂMETROS!$G$8:$G$907,F132),SUMIFS(PARÂMETROS!$C$8:$C$907,PARÂMETROS!$G$8:$G$907,F132)),0)</f>
        <v>0.80897524978445012</v>
      </c>
      <c r="F132" s="11" t="s">
        <v>88</v>
      </c>
      <c r="G132" s="29">
        <f>IF(B132="Clientes",SUMIFS(PARÂMETROS!$B$8:$B$907,PARÂMETROS!$G$8:$G$907,F132),SUMIFS(PARÂMETROS!$C$8:$C$907,PARÂMETROS!$G$8:$G$907,F132))</f>
        <v>197170</v>
      </c>
    </row>
    <row r="133" spans="1:7" ht="14.25" customHeight="1" x14ac:dyDescent="0.3">
      <c r="A133" s="25" t="s">
        <v>38</v>
      </c>
      <c r="B133" s="26" t="s">
        <v>96</v>
      </c>
      <c r="C133" s="27" t="s">
        <v>105</v>
      </c>
      <c r="D133" s="20">
        <f>SUMIFS('CUSTOS MENSAIS'!$F:$F,'CUSTOS MENSAIS'!$A:$A,A133,'CUSTOS MENSAIS'!$H:$H,F133)</f>
        <v>46873.2</v>
      </c>
      <c r="E133" s="20">
        <f>IFERROR(D133/IF(B133="Clientes",SUMIFS(PARÂMETROS!$B$8:$B$907,PARÂMETROS!$G$8:$G$907,F133),SUMIFS(PARÂMETROS!$C$8:$C$907,PARÂMETROS!$G$8:$G$907,F133)),0)</f>
        <v>0.23772987777045188</v>
      </c>
      <c r="F133" s="11" t="s">
        <v>88</v>
      </c>
      <c r="G133" s="29">
        <f>IF(B133="Clientes",SUMIFS(PARÂMETROS!$B$8:$B$907,PARÂMETROS!$G$8:$G$907,F133),SUMIFS(PARÂMETROS!$C$8:$C$907,PARÂMETROS!$G$8:$G$907,F133))</f>
        <v>197170</v>
      </c>
    </row>
    <row r="134" spans="1:7" ht="14.25" customHeight="1" x14ac:dyDescent="0.3">
      <c r="A134" s="25" t="s">
        <v>39</v>
      </c>
      <c r="B134" s="26" t="s">
        <v>96</v>
      </c>
      <c r="C134" s="27" t="s">
        <v>106</v>
      </c>
      <c r="D134" s="20">
        <f>SUMIFS('CUSTOS MENSAIS'!$F:$F,'CUSTOS MENSAIS'!$A:$A,A134,'CUSTOS MENSAIS'!$H:$H,F134)</f>
        <v>46033.229999999996</v>
      </c>
      <c r="E134" s="20">
        <f>IFERROR(D134/IF(B134="Clientes",SUMIFS(PARÂMETROS!$B$8:$B$907,PARÂMETROS!$G$8:$G$907,F134),SUMIFS(PARÂMETROS!$C$8:$C$907,PARÂMETROS!$G$8:$G$907,F134)),0)</f>
        <v>0.23346974691890246</v>
      </c>
      <c r="F134" s="11" t="s">
        <v>88</v>
      </c>
      <c r="G134" s="29">
        <f>IF(B134="Clientes",SUMIFS(PARÂMETROS!$B$8:$B$907,PARÂMETROS!$G$8:$G$907,F134),SUMIFS(PARÂMETROS!$C$8:$C$907,PARÂMETROS!$G$8:$G$907,F134))</f>
        <v>197170</v>
      </c>
    </row>
    <row r="135" spans="1:7" ht="14.25" customHeight="1" x14ac:dyDescent="0.3">
      <c r="A135" s="25" t="s">
        <v>40</v>
      </c>
      <c r="B135" s="26" t="s">
        <v>96</v>
      </c>
      <c r="C135" s="27" t="s">
        <v>107</v>
      </c>
      <c r="D135" s="20">
        <f>SUMIFS('CUSTOS MENSAIS'!$F:$F,'CUSTOS MENSAIS'!$A:$A,A135,'CUSTOS MENSAIS'!$H:$H,F135)</f>
        <v>40409.950000000004</v>
      </c>
      <c r="E135" s="20">
        <f>IFERROR(D135/IF(B135="Clientes",SUMIFS(PARÂMETROS!$B$8:$B$907,PARÂMETROS!$G$8:$G$907,F135),SUMIFS(PARÂMETROS!$C$8:$C$907,PARÂMETROS!$G$8:$G$907,F135)),0)</f>
        <v>0.20494978952173254</v>
      </c>
      <c r="F135" s="11" t="s">
        <v>88</v>
      </c>
      <c r="G135" s="29">
        <f>IF(B135="Clientes",SUMIFS(PARÂMETROS!$B$8:$B$907,PARÂMETROS!$G$8:$G$907,F135),SUMIFS(PARÂMETROS!$C$8:$C$907,PARÂMETROS!$G$8:$G$907,F135))</f>
        <v>197170</v>
      </c>
    </row>
    <row r="136" spans="1:7" ht="14.25" customHeight="1" x14ac:dyDescent="0.3">
      <c r="A136" s="25" t="s">
        <v>41</v>
      </c>
      <c r="B136" s="26" t="s">
        <v>96</v>
      </c>
      <c r="C136" s="27" t="s">
        <v>108</v>
      </c>
      <c r="D136" s="20">
        <f>SUMIFS('CUSTOS MENSAIS'!$F:$F,'CUSTOS MENSAIS'!$A:$A,A136,'CUSTOS MENSAIS'!$H:$H,F136)</f>
        <v>19776.45</v>
      </c>
      <c r="E136" s="20">
        <f>IFERROR(D136/IF(B136="Clientes",SUMIFS(PARÂMETROS!$B$8:$B$907,PARÂMETROS!$G$8:$G$907,F136),SUMIFS(PARÂMETROS!$C$8:$C$907,PARÂMETROS!$G$8:$G$907,F136)),0)</f>
        <v>0.10030151645787899</v>
      </c>
      <c r="F136" s="11" t="s">
        <v>88</v>
      </c>
      <c r="G136" s="29">
        <f>IF(B136="Clientes",SUMIFS(PARÂMETROS!$B$8:$B$907,PARÂMETROS!$G$8:$G$907,F136),SUMIFS(PARÂMETROS!$C$8:$C$907,PARÂMETROS!$G$8:$G$907,F136))</f>
        <v>197170</v>
      </c>
    </row>
    <row r="137" spans="1:7" ht="14.25" customHeight="1" x14ac:dyDescent="0.3">
      <c r="A137" s="25" t="s">
        <v>42</v>
      </c>
      <c r="B137" s="26" t="s">
        <v>96</v>
      </c>
      <c r="C137" s="27" t="s">
        <v>109</v>
      </c>
      <c r="D137" s="20">
        <f>SUMIFS('CUSTOS MENSAIS'!$F:$F,'CUSTOS MENSAIS'!$A:$A,A137,'CUSTOS MENSAIS'!$H:$H,F137)</f>
        <v>28825.5</v>
      </c>
      <c r="E137" s="20">
        <f>IFERROR(D137/IF(B137="Clientes",SUMIFS(PARÂMETROS!$B$8:$B$907,PARÂMETROS!$G$8:$G$907,F137),SUMIFS(PARÂMETROS!$C$8:$C$907,PARÂMETROS!$G$8:$G$907,F137)),0)</f>
        <v>0.14619617588882691</v>
      </c>
      <c r="F137" s="11" t="s">
        <v>88</v>
      </c>
      <c r="G137" s="29">
        <f>IF(B137="Clientes",SUMIFS(PARÂMETROS!$B$8:$B$907,PARÂMETROS!$G$8:$G$907,F137),SUMIFS(PARÂMETROS!$C$8:$C$907,PARÂMETROS!$G$8:$G$907,F137))</f>
        <v>197170</v>
      </c>
    </row>
    <row r="138" spans="1:7" ht="14.25" customHeight="1" x14ac:dyDescent="0.3">
      <c r="A138" s="25" t="s">
        <v>43</v>
      </c>
      <c r="B138" s="26" t="s">
        <v>96</v>
      </c>
      <c r="C138" s="27" t="s">
        <v>110</v>
      </c>
      <c r="D138" s="20">
        <f>SUMIFS('CUSTOS MENSAIS'!$F:$F,'CUSTOS MENSAIS'!$A:$A,A138,'CUSTOS MENSAIS'!$H:$H,F138)</f>
        <v>26037.09</v>
      </c>
      <c r="E138" s="20">
        <f>IFERROR(D138/IF(B138="Clientes",SUMIFS(PARÂMETROS!$B$8:$B$907,PARÂMETROS!$G$8:$G$907,F138),SUMIFS(PARÂMETROS!$C$8:$C$907,PARÂMETROS!$G$8:$G$907,F138)),0)</f>
        <v>0.13205401430237865</v>
      </c>
      <c r="F138" s="11" t="s">
        <v>88</v>
      </c>
      <c r="G138" s="29">
        <f>IF(B138="Clientes",SUMIFS(PARÂMETROS!$B$8:$B$907,PARÂMETROS!$G$8:$G$907,F138),SUMIFS(PARÂMETROS!$C$8:$C$907,PARÂMETROS!$G$8:$G$907,F138))</f>
        <v>197170</v>
      </c>
    </row>
    <row r="139" spans="1:7" ht="14.25" customHeight="1" x14ac:dyDescent="0.3">
      <c r="A139" s="25" t="s">
        <v>44</v>
      </c>
      <c r="B139" s="26" t="s">
        <v>98</v>
      </c>
      <c r="C139" s="27" t="s">
        <v>111</v>
      </c>
      <c r="D139" s="20">
        <f>SUMIFS('CUSTOS MENSAIS'!$F:$F,'CUSTOS MENSAIS'!$A:$A,A139,'CUSTOS MENSAIS'!$H:$H,F139)</f>
        <v>57642.479999999996</v>
      </c>
      <c r="E139" s="20">
        <f>IFERROR(D139/IF(B139="Clientes",SUMIFS(PARÂMETROS!$B$8:$B$907,PARÂMETROS!$G$8:$G$907,F139),SUMIFS(PARÂMETROS!$C$8:$C$907,PARÂMETROS!$G$8:$G$907,F139)),0)</f>
        <v>54.793231939163498</v>
      </c>
      <c r="F139" s="11" t="s">
        <v>88</v>
      </c>
      <c r="G139" s="29">
        <f>IF(B139="Clientes",SUMIFS(PARÂMETROS!$B$8:$B$907,PARÂMETROS!$G$8:$G$907,F139),SUMIFS(PARÂMETROS!$C$8:$C$907,PARÂMETROS!$G$8:$G$907,F139))</f>
        <v>1052</v>
      </c>
    </row>
    <row r="140" spans="1:7" ht="14.25" customHeight="1" x14ac:dyDescent="0.3">
      <c r="A140" s="25" t="s">
        <v>45</v>
      </c>
      <c r="B140" s="26" t="s">
        <v>96</v>
      </c>
      <c r="C140" s="27" t="s">
        <v>112</v>
      </c>
      <c r="D140" s="20">
        <f>SUMIFS('CUSTOS MENSAIS'!$F:$F,'CUSTOS MENSAIS'!$A:$A,A140,'CUSTOS MENSAIS'!$H:$H,F140)</f>
        <v>72887.3</v>
      </c>
      <c r="E140" s="20">
        <f>IFERROR(D140/IF(B140="Clientes",SUMIFS(PARÂMETROS!$B$8:$B$907,PARÂMETROS!$G$8:$G$907,F140),SUMIFS(PARÂMETROS!$C$8:$C$907,PARÂMETROS!$G$8:$G$907,F140)),0)</f>
        <v>0.36966729218440941</v>
      </c>
      <c r="F140" s="11" t="s">
        <v>88</v>
      </c>
      <c r="G140" s="29">
        <f>IF(B140="Clientes",SUMIFS(PARÂMETROS!$B$8:$B$907,PARÂMETROS!$G$8:$G$907,F140),SUMIFS(PARÂMETROS!$C$8:$C$907,PARÂMETROS!$G$8:$G$907,F140))</f>
        <v>197170</v>
      </c>
    </row>
    <row r="141" spans="1:7" ht="14.25" customHeight="1" x14ac:dyDescent="0.3">
      <c r="A141" s="25" t="s">
        <v>46</v>
      </c>
      <c r="B141" s="26" t="s">
        <v>96</v>
      </c>
      <c r="C141" s="27" t="s">
        <v>113</v>
      </c>
      <c r="D141" s="20">
        <f>SUMIFS('CUSTOS MENSAIS'!$F:$F,'CUSTOS MENSAIS'!$A:$A,A141,'CUSTOS MENSAIS'!$H:$H,F141)</f>
        <v>176476.64</v>
      </c>
      <c r="E141" s="20">
        <f>IFERROR(D141/IF(B141="Clientes",SUMIFS(PARÂMETROS!$B$8:$B$907,PARÂMETROS!$G$8:$G$907,F141),SUMIFS(PARÂMETROS!$C$8:$C$907,PARÂMETROS!$G$8:$G$907,F141)),0)</f>
        <v>0.89504813105442016</v>
      </c>
      <c r="F141" s="11" t="s">
        <v>88</v>
      </c>
      <c r="G141" s="29">
        <f>IF(B141="Clientes",SUMIFS(PARÂMETROS!$B$8:$B$907,PARÂMETROS!$G$8:$G$907,F141),SUMIFS(PARÂMETROS!$C$8:$C$907,PARÂMETROS!$G$8:$G$907,F141))</f>
        <v>197170</v>
      </c>
    </row>
    <row r="142" spans="1:7" ht="14.25" customHeight="1" x14ac:dyDescent="0.3">
      <c r="A142" s="25" t="s">
        <v>47</v>
      </c>
      <c r="B142" s="26" t="s">
        <v>96</v>
      </c>
      <c r="C142" s="27" t="s">
        <v>114</v>
      </c>
      <c r="D142" s="20">
        <f>SUMIFS('CUSTOS MENSAIS'!$F:$F,'CUSTOS MENSAIS'!$A:$A,A142,'CUSTOS MENSAIS'!$H:$H,F142)</f>
        <v>133708.31999999998</v>
      </c>
      <c r="E142" s="20">
        <f>IFERROR(D142/IF(B142="Clientes",SUMIFS(PARÂMETROS!$B$8:$B$907,PARÂMETROS!$G$8:$G$907,F142),SUMIFS(PARÂMETROS!$C$8:$C$907,PARÂMETROS!$G$8:$G$907,F142)),0)</f>
        <v>0.67813724197393099</v>
      </c>
      <c r="F142" s="11" t="s">
        <v>88</v>
      </c>
      <c r="G142" s="29">
        <f>IF(B142="Clientes",SUMIFS(PARÂMETROS!$B$8:$B$907,PARÂMETROS!$G$8:$G$907,F142),SUMIFS(PARÂMETROS!$C$8:$C$907,PARÂMETROS!$G$8:$G$907,F142))</f>
        <v>197170</v>
      </c>
    </row>
    <row r="143" spans="1:7" ht="14.25" customHeight="1" x14ac:dyDescent="0.3">
      <c r="A143" s="25" t="s">
        <v>48</v>
      </c>
      <c r="B143" s="26" t="s">
        <v>96</v>
      </c>
      <c r="C143" s="27" t="s">
        <v>115</v>
      </c>
      <c r="D143" s="20">
        <f>SUMIFS('CUSTOS MENSAIS'!$F:$F,'CUSTOS MENSAIS'!$A:$A,A143,'CUSTOS MENSAIS'!$H:$H,F143)</f>
        <v>147825.81</v>
      </c>
      <c r="E143" s="20">
        <f>IFERROR(D143/IF(B143="Clientes",SUMIFS(PARÂMETROS!$B$8:$B$907,PARÂMETROS!$G$8:$G$907,F143),SUMIFS(PARÂMETROS!$C$8:$C$907,PARÂMETROS!$G$8:$G$907,F143)),0)</f>
        <v>0.74973784044225789</v>
      </c>
      <c r="F143" s="11" t="s">
        <v>88</v>
      </c>
      <c r="G143" s="29">
        <f>IF(B143="Clientes",SUMIFS(PARÂMETROS!$B$8:$B$907,PARÂMETROS!$G$8:$G$907,F143),SUMIFS(PARÂMETROS!$C$8:$C$907,PARÂMETROS!$G$8:$G$907,F143))</f>
        <v>197170</v>
      </c>
    </row>
    <row r="144" spans="1:7" ht="14.25" customHeight="1" x14ac:dyDescent="0.3">
      <c r="A144" s="25" t="s">
        <v>49</v>
      </c>
      <c r="B144" s="26" t="s">
        <v>96</v>
      </c>
      <c r="C144" s="27" t="s">
        <v>116</v>
      </c>
      <c r="D144" s="20">
        <f>SUMIFS('CUSTOS MENSAIS'!$F:$F,'CUSTOS MENSAIS'!$A:$A,A144,'CUSTOS MENSAIS'!$H:$H,F144)</f>
        <v>31126.48</v>
      </c>
      <c r="E144" s="20">
        <f>IFERROR(D144/IF(B144="Clientes",SUMIFS(PARÂMETROS!$B$8:$B$907,PARÂMETROS!$G$8:$G$907,F144),SUMIFS(PARÂMETROS!$C$8:$C$907,PARÂMETROS!$G$8:$G$907,F144)),0)</f>
        <v>0.15786620682659633</v>
      </c>
      <c r="F144" s="11" t="s">
        <v>88</v>
      </c>
      <c r="G144" s="29">
        <f>IF(B144="Clientes",SUMIFS(PARÂMETROS!$B$8:$B$907,PARÂMETROS!$G$8:$G$907,F144),SUMIFS(PARÂMETROS!$C$8:$C$907,PARÂMETROS!$G$8:$G$907,F144))</f>
        <v>197170</v>
      </c>
    </row>
    <row r="145" spans="1:7" ht="14.25" customHeight="1" x14ac:dyDescent="0.3">
      <c r="A145" s="25" t="s">
        <v>50</v>
      </c>
      <c r="B145" s="26" t="s">
        <v>96</v>
      </c>
      <c r="C145" s="27" t="s">
        <v>117</v>
      </c>
      <c r="D145" s="20">
        <f>SUMIFS('CUSTOS MENSAIS'!$F:$F,'CUSTOS MENSAIS'!$A:$A,A145,'CUSTOS MENSAIS'!$H:$H,F145)</f>
        <v>100549.43999999999</v>
      </c>
      <c r="E145" s="20">
        <f>IFERROR(D145/IF(B145="Clientes",SUMIFS(PARÂMETROS!$B$8:$B$907,PARÂMETROS!$G$8:$G$907,F145),SUMIFS(PARÂMETROS!$C$8:$C$907,PARÂMETROS!$G$8:$G$907,F145)),0)</f>
        <v>0.50996317898260379</v>
      </c>
      <c r="F145" s="11" t="s">
        <v>88</v>
      </c>
      <c r="G145" s="29">
        <f>IF(B145="Clientes",SUMIFS(PARÂMETROS!$B$8:$B$907,PARÂMETROS!$G$8:$G$907,F145),SUMIFS(PARÂMETROS!$C$8:$C$907,PARÂMETROS!$G$8:$G$907,F145))</f>
        <v>197170</v>
      </c>
    </row>
    <row r="146" spans="1:7" ht="14.25" customHeight="1" x14ac:dyDescent="0.3">
      <c r="A146" s="25" t="s">
        <v>51</v>
      </c>
      <c r="B146" s="26" t="s">
        <v>96</v>
      </c>
      <c r="C146" s="27" t="s">
        <v>118</v>
      </c>
      <c r="D146" s="20">
        <f>SUMIFS('CUSTOS MENSAIS'!$F:$F,'CUSTOS MENSAIS'!$A:$A,A146,'CUSTOS MENSAIS'!$H:$H,F146)</f>
        <v>132190.15000000002</v>
      </c>
      <c r="E146" s="20">
        <f>IFERROR(D146/IF(B146="Clientes",SUMIFS(PARÂMETROS!$B$8:$B$907,PARÂMETROS!$G$8:$G$907,F146),SUMIFS(PARÂMETROS!$C$8:$C$907,PARÂMETROS!$G$8:$G$907,F146)),0)</f>
        <v>0.67043743977278503</v>
      </c>
      <c r="F146" s="11" t="s">
        <v>88</v>
      </c>
      <c r="G146" s="29">
        <f>IF(B146="Clientes",SUMIFS(PARÂMETROS!$B$8:$B$907,PARÂMETROS!$G$8:$G$907,F146),SUMIFS(PARÂMETROS!$C$8:$C$907,PARÂMETROS!$G$8:$G$907,F146))</f>
        <v>197170</v>
      </c>
    </row>
    <row r="147" spans="1:7" ht="14.25" customHeight="1" x14ac:dyDescent="0.3">
      <c r="A147" s="25" t="s">
        <v>52</v>
      </c>
      <c r="B147" s="26" t="s">
        <v>96</v>
      </c>
      <c r="C147" s="27" t="s">
        <v>119</v>
      </c>
      <c r="D147" s="20">
        <f>SUMIFS('CUSTOS MENSAIS'!$F:$F,'CUSTOS MENSAIS'!$A:$A,A147,'CUSTOS MENSAIS'!$H:$H,F147)</f>
        <v>33432.330000000009</v>
      </c>
      <c r="E147" s="20">
        <f>IFERROR(D147/IF(B147="Clientes",SUMIFS(PARÂMETROS!$B$8:$B$907,PARÂMETROS!$G$8:$G$907,F147),SUMIFS(PARÂMETROS!$C$8:$C$907,PARÂMETROS!$G$8:$G$907,F147)),0)</f>
        <v>0.16956093726226104</v>
      </c>
      <c r="F147" s="11" t="s">
        <v>88</v>
      </c>
      <c r="G147" s="29">
        <f>IF(B147="Clientes",SUMIFS(PARÂMETROS!$B$8:$B$907,PARÂMETROS!$G$8:$G$907,F147),SUMIFS(PARÂMETROS!$C$8:$C$907,PARÂMETROS!$G$8:$G$907,F147))</f>
        <v>197170</v>
      </c>
    </row>
    <row r="148" spans="1:7" ht="14.25" customHeight="1" x14ac:dyDescent="0.3">
      <c r="A148" s="25" t="s">
        <v>53</v>
      </c>
      <c r="B148" s="26" t="s">
        <v>96</v>
      </c>
      <c r="C148" s="27" t="s">
        <v>120</v>
      </c>
      <c r="D148" s="20">
        <f>SUMIFS('CUSTOS MENSAIS'!$F:$F,'CUSTOS MENSAIS'!$A:$A,A148,'CUSTOS MENSAIS'!$H:$H,F148)</f>
        <v>118279.62000000001</v>
      </c>
      <c r="E148" s="20">
        <f>IFERROR(D148/IF(B148="Clientes",SUMIFS(PARÂMETROS!$B$8:$B$907,PARÂMETROS!$G$8:$G$907,F148),SUMIFS(PARÂMETROS!$C$8:$C$907,PARÂMETROS!$G$8:$G$907,F148)),0)</f>
        <v>0.59988649388852266</v>
      </c>
      <c r="F148" s="11" t="s">
        <v>88</v>
      </c>
      <c r="G148" s="29">
        <f>IF(B148="Clientes",SUMIFS(PARÂMETROS!$B$8:$B$907,PARÂMETROS!$G$8:$G$907,F148),SUMIFS(PARÂMETROS!$C$8:$C$907,PARÂMETROS!$G$8:$G$907,F148))</f>
        <v>197170</v>
      </c>
    </row>
    <row r="149" spans="1:7" ht="14.25" customHeight="1" x14ac:dyDescent="0.3">
      <c r="A149" s="25" t="s">
        <v>54</v>
      </c>
      <c r="B149" s="26" t="s">
        <v>134</v>
      </c>
      <c r="C149" s="27" t="s">
        <v>121</v>
      </c>
      <c r="D149" s="20">
        <f>SUMIFS('CUSTOS MENSAIS'!$F:$F,'CUSTOS MENSAIS'!$A:$A,A149,'CUSTOS MENSAIS'!$H:$H,F149)</f>
        <v>203018.86000000002</v>
      </c>
      <c r="E149" s="20">
        <f>IFERROR(D149/G149,0)</f>
        <v>1215.6817964071856</v>
      </c>
      <c r="F149" s="11" t="s">
        <v>88</v>
      </c>
      <c r="G149" s="29">
        <v>167</v>
      </c>
    </row>
    <row r="150" spans="1:7" ht="14.25" customHeight="1" x14ac:dyDescent="0.3">
      <c r="A150" s="25" t="s">
        <v>55</v>
      </c>
      <c r="B150" s="26" t="s">
        <v>98</v>
      </c>
      <c r="C150" s="27" t="s">
        <v>122</v>
      </c>
      <c r="D150" s="20">
        <f>SUMIFS('CUSTOS MENSAIS'!$F:$F,'CUSTOS MENSAIS'!$A:$A,A150,'CUSTOS MENSAIS'!$H:$H,F150)</f>
        <v>23340.09</v>
      </c>
      <c r="E150" s="20">
        <f>IFERROR(D150/IF(B150="Clientes",SUMIFS(PARÂMETROS!$B$8:$B$907,PARÂMETROS!$G$8:$G$907,F150),SUMIFS(PARÂMETROS!$C$8:$C$907,PARÂMETROS!$G$8:$G$907,F150)),0)</f>
        <v>22.186397338403044</v>
      </c>
      <c r="F150" s="11" t="s">
        <v>88</v>
      </c>
      <c r="G150" s="29">
        <f>IF(B150="Clientes",SUMIFS(PARÂMETROS!$B$8:$B$907,PARÂMETROS!$G$8:$G$907,F150),SUMIFS(PARÂMETROS!$C$8:$C$907,PARÂMETROS!$G$8:$G$907,F150))</f>
        <v>1052</v>
      </c>
    </row>
    <row r="151" spans="1:7" ht="14.25" customHeight="1" x14ac:dyDescent="0.3">
      <c r="A151" s="25" t="s">
        <v>86</v>
      </c>
      <c r="B151" s="26" t="s">
        <v>96</v>
      </c>
      <c r="C151" s="27" t="s">
        <v>123</v>
      </c>
      <c r="D151" s="20">
        <f>SUMIFS('CUSTOS MENSAIS'!$F:$F,'CUSTOS MENSAIS'!$A:$A,A151,'CUSTOS MENSAIS'!$H:$H,F151)</f>
        <v>45094.18</v>
      </c>
      <c r="E151" s="20">
        <f>IFERROR(D151/IF(B151="Clientes",SUMIFS(PARÂMETROS!$B$8:$B$907,PARÂMETROS!$G$8:$G$907,F151),SUMIFS(PARÂMETROS!$C$8:$C$907,PARÂMETROS!$G$8:$G$907,F151)),0)</f>
        <v>0.22870710554343968</v>
      </c>
      <c r="F151" s="11" t="s">
        <v>88</v>
      </c>
      <c r="G151" s="29">
        <f>IF(B151="Clientes",SUMIFS(PARÂMETROS!$B$8:$B$907,PARÂMETROS!$G$8:$G$907,F151),SUMIFS(PARÂMETROS!$C$8:$C$907,PARÂMETROS!$G$8:$G$907,F151))</f>
        <v>197170</v>
      </c>
    </row>
    <row r="152" spans="1:7" ht="14.25" customHeight="1" x14ac:dyDescent="0.3">
      <c r="A152" s="25" t="s">
        <v>83</v>
      </c>
      <c r="B152" s="26" t="s">
        <v>96</v>
      </c>
      <c r="C152" s="27" t="s">
        <v>124</v>
      </c>
      <c r="D152" s="20">
        <f>SUMIFS('CUSTOS MENSAIS'!$F:$F,'CUSTOS MENSAIS'!$A:$A,A152,'CUSTOS MENSAIS'!$H:$H,F152)</f>
        <v>17214.550000000003</v>
      </c>
      <c r="E152" s="20">
        <f>IFERROR(D152/IF(B152="Clientes",SUMIFS(PARÂMETROS!$B$8:$B$907,PARÂMETROS!$G$8:$G$907,F152),SUMIFS(PARÂMETROS!$C$8:$C$907,PARÂMETROS!$G$8:$G$907,F152)),0)</f>
        <v>8.7308160470659854E-2</v>
      </c>
      <c r="F152" s="11" t="s">
        <v>88</v>
      </c>
      <c r="G152" s="29">
        <f>IF(B152="Clientes",SUMIFS(PARÂMETROS!$B$8:$B$907,PARÂMETROS!$G$8:$G$907,F152),SUMIFS(PARÂMETROS!$C$8:$C$907,PARÂMETROS!$G$8:$G$907,F152))</f>
        <v>197170</v>
      </c>
    </row>
    <row r="153" spans="1:7" ht="14.25" customHeight="1" x14ac:dyDescent="0.3">
      <c r="A153" s="25" t="s">
        <v>85</v>
      </c>
      <c r="B153" s="26" t="s">
        <v>96</v>
      </c>
      <c r="C153" s="27" t="s">
        <v>125</v>
      </c>
      <c r="D153" s="20">
        <f>SUMIFS('CUSTOS MENSAIS'!$F:$F,'CUSTOS MENSAIS'!$A:$A,A153,'CUSTOS MENSAIS'!$H:$H,F153)</f>
        <v>68487.469999999987</v>
      </c>
      <c r="E153" s="20">
        <f>IFERROR(D153/IF(B153="Clientes",SUMIFS(PARÂMETROS!$B$8:$B$907,PARÂMETROS!$G$8:$G$907,F153),SUMIFS(PARÂMETROS!$C$8:$C$907,PARÂMETROS!$G$8:$G$907,F153)),0)</f>
        <v>0.34735238626565901</v>
      </c>
      <c r="F153" s="11" t="s">
        <v>88</v>
      </c>
      <c r="G153" s="29">
        <f>IF(B153="Clientes",SUMIFS(PARÂMETROS!$B$8:$B$907,PARÂMETROS!$G$8:$G$907,F153),SUMIFS(PARÂMETROS!$C$8:$C$907,PARÂMETROS!$G$8:$G$907,F153))</f>
        <v>197170</v>
      </c>
    </row>
    <row r="154" spans="1:7" ht="14.25" customHeight="1" x14ac:dyDescent="0.3">
      <c r="A154" s="25" t="s">
        <v>87</v>
      </c>
      <c r="B154" s="26" t="s">
        <v>96</v>
      </c>
      <c r="C154" s="27" t="s">
        <v>126</v>
      </c>
      <c r="D154" s="20">
        <f>SUMIFS('CUSTOS MENSAIS'!$F:$F,'CUSTOS MENSAIS'!$A:$A,A154,'CUSTOS MENSAIS'!$H:$H,F154)</f>
        <v>36841.599999999991</v>
      </c>
      <c r="E154" s="20">
        <f>IFERROR(D154/IF(B154="Clientes",SUMIFS(PARÂMETROS!$B$8:$B$907,PARÂMETROS!$G$8:$G$907,F154),SUMIFS(PARÂMETROS!$C$8:$C$907,PARÂMETROS!$G$8:$G$907,F154)),0)</f>
        <v>0.18685195516559311</v>
      </c>
      <c r="F154" s="11" t="s">
        <v>88</v>
      </c>
      <c r="G154" s="29">
        <f>IF(B154="Clientes",SUMIFS(PARÂMETROS!$B$8:$B$907,PARÂMETROS!$G$8:$G$907,F154),SUMIFS(PARÂMETROS!$C$8:$C$907,PARÂMETROS!$G$8:$G$907,F154))</f>
        <v>197170</v>
      </c>
    </row>
    <row r="155" spans="1:7" ht="14.25" customHeight="1" x14ac:dyDescent="0.3">
      <c r="A155" s="25" t="s">
        <v>78</v>
      </c>
      <c r="B155" s="26" t="s">
        <v>96</v>
      </c>
      <c r="C155" s="27" t="s">
        <v>127</v>
      </c>
      <c r="D155" s="20">
        <f>SUMIFS('CUSTOS MENSAIS'!$F:$F,'CUSTOS MENSAIS'!$A:$A,A155,'CUSTOS MENSAIS'!$H:$H,F155)</f>
        <v>74343.280000000013</v>
      </c>
      <c r="E155" s="20">
        <f>IFERROR(D155/IF(B155="Clientes",SUMIFS(PARÂMETROS!$B$8:$B$907,PARÂMETROS!$G$8:$G$907,F155),SUMIFS(PARÂMETROS!$C$8:$C$907,PARÂMETROS!$G$8:$G$907,F155)),0)</f>
        <v>0.37705168129025718</v>
      </c>
      <c r="F155" s="11" t="s">
        <v>88</v>
      </c>
      <c r="G155" s="29">
        <f>IF(B155="Clientes",SUMIFS(PARÂMETROS!$B$8:$B$907,PARÂMETROS!$G$8:$G$907,F155),SUMIFS(PARÂMETROS!$C$8:$C$907,PARÂMETROS!$G$8:$G$907,F155))</f>
        <v>197170</v>
      </c>
    </row>
    <row r="156" spans="1:7" ht="14.25" customHeight="1" x14ac:dyDescent="0.3">
      <c r="A156" s="25" t="s">
        <v>81</v>
      </c>
      <c r="B156" s="26" t="s">
        <v>96</v>
      </c>
      <c r="C156" s="27" t="s">
        <v>128</v>
      </c>
      <c r="D156" s="20">
        <f>SUMIFS('CUSTOS MENSAIS'!$F:$F,'CUSTOS MENSAIS'!$A:$A,A156,'CUSTOS MENSAIS'!$H:$H,F156)</f>
        <v>14975.34</v>
      </c>
      <c r="E156" s="20">
        <f>IFERROR(D156/IF(B156="Clientes",SUMIFS(PARÂMETROS!$B$8:$B$907,PARÂMETROS!$G$8:$G$907,F156),SUMIFS(PARÂMETROS!$C$8:$C$907,PARÂMETROS!$G$8:$G$907,F156)),0)</f>
        <v>7.5951412486686617E-2</v>
      </c>
      <c r="F156" s="11" t="s">
        <v>88</v>
      </c>
      <c r="G156" s="29">
        <f>IF(B156="Clientes",SUMIFS(PARÂMETROS!$B$8:$B$907,PARÂMETROS!$G$8:$G$907,F156),SUMIFS(PARÂMETROS!$C$8:$C$907,PARÂMETROS!$G$8:$G$907,F156))</f>
        <v>197170</v>
      </c>
    </row>
    <row r="157" spans="1:7" ht="14.25" customHeight="1" x14ac:dyDescent="0.3">
      <c r="A157" s="25" t="s">
        <v>84</v>
      </c>
      <c r="B157" s="26" t="s">
        <v>96</v>
      </c>
      <c r="C157" s="27" t="s">
        <v>129</v>
      </c>
      <c r="D157" s="20">
        <f>SUMIFS('CUSTOS MENSAIS'!$F:$F,'CUSTOS MENSAIS'!$A:$A,A157,'CUSTOS MENSAIS'!$H:$H,F157)</f>
        <v>205883.68</v>
      </c>
      <c r="E157" s="20">
        <f>IFERROR(D157/IF(B157="Clientes",SUMIFS(PARÂMETROS!$B$8:$B$907,PARÂMETROS!$G$8:$G$907,F157),SUMIFS(PARÂMETROS!$C$8:$C$907,PARÂMETROS!$G$8:$G$907,F157)),0)</f>
        <v>1.0441937414413958</v>
      </c>
      <c r="F157" s="11" t="s">
        <v>88</v>
      </c>
      <c r="G157" s="29">
        <f>IF(B157="Clientes",SUMIFS(PARÂMETROS!$B$8:$B$907,PARÂMETROS!$G$8:$G$907,F157),SUMIFS(PARÂMETROS!$C$8:$C$907,PARÂMETROS!$G$8:$G$907,F157))</f>
        <v>197170</v>
      </c>
    </row>
    <row r="158" spans="1:7" ht="14.25" customHeight="1" x14ac:dyDescent="0.3">
      <c r="A158" s="25" t="s">
        <v>82</v>
      </c>
      <c r="B158" s="26" t="s">
        <v>96</v>
      </c>
      <c r="C158" s="27" t="s">
        <v>130</v>
      </c>
      <c r="D158" s="20">
        <f>SUMIFS('CUSTOS MENSAIS'!$F:$F,'CUSTOS MENSAIS'!$A:$A,A158,'CUSTOS MENSAIS'!$H:$H,F158)</f>
        <v>132016.27000000002</v>
      </c>
      <c r="E158" s="20">
        <f>IFERROR(D158/IF(B158="Clientes",SUMIFS(PARÂMETROS!$B$8:$B$907,PARÂMETROS!$G$8:$G$907,F158),SUMIFS(PARÂMETROS!$C$8:$C$907,PARÂMETROS!$G$8:$G$907,F158)),0)</f>
        <v>0.66955556119085058</v>
      </c>
      <c r="F158" s="11" t="s">
        <v>88</v>
      </c>
      <c r="G158" s="29">
        <f>IF(B158="Clientes",SUMIFS(PARÂMETROS!$B$8:$B$907,PARÂMETROS!$G$8:$G$907,F158),SUMIFS(PARÂMETROS!$C$8:$C$907,PARÂMETROS!$G$8:$G$907,F158))</f>
        <v>197170</v>
      </c>
    </row>
    <row r="159" spans="1:7" ht="14.25" customHeight="1" x14ac:dyDescent="0.3">
      <c r="A159" s="25" t="s">
        <v>80</v>
      </c>
      <c r="B159" s="26" t="s">
        <v>96</v>
      </c>
      <c r="C159" s="27" t="s">
        <v>131</v>
      </c>
      <c r="D159" s="20">
        <f>SUMIFS('CUSTOS MENSAIS'!$F:$F,'CUSTOS MENSAIS'!$A:$A,A159,'CUSTOS MENSAIS'!$H:$H,F159)</f>
        <v>11549.89</v>
      </c>
      <c r="E159" s="20">
        <f>IFERROR(D159/IF(B159="Clientes",SUMIFS(PARÂMETROS!$B$8:$B$907,PARÂMETROS!$G$8:$G$907,F159),SUMIFS(PARÂMETROS!$C$8:$C$907,PARÂMETROS!$G$8:$G$907,F159)),0)</f>
        <v>5.8578333417862755E-2</v>
      </c>
      <c r="F159" s="11" t="s">
        <v>88</v>
      </c>
      <c r="G159" s="29">
        <f>IF(B159="Clientes",SUMIFS(PARÂMETROS!$B$8:$B$907,PARÂMETROS!$G$8:$G$907,F159),SUMIFS(PARÂMETROS!$C$8:$C$907,PARÂMETROS!$G$8:$G$907,F159))</f>
        <v>197170</v>
      </c>
    </row>
    <row r="160" spans="1:7" ht="14.25" customHeight="1" x14ac:dyDescent="0.3">
      <c r="A160" s="25" t="s">
        <v>79</v>
      </c>
      <c r="B160" s="26" t="s">
        <v>98</v>
      </c>
      <c r="C160" s="27" t="s">
        <v>132</v>
      </c>
      <c r="D160" s="20">
        <f>SUMIFS('CUSTOS MENSAIS'!$F:$F,'CUSTOS MENSAIS'!$A:$A,A160,'CUSTOS MENSAIS'!$H:$H,F160)</f>
        <v>25628.29</v>
      </c>
      <c r="E160" s="20">
        <f>IFERROR(D160/G160,0)</f>
        <v>29.09</v>
      </c>
      <c r="F160" s="11" t="s">
        <v>88</v>
      </c>
      <c r="G160" s="29">
        <f>SUMIFS(PARÂMETROS!$C$8:$C$907,PARÂMETROS!$G$8:$G$907,F160,PARÂMETROS!$A$8:$A$907,"DTEL (uso próprio)")</f>
        <v>881</v>
      </c>
    </row>
    <row r="161" spans="1:7" ht="14.25" customHeight="1" x14ac:dyDescent="0.3">
      <c r="A161" s="16" t="s">
        <v>145</v>
      </c>
      <c r="B161" s="30"/>
      <c r="C161" s="31"/>
      <c r="D161" s="32">
        <f>SUM(D126:D160)+D162+D163+D164+D165</f>
        <v>2601256.6800000011</v>
      </c>
      <c r="E161" s="32"/>
      <c r="F161" s="30"/>
      <c r="G161" s="33"/>
    </row>
    <row r="162" spans="1:7" ht="14.25" customHeight="1" x14ac:dyDescent="0.3">
      <c r="A162" s="25" t="s">
        <v>137</v>
      </c>
      <c r="B162" s="26" t="s">
        <v>96</v>
      </c>
      <c r="C162" s="27" t="s">
        <v>138</v>
      </c>
      <c r="D162" s="20">
        <f>SUMIFS('CUSTOS MENSAIS'!$F:$F,'CUSTOS MENSAIS'!$A:$A,A162,'CUSTOS MENSAIS'!$H:$H,F162)</f>
        <v>8249.27</v>
      </c>
      <c r="E162" s="20">
        <f>IFERROR(D162/IF(B162="Clientes",SUMIFS(PARÂMETROS!$B$8:$B$907,PARÂMETROS!$G$8:$G$907,F162),SUMIFS(PARÂMETROS!$C$8:$C$907,PARÂMETROS!$G$8:$G$907,F162)),0)</f>
        <v>4.1838362834102555E-2</v>
      </c>
      <c r="F162" s="11" t="s">
        <v>88</v>
      </c>
      <c r="G162" s="29">
        <f>IF(B162="Clientes",SUMIFS(PARÂMETROS!$B$8:$B$907,PARÂMETROS!$G$8:$G$907,F162),SUMIFS(PARÂMETROS!$C$8:$C$907,PARÂMETROS!$G$8:$G$907,F162))</f>
        <v>197170</v>
      </c>
    </row>
    <row r="163" spans="1:7" ht="14.25" customHeight="1" x14ac:dyDescent="0.3">
      <c r="A163" s="25" t="s">
        <v>139</v>
      </c>
      <c r="B163" s="26" t="s">
        <v>98</v>
      </c>
      <c r="C163" s="27" t="s">
        <v>140</v>
      </c>
      <c r="D163" s="20">
        <f>SUMIFS('CUSTOS MENSAIS'!$F:$F,'CUSTOS MENSAIS'!$A:$A,A163,'CUSTOS MENSAIS'!$H:$H,F163)</f>
        <v>29139.29</v>
      </c>
      <c r="E163" s="20">
        <f>IFERROR(D163/IF(B163="Clientes",SUMIFS(PARÂMETROS!$B$8:$B$907,PARÂMETROS!$G$8:$G$907,F163),SUMIFS(PARÂMETROS!$C$8:$C$907,PARÂMETROS!$G$8:$G$907,F163)),0)</f>
        <v>27.698944866920154</v>
      </c>
      <c r="F163" s="11" t="s">
        <v>88</v>
      </c>
      <c r="G163" s="29">
        <f>IF(B163="Clientes",SUMIFS(PARÂMETROS!$B$8:$B$907,PARÂMETROS!$G$8:$G$907,F163),SUMIFS(PARÂMETROS!$C$8:$C$907,PARÂMETROS!$G$8:$G$907,F163))</f>
        <v>1052</v>
      </c>
    </row>
    <row r="164" spans="1:7" ht="14.25" customHeight="1" x14ac:dyDescent="0.3">
      <c r="A164" s="25" t="s">
        <v>141</v>
      </c>
      <c r="B164" s="26" t="s">
        <v>96</v>
      </c>
      <c r="C164" s="27" t="s">
        <v>142</v>
      </c>
      <c r="D164" s="20">
        <f>SUMIFS('CUSTOS MENSAIS'!$F:$F,'CUSTOS MENSAIS'!$A:$A,A164,'CUSTOS MENSAIS'!$H:$H,F164)</f>
        <v>24636.91</v>
      </c>
      <c r="E164" s="20">
        <f>IFERROR(D164/IF(B164="Clientes",SUMIFS(PARÂMETROS!$B$8:$B$907,PARÂMETROS!$G$8:$G$907,F164),SUMIFS(PARÂMETROS!$C$8:$C$907,PARÂMETROS!$G$8:$G$907,F164)),0)</f>
        <v>0.12495262971040219</v>
      </c>
      <c r="F164" s="11" t="s">
        <v>88</v>
      </c>
      <c r="G164" s="29">
        <f>IF(B164="Clientes",SUMIFS(PARÂMETROS!$B$8:$B$907,PARÂMETROS!$G$8:$G$907,F164),SUMIFS(PARÂMETROS!$C$8:$C$907,PARÂMETROS!$G$8:$G$907,F164))</f>
        <v>197170</v>
      </c>
    </row>
    <row r="165" spans="1:7" ht="14.25" customHeight="1" x14ac:dyDescent="0.3">
      <c r="A165" t="s">
        <v>143</v>
      </c>
      <c r="B165" t="s">
        <v>96</v>
      </c>
      <c r="C165" t="s">
        <v>144</v>
      </c>
      <c r="D165">
        <f>SUMIFS('CUSTOS MENSAIS'!$F:$F,'CUSTOS MENSAIS'!$A:$A,A165,'CUSTOS MENSAIS'!$H:$H,F165)</f>
        <v>46959.909999999996</v>
      </c>
      <c r="E165">
        <f>IFERROR(D165/IF(B165="Clientes",SUMIFS(PARÂMETROS!$B$8:$B$907,PARÂMETROS!$G$8:$G$907,F165),SUMIFS(PARÂMETROS!$C$8:$C$907,PARÂMETROS!$G$8:$G$907,F165)),0)</f>
        <v>0.2381696505553583</v>
      </c>
      <c r="F165" t="s">
        <v>88</v>
      </c>
      <c r="G165">
        <f>IF(B165="Clientes",SUMIFS(PARÂMETROS!$B$8:$B$907,PARÂMETROS!$G$8:$G$907,F165),SUMIFS(PARÂMETROS!$C$8:$C$907,PARÂMETROS!$G$8:$G$907,F165))</f>
        <v>197170</v>
      </c>
    </row>
    <row r="166" spans="1:7" ht="14.25" customHeight="1" x14ac:dyDescent="0.3">
      <c r="A166" t="s">
        <v>146</v>
      </c>
      <c r="B166" t="s">
        <v>96</v>
      </c>
      <c r="C166" t="s">
        <v>147</v>
      </c>
      <c r="D166">
        <f>SUMIFS('CUSTOS MENSAIS'!$F:$F,'CUSTOS MENSAIS'!$A:$A,A166,'CUSTOS MENSAIS'!$H:$H,F166)</f>
        <v>15936.7</v>
      </c>
      <c r="E166">
        <f>IFERROR(D166/IF(B166="Clientes",SUMIFS(PARÂMETROS!$B$8:$B$907,PARÂMETROS!$G$8:$G$907,F166),SUMIFS(PARÂMETROS!$C$8:$C$907,PARÂMETROS!$G$8:$G$907,F166)),0)</f>
        <v>8.3295614314759556E-2</v>
      </c>
      <c r="F166" t="s">
        <v>20</v>
      </c>
      <c r="G166">
        <f>IF(B166="Clientes",SUMIFS(PARÂMETROS!$B$8:$B$907,PARÂMETROS!$G$8:$G$907,F166),SUMIFS(PARÂMETROS!$C$8:$C$907,PARÂMETROS!$G$8:$G$907,F166))</f>
        <v>191327</v>
      </c>
    </row>
    <row r="167" spans="1:7" ht="14.25" customHeight="1" x14ac:dyDescent="0.3">
      <c r="A167" t="s">
        <v>146</v>
      </c>
      <c r="B167" t="s">
        <v>96</v>
      </c>
      <c r="C167" t="s">
        <v>147</v>
      </c>
      <c r="D167">
        <f>SUMIFS('CUSTOS MENSAIS'!$F:$F,'CUSTOS MENSAIS'!$A:$A,A167,'CUSTOS MENSAIS'!$H:$H,F167)</f>
        <v>23431.15</v>
      </c>
      <c r="E167">
        <f>IFERROR(D167/IF(B167="Clientes",SUMIFS(PARÂMETROS!$B$8:$B$907,PARÂMETROS!$G$8:$G$907,F167),SUMIFS(PARÂMETROS!$C$8:$C$907,PARÂMETROS!$G$8:$G$907,F167)),0)</f>
        <v>0.12025656554251372</v>
      </c>
      <c r="F167" t="s">
        <v>11</v>
      </c>
      <c r="G167">
        <f>IF(B167="Clientes",SUMIFS(PARÂMETROS!$B$8:$B$907,PARÂMETROS!$G$8:$G$907,F167),SUMIFS(PARÂMETROS!$C$8:$C$907,PARÂMETROS!$G$8:$G$907,F167))</f>
        <v>194843</v>
      </c>
    </row>
    <row r="168" spans="1:7" ht="14.25" customHeight="1" x14ac:dyDescent="0.3">
      <c r="A168" t="s">
        <v>146</v>
      </c>
      <c r="B168" t="s">
        <v>96</v>
      </c>
      <c r="C168" t="s">
        <v>147</v>
      </c>
      <c r="D168">
        <f>SUMIFS('CUSTOS MENSAIS'!$F:$F,'CUSTOS MENSAIS'!$A:$A,A168,'CUSTOS MENSAIS'!$H:$H,F168)</f>
        <v>23134.52</v>
      </c>
      <c r="E168">
        <f>IFERROR(D168/IF(B168="Clientes",SUMIFS(PARÂMETROS!$B$8:$B$907,PARÂMETROS!$G$8:$G$907,F168),SUMIFS(PARÂMETROS!$C$8:$C$907,PARÂMETROS!$G$8:$G$907,F168)),0)</f>
        <v>0.11481664193437921</v>
      </c>
      <c r="F168" t="s">
        <v>21</v>
      </c>
      <c r="G168">
        <f>IF(B168="Clientes",SUMIFS(PARÂMETROS!$B$8:$B$907,PARÂMETROS!$G$8:$G$907,F168),SUMIFS(PARÂMETROS!$C$8:$C$907,PARÂMETROS!$G$8:$G$907,F168))</f>
        <v>201491</v>
      </c>
    </row>
    <row r="169" spans="1:7" ht="14.25" customHeight="1" x14ac:dyDescent="0.3">
      <c r="A169" t="s">
        <v>146</v>
      </c>
      <c r="B169" t="s">
        <v>96</v>
      </c>
      <c r="C169" t="s">
        <v>147</v>
      </c>
      <c r="D169">
        <f>SUMIFS('CUSTOS MENSAIS'!$F:$F,'CUSTOS MENSAIS'!$A:$A,A169,'CUSTOS MENSAIS'!$H:$H,F169)</f>
        <v>25653.46</v>
      </c>
      <c r="E169">
        <f>IFERROR(D169/IF(B169="Clientes",SUMIFS(PARÂMETROS!$B$8:$B$907,PARÂMETROS!$G$8:$G$907,F169),SUMIFS(PARÂMETROS!$C$8:$C$907,PARÂMETROS!$G$8:$G$907,F169)),0)</f>
        <v>0.13010833291068621</v>
      </c>
      <c r="F169" t="s">
        <v>88</v>
      </c>
      <c r="G169">
        <f>IF(B169="Clientes",SUMIFS(PARÂMETROS!$B$8:$B$907,PARÂMETROS!$G$8:$G$907,F169),SUMIFS(PARÂMETROS!$C$8:$C$907,PARÂMETROS!$G$8:$G$907,F169))</f>
        <v>197170</v>
      </c>
    </row>
  </sheetData>
  <mergeCells count="2">
    <mergeCell ref="A1:E1"/>
    <mergeCell ref="A2:G2"/>
  </mergeCells>
  <dataValidations count="1">
    <dataValidation type="list" sqref="B5:B17" xr:uid="{00000000-0002-0000-0100-000000000000}">
      <formula1>"Clientes,Funcionários"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44"/>
  <sheetViews>
    <sheetView showGridLines="0" tabSelected="1" zoomScale="90" zoomScaleNormal="90" workbookViewId="0">
      <selection activeCell="G1301" sqref="G1301"/>
    </sheetView>
  </sheetViews>
  <sheetFormatPr defaultColWidth="8.6640625" defaultRowHeight="14.4" x14ac:dyDescent="0.3"/>
  <cols>
    <col min="1" max="1" width="21.21875" customWidth="1"/>
    <col min="2" max="2" width="20.6640625" style="65" customWidth="1"/>
    <col min="3" max="3" width="62" style="65" customWidth="1"/>
    <col min="4" max="4" width="15.77734375" style="65" customWidth="1"/>
    <col min="5" max="5" width="18.33203125" style="77" customWidth="1"/>
    <col min="6" max="6" width="16.5546875" style="77" customWidth="1"/>
    <col min="7" max="7" width="16" style="65" customWidth="1"/>
    <col min="8" max="8" width="12" style="65" customWidth="1"/>
  </cols>
  <sheetData>
    <row r="1" spans="1:8" ht="14.25" customHeight="1" x14ac:dyDescent="0.3">
      <c r="A1" s="49" t="s">
        <v>148</v>
      </c>
      <c r="B1" s="49"/>
      <c r="C1" s="49"/>
      <c r="D1" s="49"/>
      <c r="E1" s="49"/>
      <c r="F1" s="49"/>
      <c r="G1" s="49"/>
    </row>
    <row r="2" spans="1:8" ht="14.25" customHeight="1" x14ac:dyDescent="0.3">
      <c r="A2" s="3" t="s">
        <v>149</v>
      </c>
    </row>
    <row r="3" spans="1:8" ht="14.25" customHeight="1" x14ac:dyDescent="0.3"/>
    <row r="4" spans="1:8" ht="26.25" customHeight="1" x14ac:dyDescent="0.3">
      <c r="A4" s="6" t="s">
        <v>24</v>
      </c>
      <c r="B4" s="59" t="s">
        <v>150</v>
      </c>
      <c r="C4" s="59" t="s">
        <v>151</v>
      </c>
      <c r="D4" s="59" t="s">
        <v>152</v>
      </c>
      <c r="E4" s="72" t="s">
        <v>153</v>
      </c>
      <c r="F4" s="72" t="s">
        <v>154</v>
      </c>
      <c r="G4" s="59" t="s">
        <v>91</v>
      </c>
      <c r="H4" s="59" t="s">
        <v>9</v>
      </c>
    </row>
    <row r="5" spans="1:8" ht="14.25" hidden="1" customHeight="1" x14ac:dyDescent="0.3">
      <c r="A5" s="2" t="s">
        <v>55</v>
      </c>
      <c r="B5" s="60" t="s">
        <v>155</v>
      </c>
      <c r="C5" s="60" t="s">
        <v>236</v>
      </c>
      <c r="D5" s="68">
        <v>1</v>
      </c>
      <c r="E5" s="73">
        <v>21454</v>
      </c>
      <c r="F5" s="79">
        <f>IFERROR(D5*E5,0)</f>
        <v>21454</v>
      </c>
      <c r="G5" s="60" t="str">
        <f>INDEX(SETORES!$B:$B,MATCH(A5,SETORES!$A:$A,0))</f>
        <v>Funcionários</v>
      </c>
      <c r="H5" s="60" t="s">
        <v>88</v>
      </c>
    </row>
    <row r="6" spans="1:8" ht="14.25" hidden="1" customHeight="1" x14ac:dyDescent="0.3">
      <c r="A6" s="2" t="s">
        <v>55</v>
      </c>
      <c r="B6" s="60" t="s">
        <v>162</v>
      </c>
      <c r="C6" s="60" t="s">
        <v>222</v>
      </c>
      <c r="D6" s="68"/>
      <c r="E6" s="73"/>
      <c r="F6" s="79">
        <f>IFERROR(D6*E6,0)</f>
        <v>0</v>
      </c>
      <c r="G6" s="60" t="str">
        <f>INDEX(SETORES!$B:$B,MATCH(A6,SETORES!$A:$A,0))</f>
        <v>Funcionários</v>
      </c>
      <c r="H6" s="60" t="s">
        <v>88</v>
      </c>
    </row>
    <row r="7" spans="1:8" ht="14.25" hidden="1" customHeight="1" x14ac:dyDescent="0.3">
      <c r="A7" s="2" t="s">
        <v>55</v>
      </c>
      <c r="B7" s="60" t="s">
        <v>155</v>
      </c>
      <c r="C7" s="60" t="s">
        <v>185</v>
      </c>
      <c r="D7" s="68">
        <v>1</v>
      </c>
      <c r="E7" s="73">
        <v>99</v>
      </c>
      <c r="F7" s="79">
        <f>IFERROR(D7*E7,0)</f>
        <v>99</v>
      </c>
      <c r="G7" s="60" t="str">
        <f>INDEX(SETORES!$B:$B,MATCH(A7,SETORES!$A:$A,0))</f>
        <v>Funcionários</v>
      </c>
      <c r="H7" s="60" t="s">
        <v>88</v>
      </c>
    </row>
    <row r="8" spans="1:8" ht="14.25" hidden="1" customHeight="1" x14ac:dyDescent="0.3">
      <c r="A8" s="2" t="s">
        <v>55</v>
      </c>
      <c r="B8" s="60" t="s">
        <v>155</v>
      </c>
      <c r="C8" s="60" t="s">
        <v>245</v>
      </c>
      <c r="D8" s="68"/>
      <c r="E8" s="73"/>
      <c r="F8" s="79">
        <f>IFERROR(D8*E8,0)</f>
        <v>0</v>
      </c>
      <c r="G8" s="60" t="str">
        <f>INDEX(SETORES!$B:$B,MATCH(A8,SETORES!$A:$A,0))</f>
        <v>Funcionários</v>
      </c>
      <c r="H8" s="60" t="s">
        <v>88</v>
      </c>
    </row>
    <row r="9" spans="1:8" ht="14.25" hidden="1" customHeight="1" x14ac:dyDescent="0.3">
      <c r="A9" s="2" t="s">
        <v>55</v>
      </c>
      <c r="B9" s="60" t="s">
        <v>155</v>
      </c>
      <c r="C9" s="60" t="s">
        <v>243</v>
      </c>
      <c r="D9" s="68">
        <v>1</v>
      </c>
      <c r="E9" s="73">
        <v>1787.09</v>
      </c>
      <c r="F9" s="79">
        <f>IFERROR(D9*E9,0)</f>
        <v>1787.09</v>
      </c>
      <c r="G9" s="60" t="str">
        <f>INDEX(SETORES!$B:$B,MATCH(A9,SETORES!$A:$A,0))</f>
        <v>Funcionários</v>
      </c>
      <c r="H9" s="60" t="s">
        <v>88</v>
      </c>
    </row>
    <row r="10" spans="1:8" ht="14.25" hidden="1" customHeight="1" x14ac:dyDescent="0.3">
      <c r="A10" s="2" t="s">
        <v>137</v>
      </c>
      <c r="B10" s="60" t="s">
        <v>155</v>
      </c>
      <c r="C10" s="60" t="s">
        <v>159</v>
      </c>
      <c r="D10" s="68"/>
      <c r="E10" s="73"/>
      <c r="F10" s="79">
        <f>IFERROR(D10*E10,0)</f>
        <v>0</v>
      </c>
      <c r="G10" s="60" t="str">
        <f>INDEX(SETORES!$B:$B,MATCH(A10,SETORES!$A:$A,0))</f>
        <v>Clientes</v>
      </c>
      <c r="H10" s="60" t="s">
        <v>88</v>
      </c>
    </row>
    <row r="11" spans="1:8" ht="14.25" hidden="1" customHeight="1" x14ac:dyDescent="0.3">
      <c r="A11" s="2" t="s">
        <v>137</v>
      </c>
      <c r="B11" s="60" t="s">
        <v>155</v>
      </c>
      <c r="C11" s="60" t="s">
        <v>212</v>
      </c>
      <c r="D11" s="68">
        <v>1</v>
      </c>
      <c r="E11" s="73">
        <v>30</v>
      </c>
      <c r="F11" s="79">
        <f>IFERROR(D11*E11,0)</f>
        <v>30</v>
      </c>
      <c r="G11" s="60" t="str">
        <f>INDEX(SETORES!$B:$B,MATCH(A11,SETORES!$A:$A,0))</f>
        <v>Clientes</v>
      </c>
      <c r="H11" s="60" t="s">
        <v>88</v>
      </c>
    </row>
    <row r="12" spans="1:8" ht="14.25" hidden="1" customHeight="1" x14ac:dyDescent="0.3">
      <c r="A12" s="2" t="s">
        <v>137</v>
      </c>
      <c r="B12" s="60" t="s">
        <v>155</v>
      </c>
      <c r="C12" s="60" t="s">
        <v>248</v>
      </c>
      <c r="D12" s="68">
        <v>1</v>
      </c>
      <c r="E12" s="73">
        <v>582.05999999999995</v>
      </c>
      <c r="F12" s="79">
        <f>IFERROR(D12*E12,0)</f>
        <v>582.05999999999995</v>
      </c>
      <c r="G12" s="60" t="str">
        <f>INDEX(SETORES!$B:$B,MATCH(A12,SETORES!$A:$A,0))</f>
        <v>Clientes</v>
      </c>
      <c r="H12" s="60" t="s">
        <v>88</v>
      </c>
    </row>
    <row r="13" spans="1:8" ht="14.25" hidden="1" customHeight="1" x14ac:dyDescent="0.3">
      <c r="A13" s="2" t="s">
        <v>137</v>
      </c>
      <c r="B13" s="60" t="s">
        <v>155</v>
      </c>
      <c r="C13" s="60" t="s">
        <v>171</v>
      </c>
      <c r="D13" s="68">
        <v>2</v>
      </c>
      <c r="E13" s="73">
        <v>52.09</v>
      </c>
      <c r="F13" s="79">
        <f>IFERROR(D13*E13,0)</f>
        <v>104.18</v>
      </c>
      <c r="G13" s="60" t="s">
        <v>98</v>
      </c>
      <c r="H13" s="60" t="s">
        <v>88</v>
      </c>
    </row>
    <row r="14" spans="1:8" ht="14.25" hidden="1" customHeight="1" x14ac:dyDescent="0.3">
      <c r="A14" s="2" t="s">
        <v>137</v>
      </c>
      <c r="B14" s="60" t="s">
        <v>155</v>
      </c>
      <c r="C14" s="60" t="s">
        <v>170</v>
      </c>
      <c r="D14" s="68">
        <v>2</v>
      </c>
      <c r="E14" s="73">
        <v>32.549999999999997</v>
      </c>
      <c r="F14" s="79">
        <f>IFERROR(D14*E14,0)</f>
        <v>65.099999999999994</v>
      </c>
      <c r="G14" s="60" t="s">
        <v>98</v>
      </c>
      <c r="H14" s="60" t="s">
        <v>88</v>
      </c>
    </row>
    <row r="15" spans="1:8" ht="14.25" customHeight="1" x14ac:dyDescent="0.3">
      <c r="A15" s="2" t="s">
        <v>137</v>
      </c>
      <c r="B15" s="60" t="s">
        <v>155</v>
      </c>
      <c r="C15" s="60" t="s">
        <v>169</v>
      </c>
      <c r="D15" s="68">
        <v>2</v>
      </c>
      <c r="E15" s="73">
        <v>52.35</v>
      </c>
      <c r="F15" s="79">
        <f>IFERROR(D15*E15,0)</f>
        <v>104.7</v>
      </c>
      <c r="G15" s="60" t="s">
        <v>98</v>
      </c>
      <c r="H15" s="60" t="s">
        <v>88</v>
      </c>
    </row>
    <row r="16" spans="1:8" ht="14.25" hidden="1" customHeight="1" x14ac:dyDescent="0.3">
      <c r="A16" s="2" t="s">
        <v>137</v>
      </c>
      <c r="B16" s="60" t="s">
        <v>155</v>
      </c>
      <c r="C16" s="60" t="s">
        <v>158</v>
      </c>
      <c r="D16" s="68"/>
      <c r="E16" s="73"/>
      <c r="F16" s="79">
        <f>IFERROR(D16*E16,0)</f>
        <v>0</v>
      </c>
      <c r="G16" s="60" t="str">
        <f>INDEX(SETORES!$B:$B,MATCH(A16,SETORES!$A:$A,0))</f>
        <v>Clientes</v>
      </c>
      <c r="H16" s="60" t="s">
        <v>88</v>
      </c>
    </row>
    <row r="17" spans="1:8" ht="14.25" hidden="1" customHeight="1" x14ac:dyDescent="0.3">
      <c r="A17" s="2" t="s">
        <v>137</v>
      </c>
      <c r="B17" s="60" t="s">
        <v>155</v>
      </c>
      <c r="C17" s="60" t="s">
        <v>161</v>
      </c>
      <c r="D17" s="68">
        <v>1</v>
      </c>
      <c r="E17" s="73">
        <v>7220.72</v>
      </c>
      <c r="F17" s="79">
        <f>IFERROR(D17*E17,0)</f>
        <v>7220.72</v>
      </c>
      <c r="G17" s="60" t="str">
        <f>INDEX(SETORES!$B:$B,MATCH(A17,SETORES!$A:$A,0))</f>
        <v>Clientes</v>
      </c>
      <c r="H17" s="60" t="s">
        <v>88</v>
      </c>
    </row>
    <row r="18" spans="1:8" ht="14.25" hidden="1" customHeight="1" x14ac:dyDescent="0.3">
      <c r="A18" s="2" t="s">
        <v>137</v>
      </c>
      <c r="B18" s="60" t="s">
        <v>155</v>
      </c>
      <c r="C18" s="60" t="s">
        <v>167</v>
      </c>
      <c r="D18" s="68"/>
      <c r="E18" s="73"/>
      <c r="F18" s="79">
        <f>IFERROR(D18*E18,0)</f>
        <v>0</v>
      </c>
      <c r="G18" s="60" t="str">
        <f>INDEX(SETORES!$B:$B,MATCH(A18,SETORES!$A:$A,0))</f>
        <v>Clientes</v>
      </c>
      <c r="H18" s="60" t="s">
        <v>88</v>
      </c>
    </row>
    <row r="19" spans="1:8" ht="14.25" hidden="1" customHeight="1" x14ac:dyDescent="0.3">
      <c r="A19" s="2" t="s">
        <v>137</v>
      </c>
      <c r="B19" s="60" t="s">
        <v>155</v>
      </c>
      <c r="C19" s="60" t="s">
        <v>258</v>
      </c>
      <c r="D19" s="68">
        <v>1</v>
      </c>
      <c r="E19" s="73">
        <v>38.770000000000003</v>
      </c>
      <c r="F19" s="79">
        <f>IFERROR(D19*E19,0)</f>
        <v>38.770000000000003</v>
      </c>
      <c r="G19" s="60" t="str">
        <f>INDEX(SETORES!$B:$B,MATCH(A19,SETORES!$A:$A,0))</f>
        <v>Clientes</v>
      </c>
      <c r="H19" s="60" t="s">
        <v>88</v>
      </c>
    </row>
    <row r="20" spans="1:8" ht="14.25" hidden="1" customHeight="1" x14ac:dyDescent="0.3">
      <c r="A20" s="2" t="s">
        <v>137</v>
      </c>
      <c r="B20" s="60" t="s">
        <v>155</v>
      </c>
      <c r="C20" s="60" t="s">
        <v>166</v>
      </c>
      <c r="D20" s="68">
        <v>2</v>
      </c>
      <c r="E20" s="73">
        <v>50</v>
      </c>
      <c r="F20" s="79">
        <f>IFERROR(D20*E20,0)</f>
        <v>100</v>
      </c>
      <c r="G20" s="60" t="str">
        <f>INDEX(SETORES!$B:$B,MATCH(A20,SETORES!$A:$A,0))</f>
        <v>Clientes</v>
      </c>
      <c r="H20" s="60" t="s">
        <v>88</v>
      </c>
    </row>
    <row r="21" spans="1:8" ht="14.25" hidden="1" customHeight="1" x14ac:dyDescent="0.3">
      <c r="A21" s="2" t="s">
        <v>137</v>
      </c>
      <c r="B21" s="60" t="s">
        <v>155</v>
      </c>
      <c r="C21" s="60" t="s">
        <v>168</v>
      </c>
      <c r="D21" s="68">
        <v>2</v>
      </c>
      <c r="E21" s="73">
        <v>1.87</v>
      </c>
      <c r="F21" s="79">
        <f>IFERROR(D21*E21,0)</f>
        <v>3.74</v>
      </c>
      <c r="G21" s="60" t="str">
        <f>INDEX(SETORES!$B:$B,MATCH(A21,SETORES!$A:$A,0))</f>
        <v>Clientes</v>
      </c>
      <c r="H21" s="60" t="s">
        <v>88</v>
      </c>
    </row>
    <row r="22" spans="1:8" ht="14.25" hidden="1" customHeight="1" x14ac:dyDescent="0.3">
      <c r="A22" s="2" t="s">
        <v>35</v>
      </c>
      <c r="B22" s="60" t="s">
        <v>155</v>
      </c>
      <c r="C22" s="60" t="s">
        <v>159</v>
      </c>
      <c r="D22" s="68"/>
      <c r="E22" s="73"/>
      <c r="F22" s="79">
        <f>IFERROR(D22*E22,0)</f>
        <v>0</v>
      </c>
      <c r="G22" s="60" t="str">
        <f>INDEX(SETORES!$B:$B,MATCH(A22,SETORES!$A:$A,0))</f>
        <v>Clientes</v>
      </c>
      <c r="H22" s="60" t="s">
        <v>88</v>
      </c>
    </row>
    <row r="23" spans="1:8" ht="14.25" hidden="1" customHeight="1" x14ac:dyDescent="0.3">
      <c r="A23" s="2" t="s">
        <v>35</v>
      </c>
      <c r="B23" s="60" t="s">
        <v>155</v>
      </c>
      <c r="C23" s="60" t="s">
        <v>212</v>
      </c>
      <c r="D23" s="68">
        <v>1</v>
      </c>
      <c r="E23" s="73">
        <v>30</v>
      </c>
      <c r="F23" s="79">
        <f>IFERROR(D23*E23,0)</f>
        <v>30</v>
      </c>
      <c r="G23" s="60" t="str">
        <f>INDEX(SETORES!$B:$B,MATCH(A23,SETORES!$A:$A,0))</f>
        <v>Clientes</v>
      </c>
      <c r="H23" s="60" t="s">
        <v>88</v>
      </c>
    </row>
    <row r="24" spans="1:8" ht="14.25" hidden="1" customHeight="1" x14ac:dyDescent="0.3">
      <c r="A24" s="2" t="s">
        <v>35</v>
      </c>
      <c r="B24" s="60" t="s">
        <v>155</v>
      </c>
      <c r="C24" s="60" t="s">
        <v>248</v>
      </c>
      <c r="D24" s="68">
        <v>1</v>
      </c>
      <c r="E24" s="73">
        <v>1455.14</v>
      </c>
      <c r="F24" s="79">
        <f>IFERROR(D24*E24,0)</f>
        <v>1455.14</v>
      </c>
      <c r="G24" s="60" t="str">
        <f>INDEX(SETORES!$B:$B,MATCH(A24,SETORES!$A:$A,0))</f>
        <v>Clientes</v>
      </c>
      <c r="H24" s="60" t="s">
        <v>88</v>
      </c>
    </row>
    <row r="25" spans="1:8" ht="14.25" hidden="1" customHeight="1" x14ac:dyDescent="0.3">
      <c r="A25" s="2" t="s">
        <v>35</v>
      </c>
      <c r="B25" s="60" t="s">
        <v>155</v>
      </c>
      <c r="C25" s="60" t="s">
        <v>171</v>
      </c>
      <c r="D25" s="68">
        <v>5</v>
      </c>
      <c r="E25" s="73">
        <v>52.09</v>
      </c>
      <c r="F25" s="79">
        <f>IFERROR(D25*E25,0)</f>
        <v>260.45000000000005</v>
      </c>
      <c r="G25" s="60" t="s">
        <v>98</v>
      </c>
      <c r="H25" s="60" t="s">
        <v>88</v>
      </c>
    </row>
    <row r="26" spans="1:8" ht="14.25" hidden="1" customHeight="1" x14ac:dyDescent="0.3">
      <c r="A26" s="2" t="s">
        <v>35</v>
      </c>
      <c r="B26" s="60" t="s">
        <v>155</v>
      </c>
      <c r="C26" s="60" t="s">
        <v>170</v>
      </c>
      <c r="D26" s="68">
        <v>5</v>
      </c>
      <c r="E26" s="73">
        <v>32.549999999999997</v>
      </c>
      <c r="F26" s="79">
        <f>IFERROR(D26*E26,0)</f>
        <v>162.75</v>
      </c>
      <c r="G26" s="60" t="s">
        <v>98</v>
      </c>
      <c r="H26" s="60" t="s">
        <v>88</v>
      </c>
    </row>
    <row r="27" spans="1:8" ht="14.25" customHeight="1" x14ac:dyDescent="0.3">
      <c r="A27" s="2" t="s">
        <v>35</v>
      </c>
      <c r="B27" s="60" t="s">
        <v>155</v>
      </c>
      <c r="C27" s="60" t="s">
        <v>169</v>
      </c>
      <c r="D27" s="68">
        <v>5</v>
      </c>
      <c r="E27" s="73">
        <v>52.35</v>
      </c>
      <c r="F27" s="79">
        <f>IFERROR(D27*E27,0)</f>
        <v>261.75</v>
      </c>
      <c r="G27" s="60" t="s">
        <v>98</v>
      </c>
      <c r="H27" s="60" t="s">
        <v>88</v>
      </c>
    </row>
    <row r="28" spans="1:8" ht="14.25" hidden="1" customHeight="1" x14ac:dyDescent="0.3">
      <c r="A28" s="2" t="s">
        <v>35</v>
      </c>
      <c r="B28" s="60" t="s">
        <v>155</v>
      </c>
      <c r="C28" s="60" t="s">
        <v>158</v>
      </c>
      <c r="D28" s="68"/>
      <c r="E28" s="73"/>
      <c r="F28" s="79">
        <f>IFERROR(D28*E28,0)</f>
        <v>0</v>
      </c>
      <c r="G28" s="60" t="str">
        <f>INDEX(SETORES!$B:$B,MATCH(A28,SETORES!$A:$A,0))</f>
        <v>Clientes</v>
      </c>
      <c r="H28" s="60" t="s">
        <v>88</v>
      </c>
    </row>
    <row r="29" spans="1:8" ht="14.25" hidden="1" customHeight="1" x14ac:dyDescent="0.3">
      <c r="A29" s="2" t="s">
        <v>35</v>
      </c>
      <c r="B29" s="60" t="s">
        <v>162</v>
      </c>
      <c r="C29" s="60" t="s">
        <v>165</v>
      </c>
      <c r="D29" s="68"/>
      <c r="E29" s="73"/>
      <c r="F29" s="79">
        <f>IFERROR(D29*E29,0)</f>
        <v>0</v>
      </c>
      <c r="G29" s="60" t="str">
        <f>INDEX(SETORES!$B:$B,MATCH(A29,SETORES!$A:$A,0))</f>
        <v>Clientes</v>
      </c>
      <c r="H29" s="60" t="s">
        <v>88</v>
      </c>
    </row>
    <row r="30" spans="1:8" ht="14.25" hidden="1" customHeight="1" x14ac:dyDescent="0.3">
      <c r="A30" s="2" t="s">
        <v>35</v>
      </c>
      <c r="B30" s="60" t="s">
        <v>162</v>
      </c>
      <c r="C30" s="60" t="s">
        <v>163</v>
      </c>
      <c r="D30" s="68"/>
      <c r="E30" s="73"/>
      <c r="F30" s="79">
        <f>IFERROR(D30*E30,0)</f>
        <v>0</v>
      </c>
      <c r="G30" s="60" t="str">
        <f>INDEX(SETORES!$B:$B,MATCH(A30,SETORES!$A:$A,0))</f>
        <v>Clientes</v>
      </c>
      <c r="H30" s="60" t="s">
        <v>88</v>
      </c>
    </row>
    <row r="31" spans="1:8" ht="14.25" hidden="1" customHeight="1" x14ac:dyDescent="0.3">
      <c r="A31" s="2" t="s">
        <v>35</v>
      </c>
      <c r="B31" s="60" t="s">
        <v>162</v>
      </c>
      <c r="C31" s="60" t="s">
        <v>164</v>
      </c>
      <c r="D31" s="68"/>
      <c r="E31" s="73"/>
      <c r="F31" s="79">
        <f>IFERROR(D31*E31,0)</f>
        <v>0</v>
      </c>
      <c r="G31" s="60" t="str">
        <f>INDEX(SETORES!$B:$B,MATCH(A31,SETORES!$A:$A,0))</f>
        <v>Clientes</v>
      </c>
      <c r="H31" s="60" t="s">
        <v>88</v>
      </c>
    </row>
    <row r="32" spans="1:8" ht="14.25" hidden="1" customHeight="1" x14ac:dyDescent="0.3">
      <c r="A32" s="2" t="s">
        <v>35</v>
      </c>
      <c r="B32" s="60" t="s">
        <v>155</v>
      </c>
      <c r="C32" s="60" t="s">
        <v>161</v>
      </c>
      <c r="D32" s="68">
        <v>1</v>
      </c>
      <c r="E32" s="73">
        <v>21051.01</v>
      </c>
      <c r="F32" s="79">
        <f>IFERROR(D32*E32,0)</f>
        <v>21051.01</v>
      </c>
      <c r="G32" s="60" t="str">
        <f>INDEX(SETORES!$B:$B,MATCH(A32,SETORES!$A:$A,0))</f>
        <v>Clientes</v>
      </c>
      <c r="H32" s="60" t="s">
        <v>88</v>
      </c>
    </row>
    <row r="33" spans="1:8" ht="14.25" hidden="1" customHeight="1" x14ac:dyDescent="0.3">
      <c r="A33" s="2" t="s">
        <v>35</v>
      </c>
      <c r="B33" s="60" t="s">
        <v>155</v>
      </c>
      <c r="C33" s="60" t="s">
        <v>167</v>
      </c>
      <c r="D33" s="68"/>
      <c r="E33" s="73"/>
      <c r="F33" s="79">
        <f>IFERROR(D33*E33,0)</f>
        <v>0</v>
      </c>
      <c r="G33" s="60" t="str">
        <f>INDEX(SETORES!$B:$B,MATCH(A33,SETORES!$A:$A,0))</f>
        <v>Clientes</v>
      </c>
      <c r="H33" s="60" t="s">
        <v>88</v>
      </c>
    </row>
    <row r="34" spans="1:8" ht="14.25" hidden="1" customHeight="1" x14ac:dyDescent="0.3">
      <c r="A34" s="2" t="s">
        <v>35</v>
      </c>
      <c r="B34" s="60" t="s">
        <v>155</v>
      </c>
      <c r="C34" s="60" t="s">
        <v>258</v>
      </c>
      <c r="D34" s="68">
        <v>1</v>
      </c>
      <c r="E34" s="73">
        <v>96.93</v>
      </c>
      <c r="F34" s="79">
        <f>IFERROR(D34*E34,0)</f>
        <v>96.93</v>
      </c>
      <c r="G34" s="60" t="str">
        <f>INDEX(SETORES!$B:$B,MATCH(A34,SETORES!$A:$A,0))</f>
        <v>Clientes</v>
      </c>
      <c r="H34" s="60" t="s">
        <v>88</v>
      </c>
    </row>
    <row r="35" spans="1:8" ht="14.25" hidden="1" customHeight="1" x14ac:dyDescent="0.3">
      <c r="A35" s="2" t="s">
        <v>35</v>
      </c>
      <c r="B35" s="60" t="s">
        <v>155</v>
      </c>
      <c r="C35" s="60" t="s">
        <v>166</v>
      </c>
      <c r="D35" s="68">
        <v>5</v>
      </c>
      <c r="E35" s="73">
        <v>50</v>
      </c>
      <c r="F35" s="79">
        <f>IFERROR(D35*E35,0)</f>
        <v>250</v>
      </c>
      <c r="G35" s="60" t="str">
        <f>INDEX(SETORES!$B:$B,MATCH(A35,SETORES!$A:$A,0))</f>
        <v>Clientes</v>
      </c>
      <c r="H35" s="60" t="s">
        <v>88</v>
      </c>
    </row>
    <row r="36" spans="1:8" ht="14.25" hidden="1" customHeight="1" x14ac:dyDescent="0.3">
      <c r="A36" s="2" t="s">
        <v>35</v>
      </c>
      <c r="B36" s="60" t="s">
        <v>155</v>
      </c>
      <c r="C36" s="60" t="s">
        <v>156</v>
      </c>
      <c r="D36" s="68"/>
      <c r="E36" s="73"/>
      <c r="F36" s="79">
        <f>IFERROR(D36*E36,0)</f>
        <v>0</v>
      </c>
      <c r="G36" s="60" t="str">
        <f>INDEX(SETORES!$B:$B,MATCH(A36,SETORES!$A:$A,0))</f>
        <v>Clientes</v>
      </c>
      <c r="H36" s="60" t="s">
        <v>88</v>
      </c>
    </row>
    <row r="37" spans="1:8" ht="14.25" hidden="1" customHeight="1" x14ac:dyDescent="0.3">
      <c r="A37" s="2" t="s">
        <v>35</v>
      </c>
      <c r="B37" s="60" t="s">
        <v>155</v>
      </c>
      <c r="C37" s="60" t="s">
        <v>157</v>
      </c>
      <c r="D37" s="68"/>
      <c r="E37" s="73"/>
      <c r="F37" s="79">
        <f>IFERROR(D37*E37,0)</f>
        <v>0</v>
      </c>
      <c r="G37" s="60" t="str">
        <f>INDEX(SETORES!$B:$B,MATCH(A37,SETORES!$A:$A,0))</f>
        <v>Clientes</v>
      </c>
      <c r="H37" s="60" t="s">
        <v>88</v>
      </c>
    </row>
    <row r="38" spans="1:8" ht="14.25" hidden="1" customHeight="1" x14ac:dyDescent="0.3">
      <c r="A38" s="2" t="s">
        <v>35</v>
      </c>
      <c r="B38" s="60" t="s">
        <v>162</v>
      </c>
      <c r="C38" s="60" t="s">
        <v>222</v>
      </c>
      <c r="D38" s="68"/>
      <c r="E38" s="73"/>
      <c r="F38" s="79">
        <f>IFERROR(D38*E38,0)</f>
        <v>0</v>
      </c>
      <c r="G38" s="60" t="str">
        <f>INDEX(SETORES!$B:$B,MATCH(A38,SETORES!$A:$A,0))</f>
        <v>Clientes</v>
      </c>
      <c r="H38" s="60" t="s">
        <v>88</v>
      </c>
    </row>
    <row r="39" spans="1:8" ht="14.25" hidden="1" customHeight="1" x14ac:dyDescent="0.3">
      <c r="A39" s="2" t="s">
        <v>35</v>
      </c>
      <c r="B39" s="60" t="s">
        <v>155</v>
      </c>
      <c r="C39" s="60" t="s">
        <v>168</v>
      </c>
      <c r="D39" s="68">
        <v>5</v>
      </c>
      <c r="E39" s="73">
        <v>1.87</v>
      </c>
      <c r="F39" s="79">
        <f>IFERROR(D39*E39,0)</f>
        <v>9.3500000000000014</v>
      </c>
      <c r="G39" s="60" t="str">
        <f>INDEX(SETORES!$B:$B,MATCH(A39,SETORES!$A:$A,0))</f>
        <v>Clientes</v>
      </c>
      <c r="H39" s="60" t="s">
        <v>88</v>
      </c>
    </row>
    <row r="40" spans="1:8" ht="14.25" hidden="1" customHeight="1" x14ac:dyDescent="0.3">
      <c r="A40" s="2" t="s">
        <v>35</v>
      </c>
      <c r="B40" s="60" t="s">
        <v>155</v>
      </c>
      <c r="C40" s="60" t="s">
        <v>160</v>
      </c>
      <c r="D40" s="68"/>
      <c r="E40" s="73"/>
      <c r="F40" s="79">
        <f>IFERROR(D40*E40,0)</f>
        <v>0</v>
      </c>
      <c r="G40" s="60" t="str">
        <f>INDEX(SETORES!$B:$B,MATCH(A40,SETORES!$A:$A,0))</f>
        <v>Clientes</v>
      </c>
      <c r="H40" s="60" t="s">
        <v>88</v>
      </c>
    </row>
    <row r="41" spans="1:8" ht="14.25" hidden="1" customHeight="1" x14ac:dyDescent="0.3">
      <c r="A41" s="2" t="s">
        <v>38</v>
      </c>
      <c r="B41" s="60" t="s">
        <v>155</v>
      </c>
      <c r="C41" s="60" t="s">
        <v>159</v>
      </c>
      <c r="D41" s="68"/>
      <c r="E41" s="73"/>
      <c r="F41" s="79">
        <f>IFERROR(D41*E41,0)</f>
        <v>0</v>
      </c>
      <c r="G41" s="60" t="str">
        <f>INDEX(SETORES!$B:$B,MATCH(A41,SETORES!$A:$A,0))</f>
        <v>Clientes</v>
      </c>
      <c r="H41" s="60" t="s">
        <v>88</v>
      </c>
    </row>
    <row r="42" spans="1:8" ht="14.25" hidden="1" customHeight="1" x14ac:dyDescent="0.3">
      <c r="A42" s="2" t="s">
        <v>38</v>
      </c>
      <c r="B42" s="60" t="s">
        <v>155</v>
      </c>
      <c r="C42" s="60" t="s">
        <v>249</v>
      </c>
      <c r="D42" s="68">
        <v>1</v>
      </c>
      <c r="E42" s="73">
        <v>1013</v>
      </c>
      <c r="F42" s="79">
        <f>IFERROR(D42*E42,0)</f>
        <v>1013</v>
      </c>
      <c r="G42" s="60" t="str">
        <f>INDEX(SETORES!$B:$B,MATCH(A42,SETORES!$A:$A,0))</f>
        <v>Clientes</v>
      </c>
      <c r="H42" s="60" t="s">
        <v>88</v>
      </c>
    </row>
    <row r="43" spans="1:8" ht="14.25" hidden="1" customHeight="1" x14ac:dyDescent="0.3">
      <c r="A43" s="2" t="s">
        <v>38</v>
      </c>
      <c r="B43" s="60" t="s">
        <v>155</v>
      </c>
      <c r="C43" s="60" t="s">
        <v>171</v>
      </c>
      <c r="D43" s="68">
        <v>13</v>
      </c>
      <c r="E43" s="73">
        <v>52.09</v>
      </c>
      <c r="F43" s="79">
        <f>IFERROR(D43*E43,0)</f>
        <v>677.17000000000007</v>
      </c>
      <c r="G43" s="60" t="s">
        <v>98</v>
      </c>
      <c r="H43" s="60" t="s">
        <v>88</v>
      </c>
    </row>
    <row r="44" spans="1:8" ht="14.25" hidden="1" customHeight="1" x14ac:dyDescent="0.3">
      <c r="A44" s="2" t="s">
        <v>38</v>
      </c>
      <c r="B44" s="60" t="s">
        <v>155</v>
      </c>
      <c r="C44" s="60" t="s">
        <v>170</v>
      </c>
      <c r="D44" s="68">
        <v>13</v>
      </c>
      <c r="E44" s="73">
        <v>32.549999999999997</v>
      </c>
      <c r="F44" s="79">
        <f>IFERROR(D44*E44,0)</f>
        <v>423.15</v>
      </c>
      <c r="G44" s="60" t="s">
        <v>98</v>
      </c>
      <c r="H44" s="60" t="s">
        <v>88</v>
      </c>
    </row>
    <row r="45" spans="1:8" ht="14.25" customHeight="1" x14ac:dyDescent="0.3">
      <c r="A45" s="2" t="s">
        <v>38</v>
      </c>
      <c r="B45" s="60" t="s">
        <v>155</v>
      </c>
      <c r="C45" s="60" t="s">
        <v>169</v>
      </c>
      <c r="D45" s="68">
        <v>13</v>
      </c>
      <c r="E45" s="73">
        <v>52.35</v>
      </c>
      <c r="F45" s="79">
        <f>IFERROR(D45*E45,0)</f>
        <v>680.55000000000007</v>
      </c>
      <c r="G45" s="60" t="s">
        <v>98</v>
      </c>
      <c r="H45" s="60" t="s">
        <v>88</v>
      </c>
    </row>
    <row r="46" spans="1:8" ht="14.25" hidden="1" customHeight="1" x14ac:dyDescent="0.3">
      <c r="A46" s="2" t="s">
        <v>38</v>
      </c>
      <c r="B46" s="60" t="s">
        <v>155</v>
      </c>
      <c r="C46" s="60" t="s">
        <v>158</v>
      </c>
      <c r="D46" s="68"/>
      <c r="E46" s="73"/>
      <c r="F46" s="79">
        <f>IFERROR(D46*E46,0)</f>
        <v>0</v>
      </c>
      <c r="G46" s="60" t="str">
        <f>INDEX(SETORES!$B:$B,MATCH(A46,SETORES!$A:$A,0))</f>
        <v>Clientes</v>
      </c>
      <c r="H46" s="60" t="s">
        <v>88</v>
      </c>
    </row>
    <row r="47" spans="1:8" ht="14.25" hidden="1" customHeight="1" x14ac:dyDescent="0.3">
      <c r="A47" s="2" t="s">
        <v>38</v>
      </c>
      <c r="B47" s="60" t="s">
        <v>162</v>
      </c>
      <c r="C47" s="60" t="s">
        <v>165</v>
      </c>
      <c r="D47" s="68"/>
      <c r="E47" s="73"/>
      <c r="F47" s="79">
        <f>IFERROR(D47*E47,0)</f>
        <v>0</v>
      </c>
      <c r="G47" s="60" t="str">
        <f>INDEX(SETORES!$B:$B,MATCH(A47,SETORES!$A:$A,0))</f>
        <v>Clientes</v>
      </c>
      <c r="H47" s="60" t="s">
        <v>88</v>
      </c>
    </row>
    <row r="48" spans="1:8" ht="14.25" hidden="1" customHeight="1" x14ac:dyDescent="0.3">
      <c r="A48" s="2" t="s">
        <v>38</v>
      </c>
      <c r="B48" s="60" t="s">
        <v>162</v>
      </c>
      <c r="C48" s="60" t="s">
        <v>163</v>
      </c>
      <c r="D48" s="68"/>
      <c r="E48" s="73"/>
      <c r="F48" s="79">
        <f>IFERROR(D48*E48,0)</f>
        <v>0</v>
      </c>
      <c r="G48" s="60" t="str">
        <f>INDEX(SETORES!$B:$B,MATCH(A48,SETORES!$A:$A,0))</f>
        <v>Clientes</v>
      </c>
      <c r="H48" s="60" t="s">
        <v>88</v>
      </c>
    </row>
    <row r="49" spans="1:8" ht="14.25" hidden="1" customHeight="1" x14ac:dyDescent="0.3">
      <c r="A49" s="2" t="s">
        <v>38</v>
      </c>
      <c r="B49" s="60" t="s">
        <v>162</v>
      </c>
      <c r="C49" s="60" t="s">
        <v>164</v>
      </c>
      <c r="D49" s="68"/>
      <c r="E49" s="73"/>
      <c r="F49" s="79">
        <f>IFERROR(D49*E49,0)</f>
        <v>0</v>
      </c>
      <c r="G49" s="60" t="str">
        <f>INDEX(SETORES!$B:$B,MATCH(A49,SETORES!$A:$A,0))</f>
        <v>Clientes</v>
      </c>
      <c r="H49" s="60" t="s">
        <v>88</v>
      </c>
    </row>
    <row r="50" spans="1:8" ht="14.25" hidden="1" customHeight="1" x14ac:dyDescent="0.3">
      <c r="A50" s="2" t="s">
        <v>38</v>
      </c>
      <c r="B50" s="60" t="s">
        <v>155</v>
      </c>
      <c r="C50" s="60" t="s">
        <v>161</v>
      </c>
      <c r="D50" s="68">
        <v>1</v>
      </c>
      <c r="E50" s="73">
        <v>42492.05</v>
      </c>
      <c r="F50" s="79">
        <f>IFERROR(D50*E50,0)</f>
        <v>42492.05</v>
      </c>
      <c r="G50" s="60" t="str">
        <f>INDEX(SETORES!$B:$B,MATCH(A50,SETORES!$A:$A,0))</f>
        <v>Clientes</v>
      </c>
      <c r="H50" s="60" t="s">
        <v>88</v>
      </c>
    </row>
    <row r="51" spans="1:8" ht="14.25" hidden="1" customHeight="1" x14ac:dyDescent="0.3">
      <c r="A51" s="2" t="s">
        <v>38</v>
      </c>
      <c r="B51" s="60" t="s">
        <v>155</v>
      </c>
      <c r="C51" s="60" t="s">
        <v>167</v>
      </c>
      <c r="D51" s="68"/>
      <c r="E51" s="73"/>
      <c r="F51" s="79">
        <f>IFERROR(D51*E51,0)</f>
        <v>0</v>
      </c>
      <c r="G51" s="60" t="str">
        <f>INDEX(SETORES!$B:$B,MATCH(A51,SETORES!$A:$A,0))</f>
        <v>Clientes</v>
      </c>
      <c r="H51" s="60" t="s">
        <v>88</v>
      </c>
    </row>
    <row r="52" spans="1:8" ht="14.25" hidden="1" customHeight="1" x14ac:dyDescent="0.3">
      <c r="A52" s="2" t="s">
        <v>38</v>
      </c>
      <c r="B52" s="60" t="s">
        <v>155</v>
      </c>
      <c r="C52" s="60" t="s">
        <v>240</v>
      </c>
      <c r="D52" s="68"/>
      <c r="E52" s="73"/>
      <c r="F52" s="79">
        <f>IFERROR(D52*E52,0)</f>
        <v>0</v>
      </c>
      <c r="G52" s="60" t="str">
        <f>INDEX(SETORES!$B:$B,MATCH(A52,SETORES!$A:$A,0))</f>
        <v>Clientes</v>
      </c>
      <c r="H52" s="60" t="s">
        <v>88</v>
      </c>
    </row>
    <row r="53" spans="1:8" ht="14.25" hidden="1" customHeight="1" x14ac:dyDescent="0.3">
      <c r="A53" s="2" t="s">
        <v>38</v>
      </c>
      <c r="B53" s="60" t="s">
        <v>155</v>
      </c>
      <c r="C53" s="60" t="s">
        <v>258</v>
      </c>
      <c r="D53" s="68">
        <v>1</v>
      </c>
      <c r="E53" s="73">
        <v>252.02</v>
      </c>
      <c r="F53" s="79">
        <f>IFERROR(D53*E53,0)</f>
        <v>252.02</v>
      </c>
      <c r="G53" s="60" t="str">
        <f>INDEX(SETORES!$B:$B,MATCH(A53,SETORES!$A:$A,0))</f>
        <v>Clientes</v>
      </c>
      <c r="H53" s="60" t="s">
        <v>88</v>
      </c>
    </row>
    <row r="54" spans="1:8" ht="14.25" hidden="1" customHeight="1" x14ac:dyDescent="0.3">
      <c r="A54" s="2" t="s">
        <v>38</v>
      </c>
      <c r="B54" s="60" t="s">
        <v>155</v>
      </c>
      <c r="C54" s="60" t="s">
        <v>166</v>
      </c>
      <c r="D54" s="68">
        <v>13</v>
      </c>
      <c r="E54" s="73">
        <v>50</v>
      </c>
      <c r="F54" s="79">
        <f>IFERROR(D54*E54,0)</f>
        <v>650</v>
      </c>
      <c r="G54" s="60" t="str">
        <f>INDEX(SETORES!$B:$B,MATCH(A54,SETORES!$A:$A,0))</f>
        <v>Clientes</v>
      </c>
      <c r="H54" s="60" t="s">
        <v>88</v>
      </c>
    </row>
    <row r="55" spans="1:8" ht="14.25" hidden="1" customHeight="1" x14ac:dyDescent="0.3">
      <c r="A55" s="2" t="s">
        <v>38</v>
      </c>
      <c r="B55" s="60" t="s">
        <v>155</v>
      </c>
      <c r="C55" s="60" t="s">
        <v>156</v>
      </c>
      <c r="D55" s="68">
        <v>1</v>
      </c>
      <c r="E55" s="73">
        <v>3.74</v>
      </c>
      <c r="F55" s="79">
        <f>IFERROR(D55*E55,0)</f>
        <v>3.74</v>
      </c>
      <c r="G55" s="60" t="str">
        <f>INDEX(SETORES!$B:$B,MATCH(A55,SETORES!$A:$A,0))</f>
        <v>Clientes</v>
      </c>
      <c r="H55" s="60" t="s">
        <v>88</v>
      </c>
    </row>
    <row r="56" spans="1:8" ht="14.25" hidden="1" customHeight="1" x14ac:dyDescent="0.3">
      <c r="A56" s="2" t="s">
        <v>38</v>
      </c>
      <c r="B56" s="60" t="s">
        <v>155</v>
      </c>
      <c r="C56" s="60" t="s">
        <v>157</v>
      </c>
      <c r="D56" s="68">
        <v>1</v>
      </c>
      <c r="E56" s="73">
        <v>657.21</v>
      </c>
      <c r="F56" s="79">
        <f>IFERROR(D56*E56,0)</f>
        <v>657.21</v>
      </c>
      <c r="G56" s="60" t="str">
        <f>INDEX(SETORES!$B:$B,MATCH(A56,SETORES!$A:$A,0))</f>
        <v>Clientes</v>
      </c>
      <c r="H56" s="60" t="s">
        <v>88</v>
      </c>
    </row>
    <row r="57" spans="1:8" ht="14.25" hidden="1" customHeight="1" x14ac:dyDescent="0.3">
      <c r="A57" s="2" t="s">
        <v>38</v>
      </c>
      <c r="B57" s="60" t="s">
        <v>162</v>
      </c>
      <c r="C57" s="60" t="s">
        <v>222</v>
      </c>
      <c r="D57" s="68"/>
      <c r="E57" s="73"/>
      <c r="F57" s="79">
        <f>IFERROR(D57*E57,0)</f>
        <v>0</v>
      </c>
      <c r="G57" s="60" t="str">
        <f>INDEX(SETORES!$B:$B,MATCH(A57,SETORES!$A:$A,0))</f>
        <v>Clientes</v>
      </c>
      <c r="H57" s="60" t="s">
        <v>88</v>
      </c>
    </row>
    <row r="58" spans="1:8" ht="14.25" hidden="1" customHeight="1" x14ac:dyDescent="0.3">
      <c r="A58" s="2" t="s">
        <v>38</v>
      </c>
      <c r="B58" s="60" t="s">
        <v>155</v>
      </c>
      <c r="C58" s="60" t="s">
        <v>187</v>
      </c>
      <c r="D58" s="68"/>
      <c r="E58" s="73"/>
      <c r="F58" s="79">
        <f>IFERROR(D58*E58,0)</f>
        <v>0</v>
      </c>
      <c r="G58" s="60" t="str">
        <f>INDEX(SETORES!$B:$B,MATCH(A58,SETORES!$A:$A,0))</f>
        <v>Clientes</v>
      </c>
      <c r="H58" s="60" t="s">
        <v>88</v>
      </c>
    </row>
    <row r="59" spans="1:8" ht="14.25" hidden="1" customHeight="1" x14ac:dyDescent="0.3">
      <c r="A59" s="2" t="s">
        <v>38</v>
      </c>
      <c r="B59" s="60" t="s">
        <v>155</v>
      </c>
      <c r="C59" s="60" t="s">
        <v>168</v>
      </c>
      <c r="D59" s="68">
        <v>13</v>
      </c>
      <c r="E59" s="73">
        <v>1.87</v>
      </c>
      <c r="F59" s="79">
        <f>IFERROR(D59*E59,0)</f>
        <v>24.310000000000002</v>
      </c>
      <c r="G59" s="60" t="str">
        <f>INDEX(SETORES!$B:$B,MATCH(A59,SETORES!$A:$A,0))</f>
        <v>Clientes</v>
      </c>
      <c r="H59" s="60" t="s">
        <v>88</v>
      </c>
    </row>
    <row r="60" spans="1:8" ht="14.25" hidden="1" customHeight="1" x14ac:dyDescent="0.3">
      <c r="A60" s="2" t="s">
        <v>38</v>
      </c>
      <c r="B60" s="60" t="s">
        <v>155</v>
      </c>
      <c r="C60" s="60" t="s">
        <v>160</v>
      </c>
      <c r="D60" s="68"/>
      <c r="E60" s="73"/>
      <c r="F60" s="79">
        <f>IFERROR(D60*E60,0)</f>
        <v>0</v>
      </c>
      <c r="G60" s="60" t="str">
        <f>INDEX(SETORES!$B:$B,MATCH(A60,SETORES!$A:$A,0))</f>
        <v>Clientes</v>
      </c>
      <c r="H60" s="60" t="s">
        <v>88</v>
      </c>
    </row>
    <row r="61" spans="1:8" ht="14.25" hidden="1" customHeight="1" x14ac:dyDescent="0.3">
      <c r="A61" s="2" t="s">
        <v>78</v>
      </c>
      <c r="B61" s="60" t="s">
        <v>155</v>
      </c>
      <c r="C61" s="60" t="s">
        <v>159</v>
      </c>
      <c r="D61" s="68"/>
      <c r="E61" s="73"/>
      <c r="F61" s="79">
        <f>IFERROR(D61*E61,0)</f>
        <v>0</v>
      </c>
      <c r="G61" s="60" t="str">
        <f>INDEX(SETORES!$B:$B,MATCH(A61,SETORES!$A:$A,0))</f>
        <v>Clientes</v>
      </c>
      <c r="H61" s="60" t="s">
        <v>88</v>
      </c>
    </row>
    <row r="62" spans="1:8" ht="14.25" hidden="1" customHeight="1" x14ac:dyDescent="0.3">
      <c r="A62" s="2" t="s">
        <v>78</v>
      </c>
      <c r="B62" s="60" t="s">
        <v>155</v>
      </c>
      <c r="C62" s="60" t="s">
        <v>212</v>
      </c>
      <c r="D62" s="68">
        <v>12</v>
      </c>
      <c r="E62" s="73">
        <v>30</v>
      </c>
      <c r="F62" s="79">
        <f>IFERROR(D62*E62,0)</f>
        <v>360</v>
      </c>
      <c r="G62" s="60" t="str">
        <f>INDEX(SETORES!$B:$B,MATCH(A62,SETORES!$A:$A,0))</f>
        <v>Clientes</v>
      </c>
      <c r="H62" s="60" t="s">
        <v>88</v>
      </c>
    </row>
    <row r="63" spans="1:8" ht="14.25" hidden="1" customHeight="1" x14ac:dyDescent="0.3">
      <c r="A63" s="2" t="s">
        <v>78</v>
      </c>
      <c r="B63" s="60" t="s">
        <v>155</v>
      </c>
      <c r="C63" s="60" t="s">
        <v>171</v>
      </c>
      <c r="D63" s="68">
        <v>11</v>
      </c>
      <c r="E63" s="73">
        <v>52.09</v>
      </c>
      <c r="F63" s="79">
        <f>IFERROR(D63*E63,0)</f>
        <v>572.99</v>
      </c>
      <c r="G63" s="60" t="s">
        <v>98</v>
      </c>
      <c r="H63" s="60" t="s">
        <v>88</v>
      </c>
    </row>
    <row r="64" spans="1:8" ht="14.25" hidden="1" customHeight="1" x14ac:dyDescent="0.3">
      <c r="A64" s="2" t="s">
        <v>78</v>
      </c>
      <c r="B64" s="60" t="s">
        <v>155</v>
      </c>
      <c r="C64" s="60" t="s">
        <v>170</v>
      </c>
      <c r="D64" s="68">
        <v>11</v>
      </c>
      <c r="E64" s="73">
        <v>32.549999999999997</v>
      </c>
      <c r="F64" s="79">
        <f>IFERROR(D64*E64,0)</f>
        <v>358.04999999999995</v>
      </c>
      <c r="G64" s="60" t="s">
        <v>98</v>
      </c>
      <c r="H64" s="60" t="s">
        <v>88</v>
      </c>
    </row>
    <row r="65" spans="1:8" ht="14.25" customHeight="1" x14ac:dyDescent="0.3">
      <c r="A65" s="2" t="s">
        <v>78</v>
      </c>
      <c r="B65" s="60" t="s">
        <v>155</v>
      </c>
      <c r="C65" s="60" t="s">
        <v>169</v>
      </c>
      <c r="D65" s="68">
        <v>11</v>
      </c>
      <c r="E65" s="73">
        <v>52.35</v>
      </c>
      <c r="F65" s="79">
        <f>IFERROR(D65*E65,0)</f>
        <v>575.85</v>
      </c>
      <c r="G65" s="60" t="s">
        <v>98</v>
      </c>
      <c r="H65" s="60" t="s">
        <v>88</v>
      </c>
    </row>
    <row r="66" spans="1:8" ht="14.25" hidden="1" customHeight="1" x14ac:dyDescent="0.3">
      <c r="A66" s="2" t="s">
        <v>78</v>
      </c>
      <c r="B66" s="60" t="s">
        <v>155</v>
      </c>
      <c r="C66" s="60" t="s">
        <v>158</v>
      </c>
      <c r="D66" s="68"/>
      <c r="E66" s="73"/>
      <c r="F66" s="79">
        <f>IFERROR(D66*E66,0)</f>
        <v>0</v>
      </c>
      <c r="G66" s="60" t="str">
        <f>INDEX(SETORES!$B:$B,MATCH(A66,SETORES!$A:$A,0))</f>
        <v>Clientes</v>
      </c>
      <c r="H66" s="60" t="s">
        <v>88</v>
      </c>
    </row>
    <row r="67" spans="1:8" ht="14.25" hidden="1" customHeight="1" x14ac:dyDescent="0.3">
      <c r="A67" s="2" t="s">
        <v>78</v>
      </c>
      <c r="B67" s="60" t="s">
        <v>155</v>
      </c>
      <c r="C67" s="60" t="s">
        <v>161</v>
      </c>
      <c r="D67" s="68">
        <v>1</v>
      </c>
      <c r="E67" s="73">
        <v>71692.570000000007</v>
      </c>
      <c r="F67" s="79">
        <f>IFERROR(D67*E67,0)</f>
        <v>71692.570000000007</v>
      </c>
      <c r="G67" s="60" t="str">
        <f>INDEX(SETORES!$B:$B,MATCH(A67,SETORES!$A:$A,0))</f>
        <v>Clientes</v>
      </c>
      <c r="H67" s="60" t="s">
        <v>88</v>
      </c>
    </row>
    <row r="68" spans="1:8" ht="14.25" hidden="1" customHeight="1" x14ac:dyDescent="0.3">
      <c r="A68" s="2" t="s">
        <v>78</v>
      </c>
      <c r="B68" s="60" t="s">
        <v>155</v>
      </c>
      <c r="C68" s="60" t="s">
        <v>167</v>
      </c>
      <c r="D68" s="68"/>
      <c r="E68" s="73"/>
      <c r="F68" s="79">
        <f>IFERROR(D68*E68,0)</f>
        <v>0</v>
      </c>
      <c r="G68" s="60" t="str">
        <f>INDEX(SETORES!$B:$B,MATCH(A68,SETORES!$A:$A,0))</f>
        <v>Clientes</v>
      </c>
      <c r="H68" s="60" t="s">
        <v>88</v>
      </c>
    </row>
    <row r="69" spans="1:8" ht="14.25" hidden="1" customHeight="1" x14ac:dyDescent="0.3">
      <c r="A69" s="2" t="s">
        <v>78</v>
      </c>
      <c r="B69" s="60" t="s">
        <v>155</v>
      </c>
      <c r="C69" s="60" t="s">
        <v>238</v>
      </c>
      <c r="D69" s="68"/>
      <c r="E69" s="73"/>
      <c r="F69" s="79">
        <f>IFERROR(D69*E69,0)</f>
        <v>0</v>
      </c>
      <c r="G69" s="60" t="str">
        <f>INDEX(SETORES!$B:$B,MATCH(A69,SETORES!$A:$A,0))</f>
        <v>Clientes</v>
      </c>
      <c r="H69" s="60" t="s">
        <v>88</v>
      </c>
    </row>
    <row r="70" spans="1:8" ht="14.25" hidden="1" customHeight="1" x14ac:dyDescent="0.3">
      <c r="A70" s="2" t="s">
        <v>78</v>
      </c>
      <c r="B70" s="60" t="s">
        <v>155</v>
      </c>
      <c r="C70" s="60" t="s">
        <v>258</v>
      </c>
      <c r="D70" s="68">
        <v>1</v>
      </c>
      <c r="E70" s="73">
        <v>213.25</v>
      </c>
      <c r="F70" s="79">
        <f>IFERROR(D70*E70,0)</f>
        <v>213.25</v>
      </c>
      <c r="G70" s="60" t="str">
        <f>INDEX(SETORES!$B:$B,MATCH(A70,SETORES!$A:$A,0))</f>
        <v>Clientes</v>
      </c>
      <c r="H70" s="60" t="s">
        <v>88</v>
      </c>
    </row>
    <row r="71" spans="1:8" ht="14.25" hidden="1" customHeight="1" x14ac:dyDescent="0.3">
      <c r="A71" s="2" t="s">
        <v>78</v>
      </c>
      <c r="B71" s="60" t="s">
        <v>155</v>
      </c>
      <c r="C71" s="60" t="s">
        <v>166</v>
      </c>
      <c r="D71" s="68">
        <v>11</v>
      </c>
      <c r="E71" s="73">
        <v>50</v>
      </c>
      <c r="F71" s="79">
        <f>IFERROR(D71*E71,0)</f>
        <v>550</v>
      </c>
      <c r="G71" s="60" t="str">
        <f>INDEX(SETORES!$B:$B,MATCH(A71,SETORES!$A:$A,0))</f>
        <v>Clientes</v>
      </c>
      <c r="H71" s="60" t="s">
        <v>88</v>
      </c>
    </row>
    <row r="72" spans="1:8" ht="14.25" hidden="1" customHeight="1" x14ac:dyDescent="0.3">
      <c r="A72" s="2" t="s">
        <v>78</v>
      </c>
      <c r="B72" s="60" t="s">
        <v>162</v>
      </c>
      <c r="C72" s="60" t="s">
        <v>209</v>
      </c>
      <c r="D72" s="68"/>
      <c r="E72" s="73"/>
      <c r="F72" s="79">
        <f>IFERROR(D72*E72,0)</f>
        <v>0</v>
      </c>
      <c r="G72" s="60" t="str">
        <f>INDEX(SETORES!$B:$B,MATCH(A72,SETORES!$A:$A,0))</f>
        <v>Clientes</v>
      </c>
      <c r="H72" s="60" t="s">
        <v>88</v>
      </c>
    </row>
    <row r="73" spans="1:8" ht="14.25" hidden="1" customHeight="1" x14ac:dyDescent="0.3">
      <c r="A73" s="2" t="s">
        <v>78</v>
      </c>
      <c r="B73" s="60" t="s">
        <v>162</v>
      </c>
      <c r="C73" s="60" t="s">
        <v>222</v>
      </c>
      <c r="D73" s="68"/>
      <c r="E73" s="73"/>
      <c r="F73" s="79">
        <f>IFERROR(D73*E73,0)</f>
        <v>0</v>
      </c>
      <c r="G73" s="60" t="str">
        <f>INDEX(SETORES!$B:$B,MATCH(A73,SETORES!$A:$A,0))</f>
        <v>Clientes</v>
      </c>
      <c r="H73" s="60" t="s">
        <v>88</v>
      </c>
    </row>
    <row r="74" spans="1:8" ht="14.25" hidden="1" customHeight="1" x14ac:dyDescent="0.3">
      <c r="A74" s="2" t="s">
        <v>78</v>
      </c>
      <c r="B74" s="60" t="s">
        <v>155</v>
      </c>
      <c r="C74" s="60" t="s">
        <v>168</v>
      </c>
      <c r="D74" s="68">
        <v>11</v>
      </c>
      <c r="E74" s="73">
        <v>1.87</v>
      </c>
      <c r="F74" s="79">
        <f>IFERROR(D74*E74,0)</f>
        <v>20.57</v>
      </c>
      <c r="G74" s="60" t="str">
        <f>INDEX(SETORES!$B:$B,MATCH(A74,SETORES!$A:$A,0))</f>
        <v>Clientes</v>
      </c>
      <c r="H74" s="60" t="s">
        <v>88</v>
      </c>
    </row>
    <row r="75" spans="1:8" ht="14.25" hidden="1" customHeight="1" x14ac:dyDescent="0.3">
      <c r="A75" s="2" t="s">
        <v>54</v>
      </c>
      <c r="B75" s="60" t="s">
        <v>155</v>
      </c>
      <c r="C75" s="60" t="s">
        <v>206</v>
      </c>
      <c r="D75" s="68">
        <v>1</v>
      </c>
      <c r="E75" s="73">
        <v>545.99</v>
      </c>
      <c r="F75" s="79">
        <f>IFERROR(D75*E75,0)</f>
        <v>545.99</v>
      </c>
      <c r="G75" s="60" t="str">
        <f>INDEX(SETORES!$B:$B,MATCH(A75,SETORES!$A:$A,0))</f>
        <v>Clientes</v>
      </c>
      <c r="H75" s="60" t="s">
        <v>88</v>
      </c>
    </row>
    <row r="76" spans="1:8" ht="14.25" hidden="1" customHeight="1" x14ac:dyDescent="0.3">
      <c r="A76" s="2" t="s">
        <v>54</v>
      </c>
      <c r="B76" s="60" t="s">
        <v>155</v>
      </c>
      <c r="C76" s="60" t="s">
        <v>159</v>
      </c>
      <c r="D76" s="68"/>
      <c r="E76" s="73"/>
      <c r="F76" s="79">
        <f>IFERROR(D76*E76,0)</f>
        <v>0</v>
      </c>
      <c r="G76" s="60" t="str">
        <f>INDEX(SETORES!$B:$B,MATCH(A76,SETORES!$A:$A,0))</f>
        <v>Clientes</v>
      </c>
      <c r="H76" s="60" t="s">
        <v>88</v>
      </c>
    </row>
    <row r="77" spans="1:8" ht="14.25" hidden="1" customHeight="1" x14ac:dyDescent="0.3">
      <c r="A77" s="2" t="s">
        <v>54</v>
      </c>
      <c r="B77" s="60" t="s">
        <v>162</v>
      </c>
      <c r="C77" s="60" t="s">
        <v>203</v>
      </c>
      <c r="D77" s="68">
        <v>1</v>
      </c>
      <c r="E77" s="73">
        <v>3995.53</v>
      </c>
      <c r="F77" s="79">
        <f>IFERROR(D77*E77,0)</f>
        <v>3995.53</v>
      </c>
      <c r="G77" s="60" t="str">
        <f>INDEX(SETORES!$B:$B,MATCH(A77,SETORES!$A:$A,0))</f>
        <v>Clientes</v>
      </c>
      <c r="H77" s="60" t="s">
        <v>88</v>
      </c>
    </row>
    <row r="78" spans="1:8" ht="14.25" hidden="1" customHeight="1" x14ac:dyDescent="0.3">
      <c r="A78" s="2" t="s">
        <v>54</v>
      </c>
      <c r="B78" s="60" t="s">
        <v>155</v>
      </c>
      <c r="C78" s="60" t="s">
        <v>205</v>
      </c>
      <c r="D78" s="68">
        <v>1</v>
      </c>
      <c r="E78" s="73">
        <v>2997</v>
      </c>
      <c r="F78" s="79">
        <f>IFERROR(D78*E78,0)</f>
        <v>2997</v>
      </c>
      <c r="G78" s="60" t="str">
        <f>INDEX(SETORES!$B:$B,MATCH(A78,SETORES!$A:$A,0))</f>
        <v>Clientes</v>
      </c>
      <c r="H78" s="60" t="s">
        <v>88</v>
      </c>
    </row>
    <row r="79" spans="1:8" ht="14.25" hidden="1" customHeight="1" x14ac:dyDescent="0.3">
      <c r="A79" s="2" t="s">
        <v>54</v>
      </c>
      <c r="B79" s="60" t="s">
        <v>155</v>
      </c>
      <c r="C79" s="60" t="s">
        <v>171</v>
      </c>
      <c r="D79" s="68">
        <v>12</v>
      </c>
      <c r="E79" s="73">
        <v>52.09</v>
      </c>
      <c r="F79" s="79">
        <f>IFERROR(D79*E79,0)</f>
        <v>625.08000000000004</v>
      </c>
      <c r="G79" s="60" t="s">
        <v>98</v>
      </c>
      <c r="H79" s="60" t="s">
        <v>88</v>
      </c>
    </row>
    <row r="80" spans="1:8" ht="14.25" hidden="1" customHeight="1" x14ac:dyDescent="0.3">
      <c r="A80" s="2" t="s">
        <v>54</v>
      </c>
      <c r="B80" s="60" t="s">
        <v>155</v>
      </c>
      <c r="C80" s="60" t="s">
        <v>170</v>
      </c>
      <c r="D80" s="68">
        <v>12</v>
      </c>
      <c r="E80" s="73">
        <v>32.549999999999997</v>
      </c>
      <c r="F80" s="79">
        <f>IFERROR(D80*E80,0)</f>
        <v>390.59999999999997</v>
      </c>
      <c r="G80" s="60" t="s">
        <v>98</v>
      </c>
      <c r="H80" s="60" t="s">
        <v>88</v>
      </c>
    </row>
    <row r="81" spans="1:8" ht="14.25" customHeight="1" x14ac:dyDescent="0.3">
      <c r="A81" s="2" t="s">
        <v>54</v>
      </c>
      <c r="B81" s="60" t="s">
        <v>155</v>
      </c>
      <c r="C81" s="60" t="s">
        <v>169</v>
      </c>
      <c r="D81" s="68">
        <v>12</v>
      </c>
      <c r="E81" s="73">
        <v>52.35</v>
      </c>
      <c r="F81" s="79">
        <f>IFERROR(D81*E81,0)</f>
        <v>628.20000000000005</v>
      </c>
      <c r="G81" s="60" t="s">
        <v>98</v>
      </c>
      <c r="H81" s="60" t="s">
        <v>88</v>
      </c>
    </row>
    <row r="82" spans="1:8" ht="14.25" hidden="1" customHeight="1" x14ac:dyDescent="0.3">
      <c r="A82" s="2" t="s">
        <v>54</v>
      </c>
      <c r="B82" s="60" t="s">
        <v>162</v>
      </c>
      <c r="C82" s="60" t="s">
        <v>201</v>
      </c>
      <c r="D82" s="68"/>
      <c r="E82" s="73"/>
      <c r="F82" s="79">
        <f>IFERROR(D82*E82,0)</f>
        <v>0</v>
      </c>
      <c r="G82" s="60" t="str">
        <f>INDEX(SETORES!$B:$B,MATCH(A82,SETORES!$A:$A,0))</f>
        <v>Clientes</v>
      </c>
      <c r="H82" s="60" t="s">
        <v>88</v>
      </c>
    </row>
    <row r="83" spans="1:8" ht="14.25" hidden="1" customHeight="1" x14ac:dyDescent="0.3">
      <c r="A83" s="2" t="s">
        <v>54</v>
      </c>
      <c r="B83" s="60" t="s">
        <v>155</v>
      </c>
      <c r="C83" s="60" t="s">
        <v>207</v>
      </c>
      <c r="D83" s="68"/>
      <c r="E83" s="73"/>
      <c r="F83" s="79">
        <f>IFERROR(D83*E83,0)</f>
        <v>0</v>
      </c>
      <c r="G83" s="60" t="str">
        <f>INDEX(SETORES!$B:$B,MATCH(A83,SETORES!$A:$A,0))</f>
        <v>Clientes</v>
      </c>
      <c r="H83" s="60" t="s">
        <v>88</v>
      </c>
    </row>
    <row r="84" spans="1:8" ht="14.25" hidden="1" customHeight="1" x14ac:dyDescent="0.3">
      <c r="A84" s="2" t="s">
        <v>54</v>
      </c>
      <c r="B84" s="60" t="s">
        <v>155</v>
      </c>
      <c r="C84" s="60" t="s">
        <v>196</v>
      </c>
      <c r="D84" s="68">
        <v>12</v>
      </c>
      <c r="E84" s="73">
        <v>50</v>
      </c>
      <c r="F84" s="79">
        <f>IFERROR(D84*E84,0)</f>
        <v>600</v>
      </c>
      <c r="G84" s="60" t="str">
        <f>INDEX(SETORES!$B:$B,MATCH(A84,SETORES!$A:$A,0))</f>
        <v>Clientes</v>
      </c>
      <c r="H84" s="60" t="s">
        <v>88</v>
      </c>
    </row>
    <row r="85" spans="1:8" ht="14.25" hidden="1" customHeight="1" x14ac:dyDescent="0.3">
      <c r="A85" s="2" t="s">
        <v>54</v>
      </c>
      <c r="B85" s="60" t="s">
        <v>162</v>
      </c>
      <c r="C85" s="60" t="s">
        <v>194</v>
      </c>
      <c r="D85" s="68"/>
      <c r="E85" s="73"/>
      <c r="F85" s="79">
        <f>IFERROR(D85*E85,0)</f>
        <v>0</v>
      </c>
      <c r="G85" s="60" t="str">
        <f>INDEX(SETORES!$B:$B,MATCH(A85,SETORES!$A:$A,0))</f>
        <v>Clientes</v>
      </c>
      <c r="H85" s="60" t="s">
        <v>88</v>
      </c>
    </row>
    <row r="86" spans="1:8" ht="14.25" hidden="1" customHeight="1" x14ac:dyDescent="0.3">
      <c r="A86" s="2" t="s">
        <v>54</v>
      </c>
      <c r="B86" s="60" t="s">
        <v>155</v>
      </c>
      <c r="C86" s="60" t="s">
        <v>158</v>
      </c>
      <c r="D86" s="68"/>
      <c r="E86" s="73"/>
      <c r="F86" s="79">
        <f>IFERROR(D86*E86,0)</f>
        <v>0</v>
      </c>
      <c r="G86" s="60" t="str">
        <f>INDEX(SETORES!$B:$B,MATCH(A86,SETORES!$A:$A,0))</f>
        <v>Clientes</v>
      </c>
      <c r="H86" s="60" t="s">
        <v>88</v>
      </c>
    </row>
    <row r="87" spans="1:8" ht="14.25" hidden="1" customHeight="1" x14ac:dyDescent="0.3">
      <c r="A87" s="2" t="s">
        <v>54</v>
      </c>
      <c r="B87" s="60" t="s">
        <v>162</v>
      </c>
      <c r="C87" s="60" t="s">
        <v>165</v>
      </c>
      <c r="D87" s="68"/>
      <c r="E87" s="73"/>
      <c r="F87" s="79">
        <f>IFERROR(D87*E87,0)</f>
        <v>0</v>
      </c>
      <c r="G87" s="60" t="str">
        <f>INDEX(SETORES!$B:$B,MATCH(A87,SETORES!$A:$A,0))</f>
        <v>Clientes</v>
      </c>
      <c r="H87" s="60" t="s">
        <v>88</v>
      </c>
    </row>
    <row r="88" spans="1:8" ht="14.25" hidden="1" customHeight="1" x14ac:dyDescent="0.3">
      <c r="A88" s="2" t="s">
        <v>54</v>
      </c>
      <c r="B88" s="60" t="s">
        <v>155</v>
      </c>
      <c r="C88" s="60" t="s">
        <v>161</v>
      </c>
      <c r="D88" s="68">
        <v>1</v>
      </c>
      <c r="E88" s="73">
        <v>189839.41</v>
      </c>
      <c r="F88" s="79">
        <f>IFERROR(D88*E88,0)</f>
        <v>189839.41</v>
      </c>
      <c r="G88" s="60" t="str">
        <f>INDEX(SETORES!$B:$B,MATCH(A88,SETORES!$A:$A,0))</f>
        <v>Clientes</v>
      </c>
      <c r="H88" s="60" t="s">
        <v>88</v>
      </c>
    </row>
    <row r="89" spans="1:8" ht="14.25" hidden="1" customHeight="1" x14ac:dyDescent="0.3">
      <c r="A89" s="2" t="s">
        <v>54</v>
      </c>
      <c r="B89" s="60" t="s">
        <v>155</v>
      </c>
      <c r="C89" s="60" t="s">
        <v>167</v>
      </c>
      <c r="D89" s="68"/>
      <c r="E89" s="73"/>
      <c r="F89" s="79">
        <f>IFERROR(D89*E89,0)</f>
        <v>0</v>
      </c>
      <c r="G89" s="60" t="str">
        <f>INDEX(SETORES!$B:$B,MATCH(A89,SETORES!$A:$A,0))</f>
        <v>Clientes</v>
      </c>
      <c r="H89" s="60" t="s">
        <v>88</v>
      </c>
    </row>
    <row r="90" spans="1:8" ht="14.25" hidden="1" customHeight="1" x14ac:dyDescent="0.3">
      <c r="A90" s="2" t="s">
        <v>54</v>
      </c>
      <c r="B90" s="60" t="s">
        <v>155</v>
      </c>
      <c r="C90" s="60" t="s">
        <v>238</v>
      </c>
      <c r="D90" s="68"/>
      <c r="E90" s="73"/>
      <c r="F90" s="79">
        <f>IFERROR(D90*E90,0)</f>
        <v>0</v>
      </c>
      <c r="G90" s="60" t="str">
        <f>INDEX(SETORES!$B:$B,MATCH(A90,SETORES!$A:$A,0))</f>
        <v>Clientes</v>
      </c>
      <c r="H90" s="60" t="s">
        <v>88</v>
      </c>
    </row>
    <row r="91" spans="1:8" ht="14.25" hidden="1" customHeight="1" x14ac:dyDescent="0.3">
      <c r="A91" s="2" t="s">
        <v>54</v>
      </c>
      <c r="B91" s="60" t="s">
        <v>155</v>
      </c>
      <c r="C91" s="60" t="s">
        <v>258</v>
      </c>
      <c r="D91" s="68">
        <v>1</v>
      </c>
      <c r="E91" s="73">
        <v>232.63</v>
      </c>
      <c r="F91" s="79">
        <f>IFERROR(D91*E91,0)</f>
        <v>232.63</v>
      </c>
      <c r="G91" s="60" t="str">
        <f>INDEX(SETORES!$B:$B,MATCH(A91,SETORES!$A:$A,0))</f>
        <v>Clientes</v>
      </c>
      <c r="H91" s="60" t="s">
        <v>88</v>
      </c>
    </row>
    <row r="92" spans="1:8" ht="14.25" hidden="1" customHeight="1" x14ac:dyDescent="0.3">
      <c r="A92" s="2" t="s">
        <v>54</v>
      </c>
      <c r="B92" s="60" t="s">
        <v>155</v>
      </c>
      <c r="C92" s="60" t="s">
        <v>198</v>
      </c>
      <c r="D92" s="68"/>
      <c r="E92" s="73"/>
      <c r="F92" s="79">
        <f>IFERROR(D92*E92,0)</f>
        <v>0</v>
      </c>
      <c r="G92" s="60" t="str">
        <f>INDEX(SETORES!$B:$B,MATCH(A92,SETORES!$A:$A,0))</f>
        <v>Clientes</v>
      </c>
      <c r="H92" s="60" t="s">
        <v>88</v>
      </c>
    </row>
    <row r="93" spans="1:8" ht="14.25" hidden="1" customHeight="1" x14ac:dyDescent="0.3">
      <c r="A93" s="2" t="s">
        <v>54</v>
      </c>
      <c r="B93" s="60" t="s">
        <v>162</v>
      </c>
      <c r="C93" s="60" t="s">
        <v>195</v>
      </c>
      <c r="D93" s="68"/>
      <c r="E93" s="73"/>
      <c r="F93" s="79">
        <f>IFERROR(D93*E93,0)</f>
        <v>0</v>
      </c>
      <c r="G93" s="60" t="str">
        <f>INDEX(SETORES!$B:$B,MATCH(A93,SETORES!$A:$A,0))</f>
        <v>Clientes</v>
      </c>
      <c r="H93" s="60" t="s">
        <v>88</v>
      </c>
    </row>
    <row r="94" spans="1:8" ht="14.25" hidden="1" customHeight="1" x14ac:dyDescent="0.3">
      <c r="A94" s="2" t="s">
        <v>54</v>
      </c>
      <c r="B94" s="60" t="s">
        <v>162</v>
      </c>
      <c r="C94" s="60" t="s">
        <v>156</v>
      </c>
      <c r="D94" s="68">
        <v>1</v>
      </c>
      <c r="E94" s="73">
        <v>9.64</v>
      </c>
      <c r="F94" s="79">
        <f>IFERROR(D94*E94,0)</f>
        <v>9.64</v>
      </c>
      <c r="G94" s="60" t="str">
        <f>INDEX(SETORES!$B:$B,MATCH(A94,SETORES!$A:$A,0))</f>
        <v>Clientes</v>
      </c>
      <c r="H94" s="60" t="s">
        <v>88</v>
      </c>
    </row>
    <row r="95" spans="1:8" ht="14.25" hidden="1" customHeight="1" x14ac:dyDescent="0.3">
      <c r="A95" s="2" t="s">
        <v>54</v>
      </c>
      <c r="B95" s="60" t="s">
        <v>155</v>
      </c>
      <c r="C95" s="60" t="s">
        <v>157</v>
      </c>
      <c r="D95" s="68"/>
      <c r="E95" s="73"/>
      <c r="F95" s="79">
        <f>IFERROR(D95*E95,0)</f>
        <v>0</v>
      </c>
      <c r="G95" s="60" t="str">
        <f>INDEX(SETORES!$B:$B,MATCH(A95,SETORES!$A:$A,0))</f>
        <v>Clientes</v>
      </c>
      <c r="H95" s="60" t="s">
        <v>88</v>
      </c>
    </row>
    <row r="96" spans="1:8" ht="14.25" hidden="1" customHeight="1" x14ac:dyDescent="0.3">
      <c r="A96" s="2" t="s">
        <v>54</v>
      </c>
      <c r="B96" s="60" t="s">
        <v>162</v>
      </c>
      <c r="C96" s="60" t="s">
        <v>200</v>
      </c>
      <c r="D96" s="68">
        <v>1</v>
      </c>
      <c r="E96" s="73">
        <v>90</v>
      </c>
      <c r="F96" s="79">
        <f>IFERROR(D96*E96,0)</f>
        <v>90</v>
      </c>
      <c r="G96" s="60" t="str">
        <f>INDEX(SETORES!$B:$B,MATCH(A96,SETORES!$A:$A,0))</f>
        <v>Clientes</v>
      </c>
      <c r="H96" s="60" t="s">
        <v>88</v>
      </c>
    </row>
    <row r="97" spans="1:8" ht="14.25" hidden="1" customHeight="1" x14ac:dyDescent="0.3">
      <c r="A97" s="2" t="s">
        <v>54</v>
      </c>
      <c r="B97" s="60" t="s">
        <v>155</v>
      </c>
      <c r="C97" s="60" t="s">
        <v>246</v>
      </c>
      <c r="D97" s="68"/>
      <c r="E97" s="73"/>
      <c r="F97" s="79">
        <f>IFERROR(D97*E97,0)</f>
        <v>0</v>
      </c>
      <c r="G97" s="60" t="str">
        <f>INDEX(SETORES!$B:$B,MATCH(A97,SETORES!$A:$A,0))</f>
        <v>Clientes</v>
      </c>
      <c r="H97" s="60" t="s">
        <v>88</v>
      </c>
    </row>
    <row r="98" spans="1:8" ht="14.25" hidden="1" customHeight="1" x14ac:dyDescent="0.3">
      <c r="A98" s="2" t="s">
        <v>54</v>
      </c>
      <c r="B98" s="60" t="s">
        <v>162</v>
      </c>
      <c r="C98" s="60" t="s">
        <v>204</v>
      </c>
      <c r="D98" s="68"/>
      <c r="E98" s="73"/>
      <c r="F98" s="79">
        <f>IFERROR(D98*E98,0)</f>
        <v>0</v>
      </c>
      <c r="G98" s="60" t="str">
        <f>INDEX(SETORES!$B:$B,MATCH(A98,SETORES!$A:$A,0))</f>
        <v>Clientes</v>
      </c>
      <c r="H98" s="60" t="s">
        <v>88</v>
      </c>
    </row>
    <row r="99" spans="1:8" ht="14.25" hidden="1" customHeight="1" x14ac:dyDescent="0.3">
      <c r="A99" s="2" t="s">
        <v>54</v>
      </c>
      <c r="B99" s="60" t="s">
        <v>155</v>
      </c>
      <c r="C99" s="60" t="s">
        <v>208</v>
      </c>
      <c r="D99" s="68">
        <v>1</v>
      </c>
      <c r="E99" s="73">
        <v>3042.34</v>
      </c>
      <c r="F99" s="79">
        <f>IFERROR(D99*E99,0)</f>
        <v>3042.34</v>
      </c>
      <c r="G99" s="60" t="str">
        <f>INDEX(SETORES!$B:$B,MATCH(A99,SETORES!$A:$A,0))</f>
        <v>Clientes</v>
      </c>
      <c r="H99" s="60" t="s">
        <v>88</v>
      </c>
    </row>
    <row r="100" spans="1:8" ht="14.25" hidden="1" customHeight="1" x14ac:dyDescent="0.3">
      <c r="A100" s="2" t="s">
        <v>54</v>
      </c>
      <c r="B100" s="60" t="s">
        <v>155</v>
      </c>
      <c r="C100" s="60" t="s">
        <v>168</v>
      </c>
      <c r="D100" s="68">
        <v>12</v>
      </c>
      <c r="E100" s="73">
        <v>1.87</v>
      </c>
      <c r="F100" s="79">
        <f>IFERROR(D100*E100,0)</f>
        <v>22.44</v>
      </c>
      <c r="G100" s="60" t="str">
        <f>INDEX(SETORES!$B:$B,MATCH(A100,SETORES!$A:$A,0))</f>
        <v>Clientes</v>
      </c>
      <c r="H100" s="60" t="s">
        <v>88</v>
      </c>
    </row>
    <row r="101" spans="1:8" ht="14.25" hidden="1" customHeight="1" x14ac:dyDescent="0.3">
      <c r="A101" s="2" t="s">
        <v>54</v>
      </c>
      <c r="B101" s="60" t="s">
        <v>162</v>
      </c>
      <c r="C101" s="60" t="s">
        <v>202</v>
      </c>
      <c r="D101" s="68"/>
      <c r="E101" s="73"/>
      <c r="F101" s="79">
        <f>IFERROR(D101*E101,0)</f>
        <v>0</v>
      </c>
      <c r="G101" s="60" t="str">
        <f>INDEX(SETORES!$B:$B,MATCH(A101,SETORES!$A:$A,0))</f>
        <v>Clientes</v>
      </c>
      <c r="H101" s="60" t="s">
        <v>88</v>
      </c>
    </row>
    <row r="102" spans="1:8" ht="14.25" hidden="1" customHeight="1" x14ac:dyDescent="0.3">
      <c r="A102" s="2" t="s">
        <v>43</v>
      </c>
      <c r="B102" s="60" t="s">
        <v>155</v>
      </c>
      <c r="C102" s="60" t="s">
        <v>159</v>
      </c>
      <c r="D102" s="68"/>
      <c r="E102" s="73"/>
      <c r="F102" s="79">
        <f>IFERROR(D102*E102,0)</f>
        <v>0</v>
      </c>
      <c r="G102" s="60" t="str">
        <f>INDEX(SETORES!$B:$B,MATCH(A102,SETORES!$A:$A,0))</f>
        <v>Clientes</v>
      </c>
      <c r="H102" s="60" t="s">
        <v>88</v>
      </c>
    </row>
    <row r="103" spans="1:8" ht="14.25" hidden="1" customHeight="1" x14ac:dyDescent="0.3">
      <c r="A103" s="2" t="s">
        <v>43</v>
      </c>
      <c r="B103" s="60" t="s">
        <v>155</v>
      </c>
      <c r="C103" s="60" t="s">
        <v>212</v>
      </c>
      <c r="D103" s="68">
        <v>2</v>
      </c>
      <c r="E103" s="73">
        <v>30</v>
      </c>
      <c r="F103" s="79">
        <f>IFERROR(D103*E103,0)</f>
        <v>60</v>
      </c>
      <c r="G103" s="60" t="str">
        <f>INDEX(SETORES!$B:$B,MATCH(A103,SETORES!$A:$A,0))</f>
        <v>Clientes</v>
      </c>
      <c r="H103" s="60" t="s">
        <v>88</v>
      </c>
    </row>
    <row r="104" spans="1:8" ht="14.25" hidden="1" customHeight="1" x14ac:dyDescent="0.3">
      <c r="A104" s="2" t="s">
        <v>43</v>
      </c>
      <c r="B104" s="60" t="s">
        <v>162</v>
      </c>
      <c r="C104" s="60" t="s">
        <v>217</v>
      </c>
      <c r="D104" s="68">
        <v>1</v>
      </c>
      <c r="E104" s="73">
        <v>0</v>
      </c>
      <c r="F104" s="79">
        <f>IFERROR(D104*E104,0)</f>
        <v>0</v>
      </c>
      <c r="G104" s="60" t="str">
        <f>INDEX(SETORES!$B:$B,MATCH(A104,SETORES!$A:$A,0))</f>
        <v>Clientes</v>
      </c>
      <c r="H104" s="60" t="s">
        <v>88</v>
      </c>
    </row>
    <row r="105" spans="1:8" ht="14.25" hidden="1" customHeight="1" x14ac:dyDescent="0.3">
      <c r="A105" s="2" t="s">
        <v>43</v>
      </c>
      <c r="B105" s="60" t="s">
        <v>155</v>
      </c>
      <c r="C105" s="60" t="s">
        <v>171</v>
      </c>
      <c r="D105" s="68">
        <v>5</v>
      </c>
      <c r="E105" s="73">
        <v>52.09</v>
      </c>
      <c r="F105" s="79">
        <f>IFERROR(D105*E105,0)</f>
        <v>260.45000000000005</v>
      </c>
      <c r="G105" s="60" t="s">
        <v>98</v>
      </c>
      <c r="H105" s="60" t="s">
        <v>88</v>
      </c>
    </row>
    <row r="106" spans="1:8" ht="14.25" hidden="1" customHeight="1" x14ac:dyDescent="0.3">
      <c r="A106" s="2" t="s">
        <v>43</v>
      </c>
      <c r="B106" s="60" t="s">
        <v>155</v>
      </c>
      <c r="C106" s="60" t="s">
        <v>170</v>
      </c>
      <c r="D106" s="68">
        <v>5</v>
      </c>
      <c r="E106" s="73">
        <v>32.549999999999997</v>
      </c>
      <c r="F106" s="79">
        <f>IFERROR(D106*E106,0)</f>
        <v>162.75</v>
      </c>
      <c r="G106" s="60" t="s">
        <v>98</v>
      </c>
      <c r="H106" s="60" t="s">
        <v>88</v>
      </c>
    </row>
    <row r="107" spans="1:8" ht="14.25" customHeight="1" x14ac:dyDescent="0.3">
      <c r="A107" s="2" t="s">
        <v>43</v>
      </c>
      <c r="B107" s="60" t="s">
        <v>155</v>
      </c>
      <c r="C107" s="60" t="s">
        <v>169</v>
      </c>
      <c r="D107" s="68">
        <v>5</v>
      </c>
      <c r="E107" s="73">
        <v>52.35</v>
      </c>
      <c r="F107" s="79">
        <f>IFERROR(D107*E107,0)</f>
        <v>261.75</v>
      </c>
      <c r="G107" s="60" t="s">
        <v>98</v>
      </c>
      <c r="H107" s="60" t="s">
        <v>88</v>
      </c>
    </row>
    <row r="108" spans="1:8" ht="14.25" hidden="1" customHeight="1" x14ac:dyDescent="0.3">
      <c r="A108" s="2" t="s">
        <v>43</v>
      </c>
      <c r="B108" s="60" t="s">
        <v>155</v>
      </c>
      <c r="C108" s="60" t="s">
        <v>158</v>
      </c>
      <c r="D108" s="68"/>
      <c r="E108" s="73"/>
      <c r="F108" s="79">
        <f>IFERROR(D108*E108,0)</f>
        <v>0</v>
      </c>
      <c r="G108" s="60" t="str">
        <f>INDEX(SETORES!$B:$B,MATCH(A108,SETORES!$A:$A,0))</f>
        <v>Clientes</v>
      </c>
      <c r="H108" s="60" t="s">
        <v>88</v>
      </c>
    </row>
    <row r="109" spans="1:8" ht="14.25" hidden="1" customHeight="1" x14ac:dyDescent="0.3">
      <c r="A109" s="2" t="s">
        <v>43</v>
      </c>
      <c r="B109" s="60" t="s">
        <v>162</v>
      </c>
      <c r="C109" s="60" t="s">
        <v>163</v>
      </c>
      <c r="D109" s="68"/>
      <c r="E109" s="73"/>
      <c r="F109" s="79">
        <f>IFERROR(D109*E109,0)</f>
        <v>0</v>
      </c>
      <c r="G109" s="60" t="str">
        <f>INDEX(SETORES!$B:$B,MATCH(A109,SETORES!$A:$A,0))</f>
        <v>Clientes</v>
      </c>
      <c r="H109" s="60" t="s">
        <v>88</v>
      </c>
    </row>
    <row r="110" spans="1:8" ht="14.25" hidden="1" customHeight="1" x14ac:dyDescent="0.3">
      <c r="A110" s="2" t="s">
        <v>43</v>
      </c>
      <c r="B110" s="60" t="s">
        <v>155</v>
      </c>
      <c r="C110" s="60" t="s">
        <v>161</v>
      </c>
      <c r="D110" s="68">
        <v>1</v>
      </c>
      <c r="E110" s="73">
        <v>24935.86</v>
      </c>
      <c r="F110" s="79">
        <f>IFERROR(D110*E110,0)</f>
        <v>24935.86</v>
      </c>
      <c r="G110" s="60" t="str">
        <f>INDEX(SETORES!$B:$B,MATCH(A110,SETORES!$A:$A,0))</f>
        <v>Clientes</v>
      </c>
      <c r="H110" s="60" t="s">
        <v>88</v>
      </c>
    </row>
    <row r="111" spans="1:8" ht="14.25" hidden="1" customHeight="1" x14ac:dyDescent="0.3">
      <c r="A111" s="2" t="s">
        <v>43</v>
      </c>
      <c r="B111" s="60" t="s">
        <v>155</v>
      </c>
      <c r="C111" s="60" t="s">
        <v>167</v>
      </c>
      <c r="D111" s="68"/>
      <c r="E111" s="73"/>
      <c r="F111" s="79">
        <f>IFERROR(D111*E111,0)</f>
        <v>0</v>
      </c>
      <c r="G111" s="60" t="str">
        <f>INDEX(SETORES!$B:$B,MATCH(A111,SETORES!$A:$A,0))</f>
        <v>Clientes</v>
      </c>
      <c r="H111" s="60" t="s">
        <v>88</v>
      </c>
    </row>
    <row r="112" spans="1:8" ht="14.25" hidden="1" customHeight="1" x14ac:dyDescent="0.3">
      <c r="A112" s="2" t="s">
        <v>43</v>
      </c>
      <c r="B112" s="60" t="s">
        <v>155</v>
      </c>
      <c r="C112" s="60" t="s">
        <v>238</v>
      </c>
      <c r="D112" s="68"/>
      <c r="E112" s="73"/>
      <c r="F112" s="79">
        <f>IFERROR(D112*E112,0)</f>
        <v>0</v>
      </c>
      <c r="G112" s="60" t="str">
        <f>INDEX(SETORES!$B:$B,MATCH(A112,SETORES!$A:$A,0))</f>
        <v>Clientes</v>
      </c>
      <c r="H112" s="60" t="s">
        <v>88</v>
      </c>
    </row>
    <row r="113" spans="1:8" ht="14.25" hidden="1" customHeight="1" x14ac:dyDescent="0.3">
      <c r="A113" s="2" t="s">
        <v>43</v>
      </c>
      <c r="B113" s="60" t="s">
        <v>155</v>
      </c>
      <c r="C113" s="60" t="s">
        <v>258</v>
      </c>
      <c r="D113" s="68">
        <v>1</v>
      </c>
      <c r="E113" s="73">
        <v>96.93</v>
      </c>
      <c r="F113" s="79">
        <f>IFERROR(D113*E113,0)</f>
        <v>96.93</v>
      </c>
      <c r="G113" s="60" t="str">
        <f>INDEX(SETORES!$B:$B,MATCH(A113,SETORES!$A:$A,0))</f>
        <v>Clientes</v>
      </c>
      <c r="H113" s="60" t="s">
        <v>88</v>
      </c>
    </row>
    <row r="114" spans="1:8" ht="14.25" hidden="1" customHeight="1" x14ac:dyDescent="0.3">
      <c r="A114" s="2" t="s">
        <v>43</v>
      </c>
      <c r="B114" s="60" t="s">
        <v>155</v>
      </c>
      <c r="C114" s="60" t="s">
        <v>166</v>
      </c>
      <c r="D114" s="68">
        <v>5</v>
      </c>
      <c r="E114" s="73">
        <v>50</v>
      </c>
      <c r="F114" s="79">
        <f>IFERROR(D114*E114,0)</f>
        <v>250</v>
      </c>
      <c r="G114" s="60" t="str">
        <f>INDEX(SETORES!$B:$B,MATCH(A114,SETORES!$A:$A,0))</f>
        <v>Clientes</v>
      </c>
      <c r="H114" s="60" t="s">
        <v>88</v>
      </c>
    </row>
    <row r="115" spans="1:8" ht="14.25" hidden="1" customHeight="1" x14ac:dyDescent="0.3">
      <c r="A115" s="2" t="s">
        <v>43</v>
      </c>
      <c r="B115" s="60" t="s">
        <v>155</v>
      </c>
      <c r="C115" s="60" t="s">
        <v>156</v>
      </c>
      <c r="D115" s="68"/>
      <c r="E115" s="73"/>
      <c r="F115" s="79">
        <f>IFERROR(D115*E115,0)</f>
        <v>0</v>
      </c>
      <c r="G115" s="60" t="str">
        <f>INDEX(SETORES!$B:$B,MATCH(A115,SETORES!$A:$A,0))</f>
        <v>Clientes</v>
      </c>
      <c r="H115" s="60" t="s">
        <v>88</v>
      </c>
    </row>
    <row r="116" spans="1:8" ht="14.25" hidden="1" customHeight="1" x14ac:dyDescent="0.3">
      <c r="A116" s="2" t="s">
        <v>43</v>
      </c>
      <c r="B116" s="60" t="s">
        <v>155</v>
      </c>
      <c r="C116" s="60" t="s">
        <v>157</v>
      </c>
      <c r="D116" s="68"/>
      <c r="E116" s="73"/>
      <c r="F116" s="79">
        <f>IFERROR(D116*E116,0)</f>
        <v>0</v>
      </c>
      <c r="G116" s="60" t="str">
        <f>INDEX(SETORES!$B:$B,MATCH(A116,SETORES!$A:$A,0))</f>
        <v>Clientes</v>
      </c>
      <c r="H116" s="60" t="s">
        <v>88</v>
      </c>
    </row>
    <row r="117" spans="1:8" ht="14.25" hidden="1" customHeight="1" x14ac:dyDescent="0.3">
      <c r="A117" s="2" t="s">
        <v>43</v>
      </c>
      <c r="B117" s="60" t="s">
        <v>162</v>
      </c>
      <c r="C117" s="60" t="s">
        <v>209</v>
      </c>
      <c r="D117" s="68"/>
      <c r="E117" s="73"/>
      <c r="F117" s="79">
        <f>IFERROR(D117*E117,0)</f>
        <v>0</v>
      </c>
      <c r="G117" s="60" t="str">
        <f>INDEX(SETORES!$B:$B,MATCH(A117,SETORES!$A:$A,0))</f>
        <v>Clientes</v>
      </c>
      <c r="H117" s="60" t="s">
        <v>88</v>
      </c>
    </row>
    <row r="118" spans="1:8" ht="14.25" hidden="1" customHeight="1" x14ac:dyDescent="0.3">
      <c r="A118" s="2" t="s">
        <v>43</v>
      </c>
      <c r="B118" s="60" t="s">
        <v>162</v>
      </c>
      <c r="C118" s="60" t="s">
        <v>222</v>
      </c>
      <c r="D118" s="68"/>
      <c r="E118" s="73"/>
      <c r="F118" s="79">
        <f>IFERROR(D118*E118,0)</f>
        <v>0</v>
      </c>
      <c r="G118" s="60" t="str">
        <f>INDEX(SETORES!$B:$B,MATCH(A118,SETORES!$A:$A,0))</f>
        <v>Clientes</v>
      </c>
      <c r="H118" s="60" t="s">
        <v>88</v>
      </c>
    </row>
    <row r="119" spans="1:8" ht="14.25" hidden="1" customHeight="1" x14ac:dyDescent="0.3">
      <c r="A119" s="2" t="s">
        <v>43</v>
      </c>
      <c r="B119" s="60" t="s">
        <v>155</v>
      </c>
      <c r="C119" s="60" t="s">
        <v>168</v>
      </c>
      <c r="D119" s="68">
        <v>5</v>
      </c>
      <c r="E119" s="73">
        <v>1.87</v>
      </c>
      <c r="F119" s="79">
        <f>IFERROR(D119*E119,0)</f>
        <v>9.3500000000000014</v>
      </c>
      <c r="G119" s="60" t="str">
        <f>INDEX(SETORES!$B:$B,MATCH(A119,SETORES!$A:$A,0))</f>
        <v>Clientes</v>
      </c>
      <c r="H119" s="60" t="s">
        <v>88</v>
      </c>
    </row>
    <row r="120" spans="1:8" ht="14.25" hidden="1" customHeight="1" x14ac:dyDescent="0.3">
      <c r="A120" s="2" t="s">
        <v>43</v>
      </c>
      <c r="B120" s="60" t="s">
        <v>155</v>
      </c>
      <c r="C120" s="60" t="s">
        <v>160</v>
      </c>
      <c r="D120" s="68"/>
      <c r="E120" s="73"/>
      <c r="F120" s="79">
        <f>IFERROR(D120*E120,0)</f>
        <v>0</v>
      </c>
      <c r="G120" s="60" t="str">
        <f>INDEX(SETORES!$B:$B,MATCH(A120,SETORES!$A:$A,0))</f>
        <v>Clientes</v>
      </c>
      <c r="H120" s="60" t="s">
        <v>88</v>
      </c>
    </row>
    <row r="121" spans="1:8" ht="14.25" hidden="1" customHeight="1" x14ac:dyDescent="0.3">
      <c r="A121" s="35" t="s">
        <v>143</v>
      </c>
      <c r="B121" s="66" t="s">
        <v>162</v>
      </c>
      <c r="C121" s="66" t="s">
        <v>163</v>
      </c>
      <c r="D121" s="66">
        <v>1</v>
      </c>
      <c r="E121" s="78">
        <v>90</v>
      </c>
      <c r="F121" s="78">
        <f>IFERROR(D121*E121,0)</f>
        <v>90</v>
      </c>
      <c r="G121" s="66" t="str">
        <f>INDEX(SETORES!$B:$B,MATCH(A121,SETORES!$A:$A,0))</f>
        <v>Clientes</v>
      </c>
      <c r="H121" s="60" t="s">
        <v>88</v>
      </c>
    </row>
    <row r="122" spans="1:8" ht="14.25" hidden="1" customHeight="1" x14ac:dyDescent="0.3">
      <c r="A122" s="2" t="s">
        <v>143</v>
      </c>
      <c r="B122" s="60" t="s">
        <v>155</v>
      </c>
      <c r="C122" s="60" t="s">
        <v>161</v>
      </c>
      <c r="D122" s="68">
        <v>1</v>
      </c>
      <c r="E122" s="73">
        <v>46351.21</v>
      </c>
      <c r="F122" s="79">
        <f>IFERROR(D122*E122,0)</f>
        <v>46351.21</v>
      </c>
      <c r="G122" s="60" t="str">
        <f>INDEX(SETORES!$B:$B,MATCH(A122,SETORES!$A:$A,0))</f>
        <v>Clientes</v>
      </c>
      <c r="H122" s="60" t="s">
        <v>88</v>
      </c>
    </row>
    <row r="123" spans="1:8" ht="14.25" hidden="1" customHeight="1" x14ac:dyDescent="0.3">
      <c r="A123" s="2" t="s">
        <v>143</v>
      </c>
      <c r="B123" s="60" t="s">
        <v>155</v>
      </c>
      <c r="C123" s="60" t="s">
        <v>166</v>
      </c>
      <c r="D123" s="68">
        <v>10</v>
      </c>
      <c r="E123" s="73">
        <v>50</v>
      </c>
      <c r="F123" s="79">
        <f>IFERROR(D123*E123,0)</f>
        <v>500</v>
      </c>
      <c r="G123" s="60" t="str">
        <f>INDEX(SETORES!$B:$B,MATCH(A123,SETORES!$A:$A,0))</f>
        <v>Clientes</v>
      </c>
      <c r="H123" s="60" t="s">
        <v>88</v>
      </c>
    </row>
    <row r="124" spans="1:8" ht="14.25" hidden="1" customHeight="1" x14ac:dyDescent="0.3">
      <c r="A124" s="2" t="s">
        <v>143</v>
      </c>
      <c r="B124" s="60" t="s">
        <v>162</v>
      </c>
      <c r="C124" s="60" t="s">
        <v>222</v>
      </c>
      <c r="D124" s="68"/>
      <c r="E124" s="73"/>
      <c r="F124" s="79">
        <f>IFERROR(D124*E124,0)</f>
        <v>0</v>
      </c>
      <c r="G124" s="60" t="str">
        <f>INDEX(SETORES!$B:$B,MATCH(A124,SETORES!$A:$A,0))</f>
        <v>Clientes</v>
      </c>
      <c r="H124" s="60" t="s">
        <v>88</v>
      </c>
    </row>
    <row r="125" spans="1:8" ht="14.25" hidden="1" customHeight="1" x14ac:dyDescent="0.3">
      <c r="A125" s="2" t="s">
        <v>143</v>
      </c>
      <c r="B125" s="60" t="s">
        <v>155</v>
      </c>
      <c r="C125" s="60" t="s">
        <v>168</v>
      </c>
      <c r="D125" s="68">
        <v>10</v>
      </c>
      <c r="E125" s="73">
        <v>1.87</v>
      </c>
      <c r="F125" s="79">
        <f>IFERROR(D125*E125,0)</f>
        <v>18.700000000000003</v>
      </c>
      <c r="G125" s="60" t="str">
        <f>INDEX(SETORES!$B:$B,MATCH(A125,SETORES!$A:$A,0))</f>
        <v>Clientes</v>
      </c>
      <c r="H125" s="60" t="s">
        <v>88</v>
      </c>
    </row>
    <row r="126" spans="1:8" ht="14.25" hidden="1" customHeight="1" x14ac:dyDescent="0.3">
      <c r="A126" s="2" t="s">
        <v>40</v>
      </c>
      <c r="B126" s="60" t="s">
        <v>155</v>
      </c>
      <c r="C126" s="60" t="s">
        <v>159</v>
      </c>
      <c r="D126" s="68"/>
      <c r="E126" s="73"/>
      <c r="F126" s="79">
        <f>IFERROR(D126*E126,0)</f>
        <v>0</v>
      </c>
      <c r="G126" s="60" t="str">
        <f>INDEX(SETORES!$B:$B,MATCH(A126,SETORES!$A:$A,0))</f>
        <v>Clientes</v>
      </c>
      <c r="H126" s="60" t="s">
        <v>88</v>
      </c>
    </row>
    <row r="127" spans="1:8" ht="14.25" hidden="1" customHeight="1" x14ac:dyDescent="0.3">
      <c r="A127" s="2" t="s">
        <v>40</v>
      </c>
      <c r="B127" s="60" t="s">
        <v>162</v>
      </c>
      <c r="C127" s="60" t="s">
        <v>241</v>
      </c>
      <c r="D127" s="68"/>
      <c r="E127" s="73"/>
      <c r="F127" s="79">
        <f>IFERROR(D127*E127,0)</f>
        <v>0</v>
      </c>
      <c r="G127" s="60" t="str">
        <f>INDEX(SETORES!$B:$B,MATCH(A127,SETORES!$A:$A,0))</f>
        <v>Clientes</v>
      </c>
      <c r="H127" s="60" t="s">
        <v>88</v>
      </c>
    </row>
    <row r="128" spans="1:8" ht="14.25" hidden="1" customHeight="1" x14ac:dyDescent="0.3">
      <c r="A128" s="2" t="s">
        <v>40</v>
      </c>
      <c r="B128" s="60" t="s">
        <v>155</v>
      </c>
      <c r="C128" s="60" t="s">
        <v>212</v>
      </c>
      <c r="D128" s="68">
        <v>2</v>
      </c>
      <c r="E128" s="73">
        <v>30</v>
      </c>
      <c r="F128" s="79">
        <f>IFERROR(D128*E128,0)</f>
        <v>60</v>
      </c>
      <c r="G128" s="60" t="str">
        <f>INDEX(SETORES!$B:$B,MATCH(A128,SETORES!$A:$A,0))</f>
        <v>Clientes</v>
      </c>
      <c r="H128" s="60" t="s">
        <v>88</v>
      </c>
    </row>
    <row r="129" spans="1:8" ht="14.25" hidden="1" customHeight="1" x14ac:dyDescent="0.3">
      <c r="A129" s="2" t="s">
        <v>40</v>
      </c>
      <c r="B129" s="60" t="s">
        <v>162</v>
      </c>
      <c r="C129" s="60" t="s">
        <v>211</v>
      </c>
      <c r="D129" s="68"/>
      <c r="E129" s="73"/>
      <c r="F129" s="79">
        <f>IFERROR(D129*E129,0)</f>
        <v>0</v>
      </c>
      <c r="G129" s="60" t="str">
        <f>INDEX(SETORES!$B:$B,MATCH(A129,SETORES!$A:$A,0))</f>
        <v>Clientes</v>
      </c>
      <c r="H129" s="60" t="s">
        <v>88</v>
      </c>
    </row>
    <row r="130" spans="1:8" ht="14.25" hidden="1" customHeight="1" x14ac:dyDescent="0.3">
      <c r="A130" s="2" t="s">
        <v>40</v>
      </c>
      <c r="B130" s="60" t="s">
        <v>155</v>
      </c>
      <c r="C130" s="60" t="s">
        <v>171</v>
      </c>
      <c r="D130" s="68">
        <v>6</v>
      </c>
      <c r="E130" s="73">
        <v>52.09</v>
      </c>
      <c r="F130" s="79">
        <f>IFERROR(D130*E130,0)</f>
        <v>312.54000000000002</v>
      </c>
      <c r="G130" s="60" t="s">
        <v>98</v>
      </c>
      <c r="H130" s="60" t="s">
        <v>88</v>
      </c>
    </row>
    <row r="131" spans="1:8" ht="14.25" hidden="1" customHeight="1" x14ac:dyDescent="0.3">
      <c r="A131" s="2" t="s">
        <v>40</v>
      </c>
      <c r="B131" s="60" t="s">
        <v>155</v>
      </c>
      <c r="C131" s="60" t="s">
        <v>170</v>
      </c>
      <c r="D131" s="68">
        <v>6</v>
      </c>
      <c r="E131" s="73">
        <v>32.549999999999997</v>
      </c>
      <c r="F131" s="79">
        <f>IFERROR(D131*E131,0)</f>
        <v>195.29999999999998</v>
      </c>
      <c r="G131" s="60" t="s">
        <v>98</v>
      </c>
      <c r="H131" s="60" t="s">
        <v>88</v>
      </c>
    </row>
    <row r="132" spans="1:8" ht="14.25" customHeight="1" x14ac:dyDescent="0.3">
      <c r="A132" s="2" t="s">
        <v>40</v>
      </c>
      <c r="B132" s="60" t="s">
        <v>155</v>
      </c>
      <c r="C132" s="60" t="s">
        <v>169</v>
      </c>
      <c r="D132" s="68">
        <v>6</v>
      </c>
      <c r="E132" s="73">
        <v>52.35</v>
      </c>
      <c r="F132" s="79">
        <f>IFERROR(D132*E132,0)</f>
        <v>314.10000000000002</v>
      </c>
      <c r="G132" s="60" t="s">
        <v>98</v>
      </c>
      <c r="H132" s="60" t="s">
        <v>88</v>
      </c>
    </row>
    <row r="133" spans="1:8" ht="14.25" hidden="1" customHeight="1" x14ac:dyDescent="0.3">
      <c r="A133" s="2" t="s">
        <v>40</v>
      </c>
      <c r="B133" s="60" t="s">
        <v>155</v>
      </c>
      <c r="C133" s="60" t="s">
        <v>158</v>
      </c>
      <c r="D133" s="68"/>
      <c r="E133" s="73"/>
      <c r="F133" s="79">
        <f>IFERROR(D133*E133,0)</f>
        <v>0</v>
      </c>
      <c r="G133" s="60" t="str">
        <f>INDEX(SETORES!$B:$B,MATCH(A133,SETORES!$A:$A,0))</f>
        <v>Clientes</v>
      </c>
      <c r="H133" s="60" t="s">
        <v>88</v>
      </c>
    </row>
    <row r="134" spans="1:8" ht="14.25" hidden="1" customHeight="1" x14ac:dyDescent="0.3">
      <c r="A134" s="2" t="s">
        <v>40</v>
      </c>
      <c r="B134" s="60" t="s">
        <v>162</v>
      </c>
      <c r="C134" s="60" t="s">
        <v>165</v>
      </c>
      <c r="D134" s="68"/>
      <c r="E134" s="73"/>
      <c r="F134" s="79">
        <f>IFERROR(D134*E134,0)</f>
        <v>0</v>
      </c>
      <c r="G134" s="60" t="str">
        <f>INDEX(SETORES!$B:$B,MATCH(A134,SETORES!$A:$A,0))</f>
        <v>Clientes</v>
      </c>
      <c r="H134" s="60" t="s">
        <v>88</v>
      </c>
    </row>
    <row r="135" spans="1:8" ht="14.25" hidden="1" customHeight="1" x14ac:dyDescent="0.3">
      <c r="A135" s="2" t="s">
        <v>40</v>
      </c>
      <c r="B135" s="60" t="s">
        <v>162</v>
      </c>
      <c r="C135" s="60" t="s">
        <v>163</v>
      </c>
      <c r="D135" s="68">
        <v>1</v>
      </c>
      <c r="E135" s="73">
        <v>90</v>
      </c>
      <c r="F135" s="79">
        <f>IFERROR(D135*E135,0)</f>
        <v>90</v>
      </c>
      <c r="G135" s="60" t="str">
        <f>INDEX(SETORES!$B:$B,MATCH(A135,SETORES!$A:$A,0))</f>
        <v>Clientes</v>
      </c>
      <c r="H135" s="60" t="s">
        <v>88</v>
      </c>
    </row>
    <row r="136" spans="1:8" ht="14.25" hidden="1" customHeight="1" x14ac:dyDescent="0.3">
      <c r="A136" s="2" t="s">
        <v>40</v>
      </c>
      <c r="B136" s="60" t="s">
        <v>162</v>
      </c>
      <c r="C136" s="60" t="s">
        <v>164</v>
      </c>
      <c r="D136" s="68"/>
      <c r="E136" s="73"/>
      <c r="F136" s="79">
        <f>IFERROR(D136*E136,0)</f>
        <v>0</v>
      </c>
      <c r="G136" s="60" t="str">
        <f>INDEX(SETORES!$B:$B,MATCH(A136,SETORES!$A:$A,0))</f>
        <v>Clientes</v>
      </c>
      <c r="H136" s="60" t="s">
        <v>88</v>
      </c>
    </row>
    <row r="137" spans="1:8" ht="14.25" hidden="1" customHeight="1" x14ac:dyDescent="0.3">
      <c r="A137" s="2" t="s">
        <v>40</v>
      </c>
      <c r="B137" s="60" t="s">
        <v>155</v>
      </c>
      <c r="C137" s="60" t="s">
        <v>161</v>
      </c>
      <c r="D137" s="68">
        <v>1</v>
      </c>
      <c r="E137" s="73">
        <v>36209.58</v>
      </c>
      <c r="F137" s="79">
        <f>IFERROR(D137*E137,0)</f>
        <v>36209.58</v>
      </c>
      <c r="G137" s="60" t="str">
        <f>INDEX(SETORES!$B:$B,MATCH(A137,SETORES!$A:$A,0))</f>
        <v>Clientes</v>
      </c>
      <c r="H137" s="60" t="s">
        <v>88</v>
      </c>
    </row>
    <row r="138" spans="1:8" ht="14.25" hidden="1" customHeight="1" x14ac:dyDescent="0.3">
      <c r="A138" s="2" t="s">
        <v>40</v>
      </c>
      <c r="B138" s="60" t="s">
        <v>155</v>
      </c>
      <c r="C138" s="60" t="s">
        <v>167</v>
      </c>
      <c r="D138" s="68"/>
      <c r="E138" s="73"/>
      <c r="F138" s="79">
        <f>IFERROR(D138*E138,0)</f>
        <v>0</v>
      </c>
      <c r="G138" s="60" t="str">
        <f>INDEX(SETORES!$B:$B,MATCH(A138,SETORES!$A:$A,0))</f>
        <v>Clientes</v>
      </c>
      <c r="H138" s="60" t="s">
        <v>88</v>
      </c>
    </row>
    <row r="139" spans="1:8" ht="14.25" hidden="1" customHeight="1" x14ac:dyDescent="0.3">
      <c r="A139" s="2" t="s">
        <v>40</v>
      </c>
      <c r="B139" s="60" t="s">
        <v>155</v>
      </c>
      <c r="C139" s="60" t="s">
        <v>238</v>
      </c>
      <c r="D139" s="68"/>
      <c r="E139" s="73"/>
      <c r="F139" s="79">
        <f>IFERROR(D139*E139,0)</f>
        <v>0</v>
      </c>
      <c r="G139" s="60" t="str">
        <f>INDEX(SETORES!$B:$B,MATCH(A139,SETORES!$A:$A,0))</f>
        <v>Clientes</v>
      </c>
      <c r="H139" s="60" t="s">
        <v>88</v>
      </c>
    </row>
    <row r="140" spans="1:8" ht="14.25" hidden="1" customHeight="1" x14ac:dyDescent="0.3">
      <c r="A140" s="2" t="s">
        <v>40</v>
      </c>
      <c r="B140" s="60" t="s">
        <v>155</v>
      </c>
      <c r="C140" s="60" t="s">
        <v>258</v>
      </c>
      <c r="D140" s="68">
        <v>1</v>
      </c>
      <c r="E140" s="73">
        <v>116.32</v>
      </c>
      <c r="F140" s="79">
        <f>IFERROR(D140*E140,0)</f>
        <v>116.32</v>
      </c>
      <c r="G140" s="60" t="str">
        <f>INDEX(SETORES!$B:$B,MATCH(A140,SETORES!$A:$A,0))</f>
        <v>Clientes</v>
      </c>
      <c r="H140" s="60" t="s">
        <v>88</v>
      </c>
    </row>
    <row r="141" spans="1:8" ht="14.25" hidden="1" customHeight="1" x14ac:dyDescent="0.3">
      <c r="A141" s="2" t="s">
        <v>40</v>
      </c>
      <c r="B141" s="60" t="s">
        <v>155</v>
      </c>
      <c r="C141" s="60" t="s">
        <v>166</v>
      </c>
      <c r="D141" s="68">
        <v>6</v>
      </c>
      <c r="E141" s="73">
        <v>50</v>
      </c>
      <c r="F141" s="79">
        <f>IFERROR(D141*E141,0)</f>
        <v>300</v>
      </c>
      <c r="G141" s="60" t="str">
        <f>INDEX(SETORES!$B:$B,MATCH(A141,SETORES!$A:$A,0))</f>
        <v>Clientes</v>
      </c>
      <c r="H141" s="60" t="s">
        <v>88</v>
      </c>
    </row>
    <row r="142" spans="1:8" ht="14.25" hidden="1" customHeight="1" x14ac:dyDescent="0.3">
      <c r="A142" s="2" t="s">
        <v>40</v>
      </c>
      <c r="B142" s="60" t="s">
        <v>155</v>
      </c>
      <c r="C142" s="60" t="s">
        <v>181</v>
      </c>
      <c r="D142" s="68">
        <v>1</v>
      </c>
      <c r="E142" s="73">
        <v>2559.4499999999998</v>
      </c>
      <c r="F142" s="79">
        <f>IFERROR(D142*E142,0)</f>
        <v>2559.4499999999998</v>
      </c>
      <c r="G142" s="60" t="str">
        <f>INDEX(SETORES!$B:$B,MATCH(A142,SETORES!$A:$A,0))</f>
        <v>Clientes</v>
      </c>
      <c r="H142" s="60" t="s">
        <v>88</v>
      </c>
    </row>
    <row r="143" spans="1:8" ht="14.25" hidden="1" customHeight="1" x14ac:dyDescent="0.3">
      <c r="A143" s="2" t="s">
        <v>40</v>
      </c>
      <c r="B143" s="60" t="s">
        <v>155</v>
      </c>
      <c r="C143" s="60" t="s">
        <v>156</v>
      </c>
      <c r="D143" s="68"/>
      <c r="E143" s="73"/>
      <c r="F143" s="79">
        <f>IFERROR(D143*E143,0)</f>
        <v>0</v>
      </c>
      <c r="G143" s="60" t="str">
        <f>INDEX(SETORES!$B:$B,MATCH(A143,SETORES!$A:$A,0))</f>
        <v>Clientes</v>
      </c>
      <c r="H143" s="60" t="s">
        <v>88</v>
      </c>
    </row>
    <row r="144" spans="1:8" ht="14.25" hidden="1" customHeight="1" x14ac:dyDescent="0.3">
      <c r="A144" s="2" t="s">
        <v>40</v>
      </c>
      <c r="B144" s="60" t="s">
        <v>155</v>
      </c>
      <c r="C144" s="60" t="s">
        <v>157</v>
      </c>
      <c r="D144" s="68">
        <v>1</v>
      </c>
      <c r="E144" s="73">
        <v>241.44</v>
      </c>
      <c r="F144" s="79">
        <f>IFERROR(D144*E144,0)</f>
        <v>241.44</v>
      </c>
      <c r="G144" s="60" t="str">
        <f>INDEX(SETORES!$B:$B,MATCH(A144,SETORES!$A:$A,0))</f>
        <v>Clientes</v>
      </c>
      <c r="H144" s="60" t="s">
        <v>88</v>
      </c>
    </row>
    <row r="145" spans="1:8" ht="14.25" hidden="1" customHeight="1" x14ac:dyDescent="0.3">
      <c r="A145" s="2" t="s">
        <v>40</v>
      </c>
      <c r="B145" s="60" t="s">
        <v>162</v>
      </c>
      <c r="C145" s="60" t="s">
        <v>222</v>
      </c>
      <c r="D145" s="68"/>
      <c r="E145" s="73"/>
      <c r="F145" s="79">
        <f>IFERROR(D145*E145,0)</f>
        <v>0</v>
      </c>
      <c r="G145" s="60" t="str">
        <f>INDEX(SETORES!$B:$B,MATCH(A145,SETORES!$A:$A,0))</f>
        <v>Clientes</v>
      </c>
      <c r="H145" s="60" t="s">
        <v>88</v>
      </c>
    </row>
    <row r="146" spans="1:8" ht="14.25" hidden="1" customHeight="1" x14ac:dyDescent="0.3">
      <c r="A146" s="2" t="s">
        <v>40</v>
      </c>
      <c r="B146" s="60" t="s">
        <v>155</v>
      </c>
      <c r="C146" s="60" t="s">
        <v>168</v>
      </c>
      <c r="D146" s="68">
        <v>6</v>
      </c>
      <c r="E146" s="73">
        <v>1.87</v>
      </c>
      <c r="F146" s="79">
        <f>IFERROR(D146*E146,0)</f>
        <v>11.22</v>
      </c>
      <c r="G146" s="60" t="str">
        <f>INDEX(SETORES!$B:$B,MATCH(A146,SETORES!$A:$A,0))</f>
        <v>Clientes</v>
      </c>
      <c r="H146" s="60" t="s">
        <v>88</v>
      </c>
    </row>
    <row r="147" spans="1:8" ht="14.25" hidden="1" customHeight="1" x14ac:dyDescent="0.3">
      <c r="A147" s="2" t="s">
        <v>40</v>
      </c>
      <c r="B147" s="60" t="s">
        <v>155</v>
      </c>
      <c r="C147" s="60" t="s">
        <v>160</v>
      </c>
      <c r="D147" s="68"/>
      <c r="E147" s="73"/>
      <c r="F147" s="79">
        <f>IFERROR(D147*E147,0)</f>
        <v>0</v>
      </c>
      <c r="G147" s="60" t="str">
        <f>INDEX(SETORES!$B:$B,MATCH(A147,SETORES!$A:$A,0))</f>
        <v>Clientes</v>
      </c>
      <c r="H147" s="60" t="s">
        <v>88</v>
      </c>
    </row>
    <row r="148" spans="1:8" ht="14.25" hidden="1" customHeight="1" x14ac:dyDescent="0.3">
      <c r="A148" s="2" t="s">
        <v>41</v>
      </c>
      <c r="B148" s="60" t="s">
        <v>155</v>
      </c>
      <c r="C148" s="60" t="s">
        <v>159</v>
      </c>
      <c r="D148" s="68"/>
      <c r="E148" s="73"/>
      <c r="F148" s="79">
        <f>IFERROR(D148*E148,0)</f>
        <v>0</v>
      </c>
      <c r="G148" s="60" t="str">
        <f>INDEX(SETORES!$B:$B,MATCH(A148,SETORES!$A:$A,0))</f>
        <v>Clientes</v>
      </c>
      <c r="H148" s="60" t="s">
        <v>88</v>
      </c>
    </row>
    <row r="149" spans="1:8" ht="14.25" hidden="1" customHeight="1" x14ac:dyDescent="0.3">
      <c r="A149" s="2" t="s">
        <v>41</v>
      </c>
      <c r="B149" s="60" t="s">
        <v>155</v>
      </c>
      <c r="C149" s="60" t="s">
        <v>212</v>
      </c>
      <c r="D149" s="68"/>
      <c r="E149" s="73"/>
      <c r="F149" s="79">
        <f>IFERROR(D149*E149,0)</f>
        <v>0</v>
      </c>
      <c r="G149" s="60" t="str">
        <f>INDEX(SETORES!$B:$B,MATCH(A149,SETORES!$A:$A,0))</f>
        <v>Clientes</v>
      </c>
      <c r="H149" s="60" t="s">
        <v>88</v>
      </c>
    </row>
    <row r="150" spans="1:8" ht="14.25" hidden="1" customHeight="1" x14ac:dyDescent="0.3">
      <c r="A150" s="2" t="s">
        <v>41</v>
      </c>
      <c r="B150" s="60" t="s">
        <v>162</v>
      </c>
      <c r="C150" s="60" t="s">
        <v>217</v>
      </c>
      <c r="D150" s="68">
        <v>1</v>
      </c>
      <c r="E150" s="73">
        <v>1581.98</v>
      </c>
      <c r="F150" s="79">
        <f>IFERROR(D150*E150,0)</f>
        <v>1581.98</v>
      </c>
      <c r="G150" s="60" t="str">
        <f>INDEX(SETORES!$B:$B,MATCH(A150,SETORES!$A:$A,0))</f>
        <v>Clientes</v>
      </c>
      <c r="H150" s="60" t="s">
        <v>88</v>
      </c>
    </row>
    <row r="151" spans="1:8" ht="14.25" hidden="1" customHeight="1" x14ac:dyDescent="0.3">
      <c r="A151" s="2" t="s">
        <v>41</v>
      </c>
      <c r="B151" s="60" t="s">
        <v>155</v>
      </c>
      <c r="C151" s="60" t="s">
        <v>171</v>
      </c>
      <c r="D151" s="68">
        <v>1</v>
      </c>
      <c r="E151" s="73">
        <v>52.09</v>
      </c>
      <c r="F151" s="79">
        <f>IFERROR(D151*E151,0)</f>
        <v>52.09</v>
      </c>
      <c r="G151" s="60" t="s">
        <v>98</v>
      </c>
      <c r="H151" s="60" t="s">
        <v>88</v>
      </c>
    </row>
    <row r="152" spans="1:8" ht="14.25" hidden="1" customHeight="1" x14ac:dyDescent="0.3">
      <c r="A152" s="2" t="s">
        <v>41</v>
      </c>
      <c r="B152" s="60" t="s">
        <v>155</v>
      </c>
      <c r="C152" s="60" t="s">
        <v>170</v>
      </c>
      <c r="D152" s="68">
        <v>1</v>
      </c>
      <c r="E152" s="73">
        <v>32.549999999999997</v>
      </c>
      <c r="F152" s="79">
        <f>IFERROR(D152*E152,0)</f>
        <v>32.549999999999997</v>
      </c>
      <c r="G152" s="60" t="s">
        <v>98</v>
      </c>
      <c r="H152" s="60" t="s">
        <v>88</v>
      </c>
    </row>
    <row r="153" spans="1:8" ht="14.25" customHeight="1" x14ac:dyDescent="0.3">
      <c r="A153" s="2" t="s">
        <v>41</v>
      </c>
      <c r="B153" s="60" t="s">
        <v>155</v>
      </c>
      <c r="C153" s="60" t="s">
        <v>169</v>
      </c>
      <c r="D153" s="68">
        <v>1</v>
      </c>
      <c r="E153" s="73">
        <v>52.35</v>
      </c>
      <c r="F153" s="79">
        <f>IFERROR(D153*E153,0)</f>
        <v>52.35</v>
      </c>
      <c r="G153" s="60" t="s">
        <v>98</v>
      </c>
      <c r="H153" s="60" t="s">
        <v>88</v>
      </c>
    </row>
    <row r="154" spans="1:8" ht="14.25" hidden="1" customHeight="1" x14ac:dyDescent="0.3">
      <c r="A154" s="2" t="s">
        <v>41</v>
      </c>
      <c r="B154" s="60" t="s">
        <v>155</v>
      </c>
      <c r="C154" s="60" t="s">
        <v>158</v>
      </c>
      <c r="D154" s="68"/>
      <c r="E154" s="73"/>
      <c r="F154" s="79">
        <f>IFERROR(D154*E154,0)</f>
        <v>0</v>
      </c>
      <c r="G154" s="60" t="str">
        <f>INDEX(SETORES!$B:$B,MATCH(A154,SETORES!$A:$A,0))</f>
        <v>Clientes</v>
      </c>
      <c r="H154" s="60" t="s">
        <v>88</v>
      </c>
    </row>
    <row r="155" spans="1:8" ht="14.25" hidden="1" customHeight="1" x14ac:dyDescent="0.3">
      <c r="A155" s="2" t="s">
        <v>41</v>
      </c>
      <c r="B155" s="60" t="s">
        <v>155</v>
      </c>
      <c r="C155" s="60" t="s">
        <v>161</v>
      </c>
      <c r="D155" s="68">
        <v>1</v>
      </c>
      <c r="E155" s="73">
        <v>18000</v>
      </c>
      <c r="F155" s="79">
        <f>IFERROR(D155*E155,0)</f>
        <v>18000</v>
      </c>
      <c r="G155" s="60" t="str">
        <f>INDEX(SETORES!$B:$B,MATCH(A155,SETORES!$A:$A,0))</f>
        <v>Clientes</v>
      </c>
      <c r="H155" s="60" t="s">
        <v>88</v>
      </c>
    </row>
    <row r="156" spans="1:8" ht="14.25" hidden="1" customHeight="1" x14ac:dyDescent="0.3">
      <c r="A156" s="2" t="s">
        <v>41</v>
      </c>
      <c r="B156" s="60" t="s">
        <v>155</v>
      </c>
      <c r="C156" s="60" t="s">
        <v>167</v>
      </c>
      <c r="D156" s="68"/>
      <c r="E156" s="73"/>
      <c r="F156" s="79">
        <f>IFERROR(D156*E156,0)</f>
        <v>0</v>
      </c>
      <c r="G156" s="60" t="str">
        <f>INDEX(SETORES!$B:$B,MATCH(A156,SETORES!$A:$A,0))</f>
        <v>Clientes</v>
      </c>
      <c r="H156" s="60" t="s">
        <v>88</v>
      </c>
    </row>
    <row r="157" spans="1:8" ht="14.25" hidden="1" customHeight="1" x14ac:dyDescent="0.3">
      <c r="A157" s="2" t="s">
        <v>41</v>
      </c>
      <c r="B157" s="60" t="s">
        <v>155</v>
      </c>
      <c r="C157" s="60" t="s">
        <v>238</v>
      </c>
      <c r="D157" s="68"/>
      <c r="E157" s="73"/>
      <c r="F157" s="79">
        <f>IFERROR(D157*E157,0)</f>
        <v>0</v>
      </c>
      <c r="G157" s="60" t="str">
        <f>INDEX(SETORES!$B:$B,MATCH(A157,SETORES!$A:$A,0))</f>
        <v>Clientes</v>
      </c>
      <c r="H157" s="60" t="s">
        <v>88</v>
      </c>
    </row>
    <row r="158" spans="1:8" ht="14.25" hidden="1" customHeight="1" x14ac:dyDescent="0.3">
      <c r="A158" s="2" t="s">
        <v>41</v>
      </c>
      <c r="B158" s="60" t="s">
        <v>155</v>
      </c>
      <c r="C158" s="60" t="s">
        <v>258</v>
      </c>
      <c r="D158" s="68">
        <v>1</v>
      </c>
      <c r="E158" s="73">
        <v>19.39</v>
      </c>
      <c r="F158" s="79">
        <f>IFERROR(D158*E158,0)</f>
        <v>19.39</v>
      </c>
      <c r="G158" s="60" t="str">
        <f>INDEX(SETORES!$B:$B,MATCH(A158,SETORES!$A:$A,0))</f>
        <v>Clientes</v>
      </c>
      <c r="H158" s="60" t="s">
        <v>88</v>
      </c>
    </row>
    <row r="159" spans="1:8" ht="14.25" hidden="1" customHeight="1" x14ac:dyDescent="0.3">
      <c r="A159" s="2" t="s">
        <v>41</v>
      </c>
      <c r="B159" s="60" t="s">
        <v>155</v>
      </c>
      <c r="C159" s="60" t="s">
        <v>166</v>
      </c>
      <c r="D159" s="68"/>
      <c r="E159" s="73"/>
      <c r="F159" s="79">
        <f>IFERROR(D159*E159,0)</f>
        <v>0</v>
      </c>
      <c r="G159" s="60" t="str">
        <f>INDEX(SETORES!$B:$B,MATCH(A159,SETORES!$A:$A,0))</f>
        <v>Clientes</v>
      </c>
      <c r="H159" s="60" t="s">
        <v>88</v>
      </c>
    </row>
    <row r="160" spans="1:8" ht="14.25" hidden="1" customHeight="1" x14ac:dyDescent="0.3">
      <c r="A160" s="2" t="s">
        <v>41</v>
      </c>
      <c r="B160" s="60" t="s">
        <v>155</v>
      </c>
      <c r="C160" s="60" t="s">
        <v>156</v>
      </c>
      <c r="D160" s="68"/>
      <c r="E160" s="73"/>
      <c r="F160" s="79">
        <f>IFERROR(D160*E160,0)</f>
        <v>0</v>
      </c>
      <c r="G160" s="60" t="str">
        <f>INDEX(SETORES!$B:$B,MATCH(A160,SETORES!$A:$A,0))</f>
        <v>Clientes</v>
      </c>
      <c r="H160" s="60" t="s">
        <v>88</v>
      </c>
    </row>
    <row r="161" spans="1:8" ht="14.25" hidden="1" customHeight="1" x14ac:dyDescent="0.3">
      <c r="A161" s="2" t="s">
        <v>41</v>
      </c>
      <c r="B161" s="60" t="s">
        <v>155</v>
      </c>
      <c r="C161" s="60" t="s">
        <v>157</v>
      </c>
      <c r="D161" s="68">
        <v>1</v>
      </c>
      <c r="E161" s="73">
        <v>36.22</v>
      </c>
      <c r="F161" s="79">
        <f>IFERROR(D161*E161,0)</f>
        <v>36.22</v>
      </c>
      <c r="G161" s="60" t="str">
        <f>INDEX(SETORES!$B:$B,MATCH(A161,SETORES!$A:$A,0))</f>
        <v>Clientes</v>
      </c>
      <c r="H161" s="60" t="s">
        <v>88</v>
      </c>
    </row>
    <row r="162" spans="1:8" ht="14.25" hidden="1" customHeight="1" x14ac:dyDescent="0.3">
      <c r="A162" s="2" t="s">
        <v>41</v>
      </c>
      <c r="B162" s="60" t="s">
        <v>162</v>
      </c>
      <c r="C162" s="60" t="s">
        <v>222</v>
      </c>
      <c r="D162" s="68"/>
      <c r="E162" s="73"/>
      <c r="F162" s="79">
        <f>IFERROR(D162*E162,0)</f>
        <v>0</v>
      </c>
      <c r="G162" s="60" t="str">
        <f>INDEX(SETORES!$B:$B,MATCH(A162,SETORES!$A:$A,0))</f>
        <v>Clientes</v>
      </c>
      <c r="H162" s="60" t="s">
        <v>88</v>
      </c>
    </row>
    <row r="163" spans="1:8" ht="14.25" hidden="1" customHeight="1" x14ac:dyDescent="0.3">
      <c r="A163" s="2" t="s">
        <v>41</v>
      </c>
      <c r="B163" s="60" t="s">
        <v>155</v>
      </c>
      <c r="C163" s="60" t="s">
        <v>168</v>
      </c>
      <c r="D163" s="68">
        <v>1</v>
      </c>
      <c r="E163" s="73">
        <v>1.87</v>
      </c>
      <c r="F163" s="79">
        <f>IFERROR(D163*E163,0)</f>
        <v>1.87</v>
      </c>
      <c r="G163" s="60" t="str">
        <f>INDEX(SETORES!$B:$B,MATCH(A163,SETORES!$A:$A,0))</f>
        <v>Clientes</v>
      </c>
      <c r="H163" s="60" t="s">
        <v>88</v>
      </c>
    </row>
    <row r="164" spans="1:8" ht="14.25" hidden="1" customHeight="1" x14ac:dyDescent="0.3">
      <c r="A164" s="2" t="s">
        <v>79</v>
      </c>
      <c r="B164" s="60" t="s">
        <v>155</v>
      </c>
      <c r="C164" s="60" t="s">
        <v>159</v>
      </c>
      <c r="D164" s="68"/>
      <c r="E164" s="73"/>
      <c r="F164" s="79">
        <f>IFERROR(D164*E164,0)</f>
        <v>0</v>
      </c>
      <c r="G164" s="60" t="str">
        <f>INDEX(SETORES!$B:$B,MATCH(A164,SETORES!$A:$A,0))</f>
        <v>Funcionários</v>
      </c>
      <c r="H164" s="60" t="s">
        <v>88</v>
      </c>
    </row>
    <row r="165" spans="1:8" ht="14.25" hidden="1" customHeight="1" x14ac:dyDescent="0.3">
      <c r="A165" s="2" t="s">
        <v>79</v>
      </c>
      <c r="B165" s="60" t="s">
        <v>162</v>
      </c>
      <c r="C165" s="60" t="s">
        <v>252</v>
      </c>
      <c r="D165" s="68"/>
      <c r="E165" s="73"/>
      <c r="F165" s="79">
        <f>IFERROR(D165*E165,0)</f>
        <v>0</v>
      </c>
      <c r="G165" s="60" t="str">
        <f>INDEX(SETORES!$B:$B,MATCH(A165,SETORES!$A:$A,0))</f>
        <v>Funcionários</v>
      </c>
      <c r="H165" s="60" t="s">
        <v>88</v>
      </c>
    </row>
    <row r="166" spans="1:8" ht="14.25" hidden="1" customHeight="1" x14ac:dyDescent="0.3">
      <c r="A166" s="2" t="s">
        <v>79</v>
      </c>
      <c r="B166" s="60" t="s">
        <v>162</v>
      </c>
      <c r="C166" s="60" t="s">
        <v>255</v>
      </c>
      <c r="D166" s="68"/>
      <c r="E166" s="73"/>
      <c r="F166" s="79">
        <f>IFERROR(D166*E166,0)</f>
        <v>0</v>
      </c>
      <c r="G166" s="60" t="str">
        <f>INDEX(SETORES!$B:$B,MATCH(A166,SETORES!$A:$A,0))</f>
        <v>Funcionários</v>
      </c>
      <c r="H166" s="60" t="s">
        <v>88</v>
      </c>
    </row>
    <row r="167" spans="1:8" ht="14.25" hidden="1" customHeight="1" x14ac:dyDescent="0.3">
      <c r="A167" s="2" t="s">
        <v>79</v>
      </c>
      <c r="B167" s="60" t="s">
        <v>155</v>
      </c>
      <c r="C167" s="60" t="s">
        <v>250</v>
      </c>
      <c r="D167" s="68">
        <v>1</v>
      </c>
      <c r="E167" s="73">
        <v>699.78</v>
      </c>
      <c r="F167" s="79">
        <f>IFERROR(D167*E167,0)</f>
        <v>699.78</v>
      </c>
      <c r="G167" s="60" t="str">
        <f>INDEX(SETORES!$B:$B,MATCH(A167,SETORES!$A:$A,0))</f>
        <v>Funcionários</v>
      </c>
      <c r="H167" s="60" t="s">
        <v>88</v>
      </c>
    </row>
    <row r="168" spans="1:8" ht="14.25" hidden="1" customHeight="1" x14ac:dyDescent="0.3">
      <c r="A168" s="2" t="s">
        <v>79</v>
      </c>
      <c r="B168" s="60" t="s">
        <v>155</v>
      </c>
      <c r="C168" s="60" t="s">
        <v>171</v>
      </c>
      <c r="D168" s="68">
        <v>4</v>
      </c>
      <c r="E168" s="73">
        <v>52.09</v>
      </c>
      <c r="F168" s="79">
        <f>IFERROR(D168*E168,0)</f>
        <v>208.36</v>
      </c>
      <c r="G168" s="60" t="str">
        <f>INDEX(SETORES!$B:$B,MATCH(A168,SETORES!$A:$A,0))</f>
        <v>Funcionários</v>
      </c>
      <c r="H168" s="60" t="s">
        <v>88</v>
      </c>
    </row>
    <row r="169" spans="1:8" ht="14.25" hidden="1" customHeight="1" x14ac:dyDescent="0.3">
      <c r="A169" s="2" t="s">
        <v>79</v>
      </c>
      <c r="B169" s="60" t="s">
        <v>155</v>
      </c>
      <c r="C169" s="60" t="s">
        <v>170</v>
      </c>
      <c r="D169" s="68">
        <v>4</v>
      </c>
      <c r="E169" s="73">
        <v>32.549999999999997</v>
      </c>
      <c r="F169" s="79">
        <f>IFERROR(D169*E169,0)</f>
        <v>130.19999999999999</v>
      </c>
      <c r="G169" s="60" t="str">
        <f>INDEX(SETORES!$B:$B,MATCH(A169,SETORES!$A:$A,0))</f>
        <v>Funcionários</v>
      </c>
      <c r="H169" s="60" t="s">
        <v>88</v>
      </c>
    </row>
    <row r="170" spans="1:8" ht="14.25" customHeight="1" x14ac:dyDescent="0.3">
      <c r="A170" s="2" t="s">
        <v>79</v>
      </c>
      <c r="B170" s="60" t="s">
        <v>155</v>
      </c>
      <c r="C170" s="60" t="s">
        <v>169</v>
      </c>
      <c r="D170" s="68">
        <v>4</v>
      </c>
      <c r="E170" s="73">
        <v>52.35</v>
      </c>
      <c r="F170" s="79">
        <f>IFERROR(D170*E170,0)</f>
        <v>209.4</v>
      </c>
      <c r="G170" s="60" t="s">
        <v>98</v>
      </c>
      <c r="H170" s="60" t="s">
        <v>88</v>
      </c>
    </row>
    <row r="171" spans="1:8" ht="14.25" hidden="1" customHeight="1" x14ac:dyDescent="0.3">
      <c r="A171" s="2" t="s">
        <v>79</v>
      </c>
      <c r="B171" s="60" t="s">
        <v>155</v>
      </c>
      <c r="C171" s="60" t="s">
        <v>158</v>
      </c>
      <c r="D171" s="68"/>
      <c r="E171" s="73"/>
      <c r="F171" s="79">
        <f>IFERROR(D171*E171,0)</f>
        <v>0</v>
      </c>
      <c r="G171" s="60" t="str">
        <f>INDEX(SETORES!$B:$B,MATCH(A171,SETORES!$A:$A,0))</f>
        <v>Funcionários</v>
      </c>
      <c r="H171" s="60" t="s">
        <v>88</v>
      </c>
    </row>
    <row r="172" spans="1:8" ht="14.25" hidden="1" customHeight="1" x14ac:dyDescent="0.3">
      <c r="A172" s="2" t="s">
        <v>79</v>
      </c>
      <c r="B172" s="60" t="s">
        <v>155</v>
      </c>
      <c r="C172" s="60" t="s">
        <v>161</v>
      </c>
      <c r="D172" s="68">
        <v>1</v>
      </c>
      <c r="E172" s="73">
        <v>23971.48</v>
      </c>
      <c r="F172" s="79">
        <f>IFERROR(D172*E172,0)</f>
        <v>23971.48</v>
      </c>
      <c r="G172" s="60" t="str">
        <f>INDEX(SETORES!$B:$B,MATCH(A172,SETORES!$A:$A,0))</f>
        <v>Funcionários</v>
      </c>
      <c r="H172" s="60" t="s">
        <v>88</v>
      </c>
    </row>
    <row r="173" spans="1:8" ht="14.25" hidden="1" customHeight="1" x14ac:dyDescent="0.3">
      <c r="A173" s="2" t="s">
        <v>79</v>
      </c>
      <c r="B173" s="60" t="s">
        <v>162</v>
      </c>
      <c r="C173" s="60" t="s">
        <v>254</v>
      </c>
      <c r="D173" s="68"/>
      <c r="E173" s="73"/>
      <c r="F173" s="79">
        <f>IFERROR(D173*E173,0)</f>
        <v>0</v>
      </c>
      <c r="G173" s="60" t="str">
        <f>INDEX(SETORES!$B:$B,MATCH(A173,SETORES!$A:$A,0))</f>
        <v>Funcionários</v>
      </c>
      <c r="H173" s="60" t="s">
        <v>88</v>
      </c>
    </row>
    <row r="174" spans="1:8" ht="14.25" hidden="1" customHeight="1" x14ac:dyDescent="0.3">
      <c r="A174" s="2" t="s">
        <v>79</v>
      </c>
      <c r="B174" s="60" t="s">
        <v>155</v>
      </c>
      <c r="C174" s="60" t="s">
        <v>167</v>
      </c>
      <c r="D174" s="68"/>
      <c r="E174" s="73"/>
      <c r="F174" s="79">
        <f>IFERROR(D174*E174,0)</f>
        <v>0</v>
      </c>
      <c r="G174" s="60" t="str">
        <f>INDEX(SETORES!$B:$B,MATCH(A174,SETORES!$A:$A,0))</f>
        <v>Funcionários</v>
      </c>
      <c r="H174" s="60" t="s">
        <v>88</v>
      </c>
    </row>
    <row r="175" spans="1:8" ht="14.25" hidden="1" customHeight="1" x14ac:dyDescent="0.3">
      <c r="A175" s="2" t="s">
        <v>79</v>
      </c>
      <c r="B175" s="60" t="s">
        <v>155</v>
      </c>
      <c r="C175" s="60" t="s">
        <v>258</v>
      </c>
      <c r="D175" s="68">
        <v>1</v>
      </c>
      <c r="E175" s="73">
        <v>77.540000000000006</v>
      </c>
      <c r="F175" s="79">
        <f>IFERROR(D175*E175,0)</f>
        <v>77.540000000000006</v>
      </c>
      <c r="G175" s="60" t="str">
        <f>INDEX(SETORES!$B:$B,MATCH(A175,SETORES!$A:$A,0))</f>
        <v>Funcionários</v>
      </c>
      <c r="H175" s="60" t="s">
        <v>88</v>
      </c>
    </row>
    <row r="176" spans="1:8" ht="14.25" hidden="1" customHeight="1" x14ac:dyDescent="0.3">
      <c r="A176" s="2" t="s">
        <v>79</v>
      </c>
      <c r="B176" s="60" t="s">
        <v>155</v>
      </c>
      <c r="C176" s="60" t="s">
        <v>166</v>
      </c>
      <c r="D176" s="68">
        <v>4</v>
      </c>
      <c r="E176" s="73">
        <v>50</v>
      </c>
      <c r="F176" s="79">
        <f>IFERROR(D176*E176,0)</f>
        <v>200</v>
      </c>
      <c r="G176" s="60" t="str">
        <f>INDEX(SETORES!$B:$B,MATCH(A176,SETORES!$A:$A,0))</f>
        <v>Funcionários</v>
      </c>
      <c r="H176" s="60" t="s">
        <v>88</v>
      </c>
    </row>
    <row r="177" spans="1:8" ht="14.25" hidden="1" customHeight="1" x14ac:dyDescent="0.3">
      <c r="A177" s="2" t="s">
        <v>79</v>
      </c>
      <c r="B177" s="60" t="s">
        <v>162</v>
      </c>
      <c r="C177" s="60" t="s">
        <v>253</v>
      </c>
      <c r="D177" s="68"/>
      <c r="E177" s="73"/>
      <c r="F177" s="79">
        <f>IFERROR(D177*E177,0)</f>
        <v>0</v>
      </c>
      <c r="G177" s="60" t="str">
        <f>INDEX(SETORES!$B:$B,MATCH(A177,SETORES!$A:$A,0))</f>
        <v>Funcionários</v>
      </c>
      <c r="H177" s="60" t="s">
        <v>88</v>
      </c>
    </row>
    <row r="178" spans="1:8" ht="14.25" hidden="1" customHeight="1" x14ac:dyDescent="0.3">
      <c r="A178" s="2" t="s">
        <v>79</v>
      </c>
      <c r="B178" s="60" t="s">
        <v>162</v>
      </c>
      <c r="C178" s="60" t="s">
        <v>157</v>
      </c>
      <c r="D178" s="68">
        <v>1</v>
      </c>
      <c r="E178" s="73">
        <v>124.05</v>
      </c>
      <c r="F178" s="79">
        <f>IFERROR(D178*E178,0)</f>
        <v>124.05</v>
      </c>
      <c r="G178" s="60" t="str">
        <f>INDEX(SETORES!$B:$B,MATCH(A178,SETORES!$A:$A,0))</f>
        <v>Funcionários</v>
      </c>
      <c r="H178" s="60" t="s">
        <v>88</v>
      </c>
    </row>
    <row r="179" spans="1:8" ht="14.25" hidden="1" customHeight="1" x14ac:dyDescent="0.3">
      <c r="A179" s="2" t="s">
        <v>79</v>
      </c>
      <c r="B179" s="60" t="s">
        <v>162</v>
      </c>
      <c r="C179" s="60" t="s">
        <v>209</v>
      </c>
      <c r="D179" s="68"/>
      <c r="E179" s="73"/>
      <c r="F179" s="79">
        <f>IFERROR(D179*E179,0)</f>
        <v>0</v>
      </c>
      <c r="G179" s="60" t="str">
        <f>INDEX(SETORES!$B:$B,MATCH(A179,SETORES!$A:$A,0))</f>
        <v>Funcionários</v>
      </c>
      <c r="H179" s="60" t="s">
        <v>88</v>
      </c>
    </row>
    <row r="180" spans="1:8" ht="14.25" hidden="1" customHeight="1" x14ac:dyDescent="0.3">
      <c r="A180" s="2" t="s">
        <v>79</v>
      </c>
      <c r="B180" s="60" t="s">
        <v>162</v>
      </c>
      <c r="C180" s="60" t="s">
        <v>222</v>
      </c>
      <c r="D180" s="68"/>
      <c r="E180" s="73"/>
      <c r="F180" s="79">
        <f>IFERROR(D180*E180,0)</f>
        <v>0</v>
      </c>
      <c r="G180" s="60" t="str">
        <f>INDEX(SETORES!$B:$B,MATCH(A180,SETORES!$A:$A,0))</f>
        <v>Funcionários</v>
      </c>
      <c r="H180" s="60" t="s">
        <v>88</v>
      </c>
    </row>
    <row r="181" spans="1:8" ht="14.25" hidden="1" customHeight="1" x14ac:dyDescent="0.3">
      <c r="A181" s="2" t="s">
        <v>79</v>
      </c>
      <c r="B181" s="60" t="s">
        <v>162</v>
      </c>
      <c r="C181" s="60" t="s">
        <v>222</v>
      </c>
      <c r="D181" s="68"/>
      <c r="E181" s="73"/>
      <c r="F181" s="79">
        <f>IFERROR(D181*E181,0)</f>
        <v>0</v>
      </c>
      <c r="G181" s="60" t="str">
        <f>INDEX(SETORES!$B:$B,MATCH(A181,SETORES!$A:$A,0))</f>
        <v>Funcionários</v>
      </c>
      <c r="H181" s="60" t="s">
        <v>88</v>
      </c>
    </row>
    <row r="182" spans="1:8" ht="14.25" hidden="1" customHeight="1" x14ac:dyDescent="0.3">
      <c r="A182" s="2" t="s">
        <v>79</v>
      </c>
      <c r="B182" s="60" t="s">
        <v>155</v>
      </c>
      <c r="C182" s="60" t="s">
        <v>168</v>
      </c>
      <c r="D182" s="68">
        <v>4</v>
      </c>
      <c r="E182" s="73">
        <v>1.87</v>
      </c>
      <c r="F182" s="79">
        <f>IFERROR(D182*E182,0)</f>
        <v>7.48</v>
      </c>
      <c r="G182" s="60" t="str">
        <f>INDEX(SETORES!$B:$B,MATCH(A182,SETORES!$A:$A,0))</f>
        <v>Funcionários</v>
      </c>
      <c r="H182" s="60" t="s">
        <v>88</v>
      </c>
    </row>
    <row r="183" spans="1:8" ht="14.25" hidden="1" customHeight="1" x14ac:dyDescent="0.3">
      <c r="A183" s="2" t="s">
        <v>141</v>
      </c>
      <c r="B183" s="60" t="s">
        <v>155</v>
      </c>
      <c r="C183" s="60" t="s">
        <v>161</v>
      </c>
      <c r="D183" s="68">
        <v>1</v>
      </c>
      <c r="E183" s="73">
        <v>24325.69</v>
      </c>
      <c r="F183" s="79">
        <f>IFERROR(D183*E183,0)</f>
        <v>24325.69</v>
      </c>
      <c r="G183" s="60" t="str">
        <f>INDEX(SETORES!$B:$B,MATCH(A183,SETORES!$A:$A,0))</f>
        <v>Clientes</v>
      </c>
      <c r="H183" s="60" t="s">
        <v>88</v>
      </c>
    </row>
    <row r="184" spans="1:8" ht="14.25" hidden="1" customHeight="1" x14ac:dyDescent="0.3">
      <c r="A184" s="2" t="s">
        <v>141</v>
      </c>
      <c r="B184" s="60" t="s">
        <v>155</v>
      </c>
      <c r="C184" s="60" t="s">
        <v>166</v>
      </c>
      <c r="D184" s="68">
        <v>6</v>
      </c>
      <c r="E184" s="73">
        <v>50</v>
      </c>
      <c r="F184" s="79">
        <f>IFERROR(D184*E184,0)</f>
        <v>300</v>
      </c>
      <c r="G184" s="60" t="str">
        <f>INDEX(SETORES!$B:$B,MATCH(A184,SETORES!$A:$A,0))</f>
        <v>Clientes</v>
      </c>
      <c r="H184" s="60" t="s">
        <v>88</v>
      </c>
    </row>
    <row r="185" spans="1:8" ht="14.25" hidden="1" customHeight="1" x14ac:dyDescent="0.3">
      <c r="A185" s="2" t="s">
        <v>141</v>
      </c>
      <c r="B185" s="60" t="s">
        <v>155</v>
      </c>
      <c r="C185" s="60" t="s">
        <v>168</v>
      </c>
      <c r="D185" s="68">
        <v>6</v>
      </c>
      <c r="E185" s="73">
        <v>1.87</v>
      </c>
      <c r="F185" s="79">
        <f>IFERROR(D185*E185,0)</f>
        <v>11.22</v>
      </c>
      <c r="G185" s="60" t="str">
        <f>INDEX(SETORES!$B:$B,MATCH(A185,SETORES!$A:$A,0))</f>
        <v>Clientes</v>
      </c>
      <c r="H185" s="60" t="s">
        <v>88</v>
      </c>
    </row>
    <row r="186" spans="1:8" ht="14.25" hidden="1" customHeight="1" x14ac:dyDescent="0.3">
      <c r="A186" s="2" t="s">
        <v>80</v>
      </c>
      <c r="B186" s="60" t="s">
        <v>155</v>
      </c>
      <c r="C186" s="60" t="s">
        <v>159</v>
      </c>
      <c r="D186" s="68"/>
      <c r="E186" s="73"/>
      <c r="F186" s="79">
        <f>IFERROR(D186*E186,0)</f>
        <v>0</v>
      </c>
      <c r="G186" s="60" t="str">
        <f>INDEX(SETORES!$B:$B,MATCH(A186,SETORES!$A:$A,0))</f>
        <v>Clientes</v>
      </c>
      <c r="H186" s="60" t="s">
        <v>88</v>
      </c>
    </row>
    <row r="187" spans="1:8" ht="14.25" hidden="1" customHeight="1" x14ac:dyDescent="0.3">
      <c r="A187" s="2" t="s">
        <v>80</v>
      </c>
      <c r="B187" s="60" t="s">
        <v>155</v>
      </c>
      <c r="C187" s="60" t="s">
        <v>171</v>
      </c>
      <c r="D187" s="68">
        <v>2</v>
      </c>
      <c r="E187" s="73">
        <v>52.09</v>
      </c>
      <c r="F187" s="79">
        <f>IFERROR(D187*E187,0)</f>
        <v>104.18</v>
      </c>
      <c r="G187" s="60" t="s">
        <v>98</v>
      </c>
      <c r="H187" s="60" t="s">
        <v>88</v>
      </c>
    </row>
    <row r="188" spans="1:8" ht="14.25" hidden="1" customHeight="1" x14ac:dyDescent="0.3">
      <c r="A188" s="2" t="s">
        <v>80</v>
      </c>
      <c r="B188" s="60" t="s">
        <v>155</v>
      </c>
      <c r="C188" s="60" t="s">
        <v>170</v>
      </c>
      <c r="D188" s="68">
        <v>2</v>
      </c>
      <c r="E188" s="73">
        <v>32.549999999999997</v>
      </c>
      <c r="F188" s="79">
        <f>IFERROR(D188*E188,0)</f>
        <v>65.099999999999994</v>
      </c>
      <c r="G188" s="60" t="s">
        <v>98</v>
      </c>
      <c r="H188" s="60" t="s">
        <v>88</v>
      </c>
    </row>
    <row r="189" spans="1:8" ht="14.25" customHeight="1" x14ac:dyDescent="0.3">
      <c r="A189" s="2" t="s">
        <v>80</v>
      </c>
      <c r="B189" s="60" t="s">
        <v>155</v>
      </c>
      <c r="C189" s="60" t="s">
        <v>169</v>
      </c>
      <c r="D189" s="68">
        <v>2</v>
      </c>
      <c r="E189" s="73">
        <v>52.35</v>
      </c>
      <c r="F189" s="79">
        <f>IFERROR(D189*E189,0)</f>
        <v>104.7</v>
      </c>
      <c r="G189" s="60" t="s">
        <v>98</v>
      </c>
      <c r="H189" s="60" t="s">
        <v>88</v>
      </c>
    </row>
    <row r="190" spans="1:8" ht="14.25" hidden="1" customHeight="1" x14ac:dyDescent="0.3">
      <c r="A190" s="2" t="s">
        <v>80</v>
      </c>
      <c r="B190" s="60" t="s">
        <v>155</v>
      </c>
      <c r="C190" s="60" t="s">
        <v>158</v>
      </c>
      <c r="D190" s="68"/>
      <c r="E190" s="73"/>
      <c r="F190" s="79">
        <f>IFERROR(D190*E190,0)</f>
        <v>0</v>
      </c>
      <c r="G190" s="60" t="str">
        <f>INDEX(SETORES!$B:$B,MATCH(A190,SETORES!$A:$A,0))</f>
        <v>Clientes</v>
      </c>
      <c r="H190" s="60" t="s">
        <v>88</v>
      </c>
    </row>
    <row r="191" spans="1:8" ht="14.25" hidden="1" customHeight="1" x14ac:dyDescent="0.3">
      <c r="A191" s="2" t="s">
        <v>80</v>
      </c>
      <c r="B191" s="60" t="s">
        <v>155</v>
      </c>
      <c r="C191" s="60" t="s">
        <v>161</v>
      </c>
      <c r="D191" s="68">
        <v>1</v>
      </c>
      <c r="E191" s="73">
        <v>11133.4</v>
      </c>
      <c r="F191" s="79">
        <f>IFERROR(D191*E191,0)</f>
        <v>11133.4</v>
      </c>
      <c r="G191" s="60" t="str">
        <f>INDEX(SETORES!$B:$B,MATCH(A191,SETORES!$A:$A,0))</f>
        <v>Clientes</v>
      </c>
      <c r="H191" s="60" t="s">
        <v>88</v>
      </c>
    </row>
    <row r="192" spans="1:8" ht="14.25" hidden="1" customHeight="1" x14ac:dyDescent="0.3">
      <c r="A192" s="2" t="s">
        <v>80</v>
      </c>
      <c r="B192" s="60" t="s">
        <v>155</v>
      </c>
      <c r="C192" s="60" t="s">
        <v>167</v>
      </c>
      <c r="D192" s="68"/>
      <c r="E192" s="73"/>
      <c r="F192" s="79">
        <f>IFERROR(D192*E192,0)</f>
        <v>0</v>
      </c>
      <c r="G192" s="60" t="str">
        <f>INDEX(SETORES!$B:$B,MATCH(A192,SETORES!$A:$A,0))</f>
        <v>Clientes</v>
      </c>
      <c r="H192" s="60" t="s">
        <v>88</v>
      </c>
    </row>
    <row r="193" spans="1:8" ht="14.25" hidden="1" customHeight="1" x14ac:dyDescent="0.3">
      <c r="A193" s="2" t="s">
        <v>80</v>
      </c>
      <c r="B193" s="60" t="s">
        <v>155</v>
      </c>
      <c r="C193" s="60" t="s">
        <v>238</v>
      </c>
      <c r="D193" s="68"/>
      <c r="E193" s="73"/>
      <c r="F193" s="79">
        <f>IFERROR(D193*E193,0)</f>
        <v>0</v>
      </c>
      <c r="G193" s="60" t="str">
        <f>INDEX(SETORES!$B:$B,MATCH(A193,SETORES!$A:$A,0))</f>
        <v>Clientes</v>
      </c>
      <c r="H193" s="60" t="s">
        <v>88</v>
      </c>
    </row>
    <row r="194" spans="1:8" ht="14.25" hidden="1" customHeight="1" x14ac:dyDescent="0.3">
      <c r="A194" s="2" t="s">
        <v>80</v>
      </c>
      <c r="B194" s="60" t="s">
        <v>155</v>
      </c>
      <c r="C194" s="60" t="s">
        <v>258</v>
      </c>
      <c r="D194" s="68">
        <v>1</v>
      </c>
      <c r="E194" s="73">
        <v>38.770000000000003</v>
      </c>
      <c r="F194" s="79">
        <f>IFERROR(D194*E194,0)</f>
        <v>38.770000000000003</v>
      </c>
      <c r="G194" s="60" t="str">
        <f>INDEX(SETORES!$B:$B,MATCH(A194,SETORES!$A:$A,0))</f>
        <v>Clientes</v>
      </c>
      <c r="H194" s="60" t="s">
        <v>88</v>
      </c>
    </row>
    <row r="195" spans="1:8" ht="14.25" hidden="1" customHeight="1" x14ac:dyDescent="0.3">
      <c r="A195" s="2" t="s">
        <v>80</v>
      </c>
      <c r="B195" s="60" t="s">
        <v>155</v>
      </c>
      <c r="C195" s="60" t="s">
        <v>166</v>
      </c>
      <c r="D195" s="68">
        <v>2</v>
      </c>
      <c r="E195" s="73">
        <v>50</v>
      </c>
      <c r="F195" s="79">
        <f>IFERROR(D195*E195,0)</f>
        <v>100</v>
      </c>
      <c r="G195" s="60" t="str">
        <f>INDEX(SETORES!$B:$B,MATCH(A195,SETORES!$A:$A,0))</f>
        <v>Clientes</v>
      </c>
      <c r="H195" s="60" t="s">
        <v>88</v>
      </c>
    </row>
    <row r="196" spans="1:8" ht="14.25" hidden="1" customHeight="1" x14ac:dyDescent="0.3">
      <c r="A196" s="2" t="s">
        <v>80</v>
      </c>
      <c r="B196" s="60" t="s">
        <v>155</v>
      </c>
      <c r="C196" s="60" t="s">
        <v>156</v>
      </c>
      <c r="D196" s="68"/>
      <c r="E196" s="73"/>
      <c r="F196" s="79">
        <f>IFERROR(D196*E196,0)</f>
        <v>0</v>
      </c>
      <c r="G196" s="60" t="str">
        <f>INDEX(SETORES!$B:$B,MATCH(A196,SETORES!$A:$A,0))</f>
        <v>Clientes</v>
      </c>
      <c r="H196" s="60" t="s">
        <v>88</v>
      </c>
    </row>
    <row r="197" spans="1:8" ht="14.25" hidden="1" customHeight="1" x14ac:dyDescent="0.3">
      <c r="A197" s="2" t="s">
        <v>80</v>
      </c>
      <c r="B197" s="60" t="s">
        <v>155</v>
      </c>
      <c r="C197" s="60" t="s">
        <v>157</v>
      </c>
      <c r="D197" s="68"/>
      <c r="E197" s="73"/>
      <c r="F197" s="79">
        <f>IFERROR(D197*E197,0)</f>
        <v>0</v>
      </c>
      <c r="G197" s="60" t="str">
        <f>INDEX(SETORES!$B:$B,MATCH(A197,SETORES!$A:$A,0))</f>
        <v>Clientes</v>
      </c>
      <c r="H197" s="60" t="s">
        <v>88</v>
      </c>
    </row>
    <row r="198" spans="1:8" ht="14.25" hidden="1" customHeight="1" x14ac:dyDescent="0.3">
      <c r="A198" s="2" t="s">
        <v>80</v>
      </c>
      <c r="B198" s="60" t="s">
        <v>162</v>
      </c>
      <c r="C198" s="60" t="s">
        <v>222</v>
      </c>
      <c r="D198" s="68"/>
      <c r="E198" s="73"/>
      <c r="F198" s="79">
        <f>IFERROR(D198*E198,0)</f>
        <v>0</v>
      </c>
      <c r="G198" s="60" t="str">
        <f>INDEX(SETORES!$B:$B,MATCH(A198,SETORES!$A:$A,0))</f>
        <v>Clientes</v>
      </c>
      <c r="H198" s="60" t="s">
        <v>88</v>
      </c>
    </row>
    <row r="199" spans="1:8" ht="14.25" hidden="1" customHeight="1" x14ac:dyDescent="0.3">
      <c r="A199" s="2" t="s">
        <v>80</v>
      </c>
      <c r="B199" s="60" t="s">
        <v>155</v>
      </c>
      <c r="C199" s="60" t="s">
        <v>168</v>
      </c>
      <c r="D199" s="68">
        <v>2</v>
      </c>
      <c r="E199" s="73">
        <v>1.87</v>
      </c>
      <c r="F199" s="79">
        <f>IFERROR(D199*E199,0)</f>
        <v>3.74</v>
      </c>
      <c r="G199" s="60" t="str">
        <f>INDEX(SETORES!$B:$B,MATCH(A199,SETORES!$A:$A,0))</f>
        <v>Clientes</v>
      </c>
      <c r="H199" s="60" t="s">
        <v>88</v>
      </c>
    </row>
    <row r="200" spans="1:8" ht="14.25" hidden="1" customHeight="1" x14ac:dyDescent="0.3">
      <c r="A200" s="2" t="s">
        <v>42</v>
      </c>
      <c r="B200" s="60" t="s">
        <v>155</v>
      </c>
      <c r="C200" s="60" t="s">
        <v>159</v>
      </c>
      <c r="D200" s="68"/>
      <c r="E200" s="73"/>
      <c r="F200" s="79">
        <f>IFERROR(D200*E200,0)</f>
        <v>0</v>
      </c>
      <c r="G200" s="60" t="str">
        <f>INDEX(SETORES!$B:$B,MATCH(A200,SETORES!$A:$A,0))</f>
        <v>Clientes</v>
      </c>
      <c r="H200" s="60" t="s">
        <v>88</v>
      </c>
    </row>
    <row r="201" spans="1:8" ht="14.25" hidden="1" customHeight="1" x14ac:dyDescent="0.3">
      <c r="A201" s="2" t="s">
        <v>42</v>
      </c>
      <c r="B201" s="60" t="s">
        <v>155</v>
      </c>
      <c r="C201" s="60" t="s">
        <v>171</v>
      </c>
      <c r="D201" s="68">
        <v>2</v>
      </c>
      <c r="E201" s="73">
        <v>52.09</v>
      </c>
      <c r="F201" s="79">
        <f>IFERROR(D201*E201,0)</f>
        <v>104.18</v>
      </c>
      <c r="G201" s="60" t="s">
        <v>98</v>
      </c>
      <c r="H201" s="60" t="s">
        <v>88</v>
      </c>
    </row>
    <row r="202" spans="1:8" ht="14.25" hidden="1" customHeight="1" x14ac:dyDescent="0.3">
      <c r="A202" s="2" t="s">
        <v>42</v>
      </c>
      <c r="B202" s="60" t="s">
        <v>155</v>
      </c>
      <c r="C202" s="60" t="s">
        <v>170</v>
      </c>
      <c r="D202" s="68">
        <v>2</v>
      </c>
      <c r="E202" s="73">
        <v>32.549999999999997</v>
      </c>
      <c r="F202" s="79">
        <f>IFERROR(D202*E202,0)</f>
        <v>65.099999999999994</v>
      </c>
      <c r="G202" s="60" t="s">
        <v>98</v>
      </c>
      <c r="H202" s="60" t="s">
        <v>88</v>
      </c>
    </row>
    <row r="203" spans="1:8" ht="14.25" customHeight="1" x14ac:dyDescent="0.3">
      <c r="A203" s="2" t="s">
        <v>42</v>
      </c>
      <c r="B203" s="60" t="s">
        <v>155</v>
      </c>
      <c r="C203" s="60" t="s">
        <v>169</v>
      </c>
      <c r="D203" s="68">
        <v>2</v>
      </c>
      <c r="E203" s="73">
        <v>52.35</v>
      </c>
      <c r="F203" s="79">
        <f>IFERROR(D203*E203,0)</f>
        <v>104.7</v>
      </c>
      <c r="G203" s="60" t="s">
        <v>98</v>
      </c>
      <c r="H203" s="60" t="s">
        <v>88</v>
      </c>
    </row>
    <row r="204" spans="1:8" ht="14.25" hidden="1" customHeight="1" x14ac:dyDescent="0.3">
      <c r="A204" s="2" t="s">
        <v>42</v>
      </c>
      <c r="B204" s="60" t="s">
        <v>155</v>
      </c>
      <c r="C204" s="60" t="s">
        <v>158</v>
      </c>
      <c r="D204" s="68"/>
      <c r="E204" s="73"/>
      <c r="F204" s="79">
        <f>IFERROR(D204*E204,0)</f>
        <v>0</v>
      </c>
      <c r="G204" s="60" t="str">
        <f>INDEX(SETORES!$B:$B,MATCH(A204,SETORES!$A:$A,0))</f>
        <v>Clientes</v>
      </c>
      <c r="H204" s="60" t="s">
        <v>88</v>
      </c>
    </row>
    <row r="205" spans="1:8" ht="14.25" hidden="1" customHeight="1" x14ac:dyDescent="0.3">
      <c r="A205" s="2" t="s">
        <v>42</v>
      </c>
      <c r="B205" s="60" t="s">
        <v>162</v>
      </c>
      <c r="C205" s="60" t="s">
        <v>163</v>
      </c>
      <c r="D205" s="68"/>
      <c r="E205" s="73"/>
      <c r="F205" s="79">
        <f>IFERROR(D205*E205,0)</f>
        <v>0</v>
      </c>
      <c r="G205" s="60" t="str">
        <f>INDEX(SETORES!$B:$B,MATCH(A205,SETORES!$A:$A,0))</f>
        <v>Clientes</v>
      </c>
      <c r="H205" s="60" t="s">
        <v>88</v>
      </c>
    </row>
    <row r="206" spans="1:8" ht="14.25" hidden="1" customHeight="1" x14ac:dyDescent="0.3">
      <c r="A206" s="2" t="s">
        <v>42</v>
      </c>
      <c r="B206" s="60" t="s">
        <v>162</v>
      </c>
      <c r="C206" s="60" t="s">
        <v>164</v>
      </c>
      <c r="D206" s="68"/>
      <c r="E206" s="73"/>
      <c r="F206" s="79">
        <f>IFERROR(D206*E206,0)</f>
        <v>0</v>
      </c>
      <c r="G206" s="60" t="str">
        <f>INDEX(SETORES!$B:$B,MATCH(A206,SETORES!$A:$A,0))</f>
        <v>Clientes</v>
      </c>
      <c r="H206" s="60" t="s">
        <v>88</v>
      </c>
    </row>
    <row r="207" spans="1:8" ht="14.25" hidden="1" customHeight="1" x14ac:dyDescent="0.3">
      <c r="A207" s="2" t="s">
        <v>42</v>
      </c>
      <c r="B207" s="60" t="s">
        <v>155</v>
      </c>
      <c r="C207" s="60" t="s">
        <v>161</v>
      </c>
      <c r="D207" s="68">
        <v>1</v>
      </c>
      <c r="E207" s="73">
        <v>28328.94</v>
      </c>
      <c r="F207" s="79">
        <f>IFERROR(D207*E207,0)</f>
        <v>28328.94</v>
      </c>
      <c r="G207" s="60" t="str">
        <f>INDEX(SETORES!$B:$B,MATCH(A207,SETORES!$A:$A,0))</f>
        <v>Clientes</v>
      </c>
      <c r="H207" s="60" t="s">
        <v>88</v>
      </c>
    </row>
    <row r="208" spans="1:8" ht="14.25" hidden="1" customHeight="1" x14ac:dyDescent="0.3">
      <c r="A208" s="2" t="s">
        <v>42</v>
      </c>
      <c r="B208" s="60" t="s">
        <v>155</v>
      </c>
      <c r="C208" s="60" t="s">
        <v>167</v>
      </c>
      <c r="D208" s="68"/>
      <c r="E208" s="73"/>
      <c r="F208" s="79">
        <f>IFERROR(D208*E208,0)</f>
        <v>0</v>
      </c>
      <c r="G208" s="60" t="str">
        <f>INDEX(SETORES!$B:$B,MATCH(A208,SETORES!$A:$A,0))</f>
        <v>Clientes</v>
      </c>
      <c r="H208" s="60" t="s">
        <v>88</v>
      </c>
    </row>
    <row r="209" spans="1:8" ht="14.25" hidden="1" customHeight="1" x14ac:dyDescent="0.3">
      <c r="A209" s="2" t="s">
        <v>42</v>
      </c>
      <c r="B209" s="60" t="s">
        <v>155</v>
      </c>
      <c r="C209" s="60" t="s">
        <v>238</v>
      </c>
      <c r="D209" s="68"/>
      <c r="E209" s="73"/>
      <c r="F209" s="79">
        <f>IFERROR(D209*E209,0)</f>
        <v>0</v>
      </c>
      <c r="G209" s="60" t="str">
        <f>INDEX(SETORES!$B:$B,MATCH(A209,SETORES!$A:$A,0))</f>
        <v>Clientes</v>
      </c>
      <c r="H209" s="60" t="s">
        <v>88</v>
      </c>
    </row>
    <row r="210" spans="1:8" ht="14.25" hidden="1" customHeight="1" x14ac:dyDescent="0.3">
      <c r="A210" s="2" t="s">
        <v>42</v>
      </c>
      <c r="B210" s="60" t="s">
        <v>155</v>
      </c>
      <c r="C210" s="60" t="s">
        <v>258</v>
      </c>
      <c r="D210" s="68">
        <v>1</v>
      </c>
      <c r="E210" s="73">
        <v>38.770000000000003</v>
      </c>
      <c r="F210" s="79">
        <f>IFERROR(D210*E210,0)</f>
        <v>38.770000000000003</v>
      </c>
      <c r="G210" s="60" t="str">
        <f>INDEX(SETORES!$B:$B,MATCH(A210,SETORES!$A:$A,0))</f>
        <v>Clientes</v>
      </c>
      <c r="H210" s="60" t="s">
        <v>88</v>
      </c>
    </row>
    <row r="211" spans="1:8" ht="14.25" hidden="1" customHeight="1" x14ac:dyDescent="0.3">
      <c r="A211" s="2" t="s">
        <v>42</v>
      </c>
      <c r="B211" s="60" t="s">
        <v>155</v>
      </c>
      <c r="C211" s="60" t="s">
        <v>166</v>
      </c>
      <c r="D211" s="68">
        <v>2</v>
      </c>
      <c r="E211" s="73">
        <v>50</v>
      </c>
      <c r="F211" s="79">
        <f>IFERROR(D211*E211,0)</f>
        <v>100</v>
      </c>
      <c r="G211" s="60" t="str">
        <f>INDEX(SETORES!$B:$B,MATCH(A211,SETORES!$A:$A,0))</f>
        <v>Clientes</v>
      </c>
      <c r="H211" s="60" t="s">
        <v>88</v>
      </c>
    </row>
    <row r="212" spans="1:8" ht="14.25" hidden="1" customHeight="1" x14ac:dyDescent="0.3">
      <c r="A212" s="2" t="s">
        <v>42</v>
      </c>
      <c r="B212" s="60" t="s">
        <v>155</v>
      </c>
      <c r="C212" s="60" t="s">
        <v>156</v>
      </c>
      <c r="D212" s="68">
        <v>1</v>
      </c>
      <c r="E212" s="73">
        <v>9.31</v>
      </c>
      <c r="F212" s="79">
        <f>IFERROR(D212*E212,0)</f>
        <v>9.31</v>
      </c>
      <c r="G212" s="60" t="str">
        <f>INDEX(SETORES!$B:$B,MATCH(A212,SETORES!$A:$A,0))</f>
        <v>Clientes</v>
      </c>
      <c r="H212" s="60" t="s">
        <v>88</v>
      </c>
    </row>
    <row r="213" spans="1:8" ht="14.25" hidden="1" customHeight="1" x14ac:dyDescent="0.3">
      <c r="A213" s="2" t="s">
        <v>42</v>
      </c>
      <c r="B213" s="60" t="s">
        <v>155</v>
      </c>
      <c r="C213" s="60" t="s">
        <v>157</v>
      </c>
      <c r="D213" s="68">
        <v>1</v>
      </c>
      <c r="E213" s="73">
        <v>70.760000000000005</v>
      </c>
      <c r="F213" s="79">
        <f>IFERROR(D213*E213,0)</f>
        <v>70.760000000000005</v>
      </c>
      <c r="G213" s="60" t="str">
        <f>INDEX(SETORES!$B:$B,MATCH(A213,SETORES!$A:$A,0))</f>
        <v>Clientes</v>
      </c>
      <c r="H213" s="60" t="s">
        <v>88</v>
      </c>
    </row>
    <row r="214" spans="1:8" ht="14.25" hidden="1" customHeight="1" x14ac:dyDescent="0.3">
      <c r="A214" s="2" t="s">
        <v>42</v>
      </c>
      <c r="B214" s="60" t="s">
        <v>162</v>
      </c>
      <c r="C214" s="60" t="s">
        <v>222</v>
      </c>
      <c r="D214" s="68"/>
      <c r="E214" s="73"/>
      <c r="F214" s="79">
        <f>IFERROR(D214*E214,0)</f>
        <v>0</v>
      </c>
      <c r="G214" s="60" t="str">
        <f>INDEX(SETORES!$B:$B,MATCH(A214,SETORES!$A:$A,0))</f>
        <v>Clientes</v>
      </c>
      <c r="H214" s="60" t="s">
        <v>88</v>
      </c>
    </row>
    <row r="215" spans="1:8" ht="14.25" hidden="1" customHeight="1" x14ac:dyDescent="0.3">
      <c r="A215" s="2" t="s">
        <v>42</v>
      </c>
      <c r="B215" s="60" t="s">
        <v>155</v>
      </c>
      <c r="C215" s="60" t="s">
        <v>168</v>
      </c>
      <c r="D215" s="68">
        <v>2</v>
      </c>
      <c r="E215" s="73">
        <v>1.87</v>
      </c>
      <c r="F215" s="79">
        <f>IFERROR(D215*E215,0)</f>
        <v>3.74</v>
      </c>
      <c r="G215" s="60" t="str">
        <f>INDEX(SETORES!$B:$B,MATCH(A215,SETORES!$A:$A,0))</f>
        <v>Clientes</v>
      </c>
      <c r="H215" s="60" t="s">
        <v>88</v>
      </c>
    </row>
    <row r="216" spans="1:8" ht="14.25" hidden="1" customHeight="1" x14ac:dyDescent="0.3">
      <c r="A216" s="2" t="s">
        <v>42</v>
      </c>
      <c r="B216" s="60" t="s">
        <v>155</v>
      </c>
      <c r="C216" s="60" t="s">
        <v>160</v>
      </c>
      <c r="D216" s="68"/>
      <c r="E216" s="73"/>
      <c r="F216" s="79">
        <f>IFERROR(D216*E216,0)</f>
        <v>0</v>
      </c>
      <c r="G216" s="60" t="str">
        <f>INDEX(SETORES!$B:$B,MATCH(A216,SETORES!$A:$A,0))</f>
        <v>Clientes</v>
      </c>
      <c r="H216" s="60" t="s">
        <v>88</v>
      </c>
    </row>
    <row r="217" spans="1:8" ht="14.25" hidden="1" customHeight="1" x14ac:dyDescent="0.3">
      <c r="A217" s="2" t="s">
        <v>42</v>
      </c>
      <c r="B217" s="60" t="s">
        <v>162</v>
      </c>
      <c r="C217" s="60" t="s">
        <v>215</v>
      </c>
      <c r="D217" s="68"/>
      <c r="E217" s="73"/>
      <c r="F217" s="79">
        <f>IFERROR(D217*E217,0)</f>
        <v>0</v>
      </c>
      <c r="G217" s="60" t="str">
        <f>INDEX(SETORES!$B:$B,MATCH(A217,SETORES!$A:$A,0))</f>
        <v>Clientes</v>
      </c>
      <c r="H217" s="60" t="s">
        <v>88</v>
      </c>
    </row>
    <row r="218" spans="1:8" ht="14.25" hidden="1" customHeight="1" x14ac:dyDescent="0.3">
      <c r="A218" s="2" t="s">
        <v>33</v>
      </c>
      <c r="B218" s="60" t="s">
        <v>155</v>
      </c>
      <c r="C218" s="60" t="s">
        <v>159</v>
      </c>
      <c r="D218" s="68"/>
      <c r="E218" s="73"/>
      <c r="F218" s="79">
        <f>IFERROR(D218*E218,0)</f>
        <v>0</v>
      </c>
      <c r="G218" s="60" t="str">
        <f>INDEX(SETORES!$B:$B,MATCH(A218,SETORES!$A:$A,0))</f>
        <v>Funcionários</v>
      </c>
      <c r="H218" s="60" t="s">
        <v>88</v>
      </c>
    </row>
    <row r="219" spans="1:8" ht="14.25" hidden="1" customHeight="1" x14ac:dyDescent="0.3">
      <c r="A219" s="2" t="s">
        <v>33</v>
      </c>
      <c r="B219" s="60" t="s">
        <v>155</v>
      </c>
      <c r="C219" s="60" t="s">
        <v>212</v>
      </c>
      <c r="D219" s="68">
        <v>2</v>
      </c>
      <c r="E219" s="73">
        <v>30</v>
      </c>
      <c r="F219" s="79">
        <f>IFERROR(D219*E219,0)</f>
        <v>60</v>
      </c>
      <c r="G219" s="60" t="str">
        <f>INDEX(SETORES!$B:$B,MATCH(A219,SETORES!$A:$A,0))</f>
        <v>Funcionários</v>
      </c>
      <c r="H219" s="60" t="s">
        <v>88</v>
      </c>
    </row>
    <row r="220" spans="1:8" ht="14.25" hidden="1" customHeight="1" x14ac:dyDescent="0.3">
      <c r="A220" s="2" t="s">
        <v>33</v>
      </c>
      <c r="B220" s="60" t="s">
        <v>155</v>
      </c>
      <c r="C220" s="60" t="s">
        <v>171</v>
      </c>
      <c r="D220" s="68">
        <v>9</v>
      </c>
      <c r="E220" s="73">
        <v>52.09</v>
      </c>
      <c r="F220" s="79">
        <f>IFERROR(D220*E220,0)</f>
        <v>468.81000000000006</v>
      </c>
      <c r="G220" s="60" t="str">
        <f>INDEX(SETORES!$B:$B,MATCH(A220,SETORES!$A:$A,0))</f>
        <v>Funcionários</v>
      </c>
      <c r="H220" s="60" t="s">
        <v>88</v>
      </c>
    </row>
    <row r="221" spans="1:8" ht="14.25" hidden="1" customHeight="1" x14ac:dyDescent="0.3">
      <c r="A221" s="2" t="s">
        <v>33</v>
      </c>
      <c r="B221" s="60" t="s">
        <v>155</v>
      </c>
      <c r="C221" s="60" t="s">
        <v>170</v>
      </c>
      <c r="D221" s="68">
        <v>9</v>
      </c>
      <c r="E221" s="73">
        <v>32.549999999999997</v>
      </c>
      <c r="F221" s="79">
        <f>IFERROR(D221*E221,0)</f>
        <v>292.95</v>
      </c>
      <c r="G221" s="60" t="str">
        <f>INDEX(SETORES!$B:$B,MATCH(A221,SETORES!$A:$A,0))</f>
        <v>Funcionários</v>
      </c>
      <c r="H221" s="60" t="s">
        <v>88</v>
      </c>
    </row>
    <row r="222" spans="1:8" ht="14.25" customHeight="1" x14ac:dyDescent="0.3">
      <c r="A222" s="2" t="s">
        <v>33</v>
      </c>
      <c r="B222" s="60" t="s">
        <v>155</v>
      </c>
      <c r="C222" s="60" t="s">
        <v>169</v>
      </c>
      <c r="D222" s="68">
        <v>9</v>
      </c>
      <c r="E222" s="73">
        <v>52.35</v>
      </c>
      <c r="F222" s="79">
        <f>IFERROR(D222*E222,0)</f>
        <v>471.15000000000003</v>
      </c>
      <c r="G222" s="60" t="str">
        <f>INDEX(SETORES!$B:$B,MATCH(A222,SETORES!$A:$A,0))</f>
        <v>Funcionários</v>
      </c>
      <c r="H222" s="60" t="s">
        <v>88</v>
      </c>
    </row>
    <row r="223" spans="1:8" ht="14.25" hidden="1" customHeight="1" x14ac:dyDescent="0.3">
      <c r="A223" s="2" t="s">
        <v>33</v>
      </c>
      <c r="B223" s="60" t="s">
        <v>155</v>
      </c>
      <c r="C223" s="60" t="s">
        <v>158</v>
      </c>
      <c r="D223" s="68"/>
      <c r="E223" s="73"/>
      <c r="F223" s="79">
        <f>IFERROR(D223*E223,0)</f>
        <v>0</v>
      </c>
      <c r="G223" s="60" t="str">
        <f>INDEX(SETORES!$B:$B,MATCH(A223,SETORES!$A:$A,0))</f>
        <v>Funcionários</v>
      </c>
      <c r="H223" s="60" t="s">
        <v>88</v>
      </c>
    </row>
    <row r="224" spans="1:8" ht="14.25" hidden="1" customHeight="1" x14ac:dyDescent="0.3">
      <c r="A224" s="2" t="s">
        <v>33</v>
      </c>
      <c r="B224" s="60" t="s">
        <v>162</v>
      </c>
      <c r="C224" s="60" t="s">
        <v>165</v>
      </c>
      <c r="D224" s="68"/>
      <c r="E224" s="73"/>
      <c r="F224" s="79">
        <f>IFERROR(D224*E224,0)</f>
        <v>0</v>
      </c>
      <c r="G224" s="60" t="str">
        <f>INDEX(SETORES!$B:$B,MATCH(A224,SETORES!$A:$A,0))</f>
        <v>Funcionários</v>
      </c>
      <c r="H224" s="60" t="s">
        <v>88</v>
      </c>
    </row>
    <row r="225" spans="1:8" ht="14.25" hidden="1" customHeight="1" x14ac:dyDescent="0.3">
      <c r="A225" s="2" t="s">
        <v>33</v>
      </c>
      <c r="B225" s="60" t="s">
        <v>162</v>
      </c>
      <c r="C225" s="60" t="s">
        <v>163</v>
      </c>
      <c r="D225" s="68">
        <v>1</v>
      </c>
      <c r="E225" s="73">
        <v>180</v>
      </c>
      <c r="F225" s="79">
        <f>IFERROR(D225*E225,0)</f>
        <v>180</v>
      </c>
      <c r="G225" s="60" t="str">
        <f>INDEX(SETORES!$B:$B,MATCH(A225,SETORES!$A:$A,0))</f>
        <v>Funcionários</v>
      </c>
      <c r="H225" s="60" t="s">
        <v>88</v>
      </c>
    </row>
    <row r="226" spans="1:8" ht="14.25" hidden="1" customHeight="1" x14ac:dyDescent="0.3">
      <c r="A226" s="2" t="s">
        <v>33</v>
      </c>
      <c r="B226" s="60" t="s">
        <v>162</v>
      </c>
      <c r="C226" s="60" t="s">
        <v>164</v>
      </c>
      <c r="D226" s="68">
        <v>1</v>
      </c>
      <c r="E226" s="73">
        <v>272</v>
      </c>
      <c r="F226" s="79">
        <f>IFERROR(D226*E226,0)</f>
        <v>272</v>
      </c>
      <c r="G226" s="60" t="str">
        <f>INDEX(SETORES!$B:$B,MATCH(A226,SETORES!$A:$A,0))</f>
        <v>Funcionários</v>
      </c>
      <c r="H226" s="60" t="s">
        <v>88</v>
      </c>
    </row>
    <row r="227" spans="1:8" ht="14.25" hidden="1" customHeight="1" x14ac:dyDescent="0.3">
      <c r="A227" s="2" t="s">
        <v>33</v>
      </c>
      <c r="B227" s="60" t="s">
        <v>155</v>
      </c>
      <c r="C227" s="60" t="s">
        <v>161</v>
      </c>
      <c r="D227" s="68">
        <v>1</v>
      </c>
      <c r="E227" s="73">
        <v>48158.28</v>
      </c>
      <c r="F227" s="79">
        <f>IFERROR(D227*E227,0)</f>
        <v>48158.28</v>
      </c>
      <c r="G227" s="60" t="str">
        <f>INDEX(SETORES!$B:$B,MATCH(A227,SETORES!$A:$A,0))</f>
        <v>Funcionários</v>
      </c>
      <c r="H227" s="60" t="s">
        <v>88</v>
      </c>
    </row>
    <row r="228" spans="1:8" ht="14.25" hidden="1" customHeight="1" x14ac:dyDescent="0.3">
      <c r="A228" s="2" t="s">
        <v>33</v>
      </c>
      <c r="B228" s="60" t="s">
        <v>155</v>
      </c>
      <c r="C228" s="60" t="s">
        <v>167</v>
      </c>
      <c r="D228" s="68"/>
      <c r="E228" s="73"/>
      <c r="F228" s="79">
        <f>IFERROR(D228*E228,0)</f>
        <v>0</v>
      </c>
      <c r="G228" s="60" t="str">
        <f>INDEX(SETORES!$B:$B,MATCH(A228,SETORES!$A:$A,0))</f>
        <v>Funcionários</v>
      </c>
      <c r="H228" s="60" t="s">
        <v>88</v>
      </c>
    </row>
    <row r="229" spans="1:8" ht="14.25" hidden="1" customHeight="1" x14ac:dyDescent="0.3">
      <c r="A229" s="2" t="s">
        <v>33</v>
      </c>
      <c r="B229" s="60" t="s">
        <v>162</v>
      </c>
      <c r="C229" s="60" t="s">
        <v>214</v>
      </c>
      <c r="D229" s="68"/>
      <c r="E229" s="73"/>
      <c r="F229" s="79">
        <f>IFERROR(D229*E229,0)</f>
        <v>0</v>
      </c>
      <c r="G229" s="60" t="str">
        <f>INDEX(SETORES!$B:$B,MATCH(A229,SETORES!$A:$A,0))</f>
        <v>Funcionários</v>
      </c>
      <c r="H229" s="60" t="s">
        <v>88</v>
      </c>
    </row>
    <row r="230" spans="1:8" ht="14.25" hidden="1" customHeight="1" x14ac:dyDescent="0.3">
      <c r="A230" s="2" t="s">
        <v>33</v>
      </c>
      <c r="B230" s="60" t="s">
        <v>155</v>
      </c>
      <c r="C230" s="60" t="s">
        <v>238</v>
      </c>
      <c r="D230" s="68"/>
      <c r="E230" s="73"/>
      <c r="F230" s="79">
        <f>IFERROR(D230*E230,0)</f>
        <v>0</v>
      </c>
      <c r="G230" s="60" t="str">
        <f>INDEX(SETORES!$B:$B,MATCH(A230,SETORES!$A:$A,0))</f>
        <v>Funcionários</v>
      </c>
      <c r="H230" s="60" t="s">
        <v>88</v>
      </c>
    </row>
    <row r="231" spans="1:8" ht="14.25" hidden="1" customHeight="1" x14ac:dyDescent="0.3">
      <c r="A231" s="2" t="s">
        <v>33</v>
      </c>
      <c r="B231" s="60" t="s">
        <v>155</v>
      </c>
      <c r="C231" s="60" t="s">
        <v>258</v>
      </c>
      <c r="D231" s="68">
        <v>1</v>
      </c>
      <c r="E231" s="73">
        <v>174.47</v>
      </c>
      <c r="F231" s="79">
        <f>IFERROR(D231*E231,0)</f>
        <v>174.47</v>
      </c>
      <c r="G231" s="60" t="str">
        <f>INDEX(SETORES!$B:$B,MATCH(A231,SETORES!$A:$A,0))</f>
        <v>Funcionários</v>
      </c>
      <c r="H231" s="60" t="s">
        <v>88</v>
      </c>
    </row>
    <row r="232" spans="1:8" ht="14.25" hidden="1" customHeight="1" x14ac:dyDescent="0.3">
      <c r="A232" s="2" t="s">
        <v>33</v>
      </c>
      <c r="B232" s="60" t="s">
        <v>155</v>
      </c>
      <c r="C232" s="60" t="s">
        <v>166</v>
      </c>
      <c r="D232" s="68">
        <v>9</v>
      </c>
      <c r="E232" s="73">
        <v>50</v>
      </c>
      <c r="F232" s="79">
        <f>IFERROR(D232*E232,0)</f>
        <v>450</v>
      </c>
      <c r="G232" s="60" t="str">
        <f>INDEX(SETORES!$B:$B,MATCH(A232,SETORES!$A:$A,0))</f>
        <v>Funcionários</v>
      </c>
      <c r="H232" s="60" t="s">
        <v>88</v>
      </c>
    </row>
    <row r="233" spans="1:8" ht="14.25" hidden="1" customHeight="1" x14ac:dyDescent="0.3">
      <c r="A233" s="2" t="s">
        <v>33</v>
      </c>
      <c r="B233" s="60" t="s">
        <v>155</v>
      </c>
      <c r="C233" s="60" t="s">
        <v>177</v>
      </c>
      <c r="D233" s="68">
        <v>1</v>
      </c>
      <c r="E233" s="73">
        <v>2559.44</v>
      </c>
      <c r="F233" s="79">
        <f>IFERROR(D233*E233,0)</f>
        <v>2559.44</v>
      </c>
      <c r="G233" s="60" t="str">
        <f>INDEX(SETORES!$B:$B,MATCH(A233,SETORES!$A:$A,0))</f>
        <v>Funcionários</v>
      </c>
      <c r="H233" s="60" t="s">
        <v>88</v>
      </c>
    </row>
    <row r="234" spans="1:8" ht="14.25" hidden="1" customHeight="1" x14ac:dyDescent="0.3">
      <c r="A234" s="2" t="s">
        <v>33</v>
      </c>
      <c r="B234" s="60" t="s">
        <v>155</v>
      </c>
      <c r="C234" s="60" t="s">
        <v>156</v>
      </c>
      <c r="D234" s="68">
        <v>1</v>
      </c>
      <c r="E234" s="73">
        <v>9.24</v>
      </c>
      <c r="F234" s="79">
        <f>IFERROR(D234*E234,0)</f>
        <v>9.24</v>
      </c>
      <c r="G234" s="60" t="str">
        <f>INDEX(SETORES!$B:$B,MATCH(A234,SETORES!$A:$A,0))</f>
        <v>Funcionários</v>
      </c>
      <c r="H234" s="60" t="s">
        <v>88</v>
      </c>
    </row>
    <row r="235" spans="1:8" ht="14.25" hidden="1" customHeight="1" x14ac:dyDescent="0.3">
      <c r="A235" s="2" t="s">
        <v>33</v>
      </c>
      <c r="B235" s="60" t="s">
        <v>155</v>
      </c>
      <c r="C235" s="60" t="s">
        <v>157</v>
      </c>
      <c r="D235" s="68">
        <v>1</v>
      </c>
      <c r="E235" s="73">
        <v>204.89</v>
      </c>
      <c r="F235" s="79">
        <f>IFERROR(D235*E235,0)</f>
        <v>204.89</v>
      </c>
      <c r="G235" s="60" t="str">
        <f>INDEX(SETORES!$B:$B,MATCH(A235,SETORES!$A:$A,0))</f>
        <v>Funcionários</v>
      </c>
      <c r="H235" s="60" t="s">
        <v>88</v>
      </c>
    </row>
    <row r="236" spans="1:8" ht="14.25" hidden="1" customHeight="1" x14ac:dyDescent="0.3">
      <c r="A236" s="2" t="s">
        <v>33</v>
      </c>
      <c r="B236" s="60" t="s">
        <v>155</v>
      </c>
      <c r="C236" s="60" t="s">
        <v>239</v>
      </c>
      <c r="D236" s="68"/>
      <c r="E236" s="73"/>
      <c r="F236" s="79">
        <f>IFERROR(D236*E236,0)</f>
        <v>0</v>
      </c>
      <c r="G236" s="60" t="str">
        <f>INDEX(SETORES!$B:$B,MATCH(A236,SETORES!$A:$A,0))</f>
        <v>Funcionários</v>
      </c>
      <c r="H236" s="60" t="s">
        <v>88</v>
      </c>
    </row>
    <row r="237" spans="1:8" ht="14.25" hidden="1" customHeight="1" x14ac:dyDescent="0.3">
      <c r="A237" s="2" t="s">
        <v>33</v>
      </c>
      <c r="B237" s="60" t="s">
        <v>155</v>
      </c>
      <c r="C237" s="60" t="s">
        <v>180</v>
      </c>
      <c r="D237" s="68"/>
      <c r="E237" s="73"/>
      <c r="F237" s="79">
        <f>IFERROR(D237*E237,0)</f>
        <v>0</v>
      </c>
      <c r="G237" s="60" t="str">
        <f>INDEX(SETORES!$B:$B,MATCH(A237,SETORES!$A:$A,0))</f>
        <v>Funcionários</v>
      </c>
      <c r="H237" s="60" t="s">
        <v>88</v>
      </c>
    </row>
    <row r="238" spans="1:8" ht="14.25" hidden="1" customHeight="1" x14ac:dyDescent="0.3">
      <c r="A238" s="2" t="s">
        <v>33</v>
      </c>
      <c r="B238" s="60" t="s">
        <v>155</v>
      </c>
      <c r="C238" s="60" t="s">
        <v>179</v>
      </c>
      <c r="D238" s="68"/>
      <c r="E238" s="73"/>
      <c r="F238" s="79">
        <f>IFERROR(D238*E238,0)</f>
        <v>0</v>
      </c>
      <c r="G238" s="60" t="str">
        <f>INDEX(SETORES!$B:$B,MATCH(A238,SETORES!$A:$A,0))</f>
        <v>Funcionários</v>
      </c>
      <c r="H238" s="60" t="s">
        <v>88</v>
      </c>
    </row>
    <row r="239" spans="1:8" ht="14.25" hidden="1" customHeight="1" x14ac:dyDescent="0.3">
      <c r="A239" s="2" t="s">
        <v>33</v>
      </c>
      <c r="B239" s="60" t="s">
        <v>155</v>
      </c>
      <c r="C239" s="60" t="s">
        <v>168</v>
      </c>
      <c r="D239" s="68">
        <v>9</v>
      </c>
      <c r="E239" s="73">
        <v>1.87</v>
      </c>
      <c r="F239" s="79">
        <f>IFERROR(D239*E239,0)</f>
        <v>16.830000000000002</v>
      </c>
      <c r="G239" s="60" t="str">
        <f>INDEX(SETORES!$B:$B,MATCH(A239,SETORES!$A:$A,0))</f>
        <v>Funcionários</v>
      </c>
      <c r="H239" s="60" t="s">
        <v>88</v>
      </c>
    </row>
    <row r="240" spans="1:8" ht="14.25" hidden="1" customHeight="1" x14ac:dyDescent="0.3">
      <c r="A240" s="2" t="s">
        <v>33</v>
      </c>
      <c r="B240" s="60" t="s">
        <v>155</v>
      </c>
      <c r="C240" s="60" t="s">
        <v>160</v>
      </c>
      <c r="D240" s="68"/>
      <c r="E240" s="73"/>
      <c r="F240" s="79">
        <f>IFERROR(D240*E240,0)</f>
        <v>0</v>
      </c>
      <c r="G240" s="60" t="str">
        <f>INDEX(SETORES!$B:$B,MATCH(A240,SETORES!$A:$A,0))</f>
        <v>Funcionários</v>
      </c>
      <c r="H240" s="60" t="s">
        <v>88</v>
      </c>
    </row>
    <row r="241" spans="1:8" ht="14.25" hidden="1" customHeight="1" x14ac:dyDescent="0.3">
      <c r="A241" s="2" t="s">
        <v>45</v>
      </c>
      <c r="B241" s="60" t="s">
        <v>155</v>
      </c>
      <c r="C241" s="60" t="s">
        <v>159</v>
      </c>
      <c r="D241" s="68"/>
      <c r="E241" s="73"/>
      <c r="F241" s="79">
        <f>IFERROR(D241*E241,0)</f>
        <v>0</v>
      </c>
      <c r="G241" s="60" t="str">
        <f>INDEX(SETORES!$B:$B,MATCH(A241,SETORES!$A:$A,0))</f>
        <v>Clientes</v>
      </c>
      <c r="H241" s="60" t="s">
        <v>88</v>
      </c>
    </row>
    <row r="242" spans="1:8" ht="14.25" hidden="1" customHeight="1" x14ac:dyDescent="0.3">
      <c r="A242" s="2" t="s">
        <v>45</v>
      </c>
      <c r="B242" s="60" t="s">
        <v>155</v>
      </c>
      <c r="C242" s="60" t="s">
        <v>212</v>
      </c>
      <c r="D242" s="68">
        <v>8</v>
      </c>
      <c r="E242" s="73">
        <v>30</v>
      </c>
      <c r="F242" s="79">
        <f>IFERROR(D242*E242,0)</f>
        <v>240</v>
      </c>
      <c r="G242" s="60" t="str">
        <f>INDEX(SETORES!$B:$B,MATCH(A242,SETORES!$A:$A,0))</f>
        <v>Clientes</v>
      </c>
      <c r="H242" s="60" t="s">
        <v>88</v>
      </c>
    </row>
    <row r="243" spans="1:8" ht="14.25" hidden="1" customHeight="1" x14ac:dyDescent="0.3">
      <c r="A243" s="2" t="s">
        <v>45</v>
      </c>
      <c r="B243" s="60" t="s">
        <v>162</v>
      </c>
      <c r="C243" s="60" t="s">
        <v>217</v>
      </c>
      <c r="D243" s="68">
        <v>1</v>
      </c>
      <c r="E243" s="73">
        <v>4864.24</v>
      </c>
      <c r="F243" s="79">
        <f>IFERROR(D243*E243,0)</f>
        <v>4864.24</v>
      </c>
      <c r="G243" s="60" t="str">
        <f>INDEX(SETORES!$B:$B,MATCH(A243,SETORES!$A:$A,0))</f>
        <v>Clientes</v>
      </c>
      <c r="H243" s="60" t="s">
        <v>88</v>
      </c>
    </row>
    <row r="244" spans="1:8" ht="14.25" hidden="1" customHeight="1" x14ac:dyDescent="0.3">
      <c r="A244" s="2" t="s">
        <v>45</v>
      </c>
      <c r="B244" s="60" t="s">
        <v>155</v>
      </c>
      <c r="C244" s="60" t="s">
        <v>250</v>
      </c>
      <c r="D244" s="68">
        <v>1</v>
      </c>
      <c r="E244" s="73">
        <v>1574.51</v>
      </c>
      <c r="F244" s="79">
        <f>IFERROR(D244*E244,0)</f>
        <v>1574.51</v>
      </c>
      <c r="G244" s="60" t="str">
        <f>INDEX(SETORES!$B:$B,MATCH(A244,SETORES!$A:$A,0))</f>
        <v>Clientes</v>
      </c>
      <c r="H244" s="60" t="s">
        <v>88</v>
      </c>
    </row>
    <row r="245" spans="1:8" ht="14.25" hidden="1" customHeight="1" x14ac:dyDescent="0.3">
      <c r="A245" s="2" t="s">
        <v>45</v>
      </c>
      <c r="B245" s="60" t="s">
        <v>155</v>
      </c>
      <c r="C245" s="60" t="s">
        <v>171</v>
      </c>
      <c r="D245" s="68">
        <v>9</v>
      </c>
      <c r="E245" s="73">
        <v>52.09</v>
      </c>
      <c r="F245" s="79">
        <f>IFERROR(D245*E245,0)</f>
        <v>468.81000000000006</v>
      </c>
      <c r="G245" s="60" t="s">
        <v>98</v>
      </c>
      <c r="H245" s="60" t="s">
        <v>88</v>
      </c>
    </row>
    <row r="246" spans="1:8" ht="14.25" hidden="1" customHeight="1" x14ac:dyDescent="0.3">
      <c r="A246" s="2" t="s">
        <v>45</v>
      </c>
      <c r="B246" s="60" t="s">
        <v>155</v>
      </c>
      <c r="C246" s="60" t="s">
        <v>170</v>
      </c>
      <c r="D246" s="68">
        <v>9</v>
      </c>
      <c r="E246" s="73">
        <v>32.549999999999997</v>
      </c>
      <c r="F246" s="79">
        <f>IFERROR(D246*E246,0)</f>
        <v>292.95</v>
      </c>
      <c r="G246" s="60" t="s">
        <v>98</v>
      </c>
      <c r="H246" s="60" t="s">
        <v>88</v>
      </c>
    </row>
    <row r="247" spans="1:8" ht="14.25" customHeight="1" x14ac:dyDescent="0.3">
      <c r="A247" s="2" t="s">
        <v>45</v>
      </c>
      <c r="B247" s="60" t="s">
        <v>155</v>
      </c>
      <c r="C247" s="60" t="s">
        <v>169</v>
      </c>
      <c r="D247" s="68">
        <v>9</v>
      </c>
      <c r="E247" s="73">
        <v>52.35</v>
      </c>
      <c r="F247" s="79">
        <f>IFERROR(D247*E247,0)</f>
        <v>471.15000000000003</v>
      </c>
      <c r="G247" s="60" t="s">
        <v>98</v>
      </c>
      <c r="H247" s="60" t="s">
        <v>88</v>
      </c>
    </row>
    <row r="248" spans="1:8" ht="14.25" hidden="1" customHeight="1" x14ac:dyDescent="0.3">
      <c r="A248" s="2" t="s">
        <v>45</v>
      </c>
      <c r="B248" s="60" t="s">
        <v>162</v>
      </c>
      <c r="C248" s="60" t="s">
        <v>194</v>
      </c>
      <c r="D248" s="68"/>
      <c r="E248" s="73"/>
      <c r="F248" s="79">
        <f>IFERROR(D248*E248,0)</f>
        <v>0</v>
      </c>
      <c r="G248" s="60" t="str">
        <f>INDEX(SETORES!$B:$B,MATCH(A248,SETORES!$A:$A,0))</f>
        <v>Clientes</v>
      </c>
      <c r="H248" s="60" t="s">
        <v>88</v>
      </c>
    </row>
    <row r="249" spans="1:8" ht="14.25" hidden="1" customHeight="1" x14ac:dyDescent="0.3">
      <c r="A249" s="2" t="s">
        <v>45</v>
      </c>
      <c r="B249" s="60" t="s">
        <v>155</v>
      </c>
      <c r="C249" s="60" t="s">
        <v>158</v>
      </c>
      <c r="D249" s="68"/>
      <c r="E249" s="73"/>
      <c r="F249" s="79">
        <f>IFERROR(D249*E249,0)</f>
        <v>0</v>
      </c>
      <c r="G249" s="60" t="str">
        <f>INDEX(SETORES!$B:$B,MATCH(A249,SETORES!$A:$A,0))</f>
        <v>Clientes</v>
      </c>
      <c r="H249" s="60" t="s">
        <v>88</v>
      </c>
    </row>
    <row r="250" spans="1:8" ht="14.25" hidden="1" customHeight="1" x14ac:dyDescent="0.3">
      <c r="A250" s="2" t="s">
        <v>45</v>
      </c>
      <c r="B250" s="60" t="s">
        <v>162</v>
      </c>
      <c r="C250" s="60" t="s">
        <v>163</v>
      </c>
      <c r="D250" s="68">
        <v>1</v>
      </c>
      <c r="E250" s="73">
        <v>90</v>
      </c>
      <c r="F250" s="79">
        <f>IFERROR(D250*E250,0)</f>
        <v>90</v>
      </c>
      <c r="G250" s="60" t="str">
        <f>INDEX(SETORES!$B:$B,MATCH(A250,SETORES!$A:$A,0))</f>
        <v>Clientes</v>
      </c>
      <c r="H250" s="60" t="s">
        <v>88</v>
      </c>
    </row>
    <row r="251" spans="1:8" ht="14.25" hidden="1" customHeight="1" x14ac:dyDescent="0.3">
      <c r="A251" s="2" t="s">
        <v>45</v>
      </c>
      <c r="B251" s="60" t="s">
        <v>162</v>
      </c>
      <c r="C251" s="60" t="s">
        <v>164</v>
      </c>
      <c r="D251" s="68"/>
      <c r="E251" s="73"/>
      <c r="F251" s="79">
        <f>IFERROR(D251*E251,0)</f>
        <v>0</v>
      </c>
      <c r="G251" s="60" t="str">
        <f>INDEX(SETORES!$B:$B,MATCH(A251,SETORES!$A:$A,0))</f>
        <v>Clientes</v>
      </c>
      <c r="H251" s="60" t="s">
        <v>88</v>
      </c>
    </row>
    <row r="252" spans="1:8" ht="14.25" hidden="1" customHeight="1" x14ac:dyDescent="0.3">
      <c r="A252" s="2" t="s">
        <v>45</v>
      </c>
      <c r="B252" s="60" t="s">
        <v>155</v>
      </c>
      <c r="C252" s="60" t="s">
        <v>161</v>
      </c>
      <c r="D252" s="68">
        <v>1</v>
      </c>
      <c r="E252" s="73">
        <v>64244.34</v>
      </c>
      <c r="F252" s="79">
        <f>IFERROR(D252*E252,0)</f>
        <v>64244.34</v>
      </c>
      <c r="G252" s="60" t="str">
        <f>INDEX(SETORES!$B:$B,MATCH(A252,SETORES!$A:$A,0))</f>
        <v>Clientes</v>
      </c>
      <c r="H252" s="60" t="s">
        <v>88</v>
      </c>
    </row>
    <row r="253" spans="1:8" ht="14.25" hidden="1" customHeight="1" x14ac:dyDescent="0.3">
      <c r="A253" s="2" t="s">
        <v>45</v>
      </c>
      <c r="B253" s="60" t="s">
        <v>155</v>
      </c>
      <c r="C253" s="60" t="s">
        <v>167</v>
      </c>
      <c r="D253" s="68"/>
      <c r="E253" s="73"/>
      <c r="F253" s="79">
        <f>IFERROR(D253*E253,0)</f>
        <v>0</v>
      </c>
      <c r="G253" s="60" t="str">
        <f>INDEX(SETORES!$B:$B,MATCH(A253,SETORES!$A:$A,0))</f>
        <v>Clientes</v>
      </c>
      <c r="H253" s="60" t="s">
        <v>88</v>
      </c>
    </row>
    <row r="254" spans="1:8" ht="14.25" hidden="1" customHeight="1" x14ac:dyDescent="0.3">
      <c r="A254" s="2" t="s">
        <v>45</v>
      </c>
      <c r="B254" s="60" t="s">
        <v>155</v>
      </c>
      <c r="C254" s="60" t="s">
        <v>238</v>
      </c>
      <c r="D254" s="68"/>
      <c r="E254" s="73"/>
      <c r="F254" s="79">
        <f>IFERROR(D254*E254,0)</f>
        <v>0</v>
      </c>
      <c r="G254" s="60" t="str">
        <f>INDEX(SETORES!$B:$B,MATCH(A254,SETORES!$A:$A,0))</f>
        <v>Clientes</v>
      </c>
      <c r="H254" s="60" t="s">
        <v>88</v>
      </c>
    </row>
    <row r="255" spans="1:8" ht="14.25" hidden="1" customHeight="1" x14ac:dyDescent="0.3">
      <c r="A255" s="2" t="s">
        <v>45</v>
      </c>
      <c r="B255" s="60" t="s">
        <v>155</v>
      </c>
      <c r="C255" s="60" t="s">
        <v>258</v>
      </c>
      <c r="D255" s="68">
        <v>1</v>
      </c>
      <c r="E255" s="73">
        <v>174.47</v>
      </c>
      <c r="F255" s="79">
        <f>IFERROR(D255*E255,0)</f>
        <v>174.47</v>
      </c>
      <c r="G255" s="60" t="str">
        <f>INDEX(SETORES!$B:$B,MATCH(A255,SETORES!$A:$A,0))</f>
        <v>Clientes</v>
      </c>
      <c r="H255" s="60" t="s">
        <v>88</v>
      </c>
    </row>
    <row r="256" spans="1:8" ht="14.25" hidden="1" customHeight="1" x14ac:dyDescent="0.3">
      <c r="A256" s="2" t="s">
        <v>45</v>
      </c>
      <c r="B256" s="60" t="s">
        <v>155</v>
      </c>
      <c r="C256" s="60" t="s">
        <v>166</v>
      </c>
      <c r="D256" s="68">
        <v>9</v>
      </c>
      <c r="E256" s="73">
        <v>50</v>
      </c>
      <c r="F256" s="79">
        <f>IFERROR(D256*E256,0)</f>
        <v>450</v>
      </c>
      <c r="G256" s="60" t="str">
        <f>INDEX(SETORES!$B:$B,MATCH(A256,SETORES!$A:$A,0))</f>
        <v>Clientes</v>
      </c>
      <c r="H256" s="60" t="s">
        <v>88</v>
      </c>
    </row>
    <row r="257" spans="1:8" ht="14.25" hidden="1" customHeight="1" x14ac:dyDescent="0.3">
      <c r="A257" s="2" t="s">
        <v>45</v>
      </c>
      <c r="B257" s="60" t="s">
        <v>155</v>
      </c>
      <c r="C257" s="60" t="s">
        <v>156</v>
      </c>
      <c r="D257" s="68"/>
      <c r="E257" s="73"/>
      <c r="F257" s="79">
        <f>IFERROR(D257*E257,0)</f>
        <v>0</v>
      </c>
      <c r="G257" s="60" t="str">
        <f>INDEX(SETORES!$B:$B,MATCH(A257,SETORES!$A:$A,0))</f>
        <v>Clientes</v>
      </c>
      <c r="H257" s="60" t="s">
        <v>88</v>
      </c>
    </row>
    <row r="258" spans="1:8" ht="14.25" hidden="1" customHeight="1" x14ac:dyDescent="0.3">
      <c r="A258" s="2" t="s">
        <v>45</v>
      </c>
      <c r="B258" s="60" t="s">
        <v>155</v>
      </c>
      <c r="C258" s="60" t="s">
        <v>157</v>
      </c>
      <c r="D258" s="68"/>
      <c r="E258" s="73"/>
      <c r="F258" s="79">
        <f>IFERROR(D258*E258,0)</f>
        <v>0</v>
      </c>
      <c r="G258" s="60" t="str">
        <f>INDEX(SETORES!$B:$B,MATCH(A258,SETORES!$A:$A,0))</f>
        <v>Clientes</v>
      </c>
      <c r="H258" s="60" t="s">
        <v>88</v>
      </c>
    </row>
    <row r="259" spans="1:8" ht="14.25" hidden="1" customHeight="1" x14ac:dyDescent="0.3">
      <c r="A259" s="2" t="s">
        <v>45</v>
      </c>
      <c r="B259" s="60" t="s">
        <v>162</v>
      </c>
      <c r="C259" s="60" t="s">
        <v>209</v>
      </c>
      <c r="D259" s="68"/>
      <c r="E259" s="73"/>
      <c r="F259" s="79">
        <f>IFERROR(D259*E259,0)</f>
        <v>0</v>
      </c>
      <c r="G259" s="60" t="str">
        <f>INDEX(SETORES!$B:$B,MATCH(A259,SETORES!$A:$A,0))</f>
        <v>Clientes</v>
      </c>
      <c r="H259" s="60" t="s">
        <v>88</v>
      </c>
    </row>
    <row r="260" spans="1:8" ht="14.25" hidden="1" customHeight="1" x14ac:dyDescent="0.3">
      <c r="A260" s="2" t="s">
        <v>45</v>
      </c>
      <c r="B260" s="60" t="s">
        <v>162</v>
      </c>
      <c r="C260" s="60" t="s">
        <v>222</v>
      </c>
      <c r="D260" s="68"/>
      <c r="E260" s="73"/>
      <c r="F260" s="79">
        <f>IFERROR(D260*E260,0)</f>
        <v>0</v>
      </c>
      <c r="G260" s="60" t="str">
        <f>INDEX(SETORES!$B:$B,MATCH(A260,SETORES!$A:$A,0))</f>
        <v>Clientes</v>
      </c>
      <c r="H260" s="60" t="s">
        <v>88</v>
      </c>
    </row>
    <row r="261" spans="1:8" ht="14.25" hidden="1" customHeight="1" x14ac:dyDescent="0.3">
      <c r="A261" s="2" t="s">
        <v>45</v>
      </c>
      <c r="B261" s="60" t="s">
        <v>155</v>
      </c>
      <c r="C261" s="60" t="s">
        <v>244</v>
      </c>
      <c r="D261" s="68"/>
      <c r="E261" s="73"/>
      <c r="F261" s="79">
        <f>IFERROR(D261*E261,0)</f>
        <v>0</v>
      </c>
      <c r="G261" s="60" t="str">
        <f>INDEX(SETORES!$B:$B,MATCH(A261,SETORES!$A:$A,0))</f>
        <v>Clientes</v>
      </c>
      <c r="H261" s="60" t="s">
        <v>88</v>
      </c>
    </row>
    <row r="262" spans="1:8" ht="14.25" hidden="1" customHeight="1" x14ac:dyDescent="0.3">
      <c r="A262" s="2" t="s">
        <v>45</v>
      </c>
      <c r="B262" s="60" t="s">
        <v>155</v>
      </c>
      <c r="C262" s="60" t="s">
        <v>168</v>
      </c>
      <c r="D262" s="68">
        <v>9</v>
      </c>
      <c r="E262" s="73">
        <v>1.87</v>
      </c>
      <c r="F262" s="79">
        <f>IFERROR(D262*E262,0)</f>
        <v>16.830000000000002</v>
      </c>
      <c r="G262" s="60" t="str">
        <f>INDEX(SETORES!$B:$B,MATCH(A262,SETORES!$A:$A,0))</f>
        <v>Clientes</v>
      </c>
      <c r="H262" s="60" t="s">
        <v>88</v>
      </c>
    </row>
    <row r="263" spans="1:8" ht="14.25" hidden="1" customHeight="1" x14ac:dyDescent="0.3">
      <c r="A263" s="2" t="s">
        <v>45</v>
      </c>
      <c r="B263" s="60" t="s">
        <v>155</v>
      </c>
      <c r="C263" s="60" t="s">
        <v>160</v>
      </c>
      <c r="D263" s="68"/>
      <c r="E263" s="73"/>
      <c r="F263" s="79">
        <f>IFERROR(D263*E263,0)</f>
        <v>0</v>
      </c>
      <c r="G263" s="60" t="str">
        <f>INDEX(SETORES!$B:$B,MATCH(A263,SETORES!$A:$A,0))</f>
        <v>Clientes</v>
      </c>
      <c r="H263" s="60" t="s">
        <v>88</v>
      </c>
    </row>
    <row r="264" spans="1:8" ht="14.25" hidden="1" customHeight="1" x14ac:dyDescent="0.3">
      <c r="A264" s="2" t="s">
        <v>50</v>
      </c>
      <c r="B264" s="60" t="s">
        <v>155</v>
      </c>
      <c r="C264" s="60" t="s">
        <v>159</v>
      </c>
      <c r="D264" s="68"/>
      <c r="E264" s="73"/>
      <c r="F264" s="79">
        <f>IFERROR(D264*E264,0)</f>
        <v>0</v>
      </c>
      <c r="G264" s="60" t="str">
        <f>INDEX(SETORES!$B:$B,MATCH(A264,SETORES!$A:$A,0))</f>
        <v>Clientes</v>
      </c>
      <c r="H264" s="60" t="s">
        <v>88</v>
      </c>
    </row>
    <row r="265" spans="1:8" ht="14.25" hidden="1" customHeight="1" x14ac:dyDescent="0.3">
      <c r="A265" s="2" t="s">
        <v>50</v>
      </c>
      <c r="B265" s="60" t="s">
        <v>155</v>
      </c>
      <c r="C265" s="60" t="s">
        <v>171</v>
      </c>
      <c r="D265" s="68">
        <v>16</v>
      </c>
      <c r="E265" s="73">
        <v>52.09</v>
      </c>
      <c r="F265" s="79">
        <f>IFERROR(D265*E265,0)</f>
        <v>833.44</v>
      </c>
      <c r="G265" s="60" t="s">
        <v>98</v>
      </c>
      <c r="H265" s="60" t="s">
        <v>88</v>
      </c>
    </row>
    <row r="266" spans="1:8" ht="14.25" hidden="1" customHeight="1" x14ac:dyDescent="0.3">
      <c r="A266" s="2" t="s">
        <v>50</v>
      </c>
      <c r="B266" s="60" t="s">
        <v>155</v>
      </c>
      <c r="C266" s="60" t="s">
        <v>170</v>
      </c>
      <c r="D266" s="68">
        <v>16</v>
      </c>
      <c r="E266" s="73">
        <v>32.549999999999997</v>
      </c>
      <c r="F266" s="79">
        <f>IFERROR(D266*E266,0)</f>
        <v>520.79999999999995</v>
      </c>
      <c r="G266" s="60" t="s">
        <v>98</v>
      </c>
      <c r="H266" s="60" t="s">
        <v>88</v>
      </c>
    </row>
    <row r="267" spans="1:8" ht="14.25" customHeight="1" x14ac:dyDescent="0.3">
      <c r="A267" s="2" t="s">
        <v>50</v>
      </c>
      <c r="B267" s="60" t="s">
        <v>155</v>
      </c>
      <c r="C267" s="60" t="s">
        <v>169</v>
      </c>
      <c r="D267" s="68">
        <v>16</v>
      </c>
      <c r="E267" s="73">
        <v>52.35</v>
      </c>
      <c r="F267" s="79">
        <f>IFERROR(D267*E267,0)</f>
        <v>837.6</v>
      </c>
      <c r="G267" s="60" t="s">
        <v>98</v>
      </c>
      <c r="H267" s="60" t="s">
        <v>88</v>
      </c>
    </row>
    <row r="268" spans="1:8" ht="14.25" hidden="1" customHeight="1" x14ac:dyDescent="0.3">
      <c r="A268" s="2" t="s">
        <v>50</v>
      </c>
      <c r="B268" s="60" t="s">
        <v>155</v>
      </c>
      <c r="C268" s="60" t="s">
        <v>158</v>
      </c>
      <c r="D268" s="68"/>
      <c r="E268" s="73"/>
      <c r="F268" s="79">
        <f>IFERROR(D268*E268,0)</f>
        <v>0</v>
      </c>
      <c r="G268" s="60" t="str">
        <f>INDEX(SETORES!$B:$B,MATCH(A268,SETORES!$A:$A,0))</f>
        <v>Clientes</v>
      </c>
      <c r="H268" s="60" t="s">
        <v>88</v>
      </c>
    </row>
    <row r="269" spans="1:8" ht="14.25" hidden="1" customHeight="1" x14ac:dyDescent="0.3">
      <c r="A269" s="2" t="s">
        <v>50</v>
      </c>
      <c r="B269" s="60" t="s">
        <v>162</v>
      </c>
      <c r="C269" s="60" t="s">
        <v>165</v>
      </c>
      <c r="D269" s="68"/>
      <c r="E269" s="73"/>
      <c r="F269" s="79">
        <f>IFERROR(D269*E269,0)</f>
        <v>0</v>
      </c>
      <c r="G269" s="60" t="str">
        <f>INDEX(SETORES!$B:$B,MATCH(A269,SETORES!$A:$A,0))</f>
        <v>Clientes</v>
      </c>
      <c r="H269" s="60" t="s">
        <v>88</v>
      </c>
    </row>
    <row r="270" spans="1:8" ht="14.25" hidden="1" customHeight="1" x14ac:dyDescent="0.3">
      <c r="A270" s="2" t="s">
        <v>50</v>
      </c>
      <c r="B270" s="60" t="s">
        <v>162</v>
      </c>
      <c r="C270" s="60" t="s">
        <v>163</v>
      </c>
      <c r="D270" s="68"/>
      <c r="E270" s="73"/>
      <c r="F270" s="79">
        <f>IFERROR(D270*E270,0)</f>
        <v>0</v>
      </c>
      <c r="G270" s="60" t="str">
        <f>INDEX(SETORES!$B:$B,MATCH(A270,SETORES!$A:$A,0))</f>
        <v>Clientes</v>
      </c>
      <c r="H270" s="60" t="s">
        <v>88</v>
      </c>
    </row>
    <row r="271" spans="1:8" ht="14.25" hidden="1" customHeight="1" x14ac:dyDescent="0.3">
      <c r="A271" s="2" t="s">
        <v>50</v>
      </c>
      <c r="B271" s="60" t="s">
        <v>162</v>
      </c>
      <c r="C271" s="60" t="s">
        <v>164</v>
      </c>
      <c r="D271" s="68"/>
      <c r="E271" s="73"/>
      <c r="F271" s="79">
        <f>IFERROR(D271*E271,0)</f>
        <v>0</v>
      </c>
      <c r="G271" s="60" t="str">
        <f>INDEX(SETORES!$B:$B,MATCH(A271,SETORES!$A:$A,0))</f>
        <v>Clientes</v>
      </c>
      <c r="H271" s="60" t="s">
        <v>88</v>
      </c>
    </row>
    <row r="272" spans="1:8" ht="14.25" hidden="1" customHeight="1" x14ac:dyDescent="0.3">
      <c r="A272" s="2" t="s">
        <v>50</v>
      </c>
      <c r="B272" s="60" t="s">
        <v>155</v>
      </c>
      <c r="C272" s="60" t="s">
        <v>161</v>
      </c>
      <c r="D272" s="68">
        <v>1</v>
      </c>
      <c r="E272" s="73">
        <v>96388.9</v>
      </c>
      <c r="F272" s="79">
        <f>IFERROR(D272*E272,0)</f>
        <v>96388.9</v>
      </c>
      <c r="G272" s="60" t="str">
        <f>INDEX(SETORES!$B:$B,MATCH(A272,SETORES!$A:$A,0))</f>
        <v>Clientes</v>
      </c>
      <c r="H272" s="60" t="s">
        <v>88</v>
      </c>
    </row>
    <row r="273" spans="1:8" ht="14.25" hidden="1" customHeight="1" x14ac:dyDescent="0.3">
      <c r="A273" s="2" t="s">
        <v>50</v>
      </c>
      <c r="B273" s="60" t="s">
        <v>155</v>
      </c>
      <c r="C273" s="60" t="s">
        <v>167</v>
      </c>
      <c r="D273" s="68"/>
      <c r="E273" s="73"/>
      <c r="F273" s="79">
        <f>IFERROR(D273*E273,0)</f>
        <v>0</v>
      </c>
      <c r="G273" s="60" t="str">
        <f>INDEX(SETORES!$B:$B,MATCH(A273,SETORES!$A:$A,0))</f>
        <v>Clientes</v>
      </c>
      <c r="H273" s="60" t="s">
        <v>88</v>
      </c>
    </row>
    <row r="274" spans="1:8" ht="14.25" hidden="1" customHeight="1" x14ac:dyDescent="0.3">
      <c r="A274" s="2" t="s">
        <v>50</v>
      </c>
      <c r="B274" s="60" t="s">
        <v>155</v>
      </c>
      <c r="C274" s="60" t="s">
        <v>238</v>
      </c>
      <c r="D274" s="68"/>
      <c r="E274" s="73"/>
      <c r="F274" s="79">
        <f>IFERROR(D274*E274,0)</f>
        <v>0</v>
      </c>
      <c r="G274" s="60" t="str">
        <f>INDEX(SETORES!$B:$B,MATCH(A274,SETORES!$A:$A,0))</f>
        <v>Clientes</v>
      </c>
      <c r="H274" s="60" t="s">
        <v>88</v>
      </c>
    </row>
    <row r="275" spans="1:8" ht="14.25" hidden="1" customHeight="1" x14ac:dyDescent="0.3">
      <c r="A275" s="2" t="s">
        <v>50</v>
      </c>
      <c r="B275" s="60" t="s">
        <v>155</v>
      </c>
      <c r="C275" s="60" t="s">
        <v>258</v>
      </c>
      <c r="D275" s="68">
        <v>1</v>
      </c>
      <c r="E275" s="73">
        <v>310.17</v>
      </c>
      <c r="F275" s="79">
        <f>IFERROR(D275*E275,0)</f>
        <v>310.17</v>
      </c>
      <c r="G275" s="60" t="str">
        <f>INDEX(SETORES!$B:$B,MATCH(A275,SETORES!$A:$A,0))</f>
        <v>Clientes</v>
      </c>
      <c r="H275" s="60" t="s">
        <v>88</v>
      </c>
    </row>
    <row r="276" spans="1:8" ht="14.25" hidden="1" customHeight="1" x14ac:dyDescent="0.3">
      <c r="A276" s="2" t="s">
        <v>50</v>
      </c>
      <c r="B276" s="60" t="s">
        <v>155</v>
      </c>
      <c r="C276" s="60" t="s">
        <v>166</v>
      </c>
      <c r="D276" s="68">
        <v>16</v>
      </c>
      <c r="E276" s="73">
        <v>50</v>
      </c>
      <c r="F276" s="79">
        <f>IFERROR(D276*E276,0)</f>
        <v>800</v>
      </c>
      <c r="G276" s="60" t="str">
        <f>INDEX(SETORES!$B:$B,MATCH(A276,SETORES!$A:$A,0))</f>
        <v>Clientes</v>
      </c>
      <c r="H276" s="60" t="s">
        <v>88</v>
      </c>
    </row>
    <row r="277" spans="1:8" ht="14.25" hidden="1" customHeight="1" x14ac:dyDescent="0.3">
      <c r="A277" s="2" t="s">
        <v>50</v>
      </c>
      <c r="B277" s="60" t="s">
        <v>155</v>
      </c>
      <c r="C277" s="60" t="s">
        <v>156</v>
      </c>
      <c r="D277" s="68"/>
      <c r="E277" s="73"/>
      <c r="F277" s="79">
        <f>IFERROR(D277*E277,0)</f>
        <v>0</v>
      </c>
      <c r="G277" s="60" t="str">
        <f>INDEX(SETORES!$B:$B,MATCH(A277,SETORES!$A:$A,0))</f>
        <v>Clientes</v>
      </c>
      <c r="H277" s="60" t="s">
        <v>88</v>
      </c>
    </row>
    <row r="278" spans="1:8" ht="14.25" hidden="1" customHeight="1" x14ac:dyDescent="0.3">
      <c r="A278" s="2" t="s">
        <v>50</v>
      </c>
      <c r="B278" s="60" t="s">
        <v>155</v>
      </c>
      <c r="C278" s="60" t="s">
        <v>157</v>
      </c>
      <c r="D278" s="68">
        <v>1</v>
      </c>
      <c r="E278" s="73">
        <v>828.61</v>
      </c>
      <c r="F278" s="79">
        <f>IFERROR(D278*E278,0)</f>
        <v>828.61</v>
      </c>
      <c r="G278" s="60" t="str">
        <f>INDEX(SETORES!$B:$B,MATCH(A278,SETORES!$A:$A,0))</f>
        <v>Clientes</v>
      </c>
      <c r="H278" s="60" t="s">
        <v>88</v>
      </c>
    </row>
    <row r="279" spans="1:8" ht="14.25" hidden="1" customHeight="1" x14ac:dyDescent="0.3">
      <c r="A279" s="2" t="s">
        <v>50</v>
      </c>
      <c r="B279" s="60" t="s">
        <v>162</v>
      </c>
      <c r="C279" s="60" t="s">
        <v>209</v>
      </c>
      <c r="D279" s="68"/>
      <c r="E279" s="73"/>
      <c r="F279" s="79">
        <f>IFERROR(D279*E279,0)</f>
        <v>0</v>
      </c>
      <c r="G279" s="60" t="str">
        <f>INDEX(SETORES!$B:$B,MATCH(A279,SETORES!$A:$A,0))</f>
        <v>Clientes</v>
      </c>
      <c r="H279" s="60" t="s">
        <v>88</v>
      </c>
    </row>
    <row r="280" spans="1:8" ht="14.25" hidden="1" customHeight="1" x14ac:dyDescent="0.3">
      <c r="A280" s="2" t="s">
        <v>50</v>
      </c>
      <c r="B280" s="60" t="s">
        <v>162</v>
      </c>
      <c r="C280" s="60" t="s">
        <v>222</v>
      </c>
      <c r="D280" s="68"/>
      <c r="E280" s="73"/>
      <c r="F280" s="79">
        <f>IFERROR(D280*E280,0)</f>
        <v>0</v>
      </c>
      <c r="G280" s="60" t="str">
        <f>INDEX(SETORES!$B:$B,MATCH(A280,SETORES!$A:$A,0))</f>
        <v>Clientes</v>
      </c>
      <c r="H280" s="60" t="s">
        <v>88</v>
      </c>
    </row>
    <row r="281" spans="1:8" ht="14.25" hidden="1" customHeight="1" x14ac:dyDescent="0.3">
      <c r="A281" s="2" t="s">
        <v>50</v>
      </c>
      <c r="B281" s="60" t="s">
        <v>155</v>
      </c>
      <c r="C281" s="60" t="s">
        <v>168</v>
      </c>
      <c r="D281" s="68">
        <v>16</v>
      </c>
      <c r="E281" s="73">
        <v>1.87</v>
      </c>
      <c r="F281" s="79">
        <f>IFERROR(D281*E281,0)</f>
        <v>29.92</v>
      </c>
      <c r="G281" s="60" t="str">
        <f>INDEX(SETORES!$B:$B,MATCH(A281,SETORES!$A:$A,0))</f>
        <v>Clientes</v>
      </c>
      <c r="H281" s="60" t="s">
        <v>88</v>
      </c>
    </row>
    <row r="282" spans="1:8" ht="14.25" hidden="1" customHeight="1" x14ac:dyDescent="0.3">
      <c r="A282" s="2" t="s">
        <v>50</v>
      </c>
      <c r="B282" s="60" t="s">
        <v>155</v>
      </c>
      <c r="C282" s="60" t="s">
        <v>160</v>
      </c>
      <c r="D282" s="68"/>
      <c r="E282" s="73"/>
      <c r="F282" s="79">
        <f>IFERROR(D282*E282,0)</f>
        <v>0</v>
      </c>
      <c r="G282" s="60" t="str">
        <f>INDEX(SETORES!$B:$B,MATCH(A282,SETORES!$A:$A,0))</f>
        <v>Clientes</v>
      </c>
      <c r="H282" s="60" t="s">
        <v>88</v>
      </c>
    </row>
    <row r="283" spans="1:8" ht="14.25" hidden="1" customHeight="1" x14ac:dyDescent="0.3">
      <c r="A283" s="2" t="s">
        <v>36</v>
      </c>
      <c r="B283" s="60" t="s">
        <v>155</v>
      </c>
      <c r="C283" s="60" t="s">
        <v>159</v>
      </c>
      <c r="D283" s="68"/>
      <c r="E283" s="73"/>
      <c r="F283" s="79">
        <f>IFERROR(D283*E283,0)</f>
        <v>0</v>
      </c>
      <c r="G283" s="60" t="str">
        <f>INDEX(SETORES!$B:$B,MATCH(A283,SETORES!$A:$A,0))</f>
        <v>Clientes</v>
      </c>
      <c r="H283" s="60" t="s">
        <v>88</v>
      </c>
    </row>
    <row r="284" spans="1:8" ht="14.25" hidden="1" customHeight="1" x14ac:dyDescent="0.3">
      <c r="A284" s="2" t="s">
        <v>36</v>
      </c>
      <c r="B284" s="60" t="s">
        <v>155</v>
      </c>
      <c r="C284" s="60" t="s">
        <v>212</v>
      </c>
      <c r="D284" s="68">
        <v>2</v>
      </c>
      <c r="E284" s="73">
        <v>30</v>
      </c>
      <c r="F284" s="79">
        <f>IFERROR(D284*E284,0)</f>
        <v>60</v>
      </c>
      <c r="G284" s="60" t="str">
        <f>INDEX(SETORES!$B:$B,MATCH(A284,SETORES!$A:$A,0))</f>
        <v>Clientes</v>
      </c>
      <c r="H284" s="60" t="s">
        <v>88</v>
      </c>
    </row>
    <row r="285" spans="1:8" ht="14.25" hidden="1" customHeight="1" x14ac:dyDescent="0.3">
      <c r="A285" s="2" t="s">
        <v>36</v>
      </c>
      <c r="B285" s="60" t="s">
        <v>155</v>
      </c>
      <c r="C285" s="60" t="s">
        <v>171</v>
      </c>
      <c r="D285" s="68">
        <v>8</v>
      </c>
      <c r="E285" s="73">
        <v>52.09</v>
      </c>
      <c r="F285" s="79">
        <f>IFERROR(D285*E285,0)</f>
        <v>416.72</v>
      </c>
      <c r="G285" s="60" t="s">
        <v>98</v>
      </c>
      <c r="H285" s="60" t="s">
        <v>88</v>
      </c>
    </row>
    <row r="286" spans="1:8" ht="14.25" hidden="1" customHeight="1" x14ac:dyDescent="0.3">
      <c r="A286" s="2" t="s">
        <v>36</v>
      </c>
      <c r="B286" s="60" t="s">
        <v>155</v>
      </c>
      <c r="C286" s="60" t="s">
        <v>170</v>
      </c>
      <c r="D286" s="68">
        <v>8</v>
      </c>
      <c r="E286" s="73">
        <v>32.549999999999997</v>
      </c>
      <c r="F286" s="79">
        <f>IFERROR(D286*E286,0)</f>
        <v>260.39999999999998</v>
      </c>
      <c r="G286" s="60" t="s">
        <v>98</v>
      </c>
      <c r="H286" s="60" t="s">
        <v>88</v>
      </c>
    </row>
    <row r="287" spans="1:8" ht="14.25" customHeight="1" x14ac:dyDescent="0.3">
      <c r="A287" s="2" t="s">
        <v>36</v>
      </c>
      <c r="B287" s="60" t="s">
        <v>155</v>
      </c>
      <c r="C287" s="60" t="s">
        <v>169</v>
      </c>
      <c r="D287" s="68">
        <v>8</v>
      </c>
      <c r="E287" s="73">
        <v>52.35</v>
      </c>
      <c r="F287" s="79">
        <f>IFERROR(D287*E287,0)</f>
        <v>418.8</v>
      </c>
      <c r="G287" s="60" t="s">
        <v>98</v>
      </c>
      <c r="H287" s="60" t="s">
        <v>88</v>
      </c>
    </row>
    <row r="288" spans="1:8" ht="14.25" hidden="1" customHeight="1" x14ac:dyDescent="0.3">
      <c r="A288" s="2" t="s">
        <v>36</v>
      </c>
      <c r="B288" s="60" t="s">
        <v>155</v>
      </c>
      <c r="C288" s="60" t="s">
        <v>158</v>
      </c>
      <c r="D288" s="68"/>
      <c r="E288" s="73"/>
      <c r="F288" s="79">
        <f>IFERROR(D288*E288,0)</f>
        <v>0</v>
      </c>
      <c r="G288" s="60" t="str">
        <f>INDEX(SETORES!$B:$B,MATCH(A288,SETORES!$A:$A,0))</f>
        <v>Clientes</v>
      </c>
      <c r="H288" s="60" t="s">
        <v>88</v>
      </c>
    </row>
    <row r="289" spans="1:8" ht="14.25" hidden="1" customHeight="1" x14ac:dyDescent="0.3">
      <c r="A289" s="2" t="s">
        <v>36</v>
      </c>
      <c r="B289" s="60" t="s">
        <v>162</v>
      </c>
      <c r="C289" s="60" t="s">
        <v>163</v>
      </c>
      <c r="D289" s="68"/>
      <c r="E289" s="73"/>
      <c r="F289" s="79">
        <f>IFERROR(D289*E289,0)</f>
        <v>0</v>
      </c>
      <c r="G289" s="60" t="str">
        <f>INDEX(SETORES!$B:$B,MATCH(A289,SETORES!$A:$A,0))</f>
        <v>Clientes</v>
      </c>
      <c r="H289" s="60" t="s">
        <v>88</v>
      </c>
    </row>
    <row r="290" spans="1:8" ht="14.25" hidden="1" customHeight="1" x14ac:dyDescent="0.3">
      <c r="A290" s="2" t="s">
        <v>36</v>
      </c>
      <c r="B290" s="60" t="s">
        <v>162</v>
      </c>
      <c r="C290" s="60" t="s">
        <v>164</v>
      </c>
      <c r="D290" s="68"/>
      <c r="E290" s="73"/>
      <c r="F290" s="79">
        <f>IFERROR(D290*E290,0)</f>
        <v>0</v>
      </c>
      <c r="G290" s="60" t="str">
        <f>INDEX(SETORES!$B:$B,MATCH(A290,SETORES!$A:$A,0))</f>
        <v>Clientes</v>
      </c>
      <c r="H290" s="60" t="s">
        <v>88</v>
      </c>
    </row>
    <row r="291" spans="1:8" ht="14.25" hidden="1" customHeight="1" x14ac:dyDescent="0.3">
      <c r="A291" s="2" t="s">
        <v>36</v>
      </c>
      <c r="B291" s="60" t="s">
        <v>155</v>
      </c>
      <c r="C291" s="60" t="s">
        <v>161</v>
      </c>
      <c r="D291" s="68">
        <v>1</v>
      </c>
      <c r="E291" s="73">
        <v>33181.94</v>
      </c>
      <c r="F291" s="79">
        <f>IFERROR(D291*E291,0)</f>
        <v>33181.94</v>
      </c>
      <c r="G291" s="60" t="str">
        <f>INDEX(SETORES!$B:$B,MATCH(A291,SETORES!$A:$A,0))</f>
        <v>Clientes</v>
      </c>
      <c r="H291" s="60" t="s">
        <v>88</v>
      </c>
    </row>
    <row r="292" spans="1:8" ht="14.25" hidden="1" customHeight="1" x14ac:dyDescent="0.3">
      <c r="A292" s="2" t="s">
        <v>36</v>
      </c>
      <c r="B292" s="60" t="s">
        <v>155</v>
      </c>
      <c r="C292" s="60" t="s">
        <v>167</v>
      </c>
      <c r="D292" s="68"/>
      <c r="E292" s="73"/>
      <c r="F292" s="79">
        <f>IFERROR(D292*E292,0)</f>
        <v>0</v>
      </c>
      <c r="G292" s="60" t="str">
        <f>INDEX(SETORES!$B:$B,MATCH(A292,SETORES!$A:$A,0))</f>
        <v>Clientes</v>
      </c>
      <c r="H292" s="60" t="s">
        <v>88</v>
      </c>
    </row>
    <row r="293" spans="1:8" ht="14.25" hidden="1" customHeight="1" x14ac:dyDescent="0.3">
      <c r="A293" s="2" t="s">
        <v>36</v>
      </c>
      <c r="B293" s="60" t="s">
        <v>155</v>
      </c>
      <c r="C293" s="60" t="s">
        <v>238</v>
      </c>
      <c r="D293" s="68"/>
      <c r="E293" s="73"/>
      <c r="F293" s="79">
        <f>IFERROR(D293*E293,0)</f>
        <v>0</v>
      </c>
      <c r="G293" s="60" t="str">
        <f>INDEX(SETORES!$B:$B,MATCH(A293,SETORES!$A:$A,0))</f>
        <v>Clientes</v>
      </c>
      <c r="H293" s="60" t="s">
        <v>88</v>
      </c>
    </row>
    <row r="294" spans="1:8" ht="14.25" hidden="1" customHeight="1" x14ac:dyDescent="0.3">
      <c r="A294" s="2" t="s">
        <v>36</v>
      </c>
      <c r="B294" s="60" t="s">
        <v>155</v>
      </c>
      <c r="C294" s="60" t="s">
        <v>258</v>
      </c>
      <c r="D294" s="68">
        <v>1</v>
      </c>
      <c r="E294" s="73">
        <v>155.09</v>
      </c>
      <c r="F294" s="79">
        <f>IFERROR(D294*E294,0)</f>
        <v>155.09</v>
      </c>
      <c r="G294" s="60" t="str">
        <f>INDEX(SETORES!$B:$B,MATCH(A294,SETORES!$A:$A,0))</f>
        <v>Clientes</v>
      </c>
      <c r="H294" s="60" t="s">
        <v>88</v>
      </c>
    </row>
    <row r="295" spans="1:8" ht="14.25" hidden="1" customHeight="1" x14ac:dyDescent="0.3">
      <c r="A295" s="2" t="s">
        <v>36</v>
      </c>
      <c r="B295" s="60" t="s">
        <v>155</v>
      </c>
      <c r="C295" s="60" t="s">
        <v>166</v>
      </c>
      <c r="D295" s="68">
        <v>8</v>
      </c>
      <c r="E295" s="73">
        <v>50</v>
      </c>
      <c r="F295" s="79">
        <f>IFERROR(D295*E295,0)</f>
        <v>400</v>
      </c>
      <c r="G295" s="60" t="str">
        <f>INDEX(SETORES!$B:$B,MATCH(A295,SETORES!$A:$A,0))</f>
        <v>Clientes</v>
      </c>
      <c r="H295" s="60" t="s">
        <v>88</v>
      </c>
    </row>
    <row r="296" spans="1:8" ht="14.25" hidden="1" customHeight="1" x14ac:dyDescent="0.3">
      <c r="A296" s="2" t="s">
        <v>36</v>
      </c>
      <c r="B296" s="60" t="s">
        <v>155</v>
      </c>
      <c r="C296" s="60" t="s">
        <v>219</v>
      </c>
      <c r="D296" s="68"/>
      <c r="E296" s="73"/>
      <c r="F296" s="79">
        <f>IFERROR(D296*E296,0)</f>
        <v>0</v>
      </c>
      <c r="G296" s="60" t="str">
        <f>INDEX(SETORES!$B:$B,MATCH(A296,SETORES!$A:$A,0))</f>
        <v>Clientes</v>
      </c>
      <c r="H296" s="60" t="s">
        <v>88</v>
      </c>
    </row>
    <row r="297" spans="1:8" ht="14.25" hidden="1" customHeight="1" x14ac:dyDescent="0.3">
      <c r="A297" s="2" t="s">
        <v>36</v>
      </c>
      <c r="B297" s="60" t="s">
        <v>155</v>
      </c>
      <c r="C297" s="60" t="s">
        <v>156</v>
      </c>
      <c r="D297" s="68">
        <v>1</v>
      </c>
      <c r="E297" s="73">
        <v>4.82</v>
      </c>
      <c r="F297" s="79">
        <f>IFERROR(D297*E297,0)</f>
        <v>4.82</v>
      </c>
      <c r="G297" s="60" t="str">
        <f>INDEX(SETORES!$B:$B,MATCH(A297,SETORES!$A:$A,0))</f>
        <v>Clientes</v>
      </c>
      <c r="H297" s="60" t="s">
        <v>88</v>
      </c>
    </row>
    <row r="298" spans="1:8" ht="14.25" hidden="1" customHeight="1" x14ac:dyDescent="0.3">
      <c r="A298" s="2" t="s">
        <v>36</v>
      </c>
      <c r="B298" s="60" t="s">
        <v>155</v>
      </c>
      <c r="C298" s="60" t="s">
        <v>157</v>
      </c>
      <c r="D298" s="68">
        <v>1</v>
      </c>
      <c r="E298" s="73">
        <v>438.85</v>
      </c>
      <c r="F298" s="79">
        <f>IFERROR(D298*E298,0)</f>
        <v>438.85</v>
      </c>
      <c r="G298" s="60" t="str">
        <f>INDEX(SETORES!$B:$B,MATCH(A298,SETORES!$A:$A,0))</f>
        <v>Clientes</v>
      </c>
      <c r="H298" s="60" t="s">
        <v>88</v>
      </c>
    </row>
    <row r="299" spans="1:8" ht="14.25" hidden="1" customHeight="1" x14ac:dyDescent="0.3">
      <c r="A299" s="2" t="s">
        <v>36</v>
      </c>
      <c r="B299" s="60" t="s">
        <v>155</v>
      </c>
      <c r="C299" s="60" t="s">
        <v>242</v>
      </c>
      <c r="D299" s="68"/>
      <c r="E299" s="73"/>
      <c r="F299" s="79">
        <f>IFERROR(D299*E299,0)</f>
        <v>0</v>
      </c>
      <c r="G299" s="60" t="str">
        <f>INDEX(SETORES!$B:$B,MATCH(A299,SETORES!$A:$A,0))</f>
        <v>Clientes</v>
      </c>
      <c r="H299" s="60" t="s">
        <v>88</v>
      </c>
    </row>
    <row r="300" spans="1:8" ht="14.25" hidden="1" customHeight="1" x14ac:dyDescent="0.3">
      <c r="A300" s="2" t="s">
        <v>36</v>
      </c>
      <c r="B300" s="60" t="s">
        <v>162</v>
      </c>
      <c r="C300" s="60" t="s">
        <v>222</v>
      </c>
      <c r="D300" s="68"/>
      <c r="E300" s="73"/>
      <c r="F300" s="79">
        <f>IFERROR(D300*E300,0)</f>
        <v>0</v>
      </c>
      <c r="G300" s="60" t="str">
        <f>INDEX(SETORES!$B:$B,MATCH(A300,SETORES!$A:$A,0))</f>
        <v>Clientes</v>
      </c>
      <c r="H300" s="60" t="s">
        <v>88</v>
      </c>
    </row>
    <row r="301" spans="1:8" ht="14.25" hidden="1" customHeight="1" x14ac:dyDescent="0.3">
      <c r="A301" s="2" t="s">
        <v>36</v>
      </c>
      <c r="B301" s="60" t="s">
        <v>155</v>
      </c>
      <c r="C301" s="60" t="s">
        <v>168</v>
      </c>
      <c r="D301" s="68">
        <v>8</v>
      </c>
      <c r="E301" s="73">
        <v>1.87</v>
      </c>
      <c r="F301" s="79">
        <f>IFERROR(D301*E301,0)</f>
        <v>14.96</v>
      </c>
      <c r="G301" s="60" t="str">
        <f>INDEX(SETORES!$B:$B,MATCH(A301,SETORES!$A:$A,0))</f>
        <v>Clientes</v>
      </c>
      <c r="H301" s="60" t="s">
        <v>88</v>
      </c>
    </row>
    <row r="302" spans="1:8" ht="14.25" hidden="1" customHeight="1" x14ac:dyDescent="0.3">
      <c r="A302" s="2" t="s">
        <v>36</v>
      </c>
      <c r="B302" s="60" t="s">
        <v>155</v>
      </c>
      <c r="C302" s="60" t="s">
        <v>160</v>
      </c>
      <c r="D302" s="68"/>
      <c r="E302" s="73"/>
      <c r="F302" s="79">
        <f>IFERROR(D302*E302,0)</f>
        <v>0</v>
      </c>
      <c r="G302" s="60" t="str">
        <f>INDEX(SETORES!$B:$B,MATCH(A302,SETORES!$A:$A,0))</f>
        <v>Clientes</v>
      </c>
      <c r="H302" s="60" t="s">
        <v>88</v>
      </c>
    </row>
    <row r="303" spans="1:8" ht="14.25" hidden="1" customHeight="1" x14ac:dyDescent="0.3">
      <c r="A303" s="2" t="s">
        <v>81</v>
      </c>
      <c r="B303" s="60" t="s">
        <v>155</v>
      </c>
      <c r="C303" s="60" t="s">
        <v>212</v>
      </c>
      <c r="D303" s="68">
        <v>2</v>
      </c>
      <c r="E303" s="73">
        <v>30</v>
      </c>
      <c r="F303" s="79">
        <f>IFERROR(D303*E303,0)</f>
        <v>60</v>
      </c>
      <c r="G303" s="60" t="str">
        <f>INDEX(SETORES!$B:$B,MATCH(A303,SETORES!$A:$A,0))</f>
        <v>Clientes</v>
      </c>
      <c r="H303" s="60" t="s">
        <v>88</v>
      </c>
    </row>
    <row r="304" spans="1:8" ht="14.25" hidden="1" customHeight="1" x14ac:dyDescent="0.3">
      <c r="A304" s="2" t="s">
        <v>81</v>
      </c>
      <c r="B304" s="60" t="s">
        <v>155</v>
      </c>
      <c r="C304" s="60" t="s">
        <v>171</v>
      </c>
      <c r="D304" s="68">
        <v>3</v>
      </c>
      <c r="E304" s="73">
        <v>52.09</v>
      </c>
      <c r="F304" s="79">
        <f>IFERROR(D304*E304,0)</f>
        <v>156.27000000000001</v>
      </c>
      <c r="G304" s="60" t="s">
        <v>98</v>
      </c>
      <c r="H304" s="60" t="s">
        <v>88</v>
      </c>
    </row>
    <row r="305" spans="1:8" ht="14.25" hidden="1" customHeight="1" x14ac:dyDescent="0.3">
      <c r="A305" s="2" t="s">
        <v>81</v>
      </c>
      <c r="B305" s="60" t="s">
        <v>155</v>
      </c>
      <c r="C305" s="60" t="s">
        <v>170</v>
      </c>
      <c r="D305" s="68">
        <v>3</v>
      </c>
      <c r="E305" s="73">
        <v>32.549999999999997</v>
      </c>
      <c r="F305" s="79">
        <f>IFERROR(D305*E305,0)</f>
        <v>97.649999999999991</v>
      </c>
      <c r="G305" s="60" t="s">
        <v>98</v>
      </c>
      <c r="H305" s="60" t="s">
        <v>88</v>
      </c>
    </row>
    <row r="306" spans="1:8" ht="14.25" customHeight="1" x14ac:dyDescent="0.3">
      <c r="A306" s="2" t="s">
        <v>81</v>
      </c>
      <c r="B306" s="60" t="s">
        <v>155</v>
      </c>
      <c r="C306" s="60" t="s">
        <v>169</v>
      </c>
      <c r="D306" s="68">
        <v>3</v>
      </c>
      <c r="E306" s="73">
        <v>52.35</v>
      </c>
      <c r="F306" s="79">
        <f>IFERROR(D306*E306,0)</f>
        <v>157.05000000000001</v>
      </c>
      <c r="G306" s="60" t="s">
        <v>98</v>
      </c>
      <c r="H306" s="60" t="s">
        <v>88</v>
      </c>
    </row>
    <row r="307" spans="1:8" ht="14.25" hidden="1" customHeight="1" x14ac:dyDescent="0.3">
      <c r="A307" s="2" t="s">
        <v>81</v>
      </c>
      <c r="B307" s="60" t="s">
        <v>162</v>
      </c>
      <c r="C307" s="60" t="s">
        <v>163</v>
      </c>
      <c r="D307" s="68"/>
      <c r="E307" s="73"/>
      <c r="F307" s="79">
        <f>IFERROR(D307*E307,0)</f>
        <v>0</v>
      </c>
      <c r="G307" s="60" t="str">
        <f>INDEX(SETORES!$B:$B,MATCH(A307,SETORES!$A:$A,0))</f>
        <v>Clientes</v>
      </c>
      <c r="H307" s="60" t="s">
        <v>88</v>
      </c>
    </row>
    <row r="308" spans="1:8" ht="14.25" hidden="1" customHeight="1" x14ac:dyDescent="0.3">
      <c r="A308" s="2" t="s">
        <v>81</v>
      </c>
      <c r="B308" s="60" t="s">
        <v>155</v>
      </c>
      <c r="C308" s="60" t="s">
        <v>161</v>
      </c>
      <c r="D308" s="68">
        <v>1</v>
      </c>
      <c r="E308" s="73">
        <v>13644.85</v>
      </c>
      <c r="F308" s="79">
        <f>IFERROR(D308*E308,0)</f>
        <v>13644.85</v>
      </c>
      <c r="G308" s="60" t="str">
        <f>INDEX(SETORES!$B:$B,MATCH(A308,SETORES!$A:$A,0))</f>
        <v>Clientes</v>
      </c>
      <c r="H308" s="60" t="s">
        <v>88</v>
      </c>
    </row>
    <row r="309" spans="1:8" ht="14.25" hidden="1" customHeight="1" x14ac:dyDescent="0.3">
      <c r="A309" s="2" t="s">
        <v>81</v>
      </c>
      <c r="B309" s="60" t="s">
        <v>155</v>
      </c>
      <c r="C309" s="60" t="s">
        <v>167</v>
      </c>
      <c r="D309" s="68"/>
      <c r="E309" s="73"/>
      <c r="F309" s="79">
        <f>IFERROR(D309*E309,0)</f>
        <v>0</v>
      </c>
      <c r="G309" s="60" t="str">
        <f>INDEX(SETORES!$B:$B,MATCH(A309,SETORES!$A:$A,0))</f>
        <v>Clientes</v>
      </c>
      <c r="H309" s="60" t="s">
        <v>88</v>
      </c>
    </row>
    <row r="310" spans="1:8" ht="14.25" hidden="1" customHeight="1" x14ac:dyDescent="0.3">
      <c r="A310" s="2" t="s">
        <v>81</v>
      </c>
      <c r="B310" s="60" t="s">
        <v>155</v>
      </c>
      <c r="C310" s="60" t="s">
        <v>238</v>
      </c>
      <c r="D310" s="68"/>
      <c r="E310" s="73"/>
      <c r="F310" s="79">
        <f>IFERROR(D310*E310,0)</f>
        <v>0</v>
      </c>
      <c r="G310" s="60" t="str">
        <f>INDEX(SETORES!$B:$B,MATCH(A310,SETORES!$A:$A,0))</f>
        <v>Clientes</v>
      </c>
      <c r="H310" s="60" t="s">
        <v>88</v>
      </c>
    </row>
    <row r="311" spans="1:8" ht="14.25" hidden="1" customHeight="1" x14ac:dyDescent="0.3">
      <c r="A311" s="2" t="s">
        <v>81</v>
      </c>
      <c r="B311" s="60" t="s">
        <v>155</v>
      </c>
      <c r="C311" s="60" t="s">
        <v>166</v>
      </c>
      <c r="D311" s="68">
        <v>3</v>
      </c>
      <c r="E311" s="73">
        <v>50</v>
      </c>
      <c r="F311" s="79">
        <f>IFERROR(D311*E311,0)</f>
        <v>150</v>
      </c>
      <c r="G311" s="60" t="str">
        <f>INDEX(SETORES!$B:$B,MATCH(A311,SETORES!$A:$A,0))</f>
        <v>Clientes</v>
      </c>
      <c r="H311" s="60" t="s">
        <v>88</v>
      </c>
    </row>
    <row r="312" spans="1:8" ht="14.25" hidden="1" customHeight="1" x14ac:dyDescent="0.3">
      <c r="A312" s="2" t="s">
        <v>81</v>
      </c>
      <c r="B312" s="60" t="s">
        <v>162</v>
      </c>
      <c r="C312" s="60" t="s">
        <v>156</v>
      </c>
      <c r="D312" s="68">
        <v>1</v>
      </c>
      <c r="E312" s="73">
        <v>528.1</v>
      </c>
      <c r="F312" s="79">
        <f>IFERROR(D312*E312,0)</f>
        <v>528.1</v>
      </c>
      <c r="G312" s="60" t="str">
        <f>INDEX(SETORES!$B:$B,MATCH(A312,SETORES!$A:$A,0))</f>
        <v>Clientes</v>
      </c>
      <c r="H312" s="60" t="s">
        <v>88</v>
      </c>
    </row>
    <row r="313" spans="1:8" ht="14.25" hidden="1" customHeight="1" x14ac:dyDescent="0.3">
      <c r="A313" s="2" t="s">
        <v>81</v>
      </c>
      <c r="B313" s="60" t="s">
        <v>155</v>
      </c>
      <c r="C313" s="60" t="s">
        <v>157</v>
      </c>
      <c r="D313" s="68">
        <v>1</v>
      </c>
      <c r="E313" s="73">
        <v>175.81</v>
      </c>
      <c r="F313" s="79">
        <f>IFERROR(D313*E313,0)</f>
        <v>175.81</v>
      </c>
      <c r="G313" s="60" t="str">
        <f>INDEX(SETORES!$B:$B,MATCH(A313,SETORES!$A:$A,0))</f>
        <v>Clientes</v>
      </c>
      <c r="H313" s="60" t="s">
        <v>88</v>
      </c>
    </row>
    <row r="314" spans="1:8" ht="14.25" hidden="1" customHeight="1" x14ac:dyDescent="0.3">
      <c r="A314" s="2" t="s">
        <v>81</v>
      </c>
      <c r="B314" s="60" t="s">
        <v>162</v>
      </c>
      <c r="C314" s="60" t="s">
        <v>222</v>
      </c>
      <c r="D314" s="68"/>
      <c r="E314" s="73"/>
      <c r="F314" s="79">
        <f>IFERROR(D314*E314,0)</f>
        <v>0</v>
      </c>
      <c r="G314" s="60" t="str">
        <f>INDEX(SETORES!$B:$B,MATCH(A314,SETORES!$A:$A,0))</f>
        <v>Clientes</v>
      </c>
      <c r="H314" s="60" t="s">
        <v>88</v>
      </c>
    </row>
    <row r="315" spans="1:8" ht="14.25" hidden="1" customHeight="1" x14ac:dyDescent="0.3">
      <c r="A315" s="2" t="s">
        <v>81</v>
      </c>
      <c r="B315" s="60" t="s">
        <v>155</v>
      </c>
      <c r="C315" s="60" t="s">
        <v>168</v>
      </c>
      <c r="D315" s="68">
        <v>3</v>
      </c>
      <c r="E315" s="73">
        <v>1.87</v>
      </c>
      <c r="F315" s="79">
        <f>IFERROR(D315*E315,0)</f>
        <v>5.61</v>
      </c>
      <c r="G315" s="60" t="str">
        <f>INDEX(SETORES!$B:$B,MATCH(A315,SETORES!$A:$A,0))</f>
        <v>Clientes</v>
      </c>
      <c r="H315" s="60" t="s">
        <v>88</v>
      </c>
    </row>
    <row r="316" spans="1:8" ht="14.25" hidden="1" customHeight="1" x14ac:dyDescent="0.3">
      <c r="A316" s="2" t="s">
        <v>82</v>
      </c>
      <c r="B316" s="60" t="s">
        <v>162</v>
      </c>
      <c r="C316" s="60" t="s">
        <v>217</v>
      </c>
      <c r="D316" s="68">
        <v>1</v>
      </c>
      <c r="E316" s="73">
        <v>19762.11</v>
      </c>
      <c r="F316" s="79">
        <f>IFERROR(D316*E316,0)</f>
        <v>19762.11</v>
      </c>
      <c r="G316" s="60" t="str">
        <f>INDEX(SETORES!$B:$B,MATCH(A316,SETORES!$A:$A,0))</f>
        <v>Clientes</v>
      </c>
      <c r="H316" s="60" t="s">
        <v>88</v>
      </c>
    </row>
    <row r="317" spans="1:8" ht="14.25" hidden="1" customHeight="1" x14ac:dyDescent="0.3">
      <c r="A317" s="2" t="s">
        <v>82</v>
      </c>
      <c r="B317" s="60" t="s">
        <v>155</v>
      </c>
      <c r="C317" s="60" t="s">
        <v>250</v>
      </c>
      <c r="D317" s="68">
        <v>1</v>
      </c>
      <c r="E317" s="73">
        <v>1749.46</v>
      </c>
      <c r="F317" s="79">
        <f>IFERROR(D317*E317,0)</f>
        <v>1749.46</v>
      </c>
      <c r="G317" s="60" t="str">
        <f>INDEX(SETORES!$B:$B,MATCH(A317,SETORES!$A:$A,0))</f>
        <v>Clientes</v>
      </c>
      <c r="H317" s="60" t="s">
        <v>88</v>
      </c>
    </row>
    <row r="318" spans="1:8" ht="14.25" hidden="1" customHeight="1" x14ac:dyDescent="0.3">
      <c r="A318" s="2" t="s">
        <v>82</v>
      </c>
      <c r="B318" s="60" t="s">
        <v>155</v>
      </c>
      <c r="C318" s="60" t="s">
        <v>171</v>
      </c>
      <c r="D318" s="68">
        <v>10</v>
      </c>
      <c r="E318" s="73">
        <v>52.09</v>
      </c>
      <c r="F318" s="79">
        <f>IFERROR(D318*E318,0)</f>
        <v>520.90000000000009</v>
      </c>
      <c r="G318" s="60" t="s">
        <v>98</v>
      </c>
      <c r="H318" s="60" t="s">
        <v>88</v>
      </c>
    </row>
    <row r="319" spans="1:8" ht="14.25" hidden="1" customHeight="1" x14ac:dyDescent="0.3">
      <c r="A319" s="2" t="s">
        <v>82</v>
      </c>
      <c r="B319" s="60" t="s">
        <v>155</v>
      </c>
      <c r="C319" s="60" t="s">
        <v>170</v>
      </c>
      <c r="D319" s="68">
        <v>10</v>
      </c>
      <c r="E319" s="73">
        <v>32.549999999999997</v>
      </c>
      <c r="F319" s="79">
        <f>IFERROR(D319*E319,0)</f>
        <v>325.5</v>
      </c>
      <c r="G319" s="60" t="s">
        <v>98</v>
      </c>
      <c r="H319" s="60" t="s">
        <v>88</v>
      </c>
    </row>
    <row r="320" spans="1:8" ht="14.25" customHeight="1" x14ac:dyDescent="0.3">
      <c r="A320" s="2" t="s">
        <v>82</v>
      </c>
      <c r="B320" s="60" t="s">
        <v>155</v>
      </c>
      <c r="C320" s="60" t="s">
        <v>169</v>
      </c>
      <c r="D320" s="68">
        <v>10</v>
      </c>
      <c r="E320" s="73">
        <v>52.35</v>
      </c>
      <c r="F320" s="79">
        <f>IFERROR(D320*E320,0)</f>
        <v>523.5</v>
      </c>
      <c r="G320" s="60" t="s">
        <v>98</v>
      </c>
      <c r="H320" s="60" t="s">
        <v>88</v>
      </c>
    </row>
    <row r="321" spans="1:8" ht="14.25" hidden="1" customHeight="1" x14ac:dyDescent="0.3">
      <c r="A321" s="2" t="s">
        <v>82</v>
      </c>
      <c r="B321" s="60" t="s">
        <v>162</v>
      </c>
      <c r="C321" s="60" t="s">
        <v>221</v>
      </c>
      <c r="D321" s="68"/>
      <c r="E321" s="73"/>
      <c r="F321" s="79">
        <f>IFERROR(D321*E321,0)</f>
        <v>0</v>
      </c>
      <c r="G321" s="60" t="str">
        <f>INDEX(SETORES!$B:$B,MATCH(A321,SETORES!$A:$A,0))</f>
        <v>Clientes</v>
      </c>
      <c r="H321" s="60" t="s">
        <v>88</v>
      </c>
    </row>
    <row r="322" spans="1:8" ht="14.25" hidden="1" customHeight="1" x14ac:dyDescent="0.3">
      <c r="A322" s="2" t="s">
        <v>82</v>
      </c>
      <c r="B322" s="60" t="s">
        <v>155</v>
      </c>
      <c r="C322" s="60" t="s">
        <v>161</v>
      </c>
      <c r="D322" s="68">
        <v>1</v>
      </c>
      <c r="E322" s="73">
        <v>108616.1</v>
      </c>
      <c r="F322" s="79">
        <f>IFERROR(D322*E322,0)</f>
        <v>108616.1</v>
      </c>
      <c r="G322" s="60" t="str">
        <f>INDEX(SETORES!$B:$B,MATCH(A322,SETORES!$A:$A,0))</f>
        <v>Clientes</v>
      </c>
      <c r="H322" s="60" t="s">
        <v>88</v>
      </c>
    </row>
    <row r="323" spans="1:8" ht="14.25" hidden="1" customHeight="1" x14ac:dyDescent="0.3">
      <c r="A323" s="2" t="s">
        <v>82</v>
      </c>
      <c r="B323" s="60" t="s">
        <v>155</v>
      </c>
      <c r="C323" s="60" t="s">
        <v>167</v>
      </c>
      <c r="D323" s="68"/>
      <c r="E323" s="73"/>
      <c r="F323" s="79">
        <f>IFERROR(D323*E323,0)</f>
        <v>0</v>
      </c>
      <c r="G323" s="60" t="str">
        <f>INDEX(SETORES!$B:$B,MATCH(A323,SETORES!$A:$A,0))</f>
        <v>Clientes</v>
      </c>
      <c r="H323" s="60" t="s">
        <v>88</v>
      </c>
    </row>
    <row r="324" spans="1:8" ht="14.25" hidden="1" customHeight="1" x14ac:dyDescent="0.3">
      <c r="A324" s="2" t="s">
        <v>82</v>
      </c>
      <c r="B324" s="60" t="s">
        <v>155</v>
      </c>
      <c r="C324" s="60" t="s">
        <v>166</v>
      </c>
      <c r="D324" s="68">
        <v>10</v>
      </c>
      <c r="E324" s="73">
        <v>50</v>
      </c>
      <c r="F324" s="79">
        <f>IFERROR(D324*E324,0)</f>
        <v>500</v>
      </c>
      <c r="G324" s="60" t="str">
        <f>INDEX(SETORES!$B:$B,MATCH(A324,SETORES!$A:$A,0))</f>
        <v>Clientes</v>
      </c>
      <c r="H324" s="60" t="s">
        <v>88</v>
      </c>
    </row>
    <row r="325" spans="1:8" ht="14.25" hidden="1" customHeight="1" x14ac:dyDescent="0.3">
      <c r="A325" s="2" t="s">
        <v>82</v>
      </c>
      <c r="B325" s="60" t="s">
        <v>162</v>
      </c>
      <c r="C325" s="60" t="s">
        <v>222</v>
      </c>
      <c r="D325" s="68"/>
      <c r="E325" s="73"/>
      <c r="F325" s="79">
        <f>IFERROR(D325*E325,0)</f>
        <v>0</v>
      </c>
      <c r="G325" s="60" t="str">
        <f>INDEX(SETORES!$B:$B,MATCH(A325,SETORES!$A:$A,0))</f>
        <v>Clientes</v>
      </c>
      <c r="H325" s="60" t="s">
        <v>88</v>
      </c>
    </row>
    <row r="326" spans="1:8" ht="14.25" hidden="1" customHeight="1" x14ac:dyDescent="0.3">
      <c r="A326" s="2" t="s">
        <v>82</v>
      </c>
      <c r="B326" s="60" t="s">
        <v>155</v>
      </c>
      <c r="C326" s="60" t="s">
        <v>168</v>
      </c>
      <c r="D326" s="68">
        <v>10</v>
      </c>
      <c r="E326" s="73">
        <v>1.87</v>
      </c>
      <c r="F326" s="79">
        <f>IFERROR(D326*E326,0)</f>
        <v>18.700000000000003</v>
      </c>
      <c r="G326" s="60" t="str">
        <f>INDEX(SETORES!$B:$B,MATCH(A326,SETORES!$A:$A,0))</f>
        <v>Clientes</v>
      </c>
      <c r="H326" s="60" t="s">
        <v>88</v>
      </c>
    </row>
    <row r="327" spans="1:8" ht="14.25" hidden="1" customHeight="1" x14ac:dyDescent="0.3">
      <c r="A327" s="2" t="s">
        <v>34</v>
      </c>
      <c r="B327" s="60" t="s">
        <v>155</v>
      </c>
      <c r="C327" s="60" t="s">
        <v>159</v>
      </c>
      <c r="D327" s="68"/>
      <c r="E327" s="73"/>
      <c r="F327" s="79">
        <f>IFERROR(D327*E327,0)</f>
        <v>0</v>
      </c>
      <c r="G327" s="60" t="str">
        <f>INDEX(SETORES!$B:$B,MATCH(A327,SETORES!$A:$A,0))</f>
        <v>Clientes</v>
      </c>
      <c r="H327" s="60" t="s">
        <v>88</v>
      </c>
    </row>
    <row r="328" spans="1:8" ht="14.25" hidden="1" customHeight="1" x14ac:dyDescent="0.3">
      <c r="A328" s="2" t="s">
        <v>34</v>
      </c>
      <c r="B328" s="60" t="s">
        <v>155</v>
      </c>
      <c r="C328" s="60" t="s">
        <v>212</v>
      </c>
      <c r="D328" s="68">
        <v>2</v>
      </c>
      <c r="E328" s="73">
        <v>30</v>
      </c>
      <c r="F328" s="79">
        <f>IFERROR(D328*E328,0)</f>
        <v>60</v>
      </c>
      <c r="G328" s="60" t="str">
        <f>INDEX(SETORES!$B:$B,MATCH(A328,SETORES!$A:$A,0))</f>
        <v>Clientes</v>
      </c>
      <c r="H328" s="60" t="s">
        <v>88</v>
      </c>
    </row>
    <row r="329" spans="1:8" ht="14.25" hidden="1" customHeight="1" x14ac:dyDescent="0.3">
      <c r="A329" s="2" t="s">
        <v>34</v>
      </c>
      <c r="B329" s="60" t="s">
        <v>155</v>
      </c>
      <c r="C329" s="60" t="s">
        <v>248</v>
      </c>
      <c r="D329" s="68">
        <v>1</v>
      </c>
      <c r="E329" s="73">
        <v>4947.47</v>
      </c>
      <c r="F329" s="79">
        <f>IFERROR(D329*E329,0)</f>
        <v>4947.47</v>
      </c>
      <c r="G329" s="60" t="str">
        <f>INDEX(SETORES!$B:$B,MATCH(A329,SETORES!$A:$A,0))</f>
        <v>Clientes</v>
      </c>
      <c r="H329" s="60" t="s">
        <v>88</v>
      </c>
    </row>
    <row r="330" spans="1:8" ht="14.25" hidden="1" customHeight="1" x14ac:dyDescent="0.3">
      <c r="A330" s="2" t="s">
        <v>34</v>
      </c>
      <c r="B330" s="60" t="s">
        <v>155</v>
      </c>
      <c r="C330" s="60" t="s">
        <v>171</v>
      </c>
      <c r="D330" s="68">
        <v>17</v>
      </c>
      <c r="E330" s="73">
        <v>52.09</v>
      </c>
      <c r="F330" s="79">
        <f>IFERROR(D330*E330,0)</f>
        <v>885.53000000000009</v>
      </c>
      <c r="G330" s="60" t="s">
        <v>98</v>
      </c>
      <c r="H330" s="60" t="s">
        <v>88</v>
      </c>
    </row>
    <row r="331" spans="1:8" ht="14.25" hidden="1" customHeight="1" x14ac:dyDescent="0.3">
      <c r="A331" s="2" t="s">
        <v>34</v>
      </c>
      <c r="B331" s="60" t="s">
        <v>155</v>
      </c>
      <c r="C331" s="60" t="s">
        <v>170</v>
      </c>
      <c r="D331" s="68">
        <v>17</v>
      </c>
      <c r="E331" s="73">
        <v>32.549999999999997</v>
      </c>
      <c r="F331" s="79">
        <f>IFERROR(D331*E331,0)</f>
        <v>553.34999999999991</v>
      </c>
      <c r="G331" s="60" t="s">
        <v>98</v>
      </c>
      <c r="H331" s="60" t="s">
        <v>88</v>
      </c>
    </row>
    <row r="332" spans="1:8" ht="14.25" customHeight="1" x14ac:dyDescent="0.3">
      <c r="A332" s="2" t="s">
        <v>34</v>
      </c>
      <c r="B332" s="60" t="s">
        <v>155</v>
      </c>
      <c r="C332" s="60" t="s">
        <v>169</v>
      </c>
      <c r="D332" s="68">
        <v>17</v>
      </c>
      <c r="E332" s="73">
        <v>52.35</v>
      </c>
      <c r="F332" s="79">
        <f>IFERROR(D332*E332,0)</f>
        <v>889.95</v>
      </c>
      <c r="G332" s="60" t="s">
        <v>98</v>
      </c>
      <c r="H332" s="60" t="s">
        <v>88</v>
      </c>
    </row>
    <row r="333" spans="1:8" ht="14.25" hidden="1" customHeight="1" x14ac:dyDescent="0.3">
      <c r="A333" s="2" t="s">
        <v>34</v>
      </c>
      <c r="B333" s="60" t="s">
        <v>155</v>
      </c>
      <c r="C333" s="60" t="s">
        <v>158</v>
      </c>
      <c r="D333" s="68"/>
      <c r="E333" s="73"/>
      <c r="F333" s="79">
        <f>IFERROR(D333*E333,0)</f>
        <v>0</v>
      </c>
      <c r="G333" s="60" t="str">
        <f>INDEX(SETORES!$B:$B,MATCH(A333,SETORES!$A:$A,0))</f>
        <v>Clientes</v>
      </c>
      <c r="H333" s="60" t="s">
        <v>88</v>
      </c>
    </row>
    <row r="334" spans="1:8" ht="14.25" hidden="1" customHeight="1" x14ac:dyDescent="0.3">
      <c r="A334" s="2" t="s">
        <v>34</v>
      </c>
      <c r="B334" s="60" t="s">
        <v>162</v>
      </c>
      <c r="C334" s="60" t="s">
        <v>165</v>
      </c>
      <c r="D334" s="68"/>
      <c r="E334" s="73"/>
      <c r="F334" s="79">
        <f>IFERROR(D334*E334,0)</f>
        <v>0</v>
      </c>
      <c r="G334" s="60" t="str">
        <f>INDEX(SETORES!$B:$B,MATCH(A334,SETORES!$A:$A,0))</f>
        <v>Clientes</v>
      </c>
      <c r="H334" s="60" t="s">
        <v>88</v>
      </c>
    </row>
    <row r="335" spans="1:8" ht="14.25" hidden="1" customHeight="1" x14ac:dyDescent="0.3">
      <c r="A335" s="2" t="s">
        <v>34</v>
      </c>
      <c r="B335" s="60" t="s">
        <v>162</v>
      </c>
      <c r="C335" s="60" t="s">
        <v>163</v>
      </c>
      <c r="D335" s="68">
        <v>1</v>
      </c>
      <c r="E335" s="73">
        <v>180</v>
      </c>
      <c r="F335" s="79">
        <f>IFERROR(D335*E335,0)</f>
        <v>180</v>
      </c>
      <c r="G335" s="60" t="str">
        <f>INDEX(SETORES!$B:$B,MATCH(A335,SETORES!$A:$A,0))</f>
        <v>Clientes</v>
      </c>
      <c r="H335" s="60" t="s">
        <v>88</v>
      </c>
    </row>
    <row r="336" spans="1:8" ht="14.25" hidden="1" customHeight="1" x14ac:dyDescent="0.3">
      <c r="A336" s="2" t="s">
        <v>34</v>
      </c>
      <c r="B336" s="60" t="s">
        <v>162</v>
      </c>
      <c r="C336" s="60" t="s">
        <v>164</v>
      </c>
      <c r="D336" s="68"/>
      <c r="E336" s="73"/>
      <c r="F336" s="79">
        <f>IFERROR(D336*E336,0)</f>
        <v>0</v>
      </c>
      <c r="G336" s="60" t="str">
        <f>INDEX(SETORES!$B:$B,MATCH(A336,SETORES!$A:$A,0))</f>
        <v>Clientes</v>
      </c>
      <c r="H336" s="60" t="s">
        <v>88</v>
      </c>
    </row>
    <row r="337" spans="1:8" ht="14.25" hidden="1" customHeight="1" x14ac:dyDescent="0.3">
      <c r="A337" s="2" t="s">
        <v>34</v>
      </c>
      <c r="B337" s="60" t="s">
        <v>155</v>
      </c>
      <c r="C337" s="60" t="s">
        <v>161</v>
      </c>
      <c r="D337" s="68">
        <v>1</v>
      </c>
      <c r="E337" s="73">
        <v>55556.32</v>
      </c>
      <c r="F337" s="79">
        <f>IFERROR(D337*E337,0)</f>
        <v>55556.32</v>
      </c>
      <c r="G337" s="60" t="str">
        <f>INDEX(SETORES!$B:$B,MATCH(A337,SETORES!$A:$A,0))</f>
        <v>Clientes</v>
      </c>
      <c r="H337" s="60" t="s">
        <v>88</v>
      </c>
    </row>
    <row r="338" spans="1:8" ht="14.25" hidden="1" customHeight="1" x14ac:dyDescent="0.3">
      <c r="A338" s="2" t="s">
        <v>34</v>
      </c>
      <c r="B338" s="60" t="s">
        <v>155</v>
      </c>
      <c r="C338" s="60" t="s">
        <v>167</v>
      </c>
      <c r="D338" s="68"/>
      <c r="E338" s="73"/>
      <c r="F338" s="79">
        <f>IFERROR(D338*E338,0)</f>
        <v>0</v>
      </c>
      <c r="G338" s="60" t="str">
        <f>INDEX(SETORES!$B:$B,MATCH(A338,SETORES!$A:$A,0))</f>
        <v>Clientes</v>
      </c>
      <c r="H338" s="60" t="s">
        <v>88</v>
      </c>
    </row>
    <row r="339" spans="1:8" ht="14.25" hidden="1" customHeight="1" x14ac:dyDescent="0.3">
      <c r="A339" s="2" t="s">
        <v>34</v>
      </c>
      <c r="B339" s="60" t="s">
        <v>155</v>
      </c>
      <c r="C339" s="60" t="s">
        <v>238</v>
      </c>
      <c r="D339" s="68"/>
      <c r="E339" s="73"/>
      <c r="F339" s="79">
        <f>IFERROR(D339*E339,0)</f>
        <v>0</v>
      </c>
      <c r="G339" s="60" t="str">
        <f>INDEX(SETORES!$B:$B,MATCH(A339,SETORES!$A:$A,0))</f>
        <v>Clientes</v>
      </c>
      <c r="H339" s="60" t="s">
        <v>88</v>
      </c>
    </row>
    <row r="340" spans="1:8" ht="14.25" hidden="1" customHeight="1" x14ac:dyDescent="0.3">
      <c r="A340" s="2" t="s">
        <v>34</v>
      </c>
      <c r="B340" s="60" t="s">
        <v>155</v>
      </c>
      <c r="C340" s="60" t="s">
        <v>258</v>
      </c>
      <c r="D340" s="68">
        <v>1</v>
      </c>
      <c r="E340" s="73">
        <v>329.56</v>
      </c>
      <c r="F340" s="79">
        <f>IFERROR(D340*E340,0)</f>
        <v>329.56</v>
      </c>
      <c r="G340" s="60" t="str">
        <f>INDEX(SETORES!$B:$B,MATCH(A340,SETORES!$A:$A,0))</f>
        <v>Clientes</v>
      </c>
      <c r="H340" s="60" t="s">
        <v>88</v>
      </c>
    </row>
    <row r="341" spans="1:8" ht="14.25" hidden="1" customHeight="1" x14ac:dyDescent="0.3">
      <c r="A341" s="2" t="s">
        <v>34</v>
      </c>
      <c r="B341" s="60" t="s">
        <v>155</v>
      </c>
      <c r="C341" s="60" t="s">
        <v>166</v>
      </c>
      <c r="D341" s="68">
        <v>17</v>
      </c>
      <c r="E341" s="73">
        <v>50</v>
      </c>
      <c r="F341" s="79">
        <f>IFERROR(D341*E341,0)</f>
        <v>850</v>
      </c>
      <c r="G341" s="60" t="str">
        <f>INDEX(SETORES!$B:$B,MATCH(A341,SETORES!$A:$A,0))</f>
        <v>Clientes</v>
      </c>
      <c r="H341" s="60" t="s">
        <v>88</v>
      </c>
    </row>
    <row r="342" spans="1:8" ht="14.25" hidden="1" customHeight="1" x14ac:dyDescent="0.3">
      <c r="A342" s="2" t="s">
        <v>34</v>
      </c>
      <c r="B342" s="60" t="s">
        <v>155</v>
      </c>
      <c r="C342" s="60" t="s">
        <v>156</v>
      </c>
      <c r="D342" s="68">
        <v>1</v>
      </c>
      <c r="E342" s="73">
        <v>840.67</v>
      </c>
      <c r="F342" s="79">
        <f>IFERROR(D342*E342,0)</f>
        <v>840.67</v>
      </c>
      <c r="G342" s="60" t="str">
        <f>INDEX(SETORES!$B:$B,MATCH(A342,SETORES!$A:$A,0))</f>
        <v>Clientes</v>
      </c>
      <c r="H342" s="60" t="s">
        <v>88</v>
      </c>
    </row>
    <row r="343" spans="1:8" ht="14.25" hidden="1" customHeight="1" x14ac:dyDescent="0.3">
      <c r="A343" s="2" t="s">
        <v>34</v>
      </c>
      <c r="B343" s="60" t="s">
        <v>155</v>
      </c>
      <c r="C343" s="60" t="s">
        <v>157</v>
      </c>
      <c r="D343" s="68">
        <v>1</v>
      </c>
      <c r="E343" s="73">
        <v>882.22</v>
      </c>
      <c r="F343" s="79">
        <f>IFERROR(D343*E343,0)</f>
        <v>882.22</v>
      </c>
      <c r="G343" s="60" t="str">
        <f>INDEX(SETORES!$B:$B,MATCH(A343,SETORES!$A:$A,0))</f>
        <v>Clientes</v>
      </c>
      <c r="H343" s="60" t="s">
        <v>88</v>
      </c>
    </row>
    <row r="344" spans="1:8" ht="14.25" hidden="1" customHeight="1" x14ac:dyDescent="0.3">
      <c r="A344" s="2" t="s">
        <v>34</v>
      </c>
      <c r="B344" s="60" t="s">
        <v>162</v>
      </c>
      <c r="C344" s="60" t="s">
        <v>222</v>
      </c>
      <c r="D344" s="68"/>
      <c r="E344" s="73"/>
      <c r="F344" s="79">
        <f>IFERROR(D344*E344,0)</f>
        <v>0</v>
      </c>
      <c r="G344" s="60" t="str">
        <f>INDEX(SETORES!$B:$B,MATCH(A344,SETORES!$A:$A,0))</f>
        <v>Clientes</v>
      </c>
      <c r="H344" s="60" t="s">
        <v>88</v>
      </c>
    </row>
    <row r="345" spans="1:8" ht="14.25" hidden="1" customHeight="1" x14ac:dyDescent="0.3">
      <c r="A345" s="2" t="s">
        <v>34</v>
      </c>
      <c r="B345" s="60" t="s">
        <v>155</v>
      </c>
      <c r="C345" s="60" t="s">
        <v>168</v>
      </c>
      <c r="D345" s="68">
        <v>17</v>
      </c>
      <c r="E345" s="73">
        <v>1.87</v>
      </c>
      <c r="F345" s="79">
        <f>IFERROR(D345*E345,0)</f>
        <v>31.790000000000003</v>
      </c>
      <c r="G345" s="60" t="str">
        <f>INDEX(SETORES!$B:$B,MATCH(A345,SETORES!$A:$A,0))</f>
        <v>Clientes</v>
      </c>
      <c r="H345" s="60" t="s">
        <v>88</v>
      </c>
    </row>
    <row r="346" spans="1:8" ht="14.25" hidden="1" customHeight="1" x14ac:dyDescent="0.3">
      <c r="A346" s="2" t="s">
        <v>34</v>
      </c>
      <c r="B346" s="60" t="s">
        <v>155</v>
      </c>
      <c r="C346" s="60" t="s">
        <v>160</v>
      </c>
      <c r="D346" s="68"/>
      <c r="E346" s="73"/>
      <c r="F346" s="79">
        <f>IFERROR(D346*E346,0)</f>
        <v>0</v>
      </c>
      <c r="G346" s="60" t="str">
        <f>INDEX(SETORES!$B:$B,MATCH(A346,SETORES!$A:$A,0))</f>
        <v>Clientes</v>
      </c>
      <c r="H346" s="60" t="s">
        <v>88</v>
      </c>
    </row>
    <row r="347" spans="1:8" ht="14.25" hidden="1" customHeight="1" x14ac:dyDescent="0.3">
      <c r="A347" s="2" t="s">
        <v>83</v>
      </c>
      <c r="B347" s="60" t="s">
        <v>155</v>
      </c>
      <c r="C347" s="60" t="s">
        <v>212</v>
      </c>
      <c r="D347" s="68">
        <v>2</v>
      </c>
      <c r="E347" s="73">
        <v>30</v>
      </c>
      <c r="F347" s="79">
        <f>IFERROR(D347*E347,0)</f>
        <v>60</v>
      </c>
      <c r="G347" s="60" t="str">
        <f>INDEX(SETORES!$B:$B,MATCH(A347,SETORES!$A:$A,0))</f>
        <v>Clientes</v>
      </c>
      <c r="H347" s="60" t="s">
        <v>88</v>
      </c>
    </row>
    <row r="348" spans="1:8" ht="14.25" hidden="1" customHeight="1" x14ac:dyDescent="0.3">
      <c r="A348" s="2" t="s">
        <v>83</v>
      </c>
      <c r="B348" s="60" t="s">
        <v>162</v>
      </c>
      <c r="C348" s="60" t="s">
        <v>217</v>
      </c>
      <c r="D348" s="68">
        <v>1</v>
      </c>
      <c r="E348" s="73">
        <v>1280.0999999999999</v>
      </c>
      <c r="F348" s="79">
        <f>IFERROR(D348*E348,0)</f>
        <v>1280.0999999999999</v>
      </c>
      <c r="G348" s="60" t="str">
        <f>INDEX(SETORES!$B:$B,MATCH(A348,SETORES!$A:$A,0))</f>
        <v>Clientes</v>
      </c>
      <c r="H348" s="60" t="s">
        <v>88</v>
      </c>
    </row>
    <row r="349" spans="1:8" ht="14.25" hidden="1" customHeight="1" x14ac:dyDescent="0.3">
      <c r="A349" s="2" t="s">
        <v>83</v>
      </c>
      <c r="B349" s="60" t="s">
        <v>155</v>
      </c>
      <c r="C349" s="60" t="s">
        <v>237</v>
      </c>
      <c r="D349" s="68">
        <v>1</v>
      </c>
      <c r="E349" s="73">
        <v>7500</v>
      </c>
      <c r="F349" s="79">
        <f>IFERROR(D349*E349,0)</f>
        <v>7500</v>
      </c>
      <c r="G349" s="60" t="str">
        <f>INDEX(SETORES!$B:$B,MATCH(A349,SETORES!$A:$A,0))</f>
        <v>Clientes</v>
      </c>
      <c r="H349" s="60" t="s">
        <v>88</v>
      </c>
    </row>
    <row r="350" spans="1:8" ht="14.25" hidden="1" customHeight="1" x14ac:dyDescent="0.3">
      <c r="A350" s="2" t="s">
        <v>83</v>
      </c>
      <c r="B350" s="60" t="s">
        <v>155</v>
      </c>
      <c r="C350" s="60" t="s">
        <v>171</v>
      </c>
      <c r="D350" s="68">
        <v>2</v>
      </c>
      <c r="E350" s="73">
        <v>52.09</v>
      </c>
      <c r="F350" s="79">
        <f>IFERROR(D350*E350,0)</f>
        <v>104.18</v>
      </c>
      <c r="G350" s="60" t="s">
        <v>98</v>
      </c>
      <c r="H350" s="60" t="s">
        <v>88</v>
      </c>
    </row>
    <row r="351" spans="1:8" ht="14.25" hidden="1" customHeight="1" x14ac:dyDescent="0.3">
      <c r="A351" s="2" t="s">
        <v>83</v>
      </c>
      <c r="B351" s="60" t="s">
        <v>155</v>
      </c>
      <c r="C351" s="60" t="s">
        <v>170</v>
      </c>
      <c r="D351" s="68">
        <v>2</v>
      </c>
      <c r="E351" s="73">
        <v>32.549999999999997</v>
      </c>
      <c r="F351" s="79">
        <f>IFERROR(D351*E351,0)</f>
        <v>65.099999999999994</v>
      </c>
      <c r="G351" s="60" t="s">
        <v>98</v>
      </c>
      <c r="H351" s="60" t="s">
        <v>88</v>
      </c>
    </row>
    <row r="352" spans="1:8" ht="14.25" customHeight="1" x14ac:dyDescent="0.3">
      <c r="A352" s="2" t="s">
        <v>83</v>
      </c>
      <c r="B352" s="60" t="s">
        <v>155</v>
      </c>
      <c r="C352" s="60" t="s">
        <v>169</v>
      </c>
      <c r="D352" s="68">
        <v>2</v>
      </c>
      <c r="E352" s="73">
        <v>52.35</v>
      </c>
      <c r="F352" s="79">
        <f>IFERROR(D352*E352,0)</f>
        <v>104.7</v>
      </c>
      <c r="G352" s="60" t="s">
        <v>98</v>
      </c>
      <c r="H352" s="60" t="s">
        <v>88</v>
      </c>
    </row>
    <row r="353" spans="1:8" ht="14.25" hidden="1" customHeight="1" x14ac:dyDescent="0.3">
      <c r="A353" s="2" t="s">
        <v>83</v>
      </c>
      <c r="B353" s="60" t="s">
        <v>155</v>
      </c>
      <c r="C353" s="60" t="s">
        <v>161</v>
      </c>
      <c r="D353" s="68">
        <v>1</v>
      </c>
      <c r="E353" s="73">
        <v>7846.31</v>
      </c>
      <c r="F353" s="79">
        <f>IFERROR(D353*E353,0)</f>
        <v>7846.31</v>
      </c>
      <c r="G353" s="60" t="str">
        <f>INDEX(SETORES!$B:$B,MATCH(A353,SETORES!$A:$A,0))</f>
        <v>Clientes</v>
      </c>
      <c r="H353" s="60" t="s">
        <v>88</v>
      </c>
    </row>
    <row r="354" spans="1:8" ht="14.25" hidden="1" customHeight="1" x14ac:dyDescent="0.3">
      <c r="A354" s="2" t="s">
        <v>83</v>
      </c>
      <c r="B354" s="60" t="s">
        <v>155</v>
      </c>
      <c r="C354" s="60" t="s">
        <v>167</v>
      </c>
      <c r="D354" s="68"/>
      <c r="E354" s="73"/>
      <c r="F354" s="79">
        <f>IFERROR(D354*E354,0)</f>
        <v>0</v>
      </c>
      <c r="G354" s="60" t="str">
        <f>INDEX(SETORES!$B:$B,MATCH(A354,SETORES!$A:$A,0))</f>
        <v>Clientes</v>
      </c>
      <c r="H354" s="60" t="s">
        <v>88</v>
      </c>
    </row>
    <row r="355" spans="1:8" ht="14.25" hidden="1" customHeight="1" x14ac:dyDescent="0.3">
      <c r="A355" s="2" t="s">
        <v>83</v>
      </c>
      <c r="B355" s="60" t="s">
        <v>155</v>
      </c>
      <c r="C355" s="60" t="s">
        <v>238</v>
      </c>
      <c r="D355" s="68"/>
      <c r="E355" s="73"/>
      <c r="F355" s="79">
        <f>IFERROR(D355*E355,0)</f>
        <v>0</v>
      </c>
      <c r="G355" s="60" t="str">
        <f>INDEX(SETORES!$B:$B,MATCH(A355,SETORES!$A:$A,0))</f>
        <v>Clientes</v>
      </c>
      <c r="H355" s="60" t="s">
        <v>88</v>
      </c>
    </row>
    <row r="356" spans="1:8" ht="14.25" hidden="1" customHeight="1" x14ac:dyDescent="0.3">
      <c r="A356" s="2" t="s">
        <v>83</v>
      </c>
      <c r="B356" s="60" t="s">
        <v>155</v>
      </c>
      <c r="C356" s="60" t="s">
        <v>166</v>
      </c>
      <c r="D356" s="68">
        <v>2</v>
      </c>
      <c r="E356" s="73">
        <v>50</v>
      </c>
      <c r="F356" s="79">
        <f>IFERROR(D356*E356,0)</f>
        <v>100</v>
      </c>
      <c r="G356" s="60" t="str">
        <f>INDEX(SETORES!$B:$B,MATCH(A356,SETORES!$A:$A,0))</f>
        <v>Clientes</v>
      </c>
      <c r="H356" s="60" t="s">
        <v>88</v>
      </c>
    </row>
    <row r="357" spans="1:8" ht="14.25" hidden="1" customHeight="1" x14ac:dyDescent="0.3">
      <c r="A357" s="2" t="s">
        <v>83</v>
      </c>
      <c r="B357" s="60" t="s">
        <v>155</v>
      </c>
      <c r="C357" s="60" t="s">
        <v>157</v>
      </c>
      <c r="D357" s="68">
        <v>1</v>
      </c>
      <c r="E357" s="73">
        <v>150.41999999999999</v>
      </c>
      <c r="F357" s="79">
        <f>IFERROR(D357*E357,0)</f>
        <v>150.41999999999999</v>
      </c>
      <c r="G357" s="60" t="str">
        <f>INDEX(SETORES!$B:$B,MATCH(A357,SETORES!$A:$A,0))</f>
        <v>Clientes</v>
      </c>
      <c r="H357" s="60" t="s">
        <v>88</v>
      </c>
    </row>
    <row r="358" spans="1:8" ht="14.25" hidden="1" customHeight="1" x14ac:dyDescent="0.3">
      <c r="A358" s="2" t="s">
        <v>83</v>
      </c>
      <c r="B358" s="60" t="s">
        <v>162</v>
      </c>
      <c r="C358" s="60" t="s">
        <v>222</v>
      </c>
      <c r="D358" s="68"/>
      <c r="E358" s="73"/>
      <c r="F358" s="79">
        <f>IFERROR(D358*E358,0)</f>
        <v>0</v>
      </c>
      <c r="G358" s="60" t="str">
        <f>INDEX(SETORES!$B:$B,MATCH(A358,SETORES!$A:$A,0))</f>
        <v>Clientes</v>
      </c>
      <c r="H358" s="60" t="s">
        <v>88</v>
      </c>
    </row>
    <row r="359" spans="1:8" ht="14.25" hidden="1" customHeight="1" x14ac:dyDescent="0.3">
      <c r="A359" s="2" t="s">
        <v>83</v>
      </c>
      <c r="B359" s="60" t="s">
        <v>155</v>
      </c>
      <c r="C359" s="60" t="s">
        <v>168</v>
      </c>
      <c r="D359" s="68">
        <v>2</v>
      </c>
      <c r="E359" s="73">
        <v>1.87</v>
      </c>
      <c r="F359" s="79">
        <f>IFERROR(D359*E359,0)</f>
        <v>3.74</v>
      </c>
      <c r="G359" s="60" t="str">
        <f>INDEX(SETORES!$B:$B,MATCH(A359,SETORES!$A:$A,0))</f>
        <v>Clientes</v>
      </c>
      <c r="H359" s="60" t="s">
        <v>88</v>
      </c>
    </row>
    <row r="360" spans="1:8" ht="14.25" hidden="1" customHeight="1" x14ac:dyDescent="0.3">
      <c r="A360" s="2" t="s">
        <v>84</v>
      </c>
      <c r="B360" s="60" t="s">
        <v>162</v>
      </c>
      <c r="C360" s="60" t="s">
        <v>217</v>
      </c>
      <c r="D360" s="68">
        <v>1</v>
      </c>
      <c r="E360" s="73">
        <v>12181.5</v>
      </c>
      <c r="F360" s="79">
        <f>IFERROR(D360*E360,0)</f>
        <v>12181.5</v>
      </c>
      <c r="G360" s="60" t="str">
        <f>INDEX(SETORES!$B:$B,MATCH(A360,SETORES!$A:$A,0))</f>
        <v>Clientes</v>
      </c>
      <c r="H360" s="60" t="s">
        <v>88</v>
      </c>
    </row>
    <row r="361" spans="1:8" ht="14.25" hidden="1" customHeight="1" x14ac:dyDescent="0.3">
      <c r="A361" s="2" t="s">
        <v>84</v>
      </c>
      <c r="B361" s="60" t="s">
        <v>155</v>
      </c>
      <c r="C361" s="60" t="s">
        <v>250</v>
      </c>
      <c r="D361" s="68">
        <v>1</v>
      </c>
      <c r="E361" s="73">
        <v>4198.71</v>
      </c>
      <c r="F361" s="79">
        <f>IFERROR(D361*E361,0)</f>
        <v>4198.71</v>
      </c>
      <c r="G361" s="60" t="str">
        <f>INDEX(SETORES!$B:$B,MATCH(A361,SETORES!$A:$A,0))</f>
        <v>Clientes</v>
      </c>
      <c r="H361" s="60" t="s">
        <v>88</v>
      </c>
    </row>
    <row r="362" spans="1:8" ht="14.25" hidden="1" customHeight="1" x14ac:dyDescent="0.3">
      <c r="A362" s="2" t="s">
        <v>84</v>
      </c>
      <c r="B362" s="60" t="s">
        <v>155</v>
      </c>
      <c r="C362" s="60" t="s">
        <v>171</v>
      </c>
      <c r="D362" s="68">
        <v>24</v>
      </c>
      <c r="E362" s="73">
        <v>52.09</v>
      </c>
      <c r="F362" s="79">
        <f>IFERROR(D362*E362,0)</f>
        <v>1250.1600000000001</v>
      </c>
      <c r="G362" s="60" t="s">
        <v>98</v>
      </c>
      <c r="H362" s="60" t="s">
        <v>88</v>
      </c>
    </row>
    <row r="363" spans="1:8" ht="14.25" hidden="1" customHeight="1" x14ac:dyDescent="0.3">
      <c r="A363" s="2" t="s">
        <v>84</v>
      </c>
      <c r="B363" s="60" t="s">
        <v>155</v>
      </c>
      <c r="C363" s="60" t="s">
        <v>170</v>
      </c>
      <c r="D363" s="68">
        <v>24</v>
      </c>
      <c r="E363" s="73">
        <v>32.549999999999997</v>
      </c>
      <c r="F363" s="79">
        <f>IFERROR(D363*E363,0)</f>
        <v>781.19999999999993</v>
      </c>
      <c r="G363" s="60" t="s">
        <v>98</v>
      </c>
      <c r="H363" s="60" t="s">
        <v>88</v>
      </c>
    </row>
    <row r="364" spans="1:8" ht="14.25" customHeight="1" x14ac:dyDescent="0.3">
      <c r="A364" s="2" t="s">
        <v>84</v>
      </c>
      <c r="B364" s="60" t="s">
        <v>155</v>
      </c>
      <c r="C364" s="60" t="s">
        <v>169</v>
      </c>
      <c r="D364" s="68">
        <v>24</v>
      </c>
      <c r="E364" s="73">
        <v>52.35</v>
      </c>
      <c r="F364" s="79">
        <f>IFERROR(D364*E364,0)</f>
        <v>1256.4000000000001</v>
      </c>
      <c r="G364" s="60" t="s">
        <v>98</v>
      </c>
      <c r="H364" s="60" t="s">
        <v>88</v>
      </c>
    </row>
    <row r="365" spans="1:8" ht="14.25" hidden="1" customHeight="1" x14ac:dyDescent="0.3">
      <c r="A365" s="2" t="s">
        <v>84</v>
      </c>
      <c r="B365" s="60" t="s">
        <v>162</v>
      </c>
      <c r="C365" s="60" t="s">
        <v>221</v>
      </c>
      <c r="D365" s="68"/>
      <c r="E365" s="73"/>
      <c r="F365" s="79">
        <f>IFERROR(D365*E365,0)</f>
        <v>0</v>
      </c>
      <c r="G365" s="60" t="str">
        <f>INDEX(SETORES!$B:$B,MATCH(A365,SETORES!$A:$A,0))</f>
        <v>Clientes</v>
      </c>
      <c r="H365" s="60" t="s">
        <v>88</v>
      </c>
    </row>
    <row r="366" spans="1:8" ht="14.25" hidden="1" customHeight="1" x14ac:dyDescent="0.3">
      <c r="A366" s="2" t="s">
        <v>84</v>
      </c>
      <c r="B366" s="60" t="s">
        <v>155</v>
      </c>
      <c r="C366" s="60" t="s">
        <v>161</v>
      </c>
      <c r="D366" s="68">
        <v>1</v>
      </c>
      <c r="E366" s="73">
        <v>184970.83</v>
      </c>
      <c r="F366" s="79">
        <f>IFERROR(D366*E366,0)</f>
        <v>184970.83</v>
      </c>
      <c r="G366" s="60" t="str">
        <f>INDEX(SETORES!$B:$B,MATCH(A366,SETORES!$A:$A,0))</f>
        <v>Clientes</v>
      </c>
      <c r="H366" s="60" t="s">
        <v>88</v>
      </c>
    </row>
    <row r="367" spans="1:8" ht="14.25" hidden="1" customHeight="1" x14ac:dyDescent="0.3">
      <c r="A367" s="2" t="s">
        <v>84</v>
      </c>
      <c r="B367" s="60" t="s">
        <v>155</v>
      </c>
      <c r="C367" s="60" t="s">
        <v>167</v>
      </c>
      <c r="D367" s="68"/>
      <c r="E367" s="73"/>
      <c r="F367" s="79">
        <f>IFERROR(D367*E367,0)</f>
        <v>0</v>
      </c>
      <c r="G367" s="60" t="str">
        <f>INDEX(SETORES!$B:$B,MATCH(A367,SETORES!$A:$A,0))</f>
        <v>Clientes</v>
      </c>
      <c r="H367" s="60" t="s">
        <v>88</v>
      </c>
    </row>
    <row r="368" spans="1:8" ht="14.25" hidden="1" customHeight="1" x14ac:dyDescent="0.3">
      <c r="A368" s="2" t="s">
        <v>84</v>
      </c>
      <c r="B368" s="60" t="s">
        <v>155</v>
      </c>
      <c r="C368" s="60" t="s">
        <v>166</v>
      </c>
      <c r="D368" s="68">
        <v>24</v>
      </c>
      <c r="E368" s="73">
        <v>50</v>
      </c>
      <c r="F368" s="79">
        <f>IFERROR(D368*E368,0)</f>
        <v>1200</v>
      </c>
      <c r="G368" s="60" t="str">
        <f>INDEX(SETORES!$B:$B,MATCH(A368,SETORES!$A:$A,0))</f>
        <v>Clientes</v>
      </c>
      <c r="H368" s="60" t="s">
        <v>88</v>
      </c>
    </row>
    <row r="369" spans="1:8" ht="14.25" hidden="1" customHeight="1" x14ac:dyDescent="0.3">
      <c r="A369" s="2" t="s">
        <v>84</v>
      </c>
      <c r="B369" s="60" t="s">
        <v>155</v>
      </c>
      <c r="C369" s="60" t="s">
        <v>168</v>
      </c>
      <c r="D369" s="68">
        <v>24</v>
      </c>
      <c r="E369" s="73">
        <v>1.87</v>
      </c>
      <c r="F369" s="79">
        <f>IFERROR(D369*E369,0)</f>
        <v>44.88</v>
      </c>
      <c r="G369" s="60" t="str">
        <f>INDEX(SETORES!$B:$B,MATCH(A369,SETORES!$A:$A,0))</f>
        <v>Clientes</v>
      </c>
      <c r="H369" s="60" t="s">
        <v>88</v>
      </c>
    </row>
    <row r="370" spans="1:8" ht="14.25" hidden="1" customHeight="1" x14ac:dyDescent="0.3">
      <c r="A370" s="2" t="s">
        <v>48</v>
      </c>
      <c r="B370" s="60" t="s">
        <v>155</v>
      </c>
      <c r="C370" s="60" t="s">
        <v>159</v>
      </c>
      <c r="D370" s="68"/>
      <c r="E370" s="73"/>
      <c r="F370" s="79">
        <f>IFERROR(D370*E370,0)</f>
        <v>0</v>
      </c>
      <c r="G370" s="60" t="str">
        <f>INDEX(SETORES!$B:$B,MATCH(A370,SETORES!$A:$A,0))</f>
        <v>Clientes</v>
      </c>
      <c r="H370" s="60" t="s">
        <v>88</v>
      </c>
    </row>
    <row r="371" spans="1:8" ht="14.25" hidden="1" customHeight="1" x14ac:dyDescent="0.3">
      <c r="A371" s="2" t="s">
        <v>48</v>
      </c>
      <c r="B371" s="60" t="s">
        <v>155</v>
      </c>
      <c r="C371" s="60" t="s">
        <v>212</v>
      </c>
      <c r="D371" s="68">
        <v>7</v>
      </c>
      <c r="E371" s="73">
        <v>30</v>
      </c>
      <c r="F371" s="79">
        <f>IFERROR(D371*E371,0)</f>
        <v>210</v>
      </c>
      <c r="G371" s="60" t="str">
        <f>INDEX(SETORES!$B:$B,MATCH(A371,SETORES!$A:$A,0))</f>
        <v>Clientes</v>
      </c>
      <c r="H371" s="60" t="s">
        <v>88</v>
      </c>
    </row>
    <row r="372" spans="1:8" ht="14.25" hidden="1" customHeight="1" x14ac:dyDescent="0.3">
      <c r="A372" s="2" t="s">
        <v>48</v>
      </c>
      <c r="B372" s="60" t="s">
        <v>162</v>
      </c>
      <c r="C372" s="60" t="s">
        <v>217</v>
      </c>
      <c r="D372" s="68">
        <v>1</v>
      </c>
      <c r="E372" s="73">
        <v>39191.620000000003</v>
      </c>
      <c r="F372" s="79">
        <f>IFERROR(D372*E372,0)</f>
        <v>39191.620000000003</v>
      </c>
      <c r="G372" s="60" t="str">
        <f>INDEX(SETORES!$B:$B,MATCH(A372,SETORES!$A:$A,0))</f>
        <v>Clientes</v>
      </c>
      <c r="H372" s="60" t="s">
        <v>88</v>
      </c>
    </row>
    <row r="373" spans="1:8" ht="14.25" hidden="1" customHeight="1" x14ac:dyDescent="0.3">
      <c r="A373" s="2" t="s">
        <v>48</v>
      </c>
      <c r="B373" s="60" t="s">
        <v>162</v>
      </c>
      <c r="C373" s="60" t="s">
        <v>247</v>
      </c>
      <c r="D373" s="68"/>
      <c r="E373" s="73"/>
      <c r="F373" s="79">
        <f>IFERROR(D373*E373,0)</f>
        <v>0</v>
      </c>
      <c r="G373" s="60" t="str">
        <f>INDEX(SETORES!$B:$B,MATCH(A373,SETORES!$A:$A,0))</f>
        <v>Clientes</v>
      </c>
      <c r="H373" s="60" t="s">
        <v>88</v>
      </c>
    </row>
    <row r="374" spans="1:8" ht="14.25" hidden="1" customHeight="1" x14ac:dyDescent="0.3">
      <c r="A374" s="2" t="s">
        <v>48</v>
      </c>
      <c r="B374" s="60" t="s">
        <v>155</v>
      </c>
      <c r="C374" s="60" t="s">
        <v>256</v>
      </c>
      <c r="D374" s="68">
        <v>1</v>
      </c>
      <c r="E374" s="73">
        <v>11599.66</v>
      </c>
      <c r="F374" s="79">
        <f>IFERROR(D374*E374,0)</f>
        <v>11599.66</v>
      </c>
      <c r="G374" s="60" t="str">
        <f>INDEX(SETORES!$B:$B,MATCH(A374,SETORES!$A:$A,0))</f>
        <v>Clientes</v>
      </c>
      <c r="H374" s="60" t="s">
        <v>88</v>
      </c>
    </row>
    <row r="375" spans="1:8" ht="14.25" hidden="1" customHeight="1" x14ac:dyDescent="0.3">
      <c r="A375" s="2" t="s">
        <v>48</v>
      </c>
      <c r="B375" s="60" t="s">
        <v>155</v>
      </c>
      <c r="C375" s="60" t="s">
        <v>171</v>
      </c>
      <c r="D375" s="68">
        <v>16</v>
      </c>
      <c r="E375" s="73">
        <v>52.09</v>
      </c>
      <c r="F375" s="79">
        <f>IFERROR(D375*E375,0)</f>
        <v>833.44</v>
      </c>
      <c r="G375" s="60" t="s">
        <v>98</v>
      </c>
      <c r="H375" s="60" t="s">
        <v>88</v>
      </c>
    </row>
    <row r="376" spans="1:8" ht="14.25" hidden="1" customHeight="1" x14ac:dyDescent="0.3">
      <c r="A376" s="2" t="s">
        <v>48</v>
      </c>
      <c r="B376" s="60" t="s">
        <v>155</v>
      </c>
      <c r="C376" s="60" t="s">
        <v>170</v>
      </c>
      <c r="D376" s="68">
        <v>16</v>
      </c>
      <c r="E376" s="73">
        <v>32.549999999999997</v>
      </c>
      <c r="F376" s="79">
        <f>IFERROR(D376*E376,0)</f>
        <v>520.79999999999995</v>
      </c>
      <c r="G376" s="60" t="s">
        <v>98</v>
      </c>
      <c r="H376" s="60" t="s">
        <v>88</v>
      </c>
    </row>
    <row r="377" spans="1:8" ht="14.25" customHeight="1" x14ac:dyDescent="0.3">
      <c r="A377" s="2" t="s">
        <v>48</v>
      </c>
      <c r="B377" s="60" t="s">
        <v>155</v>
      </c>
      <c r="C377" s="60" t="s">
        <v>169</v>
      </c>
      <c r="D377" s="68">
        <v>16</v>
      </c>
      <c r="E377" s="73">
        <v>52.35</v>
      </c>
      <c r="F377" s="79">
        <f>IFERROR(D377*E377,0)</f>
        <v>837.6</v>
      </c>
      <c r="G377" s="60" t="s">
        <v>98</v>
      </c>
      <c r="H377" s="60" t="s">
        <v>88</v>
      </c>
    </row>
    <row r="378" spans="1:8" ht="14.25" hidden="1" customHeight="1" x14ac:dyDescent="0.3">
      <c r="A378" s="2" t="s">
        <v>48</v>
      </c>
      <c r="B378" s="60" t="s">
        <v>155</v>
      </c>
      <c r="C378" s="60" t="s">
        <v>158</v>
      </c>
      <c r="D378" s="68"/>
      <c r="E378" s="73"/>
      <c r="F378" s="79">
        <f>IFERROR(D378*E378,0)</f>
        <v>0</v>
      </c>
      <c r="G378" s="60" t="str">
        <f>INDEX(SETORES!$B:$B,MATCH(A378,SETORES!$A:$A,0))</f>
        <v>Clientes</v>
      </c>
      <c r="H378" s="60" t="s">
        <v>88</v>
      </c>
    </row>
    <row r="379" spans="1:8" ht="14.25" hidden="1" customHeight="1" x14ac:dyDescent="0.3">
      <c r="A379" s="2" t="s">
        <v>48</v>
      </c>
      <c r="B379" s="60" t="s">
        <v>162</v>
      </c>
      <c r="C379" s="60" t="s">
        <v>221</v>
      </c>
      <c r="D379" s="68"/>
      <c r="E379" s="73"/>
      <c r="F379" s="79">
        <f>IFERROR(D379*E379,0)</f>
        <v>0</v>
      </c>
      <c r="G379" s="60" t="str">
        <f>INDEX(SETORES!$B:$B,MATCH(A379,SETORES!$A:$A,0))</f>
        <v>Clientes</v>
      </c>
      <c r="H379" s="60" t="s">
        <v>88</v>
      </c>
    </row>
    <row r="380" spans="1:8" ht="14.25" hidden="1" customHeight="1" x14ac:dyDescent="0.3">
      <c r="A380" s="2" t="s">
        <v>48</v>
      </c>
      <c r="B380" s="60" t="s">
        <v>162</v>
      </c>
      <c r="C380" s="60" t="s">
        <v>165</v>
      </c>
      <c r="D380" s="68"/>
      <c r="E380" s="73"/>
      <c r="F380" s="79">
        <f>IFERROR(D380*E380,0)</f>
        <v>0</v>
      </c>
      <c r="G380" s="60" t="str">
        <f>INDEX(SETORES!$B:$B,MATCH(A380,SETORES!$A:$A,0))</f>
        <v>Clientes</v>
      </c>
      <c r="H380" s="60" t="s">
        <v>88</v>
      </c>
    </row>
    <row r="381" spans="1:8" ht="14.25" hidden="1" customHeight="1" x14ac:dyDescent="0.3">
      <c r="A381" s="2" t="s">
        <v>48</v>
      </c>
      <c r="B381" s="60" t="s">
        <v>162</v>
      </c>
      <c r="C381" s="60" t="s">
        <v>163</v>
      </c>
      <c r="D381" s="68">
        <v>1</v>
      </c>
      <c r="E381" s="73">
        <v>90</v>
      </c>
      <c r="F381" s="79">
        <f>IFERROR(D381*E381,0)</f>
        <v>90</v>
      </c>
      <c r="G381" s="60" t="str">
        <f>INDEX(SETORES!$B:$B,MATCH(A381,SETORES!$A:$A,0))</f>
        <v>Clientes</v>
      </c>
      <c r="H381" s="60" t="s">
        <v>88</v>
      </c>
    </row>
    <row r="382" spans="1:8" ht="14.25" hidden="1" customHeight="1" x14ac:dyDescent="0.3">
      <c r="A382" s="2" t="s">
        <v>48</v>
      </c>
      <c r="B382" s="60" t="s">
        <v>162</v>
      </c>
      <c r="C382" s="60" t="s">
        <v>164</v>
      </c>
      <c r="D382" s="68"/>
      <c r="E382" s="73"/>
      <c r="F382" s="79">
        <f>IFERROR(D382*E382,0)</f>
        <v>0</v>
      </c>
      <c r="G382" s="60" t="str">
        <f>INDEX(SETORES!$B:$B,MATCH(A382,SETORES!$A:$A,0))</f>
        <v>Clientes</v>
      </c>
      <c r="H382" s="60" t="s">
        <v>88</v>
      </c>
    </row>
    <row r="383" spans="1:8" ht="14.25" hidden="1" customHeight="1" x14ac:dyDescent="0.3">
      <c r="A383" s="2" t="s">
        <v>48</v>
      </c>
      <c r="B383" s="60" t="s">
        <v>155</v>
      </c>
      <c r="C383" s="60" t="s">
        <v>161</v>
      </c>
      <c r="D383" s="68">
        <v>1</v>
      </c>
      <c r="E383" s="73">
        <v>92482.68</v>
      </c>
      <c r="F383" s="79">
        <f>IFERROR(D383*E383,0)</f>
        <v>92482.68</v>
      </c>
      <c r="G383" s="60" t="str">
        <f>INDEX(SETORES!$B:$B,MATCH(A383,SETORES!$A:$A,0))</f>
        <v>Clientes</v>
      </c>
      <c r="H383" s="60" t="s">
        <v>88</v>
      </c>
    </row>
    <row r="384" spans="1:8" ht="14.25" hidden="1" customHeight="1" x14ac:dyDescent="0.3">
      <c r="A384" s="2" t="s">
        <v>48</v>
      </c>
      <c r="B384" s="60" t="s">
        <v>155</v>
      </c>
      <c r="C384" s="60" t="s">
        <v>167</v>
      </c>
      <c r="D384" s="68"/>
      <c r="E384" s="73"/>
      <c r="F384" s="79">
        <f>IFERROR(D384*E384,0)</f>
        <v>0</v>
      </c>
      <c r="G384" s="60" t="str">
        <f>INDEX(SETORES!$B:$B,MATCH(A384,SETORES!$A:$A,0))</f>
        <v>Clientes</v>
      </c>
      <c r="H384" s="60" t="s">
        <v>88</v>
      </c>
    </row>
    <row r="385" spans="1:8" ht="14.25" hidden="1" customHeight="1" x14ac:dyDescent="0.3">
      <c r="A385" s="2" t="s">
        <v>48</v>
      </c>
      <c r="B385" s="60" t="s">
        <v>155</v>
      </c>
      <c r="C385" s="60" t="s">
        <v>238</v>
      </c>
      <c r="D385" s="68"/>
      <c r="E385" s="73"/>
      <c r="F385" s="79">
        <f>IFERROR(D385*E385,0)</f>
        <v>0</v>
      </c>
      <c r="G385" s="60" t="str">
        <f>INDEX(SETORES!$B:$B,MATCH(A385,SETORES!$A:$A,0))</f>
        <v>Clientes</v>
      </c>
      <c r="H385" s="60" t="s">
        <v>88</v>
      </c>
    </row>
    <row r="386" spans="1:8" ht="14.25" hidden="1" customHeight="1" x14ac:dyDescent="0.3">
      <c r="A386" s="2" t="s">
        <v>48</v>
      </c>
      <c r="B386" s="60" t="s">
        <v>155</v>
      </c>
      <c r="C386" s="60" t="s">
        <v>258</v>
      </c>
      <c r="D386" s="68">
        <v>1</v>
      </c>
      <c r="E386" s="73">
        <v>310.17</v>
      </c>
      <c r="F386" s="79">
        <f>IFERROR(D386*E386,0)</f>
        <v>310.17</v>
      </c>
      <c r="G386" s="60" t="str">
        <f>INDEX(SETORES!$B:$B,MATCH(A386,SETORES!$A:$A,0))</f>
        <v>Clientes</v>
      </c>
      <c r="H386" s="60" t="s">
        <v>88</v>
      </c>
    </row>
    <row r="387" spans="1:8" ht="14.25" hidden="1" customHeight="1" x14ac:dyDescent="0.3">
      <c r="A387" s="2" t="s">
        <v>48</v>
      </c>
      <c r="B387" s="60" t="s">
        <v>155</v>
      </c>
      <c r="C387" s="60" t="s">
        <v>166</v>
      </c>
      <c r="D387" s="68">
        <v>16</v>
      </c>
      <c r="E387" s="73">
        <v>50</v>
      </c>
      <c r="F387" s="79">
        <f>IFERROR(D387*E387,0)</f>
        <v>800</v>
      </c>
      <c r="G387" s="60" t="str">
        <f>INDEX(SETORES!$B:$B,MATCH(A387,SETORES!$A:$A,0))</f>
        <v>Clientes</v>
      </c>
      <c r="H387" s="60" t="s">
        <v>88</v>
      </c>
    </row>
    <row r="388" spans="1:8" ht="14.25" hidden="1" customHeight="1" x14ac:dyDescent="0.3">
      <c r="A388" s="2" t="s">
        <v>48</v>
      </c>
      <c r="B388" s="60" t="s">
        <v>162</v>
      </c>
      <c r="C388" s="60" t="s">
        <v>220</v>
      </c>
      <c r="D388" s="68"/>
      <c r="E388" s="73"/>
      <c r="F388" s="79">
        <f>IFERROR(D388*E388,0)</f>
        <v>0</v>
      </c>
      <c r="G388" s="60" t="str">
        <f>INDEX(SETORES!$B:$B,MATCH(A388,SETORES!$A:$A,0))</f>
        <v>Clientes</v>
      </c>
      <c r="H388" s="60" t="s">
        <v>88</v>
      </c>
    </row>
    <row r="389" spans="1:8" ht="14.25" hidden="1" customHeight="1" x14ac:dyDescent="0.3">
      <c r="A389" s="2" t="s">
        <v>48</v>
      </c>
      <c r="B389" s="60" t="s">
        <v>155</v>
      </c>
      <c r="C389" s="60" t="s">
        <v>156</v>
      </c>
      <c r="D389" s="68">
        <v>1</v>
      </c>
      <c r="E389" s="73">
        <v>89.59</v>
      </c>
      <c r="F389" s="79">
        <f>IFERROR(D389*E389,0)</f>
        <v>89.59</v>
      </c>
      <c r="G389" s="60" t="str">
        <f>INDEX(SETORES!$B:$B,MATCH(A389,SETORES!$A:$A,0))</f>
        <v>Clientes</v>
      </c>
      <c r="H389" s="60" t="s">
        <v>88</v>
      </c>
    </row>
    <row r="390" spans="1:8" ht="14.25" hidden="1" customHeight="1" x14ac:dyDescent="0.3">
      <c r="A390" s="2" t="s">
        <v>48</v>
      </c>
      <c r="B390" s="60" t="s">
        <v>155</v>
      </c>
      <c r="C390" s="60" t="s">
        <v>157</v>
      </c>
      <c r="D390" s="68">
        <v>1</v>
      </c>
      <c r="E390" s="73">
        <v>830.33</v>
      </c>
      <c r="F390" s="79">
        <f>IFERROR(D390*E390,0)</f>
        <v>830.33</v>
      </c>
      <c r="G390" s="60" t="str">
        <f>INDEX(SETORES!$B:$B,MATCH(A390,SETORES!$A:$A,0))</f>
        <v>Clientes</v>
      </c>
      <c r="H390" s="60" t="s">
        <v>88</v>
      </c>
    </row>
    <row r="391" spans="1:8" ht="14.25" hidden="1" customHeight="1" x14ac:dyDescent="0.3">
      <c r="A391" s="2" t="s">
        <v>48</v>
      </c>
      <c r="B391" s="60" t="s">
        <v>162</v>
      </c>
      <c r="C391" s="60" t="s">
        <v>209</v>
      </c>
      <c r="D391" s="68"/>
      <c r="E391" s="73"/>
      <c r="F391" s="79">
        <f>IFERROR(D391*E391,0)</f>
        <v>0</v>
      </c>
      <c r="G391" s="60" t="str">
        <f>INDEX(SETORES!$B:$B,MATCH(A391,SETORES!$A:$A,0))</f>
        <v>Clientes</v>
      </c>
      <c r="H391" s="60" t="s">
        <v>88</v>
      </c>
    </row>
    <row r="392" spans="1:8" ht="14.25" hidden="1" customHeight="1" x14ac:dyDescent="0.3">
      <c r="A392" s="2" t="s">
        <v>48</v>
      </c>
      <c r="B392" s="60" t="s">
        <v>162</v>
      </c>
      <c r="C392" s="60" t="s">
        <v>222</v>
      </c>
      <c r="D392" s="68"/>
      <c r="E392" s="73"/>
      <c r="F392" s="79">
        <f>IFERROR(D392*E392,0)</f>
        <v>0</v>
      </c>
      <c r="G392" s="60" t="str">
        <f>INDEX(SETORES!$B:$B,MATCH(A392,SETORES!$A:$A,0))</f>
        <v>Clientes</v>
      </c>
      <c r="H392" s="60" t="s">
        <v>88</v>
      </c>
    </row>
    <row r="393" spans="1:8" ht="14.25" hidden="1" customHeight="1" x14ac:dyDescent="0.3">
      <c r="A393" s="2" t="s">
        <v>48</v>
      </c>
      <c r="B393" s="60" t="s">
        <v>155</v>
      </c>
      <c r="C393" s="60" t="s">
        <v>186</v>
      </c>
      <c r="D393" s="68"/>
      <c r="E393" s="73"/>
      <c r="F393" s="79">
        <f>IFERROR(D393*E393,0)</f>
        <v>0</v>
      </c>
      <c r="G393" s="60" t="str">
        <f>INDEX(SETORES!$B:$B,MATCH(A393,SETORES!$A:$A,0))</f>
        <v>Clientes</v>
      </c>
      <c r="H393" s="60" t="s">
        <v>88</v>
      </c>
    </row>
    <row r="394" spans="1:8" ht="14.25" hidden="1" customHeight="1" x14ac:dyDescent="0.3">
      <c r="A394" s="2" t="s">
        <v>48</v>
      </c>
      <c r="B394" s="60" t="s">
        <v>155</v>
      </c>
      <c r="C394" s="60" t="s">
        <v>168</v>
      </c>
      <c r="D394" s="68">
        <v>16</v>
      </c>
      <c r="E394" s="73">
        <v>1.87</v>
      </c>
      <c r="F394" s="79">
        <f>IFERROR(D394*E394,0)</f>
        <v>29.92</v>
      </c>
      <c r="G394" s="60" t="str">
        <f>INDEX(SETORES!$B:$B,MATCH(A394,SETORES!$A:$A,0))</f>
        <v>Clientes</v>
      </c>
      <c r="H394" s="60" t="s">
        <v>88</v>
      </c>
    </row>
    <row r="395" spans="1:8" ht="14.25" hidden="1" customHeight="1" x14ac:dyDescent="0.3">
      <c r="A395" s="2" t="s">
        <v>48</v>
      </c>
      <c r="B395" s="60" t="s">
        <v>155</v>
      </c>
      <c r="C395" s="60" t="s">
        <v>160</v>
      </c>
      <c r="D395" s="68"/>
      <c r="E395" s="73"/>
      <c r="F395" s="79">
        <f>IFERROR(D395*E395,0)</f>
        <v>0</v>
      </c>
      <c r="G395" s="60" t="str">
        <f>INDEX(SETORES!$B:$B,MATCH(A395,SETORES!$A:$A,0))</f>
        <v>Clientes</v>
      </c>
      <c r="H395" s="60" t="s">
        <v>88</v>
      </c>
    </row>
    <row r="396" spans="1:8" ht="14.25" hidden="1" customHeight="1" x14ac:dyDescent="0.3">
      <c r="A396" s="2" t="s">
        <v>47</v>
      </c>
      <c r="B396" s="60" t="s">
        <v>155</v>
      </c>
      <c r="C396" s="60" t="s">
        <v>212</v>
      </c>
      <c r="D396" s="68">
        <v>7</v>
      </c>
      <c r="E396" s="73">
        <v>30</v>
      </c>
      <c r="F396" s="79">
        <f>IFERROR(D396*E396,0)</f>
        <v>210</v>
      </c>
      <c r="G396" s="60" t="str">
        <f>INDEX(SETORES!$B:$B,MATCH(A396,SETORES!$A:$A,0))</f>
        <v>Clientes</v>
      </c>
      <c r="H396" s="60" t="s">
        <v>88</v>
      </c>
    </row>
    <row r="397" spans="1:8" ht="14.25" hidden="1" customHeight="1" x14ac:dyDescent="0.3">
      <c r="A397" s="2" t="s">
        <v>47</v>
      </c>
      <c r="B397" s="60" t="s">
        <v>162</v>
      </c>
      <c r="C397" s="60" t="s">
        <v>217</v>
      </c>
      <c r="D397" s="68">
        <v>1</v>
      </c>
      <c r="E397" s="73">
        <v>11623.33</v>
      </c>
      <c r="F397" s="79">
        <f>IFERROR(D397*E397,0)</f>
        <v>11623.33</v>
      </c>
      <c r="G397" s="60" t="str">
        <f>INDEX(SETORES!$B:$B,MATCH(A397,SETORES!$A:$A,0))</f>
        <v>Clientes</v>
      </c>
      <c r="H397" s="60" t="s">
        <v>88</v>
      </c>
    </row>
    <row r="398" spans="1:8" ht="14.25" hidden="1" customHeight="1" x14ac:dyDescent="0.3">
      <c r="A398" s="2" t="s">
        <v>47</v>
      </c>
      <c r="B398" s="60" t="s">
        <v>155</v>
      </c>
      <c r="C398" s="60" t="s">
        <v>250</v>
      </c>
      <c r="D398" s="68">
        <v>1</v>
      </c>
      <c r="E398" s="73">
        <v>2624.19</v>
      </c>
      <c r="F398" s="79">
        <f>IFERROR(D398*E398,0)</f>
        <v>2624.19</v>
      </c>
      <c r="G398" s="60" t="str">
        <f>INDEX(SETORES!$B:$B,MATCH(A398,SETORES!$A:$A,0))</f>
        <v>Clientes</v>
      </c>
      <c r="H398" s="60" t="s">
        <v>88</v>
      </c>
    </row>
    <row r="399" spans="1:8" ht="14.25" hidden="1" customHeight="1" x14ac:dyDescent="0.3">
      <c r="A399" s="2" t="s">
        <v>47</v>
      </c>
      <c r="B399" s="60" t="s">
        <v>155</v>
      </c>
      <c r="C399" s="60" t="s">
        <v>171</v>
      </c>
      <c r="D399" s="68">
        <v>15</v>
      </c>
      <c r="E399" s="73">
        <v>52.09</v>
      </c>
      <c r="F399" s="79">
        <f>IFERROR(D399*E399,0)</f>
        <v>781.35</v>
      </c>
      <c r="G399" s="60" t="s">
        <v>98</v>
      </c>
      <c r="H399" s="60" t="s">
        <v>88</v>
      </c>
    </row>
    <row r="400" spans="1:8" ht="14.25" hidden="1" customHeight="1" x14ac:dyDescent="0.3">
      <c r="A400" s="2" t="s">
        <v>47</v>
      </c>
      <c r="B400" s="60" t="s">
        <v>155</v>
      </c>
      <c r="C400" s="60" t="s">
        <v>170</v>
      </c>
      <c r="D400" s="68">
        <v>15</v>
      </c>
      <c r="E400" s="73">
        <v>32.549999999999997</v>
      </c>
      <c r="F400" s="79">
        <f>IFERROR(D400*E400,0)</f>
        <v>488.24999999999994</v>
      </c>
      <c r="G400" s="60" t="s">
        <v>98</v>
      </c>
      <c r="H400" s="60" t="s">
        <v>88</v>
      </c>
    </row>
    <row r="401" spans="1:8" ht="14.25" customHeight="1" x14ac:dyDescent="0.3">
      <c r="A401" s="2" t="s">
        <v>47</v>
      </c>
      <c r="B401" s="60" t="s">
        <v>155</v>
      </c>
      <c r="C401" s="60" t="s">
        <v>169</v>
      </c>
      <c r="D401" s="68">
        <v>15</v>
      </c>
      <c r="E401" s="73">
        <v>52.35</v>
      </c>
      <c r="F401" s="79">
        <f>IFERROR(D401*E401,0)</f>
        <v>785.25</v>
      </c>
      <c r="G401" s="60" t="s">
        <v>98</v>
      </c>
      <c r="H401" s="60" t="s">
        <v>88</v>
      </c>
    </row>
    <row r="402" spans="1:8" ht="14.25" hidden="1" customHeight="1" x14ac:dyDescent="0.3">
      <c r="A402" s="2" t="s">
        <v>47</v>
      </c>
      <c r="B402" s="60" t="s">
        <v>162</v>
      </c>
      <c r="C402" s="60" t="s">
        <v>221</v>
      </c>
      <c r="D402" s="68"/>
      <c r="E402" s="73"/>
      <c r="F402" s="79">
        <f>IFERROR(D402*E402,0)</f>
        <v>0</v>
      </c>
      <c r="G402" s="60" t="str">
        <f>INDEX(SETORES!$B:$B,MATCH(A402,SETORES!$A:$A,0))</f>
        <v>Clientes</v>
      </c>
      <c r="H402" s="60" t="s">
        <v>88</v>
      </c>
    </row>
    <row r="403" spans="1:8" ht="14.25" hidden="1" customHeight="1" x14ac:dyDescent="0.3">
      <c r="A403" s="2" t="s">
        <v>47</v>
      </c>
      <c r="B403" s="60" t="s">
        <v>162</v>
      </c>
      <c r="C403" s="60" t="s">
        <v>165</v>
      </c>
      <c r="D403" s="68"/>
      <c r="E403" s="73"/>
      <c r="F403" s="79">
        <f>IFERROR(D403*E403,0)</f>
        <v>0</v>
      </c>
      <c r="G403" s="60" t="str">
        <f>INDEX(SETORES!$B:$B,MATCH(A403,SETORES!$A:$A,0))</f>
        <v>Clientes</v>
      </c>
      <c r="H403" s="60" t="s">
        <v>88</v>
      </c>
    </row>
    <row r="404" spans="1:8" ht="14.25" hidden="1" customHeight="1" x14ac:dyDescent="0.3">
      <c r="A404" s="2" t="s">
        <v>47</v>
      </c>
      <c r="B404" s="60" t="s">
        <v>162</v>
      </c>
      <c r="C404" s="60" t="s">
        <v>163</v>
      </c>
      <c r="D404" s="68"/>
      <c r="E404" s="73"/>
      <c r="F404" s="79">
        <f>IFERROR(D404*E404,0)</f>
        <v>0</v>
      </c>
      <c r="G404" s="60" t="str">
        <f>INDEX(SETORES!$B:$B,MATCH(A404,SETORES!$A:$A,0))</f>
        <v>Clientes</v>
      </c>
      <c r="H404" s="60" t="s">
        <v>88</v>
      </c>
    </row>
    <row r="405" spans="1:8" ht="14.25" hidden="1" customHeight="1" x14ac:dyDescent="0.3">
      <c r="A405" s="2" t="s">
        <v>47</v>
      </c>
      <c r="B405" s="60" t="s">
        <v>162</v>
      </c>
      <c r="C405" s="60" t="s">
        <v>164</v>
      </c>
      <c r="D405" s="68"/>
      <c r="E405" s="73"/>
      <c r="F405" s="79">
        <f>IFERROR(D405*E405,0)</f>
        <v>0</v>
      </c>
      <c r="G405" s="60" t="str">
        <f>INDEX(SETORES!$B:$B,MATCH(A405,SETORES!$A:$A,0))</f>
        <v>Clientes</v>
      </c>
      <c r="H405" s="60" t="s">
        <v>88</v>
      </c>
    </row>
    <row r="406" spans="1:8" ht="14.25" hidden="1" customHeight="1" x14ac:dyDescent="0.3">
      <c r="A406" s="2" t="s">
        <v>47</v>
      </c>
      <c r="B406" s="60" t="s">
        <v>155</v>
      </c>
      <c r="C406" s="60" t="s">
        <v>161</v>
      </c>
      <c r="D406" s="68">
        <v>1</v>
      </c>
      <c r="E406" s="73">
        <v>116417.9</v>
      </c>
      <c r="F406" s="79">
        <f>IFERROR(D406*E406,0)</f>
        <v>116417.9</v>
      </c>
      <c r="G406" s="60" t="str">
        <f>INDEX(SETORES!$B:$B,MATCH(A406,SETORES!$A:$A,0))</f>
        <v>Clientes</v>
      </c>
      <c r="H406" s="60" t="s">
        <v>88</v>
      </c>
    </row>
    <row r="407" spans="1:8" ht="14.25" hidden="1" customHeight="1" x14ac:dyDescent="0.3">
      <c r="A407" s="2" t="s">
        <v>47</v>
      </c>
      <c r="B407" s="60" t="s">
        <v>155</v>
      </c>
      <c r="C407" s="60" t="s">
        <v>167</v>
      </c>
      <c r="D407" s="68"/>
      <c r="E407" s="73"/>
      <c r="F407" s="79">
        <f>IFERROR(D407*E407,0)</f>
        <v>0</v>
      </c>
      <c r="G407" s="60" t="str">
        <f>INDEX(SETORES!$B:$B,MATCH(A407,SETORES!$A:$A,0))</f>
        <v>Clientes</v>
      </c>
      <c r="H407" s="60" t="s">
        <v>88</v>
      </c>
    </row>
    <row r="408" spans="1:8" ht="14.25" hidden="1" customHeight="1" x14ac:dyDescent="0.3">
      <c r="A408" s="2" t="s">
        <v>47</v>
      </c>
      <c r="B408" s="60" t="s">
        <v>162</v>
      </c>
      <c r="C408" s="60" t="s">
        <v>218</v>
      </c>
      <c r="D408" s="68"/>
      <c r="E408" s="73"/>
      <c r="F408" s="79">
        <f>IFERROR(D408*E408,0)</f>
        <v>0</v>
      </c>
      <c r="G408" s="60" t="str">
        <f>INDEX(SETORES!$B:$B,MATCH(A408,SETORES!$A:$A,0))</f>
        <v>Clientes</v>
      </c>
      <c r="H408" s="60" t="s">
        <v>88</v>
      </c>
    </row>
    <row r="409" spans="1:8" ht="14.25" hidden="1" customHeight="1" x14ac:dyDescent="0.3">
      <c r="A409" s="2" t="s">
        <v>47</v>
      </c>
      <c r="B409" s="60" t="s">
        <v>155</v>
      </c>
      <c r="C409" s="60" t="s">
        <v>166</v>
      </c>
      <c r="D409" s="68">
        <v>15</v>
      </c>
      <c r="E409" s="73">
        <v>50</v>
      </c>
      <c r="F409" s="79">
        <f>IFERROR(D409*E409,0)</f>
        <v>750</v>
      </c>
      <c r="G409" s="60" t="str">
        <f>INDEX(SETORES!$B:$B,MATCH(A409,SETORES!$A:$A,0))</f>
        <v>Clientes</v>
      </c>
      <c r="H409" s="60" t="s">
        <v>88</v>
      </c>
    </row>
    <row r="410" spans="1:8" ht="14.25" hidden="1" customHeight="1" x14ac:dyDescent="0.3">
      <c r="A410" s="2" t="s">
        <v>47</v>
      </c>
      <c r="B410" s="60" t="s">
        <v>155</v>
      </c>
      <c r="C410" s="60" t="s">
        <v>156</v>
      </c>
      <c r="D410" s="68"/>
      <c r="E410" s="73"/>
      <c r="F410" s="79">
        <f>IFERROR(D410*E410,0)</f>
        <v>0</v>
      </c>
      <c r="G410" s="60" t="str">
        <f>INDEX(SETORES!$B:$B,MATCH(A410,SETORES!$A:$A,0))</f>
        <v>Clientes</v>
      </c>
      <c r="H410" s="60" t="s">
        <v>88</v>
      </c>
    </row>
    <row r="411" spans="1:8" ht="14.25" hidden="1" customHeight="1" x14ac:dyDescent="0.3">
      <c r="A411" s="2" t="s">
        <v>47</v>
      </c>
      <c r="B411" s="60" t="s">
        <v>155</v>
      </c>
      <c r="C411" s="60" t="s">
        <v>157</v>
      </c>
      <c r="D411" s="68"/>
      <c r="E411" s="73"/>
      <c r="F411" s="79">
        <f>IFERROR(D411*E411,0)</f>
        <v>0</v>
      </c>
      <c r="G411" s="60" t="str">
        <f>INDEX(SETORES!$B:$B,MATCH(A411,SETORES!$A:$A,0))</f>
        <v>Clientes</v>
      </c>
      <c r="H411" s="60" t="s">
        <v>88</v>
      </c>
    </row>
    <row r="412" spans="1:8" ht="14.25" hidden="1" customHeight="1" x14ac:dyDescent="0.3">
      <c r="A412" s="2" t="s">
        <v>47</v>
      </c>
      <c r="B412" s="60" t="s">
        <v>155</v>
      </c>
      <c r="C412" s="60" t="s">
        <v>168</v>
      </c>
      <c r="D412" s="68">
        <v>15</v>
      </c>
      <c r="E412" s="73">
        <v>1.87</v>
      </c>
      <c r="F412" s="79">
        <f>IFERROR(D412*E412,0)</f>
        <v>28.05</v>
      </c>
      <c r="G412" s="60" t="str">
        <f>INDEX(SETORES!$B:$B,MATCH(A412,SETORES!$A:$A,0))</f>
        <v>Clientes</v>
      </c>
      <c r="H412" s="60" t="s">
        <v>88</v>
      </c>
    </row>
    <row r="413" spans="1:8" ht="14.25" hidden="1" customHeight="1" x14ac:dyDescent="0.3">
      <c r="A413" s="2" t="s">
        <v>47</v>
      </c>
      <c r="B413" s="60" t="s">
        <v>155</v>
      </c>
      <c r="C413" s="60" t="s">
        <v>160</v>
      </c>
      <c r="D413" s="68"/>
      <c r="E413" s="73"/>
      <c r="F413" s="79">
        <f>IFERROR(D413*E413,0)</f>
        <v>0</v>
      </c>
      <c r="G413" s="60" t="str">
        <f>INDEX(SETORES!$B:$B,MATCH(A413,SETORES!$A:$A,0))</f>
        <v>Clientes</v>
      </c>
      <c r="H413" s="60" t="s">
        <v>88</v>
      </c>
    </row>
    <row r="414" spans="1:8" ht="14.25" hidden="1" customHeight="1" x14ac:dyDescent="0.3">
      <c r="A414" s="2" t="s">
        <v>85</v>
      </c>
      <c r="B414" s="60" t="s">
        <v>155</v>
      </c>
      <c r="C414" s="60" t="s">
        <v>159</v>
      </c>
      <c r="D414" s="68"/>
      <c r="E414" s="73"/>
      <c r="F414" s="79">
        <f>IFERROR(D414*E414,0)</f>
        <v>0</v>
      </c>
      <c r="G414" s="60" t="str">
        <f>INDEX(SETORES!$B:$B,MATCH(A414,SETORES!$A:$A,0))</f>
        <v>Clientes</v>
      </c>
      <c r="H414" s="60" t="s">
        <v>88</v>
      </c>
    </row>
    <row r="415" spans="1:8" ht="14.25" hidden="1" customHeight="1" x14ac:dyDescent="0.3">
      <c r="A415" s="2" t="s">
        <v>85</v>
      </c>
      <c r="B415" s="60" t="s">
        <v>155</v>
      </c>
      <c r="C415" s="60" t="s">
        <v>212</v>
      </c>
      <c r="D415" s="68">
        <v>10</v>
      </c>
      <c r="E415" s="73">
        <v>30</v>
      </c>
      <c r="F415" s="79">
        <f>IFERROR(D415*E415,0)</f>
        <v>300</v>
      </c>
      <c r="G415" s="60" t="str">
        <f>INDEX(SETORES!$B:$B,MATCH(A415,SETORES!$A:$A,0))</f>
        <v>Clientes</v>
      </c>
      <c r="H415" s="60" t="s">
        <v>88</v>
      </c>
    </row>
    <row r="416" spans="1:8" ht="14.25" hidden="1" customHeight="1" x14ac:dyDescent="0.3">
      <c r="A416" s="2" t="s">
        <v>85</v>
      </c>
      <c r="B416" s="60" t="s">
        <v>162</v>
      </c>
      <c r="C416" s="60" t="s">
        <v>217</v>
      </c>
      <c r="D416" s="68">
        <v>1</v>
      </c>
      <c r="E416" s="73">
        <v>1514.08</v>
      </c>
      <c r="F416" s="79">
        <f>IFERROR(D416*E416,0)</f>
        <v>1514.08</v>
      </c>
      <c r="G416" s="60" t="str">
        <f>INDEX(SETORES!$B:$B,MATCH(A416,SETORES!$A:$A,0))</f>
        <v>Clientes</v>
      </c>
      <c r="H416" s="60" t="s">
        <v>88</v>
      </c>
    </row>
    <row r="417" spans="1:8" ht="14.25" hidden="1" customHeight="1" x14ac:dyDescent="0.3">
      <c r="A417" s="2" t="s">
        <v>85</v>
      </c>
      <c r="B417" s="60" t="s">
        <v>155</v>
      </c>
      <c r="C417" s="60" t="s">
        <v>171</v>
      </c>
      <c r="D417" s="68">
        <v>17</v>
      </c>
      <c r="E417" s="73">
        <v>52.09</v>
      </c>
      <c r="F417" s="79">
        <f>IFERROR(D417*E417,0)</f>
        <v>885.53000000000009</v>
      </c>
      <c r="G417" s="60" t="s">
        <v>98</v>
      </c>
      <c r="H417" s="60" t="s">
        <v>88</v>
      </c>
    </row>
    <row r="418" spans="1:8" ht="14.25" hidden="1" customHeight="1" x14ac:dyDescent="0.3">
      <c r="A418" s="2" t="s">
        <v>85</v>
      </c>
      <c r="B418" s="60" t="s">
        <v>155</v>
      </c>
      <c r="C418" s="60" t="s">
        <v>170</v>
      </c>
      <c r="D418" s="68">
        <v>17</v>
      </c>
      <c r="E418" s="73">
        <v>32.549999999999997</v>
      </c>
      <c r="F418" s="79">
        <f>IFERROR(D418*E418,0)</f>
        <v>553.34999999999991</v>
      </c>
      <c r="G418" s="60" t="s">
        <v>98</v>
      </c>
      <c r="H418" s="60" t="s">
        <v>88</v>
      </c>
    </row>
    <row r="419" spans="1:8" ht="14.25" customHeight="1" x14ac:dyDescent="0.3">
      <c r="A419" s="2" t="s">
        <v>85</v>
      </c>
      <c r="B419" s="60" t="s">
        <v>155</v>
      </c>
      <c r="C419" s="60" t="s">
        <v>169</v>
      </c>
      <c r="D419" s="68">
        <v>17</v>
      </c>
      <c r="E419" s="73">
        <v>52.35</v>
      </c>
      <c r="F419" s="79">
        <f>IFERROR(D419*E419,0)</f>
        <v>889.95</v>
      </c>
      <c r="G419" s="60" t="s">
        <v>98</v>
      </c>
      <c r="H419" s="60" t="s">
        <v>88</v>
      </c>
    </row>
    <row r="420" spans="1:8" ht="14.25" hidden="1" customHeight="1" x14ac:dyDescent="0.3">
      <c r="A420" s="2" t="s">
        <v>85</v>
      </c>
      <c r="B420" s="60" t="s">
        <v>155</v>
      </c>
      <c r="C420" s="60" t="s">
        <v>158</v>
      </c>
      <c r="D420" s="68"/>
      <c r="E420" s="73"/>
      <c r="F420" s="79">
        <f>IFERROR(D420*E420,0)</f>
        <v>0</v>
      </c>
      <c r="G420" s="60" t="str">
        <f>INDEX(SETORES!$B:$B,MATCH(A420,SETORES!$A:$A,0))</f>
        <v>Clientes</v>
      </c>
      <c r="H420" s="60" t="s">
        <v>88</v>
      </c>
    </row>
    <row r="421" spans="1:8" ht="14.25" hidden="1" customHeight="1" x14ac:dyDescent="0.3">
      <c r="A421" s="2" t="s">
        <v>85</v>
      </c>
      <c r="B421" s="60" t="s">
        <v>162</v>
      </c>
      <c r="C421" s="60" t="s">
        <v>165</v>
      </c>
      <c r="D421" s="68"/>
      <c r="E421" s="73"/>
      <c r="F421" s="79">
        <f>IFERROR(D421*E421,0)</f>
        <v>0</v>
      </c>
      <c r="G421" s="60" t="str">
        <f>INDEX(SETORES!$B:$B,MATCH(A421,SETORES!$A:$A,0))</f>
        <v>Clientes</v>
      </c>
      <c r="H421" s="60" t="s">
        <v>88</v>
      </c>
    </row>
    <row r="422" spans="1:8" ht="14.25" hidden="1" customHeight="1" x14ac:dyDescent="0.3">
      <c r="A422" s="2" t="s">
        <v>85</v>
      </c>
      <c r="B422" s="60" t="s">
        <v>162</v>
      </c>
      <c r="C422" s="60" t="s">
        <v>163</v>
      </c>
      <c r="D422" s="68">
        <v>1</v>
      </c>
      <c r="E422" s="73">
        <v>360</v>
      </c>
      <c r="F422" s="79">
        <f>IFERROR(D422*E422,0)</f>
        <v>360</v>
      </c>
      <c r="G422" s="60" t="str">
        <f>INDEX(SETORES!$B:$B,MATCH(A422,SETORES!$A:$A,0))</f>
        <v>Clientes</v>
      </c>
      <c r="H422" s="60" t="s">
        <v>88</v>
      </c>
    </row>
    <row r="423" spans="1:8" ht="14.25" hidden="1" customHeight="1" x14ac:dyDescent="0.3">
      <c r="A423" s="2" t="s">
        <v>85</v>
      </c>
      <c r="B423" s="60" t="s">
        <v>155</v>
      </c>
      <c r="C423" s="60" t="s">
        <v>161</v>
      </c>
      <c r="D423" s="68">
        <v>1</v>
      </c>
      <c r="E423" s="73">
        <v>62265.7</v>
      </c>
      <c r="F423" s="79">
        <f>IFERROR(D423*E423,0)</f>
        <v>62265.7</v>
      </c>
      <c r="G423" s="60" t="str">
        <f>INDEX(SETORES!$B:$B,MATCH(A423,SETORES!$A:$A,0))</f>
        <v>Clientes</v>
      </c>
      <c r="H423" s="60" t="s">
        <v>88</v>
      </c>
    </row>
    <row r="424" spans="1:8" ht="14.25" hidden="1" customHeight="1" x14ac:dyDescent="0.3">
      <c r="A424" s="2" t="s">
        <v>85</v>
      </c>
      <c r="B424" s="60" t="s">
        <v>155</v>
      </c>
      <c r="C424" s="60" t="s">
        <v>167</v>
      </c>
      <c r="D424" s="68"/>
      <c r="E424" s="73"/>
      <c r="F424" s="79">
        <f>IFERROR(D424*E424,0)</f>
        <v>0</v>
      </c>
      <c r="G424" s="60" t="str">
        <f>INDEX(SETORES!$B:$B,MATCH(A424,SETORES!$A:$A,0))</f>
        <v>Clientes</v>
      </c>
      <c r="H424" s="60" t="s">
        <v>88</v>
      </c>
    </row>
    <row r="425" spans="1:8" ht="14.25" hidden="1" customHeight="1" x14ac:dyDescent="0.3">
      <c r="A425" s="2" t="s">
        <v>85</v>
      </c>
      <c r="B425" s="60" t="s">
        <v>155</v>
      </c>
      <c r="C425" s="60" t="s">
        <v>238</v>
      </c>
      <c r="D425" s="68"/>
      <c r="E425" s="73"/>
      <c r="F425" s="79">
        <f>IFERROR(D425*E425,0)</f>
        <v>0</v>
      </c>
      <c r="G425" s="60" t="str">
        <f>INDEX(SETORES!$B:$B,MATCH(A425,SETORES!$A:$A,0))</f>
        <v>Clientes</v>
      </c>
      <c r="H425" s="60" t="s">
        <v>88</v>
      </c>
    </row>
    <row r="426" spans="1:8" ht="14.25" hidden="1" customHeight="1" x14ac:dyDescent="0.3">
      <c r="A426" s="2" t="s">
        <v>85</v>
      </c>
      <c r="B426" s="60" t="s">
        <v>155</v>
      </c>
      <c r="C426" s="60" t="s">
        <v>258</v>
      </c>
      <c r="D426" s="68">
        <v>1</v>
      </c>
      <c r="E426" s="73">
        <v>329.56</v>
      </c>
      <c r="F426" s="79">
        <f>IFERROR(D426*E426,0)</f>
        <v>329.56</v>
      </c>
      <c r="G426" s="60" t="str">
        <f>INDEX(SETORES!$B:$B,MATCH(A426,SETORES!$A:$A,0))</f>
        <v>Clientes</v>
      </c>
      <c r="H426" s="60" t="s">
        <v>88</v>
      </c>
    </row>
    <row r="427" spans="1:8" ht="14.25" hidden="1" customHeight="1" x14ac:dyDescent="0.3">
      <c r="A427" s="2" t="s">
        <v>85</v>
      </c>
      <c r="B427" s="60" t="s">
        <v>155</v>
      </c>
      <c r="C427" s="60" t="s">
        <v>166</v>
      </c>
      <c r="D427" s="68">
        <v>17</v>
      </c>
      <c r="E427" s="73">
        <v>50</v>
      </c>
      <c r="F427" s="79">
        <f>IFERROR(D427*E427,0)</f>
        <v>850</v>
      </c>
      <c r="G427" s="60" t="str">
        <f>INDEX(SETORES!$B:$B,MATCH(A427,SETORES!$A:$A,0))</f>
        <v>Clientes</v>
      </c>
      <c r="H427" s="60" t="s">
        <v>88</v>
      </c>
    </row>
    <row r="428" spans="1:8" ht="14.25" hidden="1" customHeight="1" x14ac:dyDescent="0.3">
      <c r="A428" s="2" t="s">
        <v>85</v>
      </c>
      <c r="B428" s="60" t="s">
        <v>155</v>
      </c>
      <c r="C428" s="60" t="s">
        <v>157</v>
      </c>
      <c r="D428" s="68">
        <v>1</v>
      </c>
      <c r="E428" s="73">
        <v>507.51</v>
      </c>
      <c r="F428" s="79">
        <f>IFERROR(D428*E428,0)</f>
        <v>507.51</v>
      </c>
      <c r="G428" s="60" t="str">
        <f>INDEX(SETORES!$B:$B,MATCH(A428,SETORES!$A:$A,0))</f>
        <v>Clientes</v>
      </c>
      <c r="H428" s="60" t="s">
        <v>88</v>
      </c>
    </row>
    <row r="429" spans="1:8" ht="14.25" hidden="1" customHeight="1" x14ac:dyDescent="0.3">
      <c r="A429" s="2" t="s">
        <v>85</v>
      </c>
      <c r="B429" s="60" t="s">
        <v>162</v>
      </c>
      <c r="C429" s="60" t="s">
        <v>222</v>
      </c>
      <c r="D429" s="68"/>
      <c r="E429" s="73"/>
      <c r="F429" s="79">
        <f>IFERROR(D429*E429,0)</f>
        <v>0</v>
      </c>
      <c r="G429" s="60" t="str">
        <f>INDEX(SETORES!$B:$B,MATCH(A429,SETORES!$A:$A,0))</f>
        <v>Clientes</v>
      </c>
      <c r="H429" s="60" t="s">
        <v>88</v>
      </c>
    </row>
    <row r="430" spans="1:8" ht="14.25" hidden="1" customHeight="1" x14ac:dyDescent="0.3">
      <c r="A430" s="2" t="s">
        <v>85</v>
      </c>
      <c r="B430" s="60" t="s">
        <v>162</v>
      </c>
      <c r="C430" s="60" t="s">
        <v>222</v>
      </c>
      <c r="D430" s="68"/>
      <c r="E430" s="73"/>
      <c r="F430" s="79">
        <f>IFERROR(D430*E430,0)</f>
        <v>0</v>
      </c>
      <c r="G430" s="60" t="str">
        <f>INDEX(SETORES!$B:$B,MATCH(A430,SETORES!$A:$A,0))</f>
        <v>Clientes</v>
      </c>
      <c r="H430" s="60" t="s">
        <v>88</v>
      </c>
    </row>
    <row r="431" spans="1:8" ht="14.25" hidden="1" customHeight="1" x14ac:dyDescent="0.3">
      <c r="A431" s="2" t="s">
        <v>85</v>
      </c>
      <c r="B431" s="60" t="s">
        <v>155</v>
      </c>
      <c r="C431" s="60" t="s">
        <v>168</v>
      </c>
      <c r="D431" s="68">
        <v>17</v>
      </c>
      <c r="E431" s="73">
        <v>1.87</v>
      </c>
      <c r="F431" s="79">
        <f>IFERROR(D431*E431,0)</f>
        <v>31.790000000000003</v>
      </c>
      <c r="G431" s="60" t="str">
        <f>INDEX(SETORES!$B:$B,MATCH(A431,SETORES!$A:$A,0))</f>
        <v>Clientes</v>
      </c>
      <c r="H431" s="60" t="s">
        <v>88</v>
      </c>
    </row>
    <row r="432" spans="1:8" ht="14.25" hidden="1" customHeight="1" x14ac:dyDescent="0.3">
      <c r="A432" s="2" t="s">
        <v>31</v>
      </c>
      <c r="B432" s="60" t="s">
        <v>155</v>
      </c>
      <c r="C432" s="60" t="s">
        <v>159</v>
      </c>
      <c r="D432" s="68"/>
      <c r="E432" s="73"/>
      <c r="F432" s="79">
        <f>IFERROR(D432*E432,0)</f>
        <v>0</v>
      </c>
      <c r="G432" s="60" t="str">
        <f>INDEX(SETORES!$B:$B,MATCH(A432,SETORES!$A:$A,0))</f>
        <v>Clientes</v>
      </c>
      <c r="H432" s="60" t="s">
        <v>88</v>
      </c>
    </row>
    <row r="433" spans="1:8" ht="14.25" hidden="1" customHeight="1" x14ac:dyDescent="0.3">
      <c r="A433" s="2" t="s">
        <v>31</v>
      </c>
      <c r="B433" s="60" t="s">
        <v>155</v>
      </c>
      <c r="C433" s="60" t="s">
        <v>212</v>
      </c>
      <c r="D433" s="68">
        <v>3</v>
      </c>
      <c r="E433" s="73">
        <v>30</v>
      </c>
      <c r="F433" s="79">
        <f>IFERROR(D433*E433,0)</f>
        <v>90</v>
      </c>
      <c r="G433" s="60" t="str">
        <f>INDEX(SETORES!$B:$B,MATCH(A433,SETORES!$A:$A,0))</f>
        <v>Clientes</v>
      </c>
      <c r="H433" s="60" t="s">
        <v>88</v>
      </c>
    </row>
    <row r="434" spans="1:8" ht="14.25" hidden="1" customHeight="1" x14ac:dyDescent="0.3">
      <c r="A434" s="2" t="s">
        <v>31</v>
      </c>
      <c r="B434" s="60" t="s">
        <v>162</v>
      </c>
      <c r="C434" s="60" t="s">
        <v>217</v>
      </c>
      <c r="D434" s="68">
        <v>1</v>
      </c>
      <c r="E434" s="73">
        <v>1882.43</v>
      </c>
      <c r="F434" s="79">
        <f>IFERROR(D434*E434,0)</f>
        <v>1882.43</v>
      </c>
      <c r="G434" s="60" t="str">
        <f>INDEX(SETORES!$B:$B,MATCH(A434,SETORES!$A:$A,0))</f>
        <v>Clientes</v>
      </c>
      <c r="H434" s="60" t="s">
        <v>88</v>
      </c>
    </row>
    <row r="435" spans="1:8" ht="14.25" hidden="1" customHeight="1" x14ac:dyDescent="0.3">
      <c r="A435" s="2" t="s">
        <v>31</v>
      </c>
      <c r="B435" s="60" t="s">
        <v>155</v>
      </c>
      <c r="C435" s="60" t="s">
        <v>171</v>
      </c>
      <c r="D435" s="68">
        <v>3</v>
      </c>
      <c r="E435" s="73">
        <v>52.09</v>
      </c>
      <c r="F435" s="79">
        <f>IFERROR(D435*E435,0)</f>
        <v>156.27000000000001</v>
      </c>
      <c r="G435" s="60" t="s">
        <v>98</v>
      </c>
      <c r="H435" s="60" t="s">
        <v>88</v>
      </c>
    </row>
    <row r="436" spans="1:8" ht="14.25" hidden="1" customHeight="1" x14ac:dyDescent="0.3">
      <c r="A436" s="2" t="s">
        <v>31</v>
      </c>
      <c r="B436" s="60" t="s">
        <v>155</v>
      </c>
      <c r="C436" s="60" t="s">
        <v>170</v>
      </c>
      <c r="D436" s="68">
        <v>3</v>
      </c>
      <c r="E436" s="73">
        <v>32.549999999999997</v>
      </c>
      <c r="F436" s="79">
        <f>IFERROR(D436*E436,0)</f>
        <v>97.649999999999991</v>
      </c>
      <c r="G436" s="60" t="s">
        <v>98</v>
      </c>
      <c r="H436" s="60" t="s">
        <v>88</v>
      </c>
    </row>
    <row r="437" spans="1:8" ht="14.25" customHeight="1" x14ac:dyDescent="0.3">
      <c r="A437" s="2" t="s">
        <v>31</v>
      </c>
      <c r="B437" s="60" t="s">
        <v>155</v>
      </c>
      <c r="C437" s="60" t="s">
        <v>169</v>
      </c>
      <c r="D437" s="68">
        <v>3</v>
      </c>
      <c r="E437" s="73">
        <v>52.35</v>
      </c>
      <c r="F437" s="79">
        <f>IFERROR(D437*E437,0)</f>
        <v>157.05000000000001</v>
      </c>
      <c r="G437" s="60" t="s">
        <v>98</v>
      </c>
      <c r="H437" s="60" t="s">
        <v>88</v>
      </c>
    </row>
    <row r="438" spans="1:8" ht="14.25" hidden="1" customHeight="1" x14ac:dyDescent="0.3">
      <c r="A438" s="2" t="s">
        <v>31</v>
      </c>
      <c r="B438" s="60" t="s">
        <v>155</v>
      </c>
      <c r="C438" s="60" t="s">
        <v>158</v>
      </c>
      <c r="D438" s="68"/>
      <c r="E438" s="73"/>
      <c r="F438" s="79">
        <f>IFERROR(D438*E438,0)</f>
        <v>0</v>
      </c>
      <c r="G438" s="60" t="str">
        <f>INDEX(SETORES!$B:$B,MATCH(A438,SETORES!$A:$A,0))</f>
        <v>Clientes</v>
      </c>
      <c r="H438" s="60" t="s">
        <v>88</v>
      </c>
    </row>
    <row r="439" spans="1:8" ht="14.25" hidden="1" customHeight="1" x14ac:dyDescent="0.3">
      <c r="A439" s="2" t="s">
        <v>31</v>
      </c>
      <c r="B439" s="60" t="s">
        <v>155</v>
      </c>
      <c r="C439" s="60" t="s">
        <v>161</v>
      </c>
      <c r="D439" s="68">
        <v>1</v>
      </c>
      <c r="E439" s="73">
        <v>42164.639999999999</v>
      </c>
      <c r="F439" s="79">
        <f>IFERROR(D439*E439,0)</f>
        <v>42164.639999999999</v>
      </c>
      <c r="G439" s="60" t="str">
        <f>INDEX(SETORES!$B:$B,MATCH(A439,SETORES!$A:$A,0))</f>
        <v>Clientes</v>
      </c>
      <c r="H439" s="60" t="s">
        <v>88</v>
      </c>
    </row>
    <row r="440" spans="1:8" ht="14.25" hidden="1" customHeight="1" x14ac:dyDescent="0.3">
      <c r="A440" s="2" t="s">
        <v>31</v>
      </c>
      <c r="B440" s="60" t="s">
        <v>155</v>
      </c>
      <c r="C440" s="60" t="s">
        <v>167</v>
      </c>
      <c r="D440" s="68"/>
      <c r="E440" s="73"/>
      <c r="F440" s="79">
        <f>IFERROR(D440*E440,0)</f>
        <v>0</v>
      </c>
      <c r="G440" s="60" t="str">
        <f>INDEX(SETORES!$B:$B,MATCH(A440,SETORES!$A:$A,0))</f>
        <v>Clientes</v>
      </c>
      <c r="H440" s="60" t="s">
        <v>88</v>
      </c>
    </row>
    <row r="441" spans="1:8" ht="14.25" hidden="1" customHeight="1" x14ac:dyDescent="0.3">
      <c r="A441" s="2" t="s">
        <v>31</v>
      </c>
      <c r="B441" s="60" t="s">
        <v>155</v>
      </c>
      <c r="C441" s="60" t="s">
        <v>238</v>
      </c>
      <c r="D441" s="68"/>
      <c r="E441" s="73"/>
      <c r="F441" s="79">
        <f>IFERROR(D441*E441,0)</f>
        <v>0</v>
      </c>
      <c r="G441" s="60" t="str">
        <f>INDEX(SETORES!$B:$B,MATCH(A441,SETORES!$A:$A,0))</f>
        <v>Clientes</v>
      </c>
      <c r="H441" s="60" t="s">
        <v>88</v>
      </c>
    </row>
    <row r="442" spans="1:8" ht="14.25" hidden="1" customHeight="1" x14ac:dyDescent="0.3">
      <c r="A442" s="2" t="s">
        <v>31</v>
      </c>
      <c r="B442" s="60" t="s">
        <v>155</v>
      </c>
      <c r="C442" s="60" t="s">
        <v>258</v>
      </c>
      <c r="D442" s="68">
        <v>1</v>
      </c>
      <c r="E442" s="73">
        <v>58.16</v>
      </c>
      <c r="F442" s="79">
        <f>IFERROR(D442*E442,0)</f>
        <v>58.16</v>
      </c>
      <c r="G442" s="60" t="str">
        <f>INDEX(SETORES!$B:$B,MATCH(A442,SETORES!$A:$A,0))</f>
        <v>Clientes</v>
      </c>
      <c r="H442" s="60" t="s">
        <v>88</v>
      </c>
    </row>
    <row r="443" spans="1:8" ht="14.25" hidden="1" customHeight="1" x14ac:dyDescent="0.3">
      <c r="A443" s="2" t="s">
        <v>31</v>
      </c>
      <c r="B443" s="60" t="s">
        <v>155</v>
      </c>
      <c r="C443" s="60" t="s">
        <v>166</v>
      </c>
      <c r="D443" s="68">
        <v>3</v>
      </c>
      <c r="E443" s="73">
        <v>50</v>
      </c>
      <c r="F443" s="79">
        <f>IFERROR(D443*E443,0)</f>
        <v>150</v>
      </c>
      <c r="G443" s="60" t="str">
        <f>INDEX(SETORES!$B:$B,MATCH(A443,SETORES!$A:$A,0))</f>
        <v>Clientes</v>
      </c>
      <c r="H443" s="60" t="s">
        <v>88</v>
      </c>
    </row>
    <row r="444" spans="1:8" ht="14.25" hidden="1" customHeight="1" x14ac:dyDescent="0.3">
      <c r="A444" s="2" t="s">
        <v>31</v>
      </c>
      <c r="B444" s="60" t="s">
        <v>155</v>
      </c>
      <c r="C444" s="60" t="s">
        <v>156</v>
      </c>
      <c r="D444" s="68">
        <v>1</v>
      </c>
      <c r="E444" s="73">
        <v>37.24</v>
      </c>
      <c r="F444" s="79">
        <f>IFERROR(D444*E444,0)</f>
        <v>37.24</v>
      </c>
      <c r="G444" s="60" t="str">
        <f>INDEX(SETORES!$B:$B,MATCH(A444,SETORES!$A:$A,0))</f>
        <v>Clientes</v>
      </c>
      <c r="H444" s="60" t="s">
        <v>88</v>
      </c>
    </row>
    <row r="445" spans="1:8" ht="14.25" hidden="1" customHeight="1" x14ac:dyDescent="0.3">
      <c r="A445" s="2" t="s">
        <v>31</v>
      </c>
      <c r="B445" s="60" t="s">
        <v>155</v>
      </c>
      <c r="C445" s="60" t="s">
        <v>157</v>
      </c>
      <c r="D445" s="68">
        <v>1</v>
      </c>
      <c r="E445" s="73">
        <v>288.14999999999998</v>
      </c>
      <c r="F445" s="79">
        <f>IFERROR(D445*E445,0)</f>
        <v>288.14999999999998</v>
      </c>
      <c r="G445" s="60" t="str">
        <f>INDEX(SETORES!$B:$B,MATCH(A445,SETORES!$A:$A,0))</f>
        <v>Clientes</v>
      </c>
      <c r="H445" s="60" t="s">
        <v>88</v>
      </c>
    </row>
    <row r="446" spans="1:8" ht="14.25" hidden="1" customHeight="1" x14ac:dyDescent="0.3">
      <c r="A446" s="2" t="s">
        <v>31</v>
      </c>
      <c r="B446" s="60" t="s">
        <v>162</v>
      </c>
      <c r="C446" s="60" t="s">
        <v>222</v>
      </c>
      <c r="D446" s="68"/>
      <c r="E446" s="73"/>
      <c r="F446" s="79">
        <f>IFERROR(D446*E446,0)</f>
        <v>0</v>
      </c>
      <c r="G446" s="60" t="str">
        <f>INDEX(SETORES!$B:$B,MATCH(A446,SETORES!$A:$A,0))</f>
        <v>Clientes</v>
      </c>
      <c r="H446" s="60" t="s">
        <v>88</v>
      </c>
    </row>
    <row r="447" spans="1:8" ht="14.25" hidden="1" customHeight="1" x14ac:dyDescent="0.3">
      <c r="A447" s="2" t="s">
        <v>31</v>
      </c>
      <c r="B447" s="60" t="s">
        <v>155</v>
      </c>
      <c r="C447" s="60" t="s">
        <v>168</v>
      </c>
      <c r="D447" s="68">
        <v>3</v>
      </c>
      <c r="E447" s="73">
        <v>1.87</v>
      </c>
      <c r="F447" s="79">
        <f>IFERROR(D447*E447,0)</f>
        <v>5.61</v>
      </c>
      <c r="G447" s="60" t="str">
        <f>INDEX(SETORES!$B:$B,MATCH(A447,SETORES!$A:$A,0))</f>
        <v>Clientes</v>
      </c>
      <c r="H447" s="60" t="s">
        <v>88</v>
      </c>
    </row>
    <row r="448" spans="1:8" ht="14.25" hidden="1" customHeight="1" x14ac:dyDescent="0.3">
      <c r="A448" s="2" t="s">
        <v>31</v>
      </c>
      <c r="B448" s="60" t="s">
        <v>155</v>
      </c>
      <c r="C448" s="60" t="s">
        <v>160</v>
      </c>
      <c r="D448" s="68"/>
      <c r="E448" s="73"/>
      <c r="F448" s="79">
        <f>IFERROR(D448*E448,0)</f>
        <v>0</v>
      </c>
      <c r="G448" s="60" t="str">
        <f>INDEX(SETORES!$B:$B,MATCH(A448,SETORES!$A:$A,0))</f>
        <v>Clientes</v>
      </c>
      <c r="H448" s="60" t="s">
        <v>88</v>
      </c>
    </row>
    <row r="449" spans="1:8" ht="14.25" hidden="1" customHeight="1" x14ac:dyDescent="0.3">
      <c r="A449" s="2" t="s">
        <v>37</v>
      </c>
      <c r="B449" s="60" t="s">
        <v>155</v>
      </c>
      <c r="C449" s="60" t="s">
        <v>159</v>
      </c>
      <c r="D449" s="68"/>
      <c r="E449" s="73"/>
      <c r="F449" s="79">
        <f>IFERROR(D449*E449,0)</f>
        <v>0</v>
      </c>
      <c r="G449" s="60" t="str">
        <f>INDEX(SETORES!$B:$B,MATCH(A449,SETORES!$A:$A,0))</f>
        <v>Clientes</v>
      </c>
      <c r="H449" s="60" t="s">
        <v>88</v>
      </c>
    </row>
    <row r="450" spans="1:8" ht="14.25" hidden="1" customHeight="1" x14ac:dyDescent="0.3">
      <c r="A450" s="2" t="s">
        <v>37</v>
      </c>
      <c r="B450" s="60" t="s">
        <v>155</v>
      </c>
      <c r="C450" s="60" t="s">
        <v>249</v>
      </c>
      <c r="D450" s="68">
        <v>1</v>
      </c>
      <c r="E450" s="73">
        <v>3272.78</v>
      </c>
      <c r="F450" s="79">
        <f>IFERROR(D450*E450,0)</f>
        <v>3272.78</v>
      </c>
      <c r="G450" s="60" t="str">
        <f>INDEX(SETORES!$B:$B,MATCH(A450,SETORES!$A:$A,0))</f>
        <v>Clientes</v>
      </c>
      <c r="H450" s="60" t="s">
        <v>88</v>
      </c>
    </row>
    <row r="451" spans="1:8" ht="14.25" hidden="1" customHeight="1" x14ac:dyDescent="0.3">
      <c r="A451" s="2" t="s">
        <v>37</v>
      </c>
      <c r="B451" s="60" t="s">
        <v>155</v>
      </c>
      <c r="C451" s="60" t="s">
        <v>171</v>
      </c>
      <c r="D451" s="68">
        <v>42</v>
      </c>
      <c r="E451" s="73">
        <v>52.09</v>
      </c>
      <c r="F451" s="79">
        <f>IFERROR(D451*E451,0)</f>
        <v>2187.7800000000002</v>
      </c>
      <c r="G451" s="60" t="s">
        <v>98</v>
      </c>
      <c r="H451" s="60" t="s">
        <v>88</v>
      </c>
    </row>
    <row r="452" spans="1:8" ht="14.25" hidden="1" customHeight="1" x14ac:dyDescent="0.3">
      <c r="A452" s="2" t="s">
        <v>37</v>
      </c>
      <c r="B452" s="60" t="s">
        <v>155</v>
      </c>
      <c r="C452" s="60" t="s">
        <v>170</v>
      </c>
      <c r="D452" s="68">
        <v>42</v>
      </c>
      <c r="E452" s="73">
        <v>32.549999999999997</v>
      </c>
      <c r="F452" s="79">
        <f>IFERROR(D452*E452,0)</f>
        <v>1367.1</v>
      </c>
      <c r="G452" s="60" t="s">
        <v>98</v>
      </c>
      <c r="H452" s="60" t="s">
        <v>88</v>
      </c>
    </row>
    <row r="453" spans="1:8" ht="14.25" customHeight="1" x14ac:dyDescent="0.3">
      <c r="A453" s="2" t="s">
        <v>37</v>
      </c>
      <c r="B453" s="60" t="s">
        <v>155</v>
      </c>
      <c r="C453" s="60" t="s">
        <v>169</v>
      </c>
      <c r="D453" s="68">
        <v>42</v>
      </c>
      <c r="E453" s="73">
        <v>52.35</v>
      </c>
      <c r="F453" s="79">
        <f>IFERROR(D453*E453,0)</f>
        <v>2198.7000000000003</v>
      </c>
      <c r="G453" s="60" t="s">
        <v>98</v>
      </c>
      <c r="H453" s="60" t="s">
        <v>88</v>
      </c>
    </row>
    <row r="454" spans="1:8" ht="14.25" hidden="1" customHeight="1" x14ac:dyDescent="0.3">
      <c r="A454" s="2" t="s">
        <v>37</v>
      </c>
      <c r="B454" s="60" t="s">
        <v>155</v>
      </c>
      <c r="C454" s="60" t="s">
        <v>158</v>
      </c>
      <c r="D454" s="68"/>
      <c r="E454" s="73"/>
      <c r="F454" s="79">
        <f>IFERROR(D454*E454,0)</f>
        <v>0</v>
      </c>
      <c r="G454" s="60" t="str">
        <f>INDEX(SETORES!$B:$B,MATCH(A454,SETORES!$A:$A,0))</f>
        <v>Clientes</v>
      </c>
      <c r="H454" s="60" t="s">
        <v>88</v>
      </c>
    </row>
    <row r="455" spans="1:8" ht="14.25" hidden="1" customHeight="1" x14ac:dyDescent="0.3">
      <c r="A455" s="2" t="s">
        <v>37</v>
      </c>
      <c r="B455" s="60" t="s">
        <v>162</v>
      </c>
      <c r="C455" s="60" t="s">
        <v>165</v>
      </c>
      <c r="D455" s="68"/>
      <c r="E455" s="73"/>
      <c r="F455" s="79">
        <f>IFERROR(D455*E455,0)</f>
        <v>0</v>
      </c>
      <c r="G455" s="60" t="str">
        <f>INDEX(SETORES!$B:$B,MATCH(A455,SETORES!$A:$A,0))</f>
        <v>Clientes</v>
      </c>
      <c r="H455" s="60" t="s">
        <v>88</v>
      </c>
    </row>
    <row r="456" spans="1:8" ht="14.25" hidden="1" customHeight="1" x14ac:dyDescent="0.3">
      <c r="A456" s="2" t="s">
        <v>37</v>
      </c>
      <c r="B456" s="60" t="s">
        <v>162</v>
      </c>
      <c r="C456" s="60" t="s">
        <v>163</v>
      </c>
      <c r="D456" s="68"/>
      <c r="E456" s="73"/>
      <c r="F456" s="79">
        <f>IFERROR(D456*E456,0)</f>
        <v>0</v>
      </c>
      <c r="G456" s="60" t="str">
        <f>INDEX(SETORES!$B:$B,MATCH(A456,SETORES!$A:$A,0))</f>
        <v>Clientes</v>
      </c>
      <c r="H456" s="60" t="s">
        <v>88</v>
      </c>
    </row>
    <row r="457" spans="1:8" ht="14.25" hidden="1" customHeight="1" x14ac:dyDescent="0.3">
      <c r="A457" s="2" t="s">
        <v>37</v>
      </c>
      <c r="B457" s="60" t="s">
        <v>162</v>
      </c>
      <c r="C457" s="60" t="s">
        <v>164</v>
      </c>
      <c r="D457" s="68"/>
      <c r="E457" s="73"/>
      <c r="F457" s="79">
        <f>IFERROR(D457*E457,0)</f>
        <v>0</v>
      </c>
      <c r="G457" s="60" t="str">
        <f>INDEX(SETORES!$B:$B,MATCH(A457,SETORES!$A:$A,0))</f>
        <v>Clientes</v>
      </c>
      <c r="H457" s="60" t="s">
        <v>88</v>
      </c>
    </row>
    <row r="458" spans="1:8" ht="14.25" hidden="1" customHeight="1" x14ac:dyDescent="0.3">
      <c r="A458" s="2" t="s">
        <v>37</v>
      </c>
      <c r="B458" s="60" t="s">
        <v>155</v>
      </c>
      <c r="C458" s="60" t="s">
        <v>161</v>
      </c>
      <c r="D458" s="68">
        <v>1</v>
      </c>
      <c r="E458" s="73">
        <v>145351.16</v>
      </c>
      <c r="F458" s="79">
        <f>IFERROR(D458*E458,0)</f>
        <v>145351.16</v>
      </c>
      <c r="G458" s="60" t="str">
        <f>INDEX(SETORES!$B:$B,MATCH(A458,SETORES!$A:$A,0))</f>
        <v>Clientes</v>
      </c>
      <c r="H458" s="60" t="s">
        <v>88</v>
      </c>
    </row>
    <row r="459" spans="1:8" ht="14.25" hidden="1" customHeight="1" x14ac:dyDescent="0.3">
      <c r="A459" s="2" t="s">
        <v>37</v>
      </c>
      <c r="B459" s="60" t="s">
        <v>155</v>
      </c>
      <c r="C459" s="60" t="s">
        <v>167</v>
      </c>
      <c r="D459" s="68"/>
      <c r="E459" s="73"/>
      <c r="F459" s="79">
        <f>IFERROR(D459*E459,0)</f>
        <v>0</v>
      </c>
      <c r="G459" s="60" t="str">
        <f>INDEX(SETORES!$B:$B,MATCH(A459,SETORES!$A:$A,0))</f>
        <v>Clientes</v>
      </c>
      <c r="H459" s="60" t="s">
        <v>88</v>
      </c>
    </row>
    <row r="460" spans="1:8" ht="14.25" hidden="1" customHeight="1" x14ac:dyDescent="0.3">
      <c r="A460" s="2" t="s">
        <v>37</v>
      </c>
      <c r="B460" s="60" t="s">
        <v>155</v>
      </c>
      <c r="C460" s="60" t="s">
        <v>240</v>
      </c>
      <c r="D460" s="68"/>
      <c r="E460" s="73"/>
      <c r="F460" s="79">
        <f>IFERROR(D460*E460,0)</f>
        <v>0</v>
      </c>
      <c r="G460" s="60" t="str">
        <f>INDEX(SETORES!$B:$B,MATCH(A460,SETORES!$A:$A,0))</f>
        <v>Clientes</v>
      </c>
      <c r="H460" s="60" t="s">
        <v>88</v>
      </c>
    </row>
    <row r="461" spans="1:8" ht="14.25" hidden="1" customHeight="1" x14ac:dyDescent="0.3">
      <c r="A461" s="2" t="s">
        <v>37</v>
      </c>
      <c r="B461" s="60" t="s">
        <v>155</v>
      </c>
      <c r="C461" s="60" t="s">
        <v>258</v>
      </c>
      <c r="D461" s="68">
        <v>1</v>
      </c>
      <c r="E461" s="73">
        <v>814.21</v>
      </c>
      <c r="F461" s="79">
        <f>IFERROR(D461*E461,0)</f>
        <v>814.21</v>
      </c>
      <c r="G461" s="60" t="str">
        <f>INDEX(SETORES!$B:$B,MATCH(A461,SETORES!$A:$A,0))</f>
        <v>Clientes</v>
      </c>
      <c r="H461" s="60" t="s">
        <v>88</v>
      </c>
    </row>
    <row r="462" spans="1:8" ht="14.25" hidden="1" customHeight="1" x14ac:dyDescent="0.3">
      <c r="A462" s="2" t="s">
        <v>37</v>
      </c>
      <c r="B462" s="60" t="s">
        <v>155</v>
      </c>
      <c r="C462" s="60" t="s">
        <v>166</v>
      </c>
      <c r="D462" s="68">
        <v>42</v>
      </c>
      <c r="E462" s="73">
        <v>50</v>
      </c>
      <c r="F462" s="79">
        <f>IFERROR(D462*E462,0)</f>
        <v>2100</v>
      </c>
      <c r="G462" s="60" t="str">
        <f>INDEX(SETORES!$B:$B,MATCH(A462,SETORES!$A:$A,0))</f>
        <v>Clientes</v>
      </c>
      <c r="H462" s="60" t="s">
        <v>88</v>
      </c>
    </row>
    <row r="463" spans="1:8" ht="14.25" hidden="1" customHeight="1" x14ac:dyDescent="0.3">
      <c r="A463" s="2" t="s">
        <v>37</v>
      </c>
      <c r="B463" s="60" t="s">
        <v>155</v>
      </c>
      <c r="C463" s="60" t="s">
        <v>223</v>
      </c>
      <c r="D463" s="68"/>
      <c r="E463" s="73"/>
      <c r="F463" s="79">
        <f>IFERROR(D463*E463,0)</f>
        <v>0</v>
      </c>
      <c r="G463" s="60" t="str">
        <f>INDEX(SETORES!$B:$B,MATCH(A463,SETORES!$A:$A,0))</f>
        <v>Clientes</v>
      </c>
      <c r="H463" s="60" t="s">
        <v>88</v>
      </c>
    </row>
    <row r="464" spans="1:8" ht="14.25" hidden="1" customHeight="1" x14ac:dyDescent="0.3">
      <c r="A464" s="2" t="s">
        <v>37</v>
      </c>
      <c r="B464" s="60" t="s">
        <v>155</v>
      </c>
      <c r="C464" s="60" t="s">
        <v>156</v>
      </c>
      <c r="D464" s="68">
        <v>1</v>
      </c>
      <c r="E464" s="73">
        <v>12.09</v>
      </c>
      <c r="F464" s="79">
        <f>IFERROR(D464*E464,0)</f>
        <v>12.09</v>
      </c>
      <c r="G464" s="60" t="str">
        <f>INDEX(SETORES!$B:$B,MATCH(A464,SETORES!$A:$A,0))</f>
        <v>Clientes</v>
      </c>
      <c r="H464" s="60" t="s">
        <v>88</v>
      </c>
    </row>
    <row r="465" spans="1:8" ht="14.25" hidden="1" customHeight="1" x14ac:dyDescent="0.3">
      <c r="A465" s="2" t="s">
        <v>37</v>
      </c>
      <c r="B465" s="60" t="s">
        <v>155</v>
      </c>
      <c r="C465" s="60" t="s">
        <v>157</v>
      </c>
      <c r="D465" s="68">
        <v>1</v>
      </c>
      <c r="E465" s="73">
        <v>2123.29</v>
      </c>
      <c r="F465" s="79">
        <f>IFERROR(D465*E465,0)</f>
        <v>2123.29</v>
      </c>
      <c r="G465" s="60" t="str">
        <f>INDEX(SETORES!$B:$B,MATCH(A465,SETORES!$A:$A,0))</f>
        <v>Clientes</v>
      </c>
      <c r="H465" s="60" t="s">
        <v>88</v>
      </c>
    </row>
    <row r="466" spans="1:8" ht="14.25" hidden="1" customHeight="1" x14ac:dyDescent="0.3">
      <c r="A466" s="2" t="s">
        <v>37</v>
      </c>
      <c r="B466" s="60" t="s">
        <v>162</v>
      </c>
      <c r="C466" s="60" t="s">
        <v>222</v>
      </c>
      <c r="D466" s="68"/>
      <c r="E466" s="73"/>
      <c r="F466" s="79">
        <f>IFERROR(D466*E466,0)</f>
        <v>0</v>
      </c>
      <c r="G466" s="60" t="str">
        <f>INDEX(SETORES!$B:$B,MATCH(A466,SETORES!$A:$A,0))</f>
        <v>Clientes</v>
      </c>
      <c r="H466" s="60" t="s">
        <v>88</v>
      </c>
    </row>
    <row r="467" spans="1:8" ht="14.25" hidden="1" customHeight="1" x14ac:dyDescent="0.3">
      <c r="A467" s="2" t="s">
        <v>37</v>
      </c>
      <c r="B467" s="60" t="s">
        <v>155</v>
      </c>
      <c r="C467" s="60" t="s">
        <v>187</v>
      </c>
      <c r="D467" s="68"/>
      <c r="E467" s="73"/>
      <c r="F467" s="79">
        <f>IFERROR(D467*E467,0)</f>
        <v>0</v>
      </c>
      <c r="G467" s="60" t="str">
        <f>INDEX(SETORES!$B:$B,MATCH(A467,SETORES!$A:$A,0))</f>
        <v>Clientes</v>
      </c>
      <c r="H467" s="60" t="s">
        <v>88</v>
      </c>
    </row>
    <row r="468" spans="1:8" ht="14.25" hidden="1" customHeight="1" x14ac:dyDescent="0.3">
      <c r="A468" s="2" t="s">
        <v>37</v>
      </c>
      <c r="B468" s="60" t="s">
        <v>155</v>
      </c>
      <c r="C468" s="60" t="s">
        <v>168</v>
      </c>
      <c r="D468" s="68">
        <v>42</v>
      </c>
      <c r="E468" s="73">
        <v>1.87</v>
      </c>
      <c r="F468" s="79">
        <f>IFERROR(D468*E468,0)</f>
        <v>78.540000000000006</v>
      </c>
      <c r="G468" s="60" t="str">
        <f>INDEX(SETORES!$B:$B,MATCH(A468,SETORES!$A:$A,0))</f>
        <v>Clientes</v>
      </c>
      <c r="H468" s="60" t="s">
        <v>88</v>
      </c>
    </row>
    <row r="469" spans="1:8" ht="14.25" hidden="1" customHeight="1" x14ac:dyDescent="0.3">
      <c r="A469" s="2" t="s">
        <v>37</v>
      </c>
      <c r="B469" s="60" t="s">
        <v>155</v>
      </c>
      <c r="C469" s="60" t="s">
        <v>160</v>
      </c>
      <c r="D469" s="68"/>
      <c r="E469" s="73"/>
      <c r="F469" s="79">
        <f>IFERROR(D469*E469,0)</f>
        <v>0</v>
      </c>
      <c r="G469" s="60" t="str">
        <f>INDEX(SETORES!$B:$B,MATCH(A469,SETORES!$A:$A,0))</f>
        <v>Clientes</v>
      </c>
      <c r="H469" s="60" t="s">
        <v>88</v>
      </c>
    </row>
    <row r="470" spans="1:8" ht="14.25" hidden="1" customHeight="1" x14ac:dyDescent="0.3">
      <c r="A470" s="2" t="s">
        <v>46</v>
      </c>
      <c r="B470" s="60" t="s">
        <v>155</v>
      </c>
      <c r="C470" s="60" t="s">
        <v>212</v>
      </c>
      <c r="D470" s="68">
        <v>5</v>
      </c>
      <c r="E470" s="73">
        <v>30</v>
      </c>
      <c r="F470" s="79">
        <f>IFERROR(D470*E470,0)</f>
        <v>150</v>
      </c>
      <c r="G470" s="60" t="str">
        <f>INDEX(SETORES!$B:$B,MATCH(A470,SETORES!$A:$A,0))</f>
        <v>Clientes</v>
      </c>
      <c r="H470" s="60" t="s">
        <v>88</v>
      </c>
    </row>
    <row r="471" spans="1:8" ht="14.25" hidden="1" customHeight="1" x14ac:dyDescent="0.3">
      <c r="A471" s="2" t="s">
        <v>46</v>
      </c>
      <c r="B471" s="60" t="s">
        <v>162</v>
      </c>
      <c r="C471" s="60" t="s">
        <v>217</v>
      </c>
      <c r="D471" s="68">
        <v>1</v>
      </c>
      <c r="E471" s="73">
        <v>11761.57</v>
      </c>
      <c r="F471" s="79">
        <f>IFERROR(D471*E471,0)</f>
        <v>11761.57</v>
      </c>
      <c r="G471" s="60" t="str">
        <f>INDEX(SETORES!$B:$B,MATCH(A471,SETORES!$A:$A,0))</f>
        <v>Clientes</v>
      </c>
      <c r="H471" s="60" t="s">
        <v>88</v>
      </c>
    </row>
    <row r="472" spans="1:8" ht="14.25" hidden="1" customHeight="1" x14ac:dyDescent="0.3">
      <c r="A472" s="2" t="s">
        <v>46</v>
      </c>
      <c r="B472" s="60" t="s">
        <v>155</v>
      </c>
      <c r="C472" s="60" t="s">
        <v>250</v>
      </c>
      <c r="D472" s="68">
        <v>1</v>
      </c>
      <c r="E472" s="73">
        <v>4198.71</v>
      </c>
      <c r="F472" s="79">
        <f>IFERROR(D472*E472,0)</f>
        <v>4198.71</v>
      </c>
      <c r="G472" s="60" t="str">
        <f>INDEX(SETORES!$B:$B,MATCH(A472,SETORES!$A:$A,0))</f>
        <v>Clientes</v>
      </c>
      <c r="H472" s="60" t="s">
        <v>88</v>
      </c>
    </row>
    <row r="473" spans="1:8" ht="14.25" hidden="1" customHeight="1" x14ac:dyDescent="0.3">
      <c r="A473" s="2" t="s">
        <v>46</v>
      </c>
      <c r="B473" s="60" t="s">
        <v>155</v>
      </c>
      <c r="C473" s="60" t="s">
        <v>171</v>
      </c>
      <c r="D473" s="68">
        <v>24</v>
      </c>
      <c r="E473" s="73">
        <v>52.09</v>
      </c>
      <c r="F473" s="79">
        <f>IFERROR(D473*E473,0)</f>
        <v>1250.1600000000001</v>
      </c>
      <c r="G473" s="60" t="s">
        <v>98</v>
      </c>
      <c r="H473" s="60" t="s">
        <v>88</v>
      </c>
    </row>
    <row r="474" spans="1:8" ht="14.25" hidden="1" customHeight="1" x14ac:dyDescent="0.3">
      <c r="A474" s="2" t="s">
        <v>46</v>
      </c>
      <c r="B474" s="60" t="s">
        <v>155</v>
      </c>
      <c r="C474" s="60" t="s">
        <v>170</v>
      </c>
      <c r="D474" s="68">
        <v>24</v>
      </c>
      <c r="E474" s="73">
        <v>32.549999999999997</v>
      </c>
      <c r="F474" s="79">
        <f>IFERROR(D474*E474,0)</f>
        <v>781.19999999999993</v>
      </c>
      <c r="G474" s="60" t="s">
        <v>98</v>
      </c>
      <c r="H474" s="60" t="s">
        <v>88</v>
      </c>
    </row>
    <row r="475" spans="1:8" ht="14.25" customHeight="1" x14ac:dyDescent="0.3">
      <c r="A475" s="2" t="s">
        <v>46</v>
      </c>
      <c r="B475" s="60" t="s">
        <v>155</v>
      </c>
      <c r="C475" s="60" t="s">
        <v>169</v>
      </c>
      <c r="D475" s="68">
        <v>24</v>
      </c>
      <c r="E475" s="73">
        <v>52.35</v>
      </c>
      <c r="F475" s="79">
        <f>IFERROR(D475*E475,0)</f>
        <v>1256.4000000000001</v>
      </c>
      <c r="G475" s="60" t="s">
        <v>98</v>
      </c>
      <c r="H475" s="60" t="s">
        <v>88</v>
      </c>
    </row>
    <row r="476" spans="1:8" ht="14.25" hidden="1" customHeight="1" x14ac:dyDescent="0.3">
      <c r="A476" s="2" t="s">
        <v>46</v>
      </c>
      <c r="B476" s="60" t="s">
        <v>162</v>
      </c>
      <c r="C476" s="60" t="s">
        <v>221</v>
      </c>
      <c r="D476" s="68"/>
      <c r="E476" s="73"/>
      <c r="F476" s="79">
        <f>IFERROR(D476*E476,0)</f>
        <v>0</v>
      </c>
      <c r="G476" s="60" t="str">
        <f>INDEX(SETORES!$B:$B,MATCH(A476,SETORES!$A:$A,0))</f>
        <v>Clientes</v>
      </c>
      <c r="H476" s="60" t="s">
        <v>88</v>
      </c>
    </row>
    <row r="477" spans="1:8" ht="14.25" hidden="1" customHeight="1" x14ac:dyDescent="0.3">
      <c r="A477" s="2" t="s">
        <v>46</v>
      </c>
      <c r="B477" s="60" t="s">
        <v>155</v>
      </c>
      <c r="C477" s="60" t="s">
        <v>161</v>
      </c>
      <c r="D477" s="68">
        <v>1</v>
      </c>
      <c r="E477" s="73">
        <v>155833.72</v>
      </c>
      <c r="F477" s="79">
        <f>IFERROR(D477*E477,0)</f>
        <v>155833.72</v>
      </c>
      <c r="G477" s="60" t="str">
        <f>INDEX(SETORES!$B:$B,MATCH(A477,SETORES!$A:$A,0))</f>
        <v>Clientes</v>
      </c>
      <c r="H477" s="60" t="s">
        <v>88</v>
      </c>
    </row>
    <row r="478" spans="1:8" ht="14.25" hidden="1" customHeight="1" x14ac:dyDescent="0.3">
      <c r="A478" s="2" t="s">
        <v>46</v>
      </c>
      <c r="B478" s="60" t="s">
        <v>155</v>
      </c>
      <c r="C478" s="60" t="s">
        <v>167</v>
      </c>
      <c r="D478" s="68"/>
      <c r="E478" s="73"/>
      <c r="F478" s="79">
        <f>IFERROR(D478*E478,0)</f>
        <v>0</v>
      </c>
      <c r="G478" s="60" t="str">
        <f>INDEX(SETORES!$B:$B,MATCH(A478,SETORES!$A:$A,0))</f>
        <v>Clientes</v>
      </c>
      <c r="H478" s="60" t="s">
        <v>88</v>
      </c>
    </row>
    <row r="479" spans="1:8" ht="14.25" hidden="1" customHeight="1" x14ac:dyDescent="0.3">
      <c r="A479" s="2" t="s">
        <v>46</v>
      </c>
      <c r="B479" s="60" t="s">
        <v>162</v>
      </c>
      <c r="C479" s="60" t="s">
        <v>218</v>
      </c>
      <c r="D479" s="68"/>
      <c r="E479" s="73"/>
      <c r="F479" s="79">
        <f>IFERROR(D479*E479,0)</f>
        <v>0</v>
      </c>
      <c r="G479" s="60" t="str">
        <f>INDEX(SETORES!$B:$B,MATCH(A479,SETORES!$A:$A,0))</f>
        <v>Clientes</v>
      </c>
      <c r="H479" s="60" t="s">
        <v>88</v>
      </c>
    </row>
    <row r="480" spans="1:8" ht="14.25" hidden="1" customHeight="1" x14ac:dyDescent="0.3">
      <c r="A480" s="2" t="s">
        <v>46</v>
      </c>
      <c r="B480" s="60" t="s">
        <v>155</v>
      </c>
      <c r="C480" s="60" t="s">
        <v>166</v>
      </c>
      <c r="D480" s="68">
        <v>24</v>
      </c>
      <c r="E480" s="73">
        <v>50</v>
      </c>
      <c r="F480" s="79">
        <f>IFERROR(D480*E480,0)</f>
        <v>1200</v>
      </c>
      <c r="G480" s="60" t="str">
        <f>INDEX(SETORES!$B:$B,MATCH(A480,SETORES!$A:$A,0))</f>
        <v>Clientes</v>
      </c>
      <c r="H480" s="60" t="s">
        <v>88</v>
      </c>
    </row>
    <row r="481" spans="1:8" ht="14.25" hidden="1" customHeight="1" x14ac:dyDescent="0.3">
      <c r="A481" s="2" t="s">
        <v>46</v>
      </c>
      <c r="B481" s="60" t="s">
        <v>162</v>
      </c>
      <c r="C481" s="60" t="s">
        <v>222</v>
      </c>
      <c r="D481" s="68"/>
      <c r="E481" s="73"/>
      <c r="F481" s="79">
        <f>IFERROR(D481*E481,0)</f>
        <v>0</v>
      </c>
      <c r="G481" s="60" t="str">
        <f>INDEX(SETORES!$B:$B,MATCH(A481,SETORES!$A:$A,0))</f>
        <v>Clientes</v>
      </c>
      <c r="H481" s="60" t="s">
        <v>88</v>
      </c>
    </row>
    <row r="482" spans="1:8" ht="14.25" hidden="1" customHeight="1" x14ac:dyDescent="0.3">
      <c r="A482" s="2" t="s">
        <v>46</v>
      </c>
      <c r="B482" s="60" t="s">
        <v>155</v>
      </c>
      <c r="C482" s="60" t="s">
        <v>168</v>
      </c>
      <c r="D482" s="68">
        <v>24</v>
      </c>
      <c r="E482" s="73">
        <v>1.87</v>
      </c>
      <c r="F482" s="79">
        <f>IFERROR(D482*E482,0)</f>
        <v>44.88</v>
      </c>
      <c r="G482" s="60" t="str">
        <f>INDEX(SETORES!$B:$B,MATCH(A482,SETORES!$A:$A,0))</f>
        <v>Clientes</v>
      </c>
      <c r="H482" s="60" t="s">
        <v>88</v>
      </c>
    </row>
    <row r="483" spans="1:8" ht="14.25" hidden="1" customHeight="1" x14ac:dyDescent="0.3">
      <c r="A483" s="2" t="s">
        <v>46</v>
      </c>
      <c r="B483" s="60" t="s">
        <v>155</v>
      </c>
      <c r="C483" s="60" t="s">
        <v>160</v>
      </c>
      <c r="D483" s="68"/>
      <c r="E483" s="73"/>
      <c r="F483" s="79">
        <f>IFERROR(D483*E483,0)</f>
        <v>0</v>
      </c>
      <c r="G483" s="60" t="str">
        <f>INDEX(SETORES!$B:$B,MATCH(A483,SETORES!$A:$A,0))</f>
        <v>Clientes</v>
      </c>
      <c r="H483" s="60" t="s">
        <v>88</v>
      </c>
    </row>
    <row r="484" spans="1:8" ht="14.25" hidden="1" customHeight="1" x14ac:dyDescent="0.3">
      <c r="A484" s="2" t="s">
        <v>49</v>
      </c>
      <c r="B484" s="60" t="s">
        <v>155</v>
      </c>
      <c r="C484" s="60" t="s">
        <v>159</v>
      </c>
      <c r="D484" s="68"/>
      <c r="E484" s="73"/>
      <c r="F484" s="79">
        <f>IFERROR(D484*E484,0)</f>
        <v>0</v>
      </c>
      <c r="G484" s="60" t="str">
        <f>INDEX(SETORES!$B:$B,MATCH(A484,SETORES!$A:$A,0))</f>
        <v>Clientes</v>
      </c>
      <c r="H484" s="60" t="s">
        <v>88</v>
      </c>
    </row>
    <row r="485" spans="1:8" ht="14.25" hidden="1" customHeight="1" x14ac:dyDescent="0.3">
      <c r="A485" s="2" t="s">
        <v>49</v>
      </c>
      <c r="B485" s="60" t="s">
        <v>162</v>
      </c>
      <c r="C485" s="60" t="s">
        <v>217</v>
      </c>
      <c r="D485" s="68"/>
      <c r="E485" s="73"/>
      <c r="F485" s="79">
        <f>IFERROR(D485*E485,0)</f>
        <v>0</v>
      </c>
      <c r="G485" s="60" t="str">
        <f>INDEX(SETORES!$B:$B,MATCH(A485,SETORES!$A:$A,0))</f>
        <v>Clientes</v>
      </c>
      <c r="H485" s="60" t="s">
        <v>88</v>
      </c>
    </row>
    <row r="486" spans="1:8" ht="14.25" hidden="1" customHeight="1" x14ac:dyDescent="0.3">
      <c r="A486" s="2" t="s">
        <v>49</v>
      </c>
      <c r="B486" s="60" t="s">
        <v>155</v>
      </c>
      <c r="C486" s="60" t="s">
        <v>256</v>
      </c>
      <c r="D486" s="68">
        <v>1</v>
      </c>
      <c r="E486" s="73">
        <v>2899.91</v>
      </c>
      <c r="F486" s="79">
        <f>IFERROR(D486*E486,0)</f>
        <v>2899.91</v>
      </c>
      <c r="G486" s="60" t="str">
        <f>INDEX(SETORES!$B:$B,MATCH(A486,SETORES!$A:$A,0))</f>
        <v>Clientes</v>
      </c>
      <c r="H486" s="60" t="s">
        <v>88</v>
      </c>
    </row>
    <row r="487" spans="1:8" ht="14.25" hidden="1" customHeight="1" x14ac:dyDescent="0.3">
      <c r="A487" s="2" t="s">
        <v>49</v>
      </c>
      <c r="B487" s="60" t="s">
        <v>155</v>
      </c>
      <c r="C487" s="60" t="s">
        <v>171</v>
      </c>
      <c r="D487" s="68">
        <v>4</v>
      </c>
      <c r="E487" s="73">
        <v>52.09</v>
      </c>
      <c r="F487" s="79">
        <f>IFERROR(D487*E487,0)</f>
        <v>208.36</v>
      </c>
      <c r="G487" s="60" t="s">
        <v>98</v>
      </c>
      <c r="H487" s="60" t="s">
        <v>88</v>
      </c>
    </row>
    <row r="488" spans="1:8" ht="14.25" hidden="1" customHeight="1" x14ac:dyDescent="0.3">
      <c r="A488" s="2" t="s">
        <v>49</v>
      </c>
      <c r="B488" s="60" t="s">
        <v>155</v>
      </c>
      <c r="C488" s="60" t="s">
        <v>170</v>
      </c>
      <c r="D488" s="68">
        <v>4</v>
      </c>
      <c r="E488" s="73">
        <v>32.549999999999997</v>
      </c>
      <c r="F488" s="79">
        <f>IFERROR(D488*E488,0)</f>
        <v>130.19999999999999</v>
      </c>
      <c r="G488" s="60" t="s">
        <v>98</v>
      </c>
      <c r="H488" s="60" t="s">
        <v>88</v>
      </c>
    </row>
    <row r="489" spans="1:8" ht="14.25" customHeight="1" x14ac:dyDescent="0.3">
      <c r="A489" s="2" t="s">
        <v>49</v>
      </c>
      <c r="B489" s="60" t="s">
        <v>155</v>
      </c>
      <c r="C489" s="60" t="s">
        <v>169</v>
      </c>
      <c r="D489" s="68">
        <v>4</v>
      </c>
      <c r="E489" s="73">
        <v>52.35</v>
      </c>
      <c r="F489" s="79">
        <f>IFERROR(D489*E489,0)</f>
        <v>209.4</v>
      </c>
      <c r="G489" s="60" t="s">
        <v>98</v>
      </c>
      <c r="H489" s="60" t="s">
        <v>88</v>
      </c>
    </row>
    <row r="490" spans="1:8" ht="14.25" hidden="1" customHeight="1" x14ac:dyDescent="0.3">
      <c r="A490" s="2" t="s">
        <v>49</v>
      </c>
      <c r="B490" s="60" t="s">
        <v>155</v>
      </c>
      <c r="C490" s="60" t="s">
        <v>158</v>
      </c>
      <c r="D490" s="68"/>
      <c r="E490" s="73"/>
      <c r="F490" s="79">
        <f>IFERROR(D490*E490,0)</f>
        <v>0</v>
      </c>
      <c r="G490" s="60" t="str">
        <f>INDEX(SETORES!$B:$B,MATCH(A490,SETORES!$A:$A,0))</f>
        <v>Clientes</v>
      </c>
      <c r="H490" s="60" t="s">
        <v>88</v>
      </c>
    </row>
    <row r="491" spans="1:8" ht="14.25" hidden="1" customHeight="1" x14ac:dyDescent="0.3">
      <c r="A491" s="2" t="s">
        <v>49</v>
      </c>
      <c r="B491" s="60" t="s">
        <v>162</v>
      </c>
      <c r="C491" s="60" t="s">
        <v>165</v>
      </c>
      <c r="D491" s="68"/>
      <c r="E491" s="73"/>
      <c r="F491" s="79">
        <f>IFERROR(D491*E491,0)</f>
        <v>0</v>
      </c>
      <c r="G491" s="60" t="str">
        <f>INDEX(SETORES!$B:$B,MATCH(A491,SETORES!$A:$A,0))</f>
        <v>Clientes</v>
      </c>
      <c r="H491" s="60" t="s">
        <v>88</v>
      </c>
    </row>
    <row r="492" spans="1:8" ht="14.25" hidden="1" customHeight="1" x14ac:dyDescent="0.3">
      <c r="A492" s="2" t="s">
        <v>49</v>
      </c>
      <c r="B492" s="60" t="s">
        <v>155</v>
      </c>
      <c r="C492" s="60" t="s">
        <v>161</v>
      </c>
      <c r="D492" s="68">
        <v>1</v>
      </c>
      <c r="E492" s="73">
        <v>25793.59</v>
      </c>
      <c r="F492" s="79">
        <f>IFERROR(D492*E492,0)</f>
        <v>25793.59</v>
      </c>
      <c r="G492" s="60" t="str">
        <f>INDEX(SETORES!$B:$B,MATCH(A492,SETORES!$A:$A,0))</f>
        <v>Clientes</v>
      </c>
      <c r="H492" s="60" t="s">
        <v>88</v>
      </c>
    </row>
    <row r="493" spans="1:8" ht="14.25" hidden="1" customHeight="1" x14ac:dyDescent="0.3">
      <c r="A493" s="2" t="s">
        <v>49</v>
      </c>
      <c r="B493" s="60" t="s">
        <v>155</v>
      </c>
      <c r="C493" s="60" t="s">
        <v>167</v>
      </c>
      <c r="D493" s="68"/>
      <c r="E493" s="73"/>
      <c r="F493" s="79">
        <f>IFERROR(D493*E493,0)</f>
        <v>0</v>
      </c>
      <c r="G493" s="60" t="str">
        <f>INDEX(SETORES!$B:$B,MATCH(A493,SETORES!$A:$A,0))</f>
        <v>Clientes</v>
      </c>
      <c r="H493" s="60" t="s">
        <v>88</v>
      </c>
    </row>
    <row r="494" spans="1:8" ht="14.25" hidden="1" customHeight="1" x14ac:dyDescent="0.3">
      <c r="A494" s="2" t="s">
        <v>49</v>
      </c>
      <c r="B494" s="60" t="s">
        <v>155</v>
      </c>
      <c r="C494" s="60" t="s">
        <v>238</v>
      </c>
      <c r="D494" s="68"/>
      <c r="E494" s="73"/>
      <c r="F494" s="79">
        <f>IFERROR(D494*E494,0)</f>
        <v>0</v>
      </c>
      <c r="G494" s="60" t="str">
        <f>INDEX(SETORES!$B:$B,MATCH(A494,SETORES!$A:$A,0))</f>
        <v>Clientes</v>
      </c>
      <c r="H494" s="60" t="s">
        <v>88</v>
      </c>
    </row>
    <row r="495" spans="1:8" ht="14.25" hidden="1" customHeight="1" x14ac:dyDescent="0.3">
      <c r="A495" s="2" t="s">
        <v>49</v>
      </c>
      <c r="B495" s="60" t="s">
        <v>155</v>
      </c>
      <c r="C495" s="60" t="s">
        <v>258</v>
      </c>
      <c r="D495" s="68">
        <v>1</v>
      </c>
      <c r="E495" s="73">
        <v>77.540000000000006</v>
      </c>
      <c r="F495" s="79">
        <f>IFERROR(D495*E495,0)</f>
        <v>77.540000000000006</v>
      </c>
      <c r="G495" s="60" t="str">
        <f>INDEX(SETORES!$B:$B,MATCH(A495,SETORES!$A:$A,0))</f>
        <v>Clientes</v>
      </c>
      <c r="H495" s="60" t="s">
        <v>88</v>
      </c>
    </row>
    <row r="496" spans="1:8" ht="14.25" hidden="1" customHeight="1" x14ac:dyDescent="0.3">
      <c r="A496" s="2" t="s">
        <v>49</v>
      </c>
      <c r="B496" s="60" t="s">
        <v>162</v>
      </c>
      <c r="C496" s="60" t="s">
        <v>220</v>
      </c>
      <c r="D496" s="68"/>
      <c r="E496" s="73"/>
      <c r="F496" s="79">
        <f>IFERROR(D496*E496,0)</f>
        <v>0</v>
      </c>
      <c r="G496" s="60" t="str">
        <f>INDEX(SETORES!$B:$B,MATCH(A496,SETORES!$A:$A,0))</f>
        <v>Clientes</v>
      </c>
      <c r="H496" s="60" t="s">
        <v>88</v>
      </c>
    </row>
    <row r="497" spans="1:8" ht="14.25" hidden="1" customHeight="1" x14ac:dyDescent="0.3">
      <c r="A497" s="2" t="s">
        <v>49</v>
      </c>
      <c r="B497" s="60" t="s">
        <v>155</v>
      </c>
      <c r="C497" s="60" t="s">
        <v>156</v>
      </c>
      <c r="D497" s="68"/>
      <c r="E497" s="73"/>
      <c r="F497" s="79">
        <f>IFERROR(D497*E497,0)</f>
        <v>0</v>
      </c>
      <c r="G497" s="60" t="str">
        <f>INDEX(SETORES!$B:$B,MATCH(A497,SETORES!$A:$A,0))</f>
        <v>Clientes</v>
      </c>
      <c r="H497" s="60" t="s">
        <v>88</v>
      </c>
    </row>
    <row r="498" spans="1:8" ht="14.25" hidden="1" customHeight="1" x14ac:dyDescent="0.3">
      <c r="A498" s="2" t="s">
        <v>49</v>
      </c>
      <c r="B498" s="60" t="s">
        <v>155</v>
      </c>
      <c r="C498" s="60" t="s">
        <v>157</v>
      </c>
      <c r="D498" s="68"/>
      <c r="E498" s="73"/>
      <c r="F498" s="79">
        <f>IFERROR(D498*E498,0)</f>
        <v>0</v>
      </c>
      <c r="G498" s="60" t="str">
        <f>INDEX(SETORES!$B:$B,MATCH(A498,SETORES!$A:$A,0))</f>
        <v>Clientes</v>
      </c>
      <c r="H498" s="60" t="s">
        <v>88</v>
      </c>
    </row>
    <row r="499" spans="1:8" ht="14.25" hidden="1" customHeight="1" x14ac:dyDescent="0.3">
      <c r="A499" s="2" t="s">
        <v>49</v>
      </c>
      <c r="B499" s="60" t="s">
        <v>162</v>
      </c>
      <c r="C499" s="60" t="s">
        <v>209</v>
      </c>
      <c r="D499" s="68"/>
      <c r="E499" s="73"/>
      <c r="F499" s="79">
        <f>IFERROR(D499*E499,0)</f>
        <v>0</v>
      </c>
      <c r="G499" s="60" t="str">
        <f>INDEX(SETORES!$B:$B,MATCH(A499,SETORES!$A:$A,0))</f>
        <v>Clientes</v>
      </c>
      <c r="H499" s="60" t="s">
        <v>88</v>
      </c>
    </row>
    <row r="500" spans="1:8" ht="14.25" hidden="1" customHeight="1" x14ac:dyDescent="0.3">
      <c r="A500" s="2" t="s">
        <v>49</v>
      </c>
      <c r="B500" s="60" t="s">
        <v>162</v>
      </c>
      <c r="C500" s="60" t="s">
        <v>222</v>
      </c>
      <c r="D500" s="68"/>
      <c r="E500" s="73"/>
      <c r="F500" s="79">
        <f>IFERROR(D500*E500,0)</f>
        <v>0</v>
      </c>
      <c r="G500" s="60" t="str">
        <f>INDEX(SETORES!$B:$B,MATCH(A500,SETORES!$A:$A,0))</f>
        <v>Clientes</v>
      </c>
      <c r="H500" s="60" t="s">
        <v>88</v>
      </c>
    </row>
    <row r="501" spans="1:8" ht="14.25" hidden="1" customHeight="1" x14ac:dyDescent="0.3">
      <c r="A501" s="2" t="s">
        <v>49</v>
      </c>
      <c r="B501" s="60" t="s">
        <v>155</v>
      </c>
      <c r="C501" s="60" t="s">
        <v>224</v>
      </c>
      <c r="D501" s="68">
        <v>1</v>
      </c>
      <c r="E501" s="73">
        <v>1800</v>
      </c>
      <c r="F501" s="79">
        <f>IFERROR(D501*E501,0)</f>
        <v>1800</v>
      </c>
      <c r="G501" s="60" t="str">
        <f>INDEX(SETORES!$B:$B,MATCH(A501,SETORES!$A:$A,0))</f>
        <v>Clientes</v>
      </c>
      <c r="H501" s="60" t="s">
        <v>88</v>
      </c>
    </row>
    <row r="502" spans="1:8" ht="14.25" hidden="1" customHeight="1" x14ac:dyDescent="0.3">
      <c r="A502" s="2" t="s">
        <v>49</v>
      </c>
      <c r="B502" s="60" t="s">
        <v>155</v>
      </c>
      <c r="C502" s="60" t="s">
        <v>168</v>
      </c>
      <c r="D502" s="68">
        <v>4</v>
      </c>
      <c r="E502" s="73">
        <v>1.87</v>
      </c>
      <c r="F502" s="79">
        <f>IFERROR(D502*E502,0)</f>
        <v>7.48</v>
      </c>
      <c r="G502" s="60" t="str">
        <f>INDEX(SETORES!$B:$B,MATCH(A502,SETORES!$A:$A,0))</f>
        <v>Clientes</v>
      </c>
      <c r="H502" s="60" t="s">
        <v>88</v>
      </c>
    </row>
    <row r="503" spans="1:8" ht="14.25" hidden="1" customHeight="1" x14ac:dyDescent="0.3">
      <c r="A503" s="2" t="s">
        <v>49</v>
      </c>
      <c r="B503" s="60" t="s">
        <v>155</v>
      </c>
      <c r="C503" s="60" t="s">
        <v>160</v>
      </c>
      <c r="D503" s="68"/>
      <c r="E503" s="73"/>
      <c r="F503" s="79">
        <f>IFERROR(D503*E503,0)</f>
        <v>0</v>
      </c>
      <c r="G503" s="60" t="str">
        <f>INDEX(SETORES!$B:$B,MATCH(A503,SETORES!$A:$A,0))</f>
        <v>Clientes</v>
      </c>
      <c r="H503" s="60" t="s">
        <v>88</v>
      </c>
    </row>
    <row r="504" spans="1:8" ht="14.25" hidden="1" customHeight="1" x14ac:dyDescent="0.3">
      <c r="A504" s="35" t="s">
        <v>146</v>
      </c>
      <c r="B504" s="66" t="s">
        <v>155</v>
      </c>
      <c r="C504" s="66" t="s">
        <v>161</v>
      </c>
      <c r="D504" s="66">
        <v>1</v>
      </c>
      <c r="E504" s="78">
        <v>25653.46</v>
      </c>
      <c r="F504" s="78">
        <f>IFERROR(D504*E504,0)</f>
        <v>25653.46</v>
      </c>
      <c r="G504" s="66" t="str">
        <f>INDEX(SETORES!$B:$B,MATCH(A504,SETORES!$A:$A,0))</f>
        <v>Clientes</v>
      </c>
      <c r="H504" s="60" t="s">
        <v>88</v>
      </c>
    </row>
    <row r="505" spans="1:8" ht="14.25" hidden="1" customHeight="1" x14ac:dyDescent="0.3">
      <c r="A505" s="2" t="s">
        <v>86</v>
      </c>
      <c r="B505" s="60" t="s">
        <v>155</v>
      </c>
      <c r="C505" s="60" t="s">
        <v>212</v>
      </c>
      <c r="D505" s="68">
        <v>4</v>
      </c>
      <c r="E505" s="73">
        <v>30</v>
      </c>
      <c r="F505" s="79">
        <f>IFERROR(D505*E505,0)</f>
        <v>120</v>
      </c>
      <c r="G505" s="60" t="str">
        <f>INDEX(SETORES!$B:$B,MATCH(A505,SETORES!$A:$A,0))</f>
        <v>Clientes</v>
      </c>
      <c r="H505" s="60" t="s">
        <v>88</v>
      </c>
    </row>
    <row r="506" spans="1:8" ht="14.25" hidden="1" customHeight="1" x14ac:dyDescent="0.3">
      <c r="A506" s="2" t="s">
        <v>86</v>
      </c>
      <c r="B506" s="60" t="s">
        <v>155</v>
      </c>
      <c r="C506" s="60" t="s">
        <v>171</v>
      </c>
      <c r="D506" s="68">
        <v>11</v>
      </c>
      <c r="E506" s="73">
        <v>52.09</v>
      </c>
      <c r="F506" s="79">
        <f>IFERROR(D506*E506,0)</f>
        <v>572.99</v>
      </c>
      <c r="G506" s="60" t="s">
        <v>98</v>
      </c>
      <c r="H506" s="60" t="s">
        <v>88</v>
      </c>
    </row>
    <row r="507" spans="1:8" ht="14.25" hidden="1" customHeight="1" x14ac:dyDescent="0.3">
      <c r="A507" s="2" t="s">
        <v>86</v>
      </c>
      <c r="B507" s="60" t="s">
        <v>155</v>
      </c>
      <c r="C507" s="60" t="s">
        <v>170</v>
      </c>
      <c r="D507" s="68">
        <v>11</v>
      </c>
      <c r="E507" s="73">
        <v>32.549999999999997</v>
      </c>
      <c r="F507" s="79">
        <f>IFERROR(D507*E507,0)</f>
        <v>358.04999999999995</v>
      </c>
      <c r="G507" s="60" t="s">
        <v>98</v>
      </c>
      <c r="H507" s="60" t="s">
        <v>88</v>
      </c>
    </row>
    <row r="508" spans="1:8" ht="14.25" customHeight="1" x14ac:dyDescent="0.3">
      <c r="A508" s="2" t="s">
        <v>86</v>
      </c>
      <c r="B508" s="60" t="s">
        <v>155</v>
      </c>
      <c r="C508" s="60" t="s">
        <v>169</v>
      </c>
      <c r="D508" s="68">
        <v>11</v>
      </c>
      <c r="E508" s="73">
        <v>52.35</v>
      </c>
      <c r="F508" s="79">
        <f>IFERROR(D508*E508,0)</f>
        <v>575.85</v>
      </c>
      <c r="G508" s="60" t="s">
        <v>98</v>
      </c>
      <c r="H508" s="60" t="s">
        <v>88</v>
      </c>
    </row>
    <row r="509" spans="1:8" ht="14.25" hidden="1" customHeight="1" x14ac:dyDescent="0.3">
      <c r="A509" s="2" t="s">
        <v>86</v>
      </c>
      <c r="B509" s="60" t="s">
        <v>162</v>
      </c>
      <c r="C509" s="60" t="s">
        <v>165</v>
      </c>
      <c r="D509" s="68"/>
      <c r="E509" s="73"/>
      <c r="F509" s="79">
        <f>IFERROR(D509*E509,0)</f>
        <v>0</v>
      </c>
      <c r="G509" s="60" t="str">
        <f>INDEX(SETORES!$B:$B,MATCH(A509,SETORES!$A:$A,0))</f>
        <v>Clientes</v>
      </c>
      <c r="H509" s="60" t="s">
        <v>88</v>
      </c>
    </row>
    <row r="510" spans="1:8" ht="14.25" hidden="1" customHeight="1" x14ac:dyDescent="0.3">
      <c r="A510" s="2" t="s">
        <v>86</v>
      </c>
      <c r="B510" s="60" t="s">
        <v>162</v>
      </c>
      <c r="C510" s="60" t="s">
        <v>163</v>
      </c>
      <c r="D510" s="68">
        <v>1</v>
      </c>
      <c r="E510" s="73">
        <v>270</v>
      </c>
      <c r="F510" s="79">
        <f>IFERROR(D510*E510,0)</f>
        <v>270</v>
      </c>
      <c r="G510" s="60" t="str">
        <f>INDEX(SETORES!$B:$B,MATCH(A510,SETORES!$A:$A,0))</f>
        <v>Clientes</v>
      </c>
      <c r="H510" s="60" t="s">
        <v>88</v>
      </c>
    </row>
    <row r="511" spans="1:8" ht="14.25" hidden="1" customHeight="1" x14ac:dyDescent="0.3">
      <c r="A511" s="2" t="s">
        <v>86</v>
      </c>
      <c r="B511" s="60" t="s">
        <v>155</v>
      </c>
      <c r="C511" s="60" t="s">
        <v>161</v>
      </c>
      <c r="D511" s="68">
        <v>1</v>
      </c>
      <c r="E511" s="73">
        <v>42206.73</v>
      </c>
      <c r="F511" s="79">
        <f>IFERROR(D511*E511,0)</f>
        <v>42206.73</v>
      </c>
      <c r="G511" s="60" t="str">
        <f>INDEX(SETORES!$B:$B,MATCH(A511,SETORES!$A:$A,0))</f>
        <v>Clientes</v>
      </c>
      <c r="H511" s="60" t="s">
        <v>88</v>
      </c>
    </row>
    <row r="512" spans="1:8" ht="14.25" hidden="1" customHeight="1" x14ac:dyDescent="0.3">
      <c r="A512" s="2" t="s">
        <v>86</v>
      </c>
      <c r="B512" s="60" t="s">
        <v>155</v>
      </c>
      <c r="C512" s="60" t="s">
        <v>167</v>
      </c>
      <c r="D512" s="68"/>
      <c r="E512" s="73"/>
      <c r="F512" s="79">
        <f>IFERROR(D512*E512,0)</f>
        <v>0</v>
      </c>
      <c r="G512" s="60" t="str">
        <f>INDEX(SETORES!$B:$B,MATCH(A512,SETORES!$A:$A,0))</f>
        <v>Clientes</v>
      </c>
      <c r="H512" s="60" t="s">
        <v>88</v>
      </c>
    </row>
    <row r="513" spans="1:8" ht="14.25" hidden="1" customHeight="1" x14ac:dyDescent="0.3">
      <c r="A513" s="2" t="s">
        <v>86</v>
      </c>
      <c r="B513" s="60" t="s">
        <v>155</v>
      </c>
      <c r="C513" s="60" t="s">
        <v>238</v>
      </c>
      <c r="D513" s="68"/>
      <c r="E513" s="73"/>
      <c r="F513" s="79">
        <f>IFERROR(D513*E513,0)</f>
        <v>0</v>
      </c>
      <c r="G513" s="60" t="str">
        <f>INDEX(SETORES!$B:$B,MATCH(A513,SETORES!$A:$A,0))</f>
        <v>Clientes</v>
      </c>
      <c r="H513" s="60" t="s">
        <v>88</v>
      </c>
    </row>
    <row r="514" spans="1:8" ht="14.25" hidden="1" customHeight="1" x14ac:dyDescent="0.3">
      <c r="A514" s="2" t="s">
        <v>86</v>
      </c>
      <c r="B514" s="60" t="s">
        <v>155</v>
      </c>
      <c r="C514" s="60" t="s">
        <v>166</v>
      </c>
      <c r="D514" s="68">
        <v>11</v>
      </c>
      <c r="E514" s="73">
        <v>50</v>
      </c>
      <c r="F514" s="79">
        <f>IFERROR(D514*E514,0)</f>
        <v>550</v>
      </c>
      <c r="G514" s="60" t="str">
        <f>INDEX(SETORES!$B:$B,MATCH(A514,SETORES!$A:$A,0))</f>
        <v>Clientes</v>
      </c>
      <c r="H514" s="60" t="s">
        <v>88</v>
      </c>
    </row>
    <row r="515" spans="1:8" ht="14.25" hidden="1" customHeight="1" x14ac:dyDescent="0.3">
      <c r="A515" s="2" t="s">
        <v>86</v>
      </c>
      <c r="B515" s="60" t="s">
        <v>162</v>
      </c>
      <c r="C515" s="60" t="s">
        <v>156</v>
      </c>
      <c r="D515" s="68">
        <v>1</v>
      </c>
      <c r="E515" s="73">
        <v>69.45</v>
      </c>
      <c r="F515" s="79">
        <f>IFERROR(D515*E515,0)</f>
        <v>69.45</v>
      </c>
      <c r="G515" s="60" t="str">
        <f>INDEX(SETORES!$B:$B,MATCH(A515,SETORES!$A:$A,0))</f>
        <v>Clientes</v>
      </c>
      <c r="H515" s="60" t="s">
        <v>88</v>
      </c>
    </row>
    <row r="516" spans="1:8" ht="14.25" hidden="1" customHeight="1" x14ac:dyDescent="0.3">
      <c r="A516" s="2" t="s">
        <v>86</v>
      </c>
      <c r="B516" s="60" t="s">
        <v>155</v>
      </c>
      <c r="C516" s="60" t="s">
        <v>157</v>
      </c>
      <c r="D516" s="68">
        <v>1</v>
      </c>
      <c r="E516" s="73">
        <v>350.54</v>
      </c>
      <c r="F516" s="79">
        <f>IFERROR(D516*E516,0)</f>
        <v>350.54</v>
      </c>
      <c r="G516" s="60" t="str">
        <f>INDEX(SETORES!$B:$B,MATCH(A516,SETORES!$A:$A,0))</f>
        <v>Clientes</v>
      </c>
      <c r="H516" s="60" t="s">
        <v>88</v>
      </c>
    </row>
    <row r="517" spans="1:8" ht="14.25" hidden="1" customHeight="1" x14ac:dyDescent="0.3">
      <c r="A517" s="2" t="s">
        <v>86</v>
      </c>
      <c r="B517" s="60" t="s">
        <v>162</v>
      </c>
      <c r="C517" s="60" t="s">
        <v>222</v>
      </c>
      <c r="D517" s="68"/>
      <c r="E517" s="73"/>
      <c r="F517" s="79">
        <f>IFERROR(D517*E517,0)</f>
        <v>0</v>
      </c>
      <c r="G517" s="60" t="str">
        <f>INDEX(SETORES!$B:$B,MATCH(A517,SETORES!$A:$A,0))</f>
        <v>Clientes</v>
      </c>
      <c r="H517" s="60" t="s">
        <v>88</v>
      </c>
    </row>
    <row r="518" spans="1:8" ht="14.25" hidden="1" customHeight="1" x14ac:dyDescent="0.3">
      <c r="A518" s="2" t="s">
        <v>86</v>
      </c>
      <c r="B518" s="60" t="s">
        <v>155</v>
      </c>
      <c r="C518" s="60" t="s">
        <v>168</v>
      </c>
      <c r="D518" s="68">
        <v>11</v>
      </c>
      <c r="E518" s="73">
        <v>1.87</v>
      </c>
      <c r="F518" s="79">
        <f>IFERROR(D518*E518,0)</f>
        <v>20.57</v>
      </c>
      <c r="G518" s="60" t="str">
        <f>INDEX(SETORES!$B:$B,MATCH(A518,SETORES!$A:$A,0))</f>
        <v>Clientes</v>
      </c>
      <c r="H518" s="60" t="s">
        <v>88</v>
      </c>
    </row>
    <row r="519" spans="1:8" ht="14.25" hidden="1" customHeight="1" x14ac:dyDescent="0.3">
      <c r="A519" s="2" t="s">
        <v>39</v>
      </c>
      <c r="B519" s="60" t="s">
        <v>155</v>
      </c>
      <c r="C519" s="60" t="s">
        <v>159</v>
      </c>
      <c r="D519" s="68"/>
      <c r="E519" s="73"/>
      <c r="F519" s="79">
        <f>IFERROR(D519*E519,0)</f>
        <v>0</v>
      </c>
      <c r="G519" s="60" t="str">
        <f>INDEX(SETORES!$B:$B,MATCH(A519,SETORES!$A:$A,0))</f>
        <v>Clientes</v>
      </c>
      <c r="H519" s="60" t="s">
        <v>88</v>
      </c>
    </row>
    <row r="520" spans="1:8" ht="14.25" hidden="1" customHeight="1" x14ac:dyDescent="0.3">
      <c r="A520" s="2" t="s">
        <v>39</v>
      </c>
      <c r="B520" s="60" t="s">
        <v>155</v>
      </c>
      <c r="C520" s="60" t="s">
        <v>249</v>
      </c>
      <c r="D520" s="68">
        <v>1</v>
      </c>
      <c r="E520" s="73">
        <v>935.08</v>
      </c>
      <c r="F520" s="79">
        <f>IFERROR(D520*E520,0)</f>
        <v>935.08</v>
      </c>
      <c r="G520" s="60" t="str">
        <f>INDEX(SETORES!$B:$B,MATCH(A520,SETORES!$A:$A,0))</f>
        <v>Clientes</v>
      </c>
      <c r="H520" s="60" t="s">
        <v>88</v>
      </c>
    </row>
    <row r="521" spans="1:8" ht="14.25" hidden="1" customHeight="1" x14ac:dyDescent="0.3">
      <c r="A521" s="2" t="s">
        <v>39</v>
      </c>
      <c r="B521" s="60" t="s">
        <v>155</v>
      </c>
      <c r="C521" s="60" t="s">
        <v>171</v>
      </c>
      <c r="D521" s="68">
        <v>12</v>
      </c>
      <c r="E521" s="73">
        <v>52.09</v>
      </c>
      <c r="F521" s="79">
        <f>IFERROR(D521*E521,0)</f>
        <v>625.08000000000004</v>
      </c>
      <c r="G521" s="60" t="s">
        <v>98</v>
      </c>
      <c r="H521" s="60" t="s">
        <v>88</v>
      </c>
    </row>
    <row r="522" spans="1:8" ht="14.25" hidden="1" customHeight="1" x14ac:dyDescent="0.3">
      <c r="A522" s="2" t="s">
        <v>39</v>
      </c>
      <c r="B522" s="60" t="s">
        <v>155</v>
      </c>
      <c r="C522" s="60" t="s">
        <v>170</v>
      </c>
      <c r="D522" s="68">
        <v>12</v>
      </c>
      <c r="E522" s="73">
        <v>32.549999999999997</v>
      </c>
      <c r="F522" s="79">
        <f>IFERROR(D522*E522,0)</f>
        <v>390.59999999999997</v>
      </c>
      <c r="G522" s="60" t="s">
        <v>98</v>
      </c>
      <c r="H522" s="60" t="s">
        <v>88</v>
      </c>
    </row>
    <row r="523" spans="1:8" ht="14.25" customHeight="1" x14ac:dyDescent="0.3">
      <c r="A523" s="2" t="s">
        <v>39</v>
      </c>
      <c r="B523" s="60" t="s">
        <v>155</v>
      </c>
      <c r="C523" s="60" t="s">
        <v>169</v>
      </c>
      <c r="D523" s="68">
        <v>12</v>
      </c>
      <c r="E523" s="73">
        <v>52.35</v>
      </c>
      <c r="F523" s="79">
        <f>IFERROR(D523*E523,0)</f>
        <v>628.20000000000005</v>
      </c>
      <c r="G523" s="60" t="s">
        <v>98</v>
      </c>
      <c r="H523" s="60" t="s">
        <v>88</v>
      </c>
    </row>
    <row r="524" spans="1:8" ht="14.25" hidden="1" customHeight="1" x14ac:dyDescent="0.3">
      <c r="A524" s="2" t="s">
        <v>39</v>
      </c>
      <c r="B524" s="60" t="s">
        <v>155</v>
      </c>
      <c r="C524" s="60" t="s">
        <v>158</v>
      </c>
      <c r="D524" s="68"/>
      <c r="E524" s="73"/>
      <c r="F524" s="79">
        <f>IFERROR(D524*E524,0)</f>
        <v>0</v>
      </c>
      <c r="G524" s="60" t="str">
        <f>INDEX(SETORES!$B:$B,MATCH(A524,SETORES!$A:$A,0))</f>
        <v>Clientes</v>
      </c>
      <c r="H524" s="60" t="s">
        <v>88</v>
      </c>
    </row>
    <row r="525" spans="1:8" ht="14.25" hidden="1" customHeight="1" x14ac:dyDescent="0.3">
      <c r="A525" s="2" t="s">
        <v>39</v>
      </c>
      <c r="B525" s="60" t="s">
        <v>162</v>
      </c>
      <c r="C525" s="60" t="s">
        <v>163</v>
      </c>
      <c r="D525" s="68"/>
      <c r="E525" s="73"/>
      <c r="F525" s="79">
        <f>IFERROR(D525*E525,0)</f>
        <v>0</v>
      </c>
      <c r="G525" s="60" t="str">
        <f>INDEX(SETORES!$B:$B,MATCH(A525,SETORES!$A:$A,0))</f>
        <v>Clientes</v>
      </c>
      <c r="H525" s="60" t="s">
        <v>88</v>
      </c>
    </row>
    <row r="526" spans="1:8" ht="14.25" hidden="1" customHeight="1" x14ac:dyDescent="0.3">
      <c r="A526" s="2" t="s">
        <v>39</v>
      </c>
      <c r="B526" s="60" t="s">
        <v>162</v>
      </c>
      <c r="C526" s="60" t="s">
        <v>164</v>
      </c>
      <c r="D526" s="68"/>
      <c r="E526" s="73"/>
      <c r="F526" s="79">
        <f>IFERROR(D526*E526,0)</f>
        <v>0</v>
      </c>
      <c r="G526" s="60" t="str">
        <f>INDEX(SETORES!$B:$B,MATCH(A526,SETORES!$A:$A,0))</f>
        <v>Clientes</v>
      </c>
      <c r="H526" s="60" t="s">
        <v>88</v>
      </c>
    </row>
    <row r="527" spans="1:8" ht="14.25" hidden="1" customHeight="1" x14ac:dyDescent="0.3">
      <c r="A527" s="2" t="s">
        <v>39</v>
      </c>
      <c r="B527" s="60" t="s">
        <v>155</v>
      </c>
      <c r="C527" s="60" t="s">
        <v>161</v>
      </c>
      <c r="D527" s="68">
        <v>1</v>
      </c>
      <c r="E527" s="73">
        <v>41989.1</v>
      </c>
      <c r="F527" s="79">
        <f>IFERROR(D527*E527,0)</f>
        <v>41989.1</v>
      </c>
      <c r="G527" s="60" t="str">
        <f>INDEX(SETORES!$B:$B,MATCH(A527,SETORES!$A:$A,0))</f>
        <v>Clientes</v>
      </c>
      <c r="H527" s="60" t="s">
        <v>88</v>
      </c>
    </row>
    <row r="528" spans="1:8" ht="14.25" hidden="1" customHeight="1" x14ac:dyDescent="0.3">
      <c r="A528" s="2" t="s">
        <v>39</v>
      </c>
      <c r="B528" s="60" t="s">
        <v>155</v>
      </c>
      <c r="C528" s="60" t="s">
        <v>167</v>
      </c>
      <c r="D528" s="68"/>
      <c r="E528" s="73"/>
      <c r="F528" s="79">
        <f>IFERROR(D528*E528,0)</f>
        <v>0</v>
      </c>
      <c r="G528" s="60" t="str">
        <f>INDEX(SETORES!$B:$B,MATCH(A528,SETORES!$A:$A,0))</f>
        <v>Clientes</v>
      </c>
      <c r="H528" s="60" t="s">
        <v>88</v>
      </c>
    </row>
    <row r="529" spans="1:8" ht="14.25" hidden="1" customHeight="1" x14ac:dyDescent="0.3">
      <c r="A529" s="2" t="s">
        <v>39</v>
      </c>
      <c r="B529" s="60" t="s">
        <v>155</v>
      </c>
      <c r="C529" s="60" t="s">
        <v>240</v>
      </c>
      <c r="D529" s="68"/>
      <c r="E529" s="73"/>
      <c r="F529" s="79">
        <f>IFERROR(D529*E529,0)</f>
        <v>0</v>
      </c>
      <c r="G529" s="60" t="str">
        <f>INDEX(SETORES!$B:$B,MATCH(A529,SETORES!$A:$A,0))</f>
        <v>Clientes</v>
      </c>
      <c r="H529" s="60" t="s">
        <v>88</v>
      </c>
    </row>
    <row r="530" spans="1:8" ht="14.25" hidden="1" customHeight="1" x14ac:dyDescent="0.3">
      <c r="A530" s="2" t="s">
        <v>39</v>
      </c>
      <c r="B530" s="60" t="s">
        <v>155</v>
      </c>
      <c r="C530" s="60" t="s">
        <v>258</v>
      </c>
      <c r="D530" s="68">
        <v>1</v>
      </c>
      <c r="E530" s="73">
        <v>232.63</v>
      </c>
      <c r="F530" s="79">
        <f>IFERROR(D530*E530,0)</f>
        <v>232.63</v>
      </c>
      <c r="G530" s="60" t="str">
        <f>INDEX(SETORES!$B:$B,MATCH(A530,SETORES!$A:$A,0))</f>
        <v>Clientes</v>
      </c>
      <c r="H530" s="60" t="s">
        <v>88</v>
      </c>
    </row>
    <row r="531" spans="1:8" ht="14.25" hidden="1" customHeight="1" x14ac:dyDescent="0.3">
      <c r="A531" s="2" t="s">
        <v>39</v>
      </c>
      <c r="B531" s="60" t="s">
        <v>155</v>
      </c>
      <c r="C531" s="60" t="s">
        <v>166</v>
      </c>
      <c r="D531" s="68">
        <v>12</v>
      </c>
      <c r="E531" s="73">
        <v>50</v>
      </c>
      <c r="F531" s="79">
        <f>IFERROR(D531*E531,0)</f>
        <v>600</v>
      </c>
      <c r="G531" s="60" t="str">
        <f>INDEX(SETORES!$B:$B,MATCH(A531,SETORES!$A:$A,0))</f>
        <v>Clientes</v>
      </c>
      <c r="H531" s="60" t="s">
        <v>88</v>
      </c>
    </row>
    <row r="532" spans="1:8" ht="14.25" hidden="1" customHeight="1" x14ac:dyDescent="0.3">
      <c r="A532" s="2" t="s">
        <v>39</v>
      </c>
      <c r="B532" s="60" t="s">
        <v>155</v>
      </c>
      <c r="C532" s="60" t="s">
        <v>156</v>
      </c>
      <c r="D532" s="68">
        <v>1</v>
      </c>
      <c r="E532" s="73">
        <v>3.45</v>
      </c>
      <c r="F532" s="79">
        <f>IFERROR(D532*E532,0)</f>
        <v>3.45</v>
      </c>
      <c r="G532" s="60" t="str">
        <f>INDEX(SETORES!$B:$B,MATCH(A532,SETORES!$A:$A,0))</f>
        <v>Clientes</v>
      </c>
      <c r="H532" s="60" t="s">
        <v>88</v>
      </c>
    </row>
    <row r="533" spans="1:8" ht="14.25" hidden="1" customHeight="1" x14ac:dyDescent="0.3">
      <c r="A533" s="2" t="s">
        <v>39</v>
      </c>
      <c r="B533" s="60" t="s">
        <v>155</v>
      </c>
      <c r="C533" s="60" t="s">
        <v>157</v>
      </c>
      <c r="D533" s="68">
        <v>1</v>
      </c>
      <c r="E533" s="73">
        <v>606.65</v>
      </c>
      <c r="F533" s="79">
        <f>IFERROR(D533*E533,0)</f>
        <v>606.65</v>
      </c>
      <c r="G533" s="60" t="str">
        <f>INDEX(SETORES!$B:$B,MATCH(A533,SETORES!$A:$A,0))</f>
        <v>Clientes</v>
      </c>
      <c r="H533" s="60" t="s">
        <v>88</v>
      </c>
    </row>
    <row r="534" spans="1:8" ht="14.25" hidden="1" customHeight="1" x14ac:dyDescent="0.3">
      <c r="A534" s="2" t="s">
        <v>39</v>
      </c>
      <c r="B534" s="60" t="s">
        <v>162</v>
      </c>
      <c r="C534" s="60" t="s">
        <v>222</v>
      </c>
      <c r="D534" s="68"/>
      <c r="E534" s="73"/>
      <c r="F534" s="79">
        <f>IFERROR(D534*E534,0)</f>
        <v>0</v>
      </c>
      <c r="G534" s="60" t="str">
        <f>INDEX(SETORES!$B:$B,MATCH(A534,SETORES!$A:$A,0))</f>
        <v>Clientes</v>
      </c>
      <c r="H534" s="60" t="s">
        <v>88</v>
      </c>
    </row>
    <row r="535" spans="1:8" ht="14.25" hidden="1" customHeight="1" x14ac:dyDescent="0.3">
      <c r="A535" s="2" t="s">
        <v>39</v>
      </c>
      <c r="B535" s="60" t="s">
        <v>155</v>
      </c>
      <c r="C535" s="60" t="s">
        <v>187</v>
      </c>
      <c r="D535" s="68"/>
      <c r="E535" s="73"/>
      <c r="F535" s="79">
        <f>IFERROR(D535*E535,0)</f>
        <v>0</v>
      </c>
      <c r="G535" s="60" t="str">
        <f>INDEX(SETORES!$B:$B,MATCH(A535,SETORES!$A:$A,0))</f>
        <v>Clientes</v>
      </c>
      <c r="H535" s="60" t="s">
        <v>88</v>
      </c>
    </row>
    <row r="536" spans="1:8" ht="14.25" hidden="1" customHeight="1" x14ac:dyDescent="0.3">
      <c r="A536" s="2" t="s">
        <v>39</v>
      </c>
      <c r="B536" s="60" t="s">
        <v>155</v>
      </c>
      <c r="C536" s="60" t="s">
        <v>168</v>
      </c>
      <c r="D536" s="68">
        <v>12</v>
      </c>
      <c r="E536" s="73">
        <v>1.87</v>
      </c>
      <c r="F536" s="79">
        <f>IFERROR(D536*E536,0)</f>
        <v>22.44</v>
      </c>
      <c r="G536" s="60" t="str">
        <f>INDEX(SETORES!$B:$B,MATCH(A536,SETORES!$A:$A,0))</f>
        <v>Clientes</v>
      </c>
      <c r="H536" s="60" t="s">
        <v>88</v>
      </c>
    </row>
    <row r="537" spans="1:8" ht="14.25" hidden="1" customHeight="1" x14ac:dyDescent="0.3">
      <c r="A537" s="2" t="s">
        <v>39</v>
      </c>
      <c r="B537" s="60" t="s">
        <v>155</v>
      </c>
      <c r="C537" s="60" t="s">
        <v>160</v>
      </c>
      <c r="D537" s="68"/>
      <c r="E537" s="73"/>
      <c r="F537" s="79">
        <f>IFERROR(D537*E537,0)</f>
        <v>0</v>
      </c>
      <c r="G537" s="60" t="str">
        <f>INDEX(SETORES!$B:$B,MATCH(A537,SETORES!$A:$A,0))</f>
        <v>Clientes</v>
      </c>
      <c r="H537" s="60" t="s">
        <v>88</v>
      </c>
    </row>
    <row r="538" spans="1:8" ht="14.25" hidden="1" customHeight="1" x14ac:dyDescent="0.3">
      <c r="A538" s="2" t="s">
        <v>32</v>
      </c>
      <c r="B538" s="60" t="s">
        <v>155</v>
      </c>
      <c r="C538" s="60" t="s">
        <v>229</v>
      </c>
      <c r="D538" s="68"/>
      <c r="E538" s="73"/>
      <c r="F538" s="79">
        <f>IFERROR(D538*E538,0)</f>
        <v>0</v>
      </c>
      <c r="G538" s="60" t="str">
        <f>INDEX(SETORES!$B:$B,MATCH(A538,SETORES!$A:$A,0))</f>
        <v>Funcionários</v>
      </c>
      <c r="H538" s="60" t="s">
        <v>88</v>
      </c>
    </row>
    <row r="539" spans="1:8" ht="14.25" hidden="1" customHeight="1" x14ac:dyDescent="0.3">
      <c r="A539" s="2" t="s">
        <v>32</v>
      </c>
      <c r="B539" s="60" t="s">
        <v>155</v>
      </c>
      <c r="C539" s="60" t="s">
        <v>159</v>
      </c>
      <c r="D539" s="68"/>
      <c r="E539" s="73"/>
      <c r="F539" s="79">
        <f>IFERROR(D539*E539,0)</f>
        <v>0</v>
      </c>
      <c r="G539" s="60" t="str">
        <f>INDEX(SETORES!$B:$B,MATCH(A539,SETORES!$A:$A,0))</f>
        <v>Funcionários</v>
      </c>
      <c r="H539" s="60" t="s">
        <v>88</v>
      </c>
    </row>
    <row r="540" spans="1:8" ht="14.25" hidden="1" customHeight="1" x14ac:dyDescent="0.3">
      <c r="A540" s="2" t="s">
        <v>32</v>
      </c>
      <c r="B540" s="60" t="s">
        <v>155</v>
      </c>
      <c r="C540" s="60" t="s">
        <v>212</v>
      </c>
      <c r="D540" s="68">
        <v>3</v>
      </c>
      <c r="E540" s="73">
        <v>30</v>
      </c>
      <c r="F540" s="79">
        <f>IFERROR(D540*E540,0)</f>
        <v>90</v>
      </c>
      <c r="G540" s="60" t="str">
        <f>INDEX(SETORES!$B:$B,MATCH(A540,SETORES!$A:$A,0))</f>
        <v>Funcionários</v>
      </c>
      <c r="H540" s="60" t="s">
        <v>88</v>
      </c>
    </row>
    <row r="541" spans="1:8" ht="14.25" hidden="1" customHeight="1" x14ac:dyDescent="0.3">
      <c r="A541" s="2" t="s">
        <v>32</v>
      </c>
      <c r="B541" s="60" t="s">
        <v>155</v>
      </c>
      <c r="C541" s="60" t="s">
        <v>171</v>
      </c>
      <c r="D541" s="68">
        <v>6</v>
      </c>
      <c r="E541" s="73">
        <v>52.09</v>
      </c>
      <c r="F541" s="79">
        <f>IFERROR(D541*E541,0)</f>
        <v>312.54000000000002</v>
      </c>
      <c r="G541" s="60" t="str">
        <f>INDEX(SETORES!$B:$B,MATCH(A541,SETORES!$A:$A,0))</f>
        <v>Funcionários</v>
      </c>
      <c r="H541" s="60" t="s">
        <v>88</v>
      </c>
    </row>
    <row r="542" spans="1:8" ht="14.25" hidden="1" customHeight="1" x14ac:dyDescent="0.3">
      <c r="A542" s="2" t="s">
        <v>32</v>
      </c>
      <c r="B542" s="60" t="s">
        <v>155</v>
      </c>
      <c r="C542" s="60" t="s">
        <v>170</v>
      </c>
      <c r="D542" s="68">
        <v>6</v>
      </c>
      <c r="E542" s="73">
        <v>32.549999999999997</v>
      </c>
      <c r="F542" s="79">
        <f>IFERROR(D542*E542,0)</f>
        <v>195.29999999999998</v>
      </c>
      <c r="G542" s="60" t="str">
        <f>INDEX(SETORES!$B:$B,MATCH(A542,SETORES!$A:$A,0))</f>
        <v>Funcionários</v>
      </c>
      <c r="H542" s="60" t="s">
        <v>88</v>
      </c>
    </row>
    <row r="543" spans="1:8" ht="14.25" customHeight="1" x14ac:dyDescent="0.3">
      <c r="A543" s="2" t="s">
        <v>32</v>
      </c>
      <c r="B543" s="60" t="s">
        <v>155</v>
      </c>
      <c r="C543" s="60" t="s">
        <v>169</v>
      </c>
      <c r="D543" s="68">
        <v>6</v>
      </c>
      <c r="E543" s="73">
        <v>52.35</v>
      </c>
      <c r="F543" s="79">
        <f>IFERROR(D543*E543,0)</f>
        <v>314.10000000000002</v>
      </c>
      <c r="G543" s="60" t="str">
        <f>INDEX(SETORES!$B:$B,MATCH(A543,SETORES!$A:$A,0))</f>
        <v>Funcionários</v>
      </c>
      <c r="H543" s="60" t="s">
        <v>88</v>
      </c>
    </row>
    <row r="544" spans="1:8" ht="14.25" hidden="1" customHeight="1" x14ac:dyDescent="0.3">
      <c r="A544" s="2" t="s">
        <v>32</v>
      </c>
      <c r="B544" s="60" t="s">
        <v>155</v>
      </c>
      <c r="C544" s="60" t="s">
        <v>158</v>
      </c>
      <c r="D544" s="68"/>
      <c r="E544" s="73"/>
      <c r="F544" s="79">
        <f>IFERROR(D544*E544,0)</f>
        <v>0</v>
      </c>
      <c r="G544" s="60" t="str">
        <f>INDEX(SETORES!$B:$B,MATCH(A544,SETORES!$A:$A,0))</f>
        <v>Funcionários</v>
      </c>
      <c r="H544" s="60" t="s">
        <v>88</v>
      </c>
    </row>
    <row r="545" spans="1:8" ht="14.25" hidden="1" customHeight="1" x14ac:dyDescent="0.3">
      <c r="A545" s="2" t="s">
        <v>32</v>
      </c>
      <c r="B545" s="60" t="s">
        <v>162</v>
      </c>
      <c r="C545" s="60" t="s">
        <v>225</v>
      </c>
      <c r="D545" s="68"/>
      <c r="E545" s="73"/>
      <c r="F545" s="79">
        <f>IFERROR(D545*E545,0)</f>
        <v>0</v>
      </c>
      <c r="G545" s="60" t="str">
        <f>INDEX(SETORES!$B:$B,MATCH(A545,SETORES!$A:$A,0))</f>
        <v>Funcionários</v>
      </c>
      <c r="H545" s="60" t="s">
        <v>88</v>
      </c>
    </row>
    <row r="546" spans="1:8" ht="14.25" hidden="1" customHeight="1" x14ac:dyDescent="0.3">
      <c r="A546" s="2" t="s">
        <v>32</v>
      </c>
      <c r="B546" s="60" t="s">
        <v>162</v>
      </c>
      <c r="C546" s="60" t="s">
        <v>226</v>
      </c>
      <c r="D546" s="68"/>
      <c r="E546" s="73"/>
      <c r="F546" s="79">
        <f>IFERROR(D546*E546,0)</f>
        <v>0</v>
      </c>
      <c r="G546" s="60" t="str">
        <f>INDEX(SETORES!$B:$B,MATCH(A546,SETORES!$A:$A,0))</f>
        <v>Funcionários</v>
      </c>
      <c r="H546" s="60" t="s">
        <v>88</v>
      </c>
    </row>
    <row r="547" spans="1:8" ht="14.25" hidden="1" customHeight="1" x14ac:dyDescent="0.3">
      <c r="A547" s="2" t="s">
        <v>32</v>
      </c>
      <c r="B547" s="60" t="s">
        <v>155</v>
      </c>
      <c r="C547" s="60" t="s">
        <v>161</v>
      </c>
      <c r="D547" s="68">
        <v>1</v>
      </c>
      <c r="E547" s="73">
        <v>30326.87</v>
      </c>
      <c r="F547" s="79">
        <f>IFERROR(D547*E547,0)</f>
        <v>30326.87</v>
      </c>
      <c r="G547" s="60" t="str">
        <f>INDEX(SETORES!$B:$B,MATCH(A547,SETORES!$A:$A,0))</f>
        <v>Funcionários</v>
      </c>
      <c r="H547" s="60" t="s">
        <v>88</v>
      </c>
    </row>
    <row r="548" spans="1:8" ht="14.25" hidden="1" customHeight="1" x14ac:dyDescent="0.3">
      <c r="A548" s="2" t="s">
        <v>32</v>
      </c>
      <c r="B548" s="60" t="s">
        <v>155</v>
      </c>
      <c r="C548" s="60" t="s">
        <v>167</v>
      </c>
      <c r="D548" s="68"/>
      <c r="E548" s="73"/>
      <c r="F548" s="79">
        <f>IFERROR(D548*E548,0)</f>
        <v>0</v>
      </c>
      <c r="G548" s="60" t="str">
        <f>INDEX(SETORES!$B:$B,MATCH(A548,SETORES!$A:$A,0))</f>
        <v>Funcionários</v>
      </c>
      <c r="H548" s="60" t="s">
        <v>88</v>
      </c>
    </row>
    <row r="549" spans="1:8" ht="14.25" hidden="1" customHeight="1" x14ac:dyDescent="0.3">
      <c r="A549" s="2" t="s">
        <v>32</v>
      </c>
      <c r="B549" s="60" t="s">
        <v>155</v>
      </c>
      <c r="C549" s="60" t="s">
        <v>238</v>
      </c>
      <c r="D549" s="68"/>
      <c r="E549" s="73"/>
      <c r="F549" s="79">
        <f>IFERROR(D549*E549,0)</f>
        <v>0</v>
      </c>
      <c r="G549" s="60" t="str">
        <f>INDEX(SETORES!$B:$B,MATCH(A549,SETORES!$A:$A,0))</f>
        <v>Funcionários</v>
      </c>
      <c r="H549" s="60" t="s">
        <v>88</v>
      </c>
    </row>
    <row r="550" spans="1:8" ht="14.25" hidden="1" customHeight="1" x14ac:dyDescent="0.3">
      <c r="A550" s="2" t="s">
        <v>32</v>
      </c>
      <c r="B550" s="60" t="s">
        <v>155</v>
      </c>
      <c r="C550" s="60" t="s">
        <v>258</v>
      </c>
      <c r="D550" s="68">
        <v>1</v>
      </c>
      <c r="E550" s="73">
        <v>116.32</v>
      </c>
      <c r="F550" s="79">
        <f>IFERROR(D550*E550,0)</f>
        <v>116.32</v>
      </c>
      <c r="G550" s="60" t="str">
        <f>INDEX(SETORES!$B:$B,MATCH(A550,SETORES!$A:$A,0))</f>
        <v>Funcionários</v>
      </c>
      <c r="H550" s="60" t="s">
        <v>88</v>
      </c>
    </row>
    <row r="551" spans="1:8" ht="14.25" hidden="1" customHeight="1" x14ac:dyDescent="0.3">
      <c r="A551" s="2" t="s">
        <v>32</v>
      </c>
      <c r="B551" s="60" t="s">
        <v>155</v>
      </c>
      <c r="C551" s="60" t="s">
        <v>166</v>
      </c>
      <c r="D551" s="68">
        <v>6</v>
      </c>
      <c r="E551" s="73">
        <v>50</v>
      </c>
      <c r="F551" s="79">
        <f>IFERROR(D551*E551,0)</f>
        <v>300</v>
      </c>
      <c r="G551" s="60" t="str">
        <f>INDEX(SETORES!$B:$B,MATCH(A551,SETORES!$A:$A,0))</f>
        <v>Funcionários</v>
      </c>
      <c r="H551" s="60" t="s">
        <v>88</v>
      </c>
    </row>
    <row r="552" spans="1:8" ht="14.25" hidden="1" customHeight="1" x14ac:dyDescent="0.3">
      <c r="A552" s="2" t="s">
        <v>32</v>
      </c>
      <c r="B552" s="60" t="s">
        <v>155</v>
      </c>
      <c r="C552" s="60" t="s">
        <v>156</v>
      </c>
      <c r="D552" s="68">
        <v>1</v>
      </c>
      <c r="E552" s="73">
        <v>9.85</v>
      </c>
      <c r="F552" s="79">
        <f>IFERROR(D552*E552,0)</f>
        <v>9.85</v>
      </c>
      <c r="G552" s="60" t="str">
        <f>INDEX(SETORES!$B:$B,MATCH(A552,SETORES!$A:$A,0))</f>
        <v>Funcionários</v>
      </c>
      <c r="H552" s="60" t="s">
        <v>88</v>
      </c>
    </row>
    <row r="553" spans="1:8" ht="14.25" hidden="1" customHeight="1" x14ac:dyDescent="0.3">
      <c r="A553" s="2" t="s">
        <v>32</v>
      </c>
      <c r="B553" s="60" t="s">
        <v>155</v>
      </c>
      <c r="C553" s="60" t="s">
        <v>157</v>
      </c>
      <c r="D553" s="68">
        <v>1</v>
      </c>
      <c r="E553" s="73">
        <v>167.98</v>
      </c>
      <c r="F553" s="79">
        <f>IFERROR(D553*E553,0)</f>
        <v>167.98</v>
      </c>
      <c r="G553" s="60" t="str">
        <f>INDEX(SETORES!$B:$B,MATCH(A553,SETORES!$A:$A,0))</f>
        <v>Funcionários</v>
      </c>
      <c r="H553" s="60" t="s">
        <v>88</v>
      </c>
    </row>
    <row r="554" spans="1:8" ht="14.25" hidden="1" customHeight="1" x14ac:dyDescent="0.3">
      <c r="A554" s="2" t="s">
        <v>32</v>
      </c>
      <c r="B554" s="60" t="s">
        <v>155</v>
      </c>
      <c r="C554" s="60" t="s">
        <v>230</v>
      </c>
      <c r="D554" s="68"/>
      <c r="E554" s="73"/>
      <c r="F554" s="79">
        <f>IFERROR(D554*E554,0)</f>
        <v>0</v>
      </c>
      <c r="G554" s="60" t="str">
        <f>INDEX(SETORES!$B:$B,MATCH(A554,SETORES!$A:$A,0))</f>
        <v>Funcionários</v>
      </c>
      <c r="H554" s="60" t="s">
        <v>88</v>
      </c>
    </row>
    <row r="555" spans="1:8" ht="14.25" hidden="1" customHeight="1" x14ac:dyDescent="0.3">
      <c r="A555" s="2" t="s">
        <v>32</v>
      </c>
      <c r="B555" s="60" t="s">
        <v>155</v>
      </c>
      <c r="C555" s="60" t="s">
        <v>174</v>
      </c>
      <c r="D555" s="68">
        <v>1</v>
      </c>
      <c r="E555" s="73">
        <v>2000</v>
      </c>
      <c r="F555" s="79">
        <f>IFERROR(D555*E555,0)</f>
        <v>2000</v>
      </c>
      <c r="G555" s="60" t="str">
        <f>INDEX(SETORES!$B:$B,MATCH(A555,SETORES!$A:$A,0))</f>
        <v>Funcionários</v>
      </c>
      <c r="H555" s="60" t="s">
        <v>88</v>
      </c>
    </row>
    <row r="556" spans="1:8" ht="14.25" hidden="1" customHeight="1" x14ac:dyDescent="0.3">
      <c r="A556" s="2" t="s">
        <v>32</v>
      </c>
      <c r="B556" s="60" t="s">
        <v>162</v>
      </c>
      <c r="C556" s="60" t="s">
        <v>228</v>
      </c>
      <c r="D556" s="68"/>
      <c r="E556" s="73"/>
      <c r="F556" s="79">
        <f>IFERROR(D556*E556,0)</f>
        <v>0</v>
      </c>
      <c r="G556" s="60" t="str">
        <f>INDEX(SETORES!$B:$B,MATCH(A556,SETORES!$A:$A,0))</f>
        <v>Funcionários</v>
      </c>
      <c r="H556" s="60" t="s">
        <v>88</v>
      </c>
    </row>
    <row r="557" spans="1:8" ht="14.25" hidden="1" customHeight="1" x14ac:dyDescent="0.3">
      <c r="A557" s="2" t="s">
        <v>32</v>
      </c>
      <c r="B557" s="60" t="s">
        <v>162</v>
      </c>
      <c r="C557" s="60" t="s">
        <v>222</v>
      </c>
      <c r="D557" s="68"/>
      <c r="E557" s="73"/>
      <c r="F557" s="79">
        <f>IFERROR(D557*E557,0)</f>
        <v>0</v>
      </c>
      <c r="G557" s="60" t="str">
        <f>INDEX(SETORES!$B:$B,MATCH(A557,SETORES!$A:$A,0))</f>
        <v>Funcionários</v>
      </c>
      <c r="H557" s="60" t="s">
        <v>88</v>
      </c>
    </row>
    <row r="558" spans="1:8" ht="14.25" hidden="1" customHeight="1" x14ac:dyDescent="0.3">
      <c r="A558" s="2" t="s">
        <v>32</v>
      </c>
      <c r="B558" s="60" t="s">
        <v>155</v>
      </c>
      <c r="C558" s="60" t="s">
        <v>175</v>
      </c>
      <c r="D558" s="68">
        <v>1</v>
      </c>
      <c r="E558" s="73">
        <v>2500</v>
      </c>
      <c r="F558" s="79">
        <f>IFERROR(D558*E558,0)</f>
        <v>2500</v>
      </c>
      <c r="G558" s="60" t="str">
        <f>INDEX(SETORES!$B:$B,MATCH(A558,SETORES!$A:$A,0))</f>
        <v>Funcionários</v>
      </c>
      <c r="H558" s="60" t="s">
        <v>88</v>
      </c>
    </row>
    <row r="559" spans="1:8" ht="14.25" hidden="1" customHeight="1" x14ac:dyDescent="0.3">
      <c r="A559" s="2" t="s">
        <v>32</v>
      </c>
      <c r="B559" s="60" t="s">
        <v>155</v>
      </c>
      <c r="C559" s="60" t="s">
        <v>176</v>
      </c>
      <c r="D559" s="68">
        <v>1</v>
      </c>
      <c r="E559" s="73">
        <v>2612.9</v>
      </c>
      <c r="F559" s="79">
        <f>IFERROR(D559*E559,0)</f>
        <v>2612.9</v>
      </c>
      <c r="G559" s="60" t="str">
        <f>INDEX(SETORES!$B:$B,MATCH(A559,SETORES!$A:$A,0))</f>
        <v>Funcionários</v>
      </c>
      <c r="H559" s="60" t="s">
        <v>88</v>
      </c>
    </row>
    <row r="560" spans="1:8" ht="14.25" hidden="1" customHeight="1" x14ac:dyDescent="0.3">
      <c r="A560" s="2" t="s">
        <v>32</v>
      </c>
      <c r="B560" s="60" t="s">
        <v>155</v>
      </c>
      <c r="C560" s="60" t="s">
        <v>168</v>
      </c>
      <c r="D560" s="68">
        <v>6</v>
      </c>
      <c r="E560" s="73">
        <v>1.87</v>
      </c>
      <c r="F560" s="79">
        <f>IFERROR(D560*E560,0)</f>
        <v>11.22</v>
      </c>
      <c r="G560" s="60" t="str">
        <f>INDEX(SETORES!$B:$B,MATCH(A560,SETORES!$A:$A,0))</f>
        <v>Funcionários</v>
      </c>
      <c r="H560" s="60" t="s">
        <v>88</v>
      </c>
    </row>
    <row r="561" spans="1:8" ht="14.25" hidden="1" customHeight="1" x14ac:dyDescent="0.3">
      <c r="A561" s="2" t="s">
        <v>32</v>
      </c>
      <c r="B561" s="60" t="s">
        <v>155</v>
      </c>
      <c r="C561" s="60" t="s">
        <v>160</v>
      </c>
      <c r="D561" s="68"/>
      <c r="E561" s="73"/>
      <c r="F561" s="79">
        <f>IFERROR(D561*E561,0)</f>
        <v>0</v>
      </c>
      <c r="G561" s="60" t="str">
        <f>INDEX(SETORES!$B:$B,MATCH(A561,SETORES!$A:$A,0))</f>
        <v>Funcionários</v>
      </c>
      <c r="H561" s="60" t="s">
        <v>88</v>
      </c>
    </row>
    <row r="562" spans="1:8" ht="14.25" hidden="1" customHeight="1" x14ac:dyDescent="0.3">
      <c r="A562" s="2" t="s">
        <v>32</v>
      </c>
      <c r="B562" s="60" t="s">
        <v>155</v>
      </c>
      <c r="C562" s="60" t="s">
        <v>227</v>
      </c>
      <c r="D562" s="68"/>
      <c r="E562" s="73"/>
      <c r="F562" s="79">
        <f>IFERROR(D562*E562,0)</f>
        <v>0</v>
      </c>
      <c r="G562" s="60" t="str">
        <f>INDEX(SETORES!$B:$B,MATCH(A562,SETORES!$A:$A,0))</f>
        <v>Funcionários</v>
      </c>
      <c r="H562" s="60" t="s">
        <v>88</v>
      </c>
    </row>
    <row r="563" spans="1:8" ht="14.25" hidden="1" customHeight="1" x14ac:dyDescent="0.3">
      <c r="A563" s="2" t="s">
        <v>44</v>
      </c>
      <c r="B563" s="60" t="s">
        <v>155</v>
      </c>
      <c r="C563" s="60" t="s">
        <v>159</v>
      </c>
      <c r="D563" s="68"/>
      <c r="E563" s="73"/>
      <c r="F563" s="79">
        <f>IFERROR(D563*E563,0)</f>
        <v>0</v>
      </c>
      <c r="G563" s="60" t="str">
        <f>INDEX(SETORES!$B:$B,MATCH(A563,SETORES!$A:$A,0))</f>
        <v>Funcionários</v>
      </c>
      <c r="H563" s="60" t="s">
        <v>88</v>
      </c>
    </row>
    <row r="564" spans="1:8" ht="14.25" hidden="1" customHeight="1" x14ac:dyDescent="0.3">
      <c r="A564" s="2" t="s">
        <v>44</v>
      </c>
      <c r="B564" s="60" t="s">
        <v>155</v>
      </c>
      <c r="C564" s="60" t="s">
        <v>212</v>
      </c>
      <c r="D564" s="68">
        <v>3</v>
      </c>
      <c r="E564" s="73">
        <v>30</v>
      </c>
      <c r="F564" s="79">
        <f>IFERROR(D564*E564,0)</f>
        <v>90</v>
      </c>
      <c r="G564" s="60" t="str">
        <f>INDEX(SETORES!$B:$B,MATCH(A564,SETORES!$A:$A,0))</f>
        <v>Funcionários</v>
      </c>
      <c r="H564" s="60" t="s">
        <v>88</v>
      </c>
    </row>
    <row r="565" spans="1:8" ht="14.25" hidden="1" customHeight="1" x14ac:dyDescent="0.3">
      <c r="A565" s="2" t="s">
        <v>44</v>
      </c>
      <c r="B565" s="60" t="s">
        <v>162</v>
      </c>
      <c r="C565" s="60" t="s">
        <v>217</v>
      </c>
      <c r="D565" s="68">
        <v>1</v>
      </c>
      <c r="E565" s="73">
        <v>4175.57</v>
      </c>
      <c r="F565" s="79">
        <f>IFERROR(D565*E565,0)</f>
        <v>4175.57</v>
      </c>
      <c r="G565" s="60" t="str">
        <f>INDEX(SETORES!$B:$B,MATCH(A565,SETORES!$A:$A,0))</f>
        <v>Funcionários</v>
      </c>
      <c r="H565" s="60" t="s">
        <v>88</v>
      </c>
    </row>
    <row r="566" spans="1:8" ht="14.25" hidden="1" customHeight="1" x14ac:dyDescent="0.3">
      <c r="A566" s="2" t="s">
        <v>44</v>
      </c>
      <c r="B566" s="60" t="s">
        <v>155</v>
      </c>
      <c r="C566" s="60" t="s">
        <v>171</v>
      </c>
      <c r="D566" s="68">
        <v>8</v>
      </c>
      <c r="E566" s="73">
        <v>52.09</v>
      </c>
      <c r="F566" s="79">
        <f>IFERROR(D566*E566,0)</f>
        <v>416.72</v>
      </c>
      <c r="G566" s="60" t="str">
        <f>INDEX(SETORES!$B:$B,MATCH(A566,SETORES!$A:$A,0))</f>
        <v>Funcionários</v>
      </c>
      <c r="H566" s="60" t="s">
        <v>88</v>
      </c>
    </row>
    <row r="567" spans="1:8" ht="14.25" hidden="1" customHeight="1" x14ac:dyDescent="0.3">
      <c r="A567" s="2" t="s">
        <v>44</v>
      </c>
      <c r="B567" s="60" t="s">
        <v>155</v>
      </c>
      <c r="C567" s="60" t="s">
        <v>170</v>
      </c>
      <c r="D567" s="68">
        <v>8</v>
      </c>
      <c r="E567" s="73">
        <v>32.549999999999997</v>
      </c>
      <c r="F567" s="79">
        <f>IFERROR(D567*E567,0)</f>
        <v>260.39999999999998</v>
      </c>
      <c r="G567" s="60" t="str">
        <f>INDEX(SETORES!$B:$B,MATCH(A567,SETORES!$A:$A,0))</f>
        <v>Funcionários</v>
      </c>
      <c r="H567" s="60" t="s">
        <v>88</v>
      </c>
    </row>
    <row r="568" spans="1:8" ht="14.25" customHeight="1" x14ac:dyDescent="0.3">
      <c r="A568" s="2" t="s">
        <v>44</v>
      </c>
      <c r="B568" s="60" t="s">
        <v>155</v>
      </c>
      <c r="C568" s="60" t="s">
        <v>169</v>
      </c>
      <c r="D568" s="68">
        <v>8</v>
      </c>
      <c r="E568" s="73">
        <v>52.35</v>
      </c>
      <c r="F568" s="79">
        <f>IFERROR(D568*E568,0)</f>
        <v>418.8</v>
      </c>
      <c r="G568" s="60" t="str">
        <f>INDEX(SETORES!$B:$B,MATCH(A568,SETORES!$A:$A,0))</f>
        <v>Funcionários</v>
      </c>
      <c r="H568" s="60" t="s">
        <v>88</v>
      </c>
    </row>
    <row r="569" spans="1:8" ht="14.25" hidden="1" customHeight="1" x14ac:dyDescent="0.3">
      <c r="A569" s="2" t="s">
        <v>44</v>
      </c>
      <c r="B569" s="60" t="s">
        <v>155</v>
      </c>
      <c r="C569" s="60" t="s">
        <v>158</v>
      </c>
      <c r="D569" s="68"/>
      <c r="E569" s="73"/>
      <c r="F569" s="79">
        <f>IFERROR(D569*E569,0)</f>
        <v>0</v>
      </c>
      <c r="G569" s="60" t="str">
        <f>INDEX(SETORES!$B:$B,MATCH(A569,SETORES!$A:$A,0))</f>
        <v>Funcionários</v>
      </c>
      <c r="H569" s="60" t="s">
        <v>88</v>
      </c>
    </row>
    <row r="570" spans="1:8" ht="14.25" hidden="1" customHeight="1" x14ac:dyDescent="0.3">
      <c r="A570" s="2" t="s">
        <v>44</v>
      </c>
      <c r="B570" s="60" t="s">
        <v>162</v>
      </c>
      <c r="C570" s="60" t="s">
        <v>221</v>
      </c>
      <c r="D570" s="68"/>
      <c r="E570" s="73"/>
      <c r="F570" s="79">
        <f>IFERROR(D570*E570,0)</f>
        <v>0</v>
      </c>
      <c r="G570" s="60" t="str">
        <f>INDEX(SETORES!$B:$B,MATCH(A570,SETORES!$A:$A,0))</f>
        <v>Funcionários</v>
      </c>
      <c r="H570" s="60" t="s">
        <v>88</v>
      </c>
    </row>
    <row r="571" spans="1:8" ht="14.25" hidden="1" customHeight="1" x14ac:dyDescent="0.3">
      <c r="A571" s="2" t="s">
        <v>44</v>
      </c>
      <c r="B571" s="60" t="s">
        <v>162</v>
      </c>
      <c r="C571" s="60" t="s">
        <v>165</v>
      </c>
      <c r="D571" s="68"/>
      <c r="E571" s="73"/>
      <c r="F571" s="79">
        <f>IFERROR(D571*E571,0)</f>
        <v>0</v>
      </c>
      <c r="G571" s="60" t="str">
        <f>INDEX(SETORES!$B:$B,MATCH(A571,SETORES!$A:$A,0))</f>
        <v>Funcionários</v>
      </c>
      <c r="H571" s="60" t="s">
        <v>88</v>
      </c>
    </row>
    <row r="572" spans="1:8" ht="14.25" hidden="1" customHeight="1" x14ac:dyDescent="0.3">
      <c r="A572" s="2" t="s">
        <v>44</v>
      </c>
      <c r="B572" s="60" t="s">
        <v>162</v>
      </c>
      <c r="C572" s="60" t="s">
        <v>163</v>
      </c>
      <c r="D572" s="68"/>
      <c r="E572" s="73"/>
      <c r="F572" s="79">
        <f>IFERROR(D572*E572,0)</f>
        <v>0</v>
      </c>
      <c r="G572" s="60" t="str">
        <f>INDEX(SETORES!$B:$B,MATCH(A572,SETORES!$A:$A,0))</f>
        <v>Funcionários</v>
      </c>
      <c r="H572" s="60" t="s">
        <v>88</v>
      </c>
    </row>
    <row r="573" spans="1:8" ht="14.25" hidden="1" customHeight="1" x14ac:dyDescent="0.3">
      <c r="A573" s="2" t="s">
        <v>44</v>
      </c>
      <c r="B573" s="60" t="s">
        <v>162</v>
      </c>
      <c r="C573" s="60" t="s">
        <v>164</v>
      </c>
      <c r="D573" s="68">
        <v>1</v>
      </c>
      <c r="E573" s="73">
        <v>204</v>
      </c>
      <c r="F573" s="79">
        <f>IFERROR(D573*E573,0)</f>
        <v>204</v>
      </c>
      <c r="G573" s="60" t="str">
        <f>INDEX(SETORES!$B:$B,MATCH(A573,SETORES!$A:$A,0))</f>
        <v>Funcionários</v>
      </c>
      <c r="H573" s="60" t="s">
        <v>88</v>
      </c>
    </row>
    <row r="574" spans="1:8" ht="14.25" hidden="1" customHeight="1" x14ac:dyDescent="0.3">
      <c r="A574" s="2" t="s">
        <v>44</v>
      </c>
      <c r="B574" s="60" t="s">
        <v>155</v>
      </c>
      <c r="C574" s="60" t="s">
        <v>161</v>
      </c>
      <c r="D574" s="68">
        <v>1</v>
      </c>
      <c r="E574" s="73">
        <v>43760.480000000003</v>
      </c>
      <c r="F574" s="79">
        <f>IFERROR(D574*E574,0)</f>
        <v>43760.480000000003</v>
      </c>
      <c r="G574" s="60" t="str">
        <f>INDEX(SETORES!$B:$B,MATCH(A574,SETORES!$A:$A,0))</f>
        <v>Funcionários</v>
      </c>
      <c r="H574" s="60" t="s">
        <v>88</v>
      </c>
    </row>
    <row r="575" spans="1:8" ht="14.25" hidden="1" customHeight="1" x14ac:dyDescent="0.3">
      <c r="A575" s="2" t="s">
        <v>44</v>
      </c>
      <c r="B575" s="60" t="s">
        <v>155</v>
      </c>
      <c r="C575" s="60" t="s">
        <v>167</v>
      </c>
      <c r="D575" s="68"/>
      <c r="E575" s="73"/>
      <c r="F575" s="79">
        <f>IFERROR(D575*E575,0)</f>
        <v>0</v>
      </c>
      <c r="G575" s="60" t="str">
        <f>INDEX(SETORES!$B:$B,MATCH(A575,SETORES!$A:$A,0))</f>
        <v>Funcionários</v>
      </c>
      <c r="H575" s="60" t="s">
        <v>88</v>
      </c>
    </row>
    <row r="576" spans="1:8" ht="14.25" hidden="1" customHeight="1" x14ac:dyDescent="0.3">
      <c r="A576" s="2" t="s">
        <v>44</v>
      </c>
      <c r="B576" s="60" t="s">
        <v>155</v>
      </c>
      <c r="C576" s="60" t="s">
        <v>238</v>
      </c>
      <c r="D576" s="68"/>
      <c r="E576" s="73"/>
      <c r="F576" s="79">
        <f>IFERROR(D576*E576,0)</f>
        <v>0</v>
      </c>
      <c r="G576" s="60" t="str">
        <f>INDEX(SETORES!$B:$B,MATCH(A576,SETORES!$A:$A,0))</f>
        <v>Funcionários</v>
      </c>
      <c r="H576" s="60" t="s">
        <v>88</v>
      </c>
    </row>
    <row r="577" spans="1:8" ht="14.25" hidden="1" customHeight="1" x14ac:dyDescent="0.3">
      <c r="A577" s="2" t="s">
        <v>44</v>
      </c>
      <c r="B577" s="60" t="s">
        <v>155</v>
      </c>
      <c r="C577" s="60" t="s">
        <v>258</v>
      </c>
      <c r="D577" s="68">
        <v>1</v>
      </c>
      <c r="E577" s="73">
        <v>155.09</v>
      </c>
      <c r="F577" s="79">
        <f>IFERROR(D577*E577,0)</f>
        <v>155.09</v>
      </c>
      <c r="G577" s="60" t="str">
        <f>INDEX(SETORES!$B:$B,MATCH(A577,SETORES!$A:$A,0))</f>
        <v>Funcionários</v>
      </c>
      <c r="H577" s="60" t="s">
        <v>88</v>
      </c>
    </row>
    <row r="578" spans="1:8" ht="14.25" hidden="1" customHeight="1" x14ac:dyDescent="0.3">
      <c r="A578" s="2" t="s">
        <v>44</v>
      </c>
      <c r="B578" s="60" t="s">
        <v>155</v>
      </c>
      <c r="C578" s="60" t="s">
        <v>166</v>
      </c>
      <c r="D578" s="68">
        <v>8</v>
      </c>
      <c r="E578" s="73">
        <v>50</v>
      </c>
      <c r="F578" s="79">
        <f>IFERROR(D578*E578,0)</f>
        <v>400</v>
      </c>
      <c r="G578" s="60" t="str">
        <f>INDEX(SETORES!$B:$B,MATCH(A578,SETORES!$A:$A,0))</f>
        <v>Funcionários</v>
      </c>
      <c r="H578" s="60" t="s">
        <v>88</v>
      </c>
    </row>
    <row r="579" spans="1:8" ht="14.25" hidden="1" customHeight="1" x14ac:dyDescent="0.3">
      <c r="A579" s="2" t="s">
        <v>44</v>
      </c>
      <c r="B579" s="60" t="s">
        <v>155</v>
      </c>
      <c r="C579" s="60" t="s">
        <v>156</v>
      </c>
      <c r="D579" s="68">
        <v>1</v>
      </c>
      <c r="E579" s="73">
        <v>56.96</v>
      </c>
      <c r="F579" s="79">
        <f>IFERROR(D579*E579,0)</f>
        <v>56.96</v>
      </c>
      <c r="G579" s="60" t="str">
        <f>INDEX(SETORES!$B:$B,MATCH(A579,SETORES!$A:$A,0))</f>
        <v>Funcionários</v>
      </c>
      <c r="H579" s="60" t="s">
        <v>88</v>
      </c>
    </row>
    <row r="580" spans="1:8" ht="14.25" hidden="1" customHeight="1" x14ac:dyDescent="0.3">
      <c r="A580" s="2" t="s">
        <v>44</v>
      </c>
      <c r="B580" s="60" t="s">
        <v>155</v>
      </c>
      <c r="C580" s="60" t="s">
        <v>157</v>
      </c>
      <c r="D580" s="68"/>
      <c r="E580" s="73"/>
      <c r="F580" s="79">
        <f>IFERROR(D580*E580,0)</f>
        <v>0</v>
      </c>
      <c r="G580" s="60" t="str">
        <f>INDEX(SETORES!$B:$B,MATCH(A580,SETORES!$A:$A,0))</f>
        <v>Funcionários</v>
      </c>
      <c r="H580" s="60" t="s">
        <v>88</v>
      </c>
    </row>
    <row r="581" spans="1:8" ht="14.25" hidden="1" customHeight="1" x14ac:dyDescent="0.3">
      <c r="A581" s="2" t="s">
        <v>44</v>
      </c>
      <c r="B581" s="60" t="s">
        <v>162</v>
      </c>
      <c r="C581" s="60" t="s">
        <v>232</v>
      </c>
      <c r="D581" s="68">
        <v>1</v>
      </c>
      <c r="E581" s="73">
        <v>7689.5</v>
      </c>
      <c r="F581" s="79">
        <f>IFERROR(D581*E581,0)</f>
        <v>7689.5</v>
      </c>
      <c r="G581" s="60" t="str">
        <f>INDEX(SETORES!$B:$B,MATCH(A581,SETORES!$A:$A,0))</f>
        <v>Funcionários</v>
      </c>
      <c r="H581" s="60" t="s">
        <v>88</v>
      </c>
    </row>
    <row r="582" spans="1:8" ht="14.25" hidden="1" customHeight="1" x14ac:dyDescent="0.3">
      <c r="A582" s="2" t="s">
        <v>44</v>
      </c>
      <c r="B582" s="60" t="s">
        <v>162</v>
      </c>
      <c r="C582" s="60" t="s">
        <v>209</v>
      </c>
      <c r="D582" s="68"/>
      <c r="E582" s="73"/>
      <c r="F582" s="79">
        <f>IFERROR(D582*E582,0)</f>
        <v>0</v>
      </c>
      <c r="G582" s="60" t="str">
        <f>INDEX(SETORES!$B:$B,MATCH(A582,SETORES!$A:$A,0))</f>
        <v>Funcionários</v>
      </c>
      <c r="H582" s="60" t="s">
        <v>88</v>
      </c>
    </row>
    <row r="583" spans="1:8" ht="14.25" hidden="1" customHeight="1" x14ac:dyDescent="0.3">
      <c r="A583" s="2" t="s">
        <v>44</v>
      </c>
      <c r="B583" s="60" t="s">
        <v>162</v>
      </c>
      <c r="C583" s="60" t="s">
        <v>222</v>
      </c>
      <c r="D583" s="68"/>
      <c r="E583" s="73"/>
      <c r="F583" s="79">
        <f>IFERROR(D583*E583,0)</f>
        <v>0</v>
      </c>
      <c r="G583" s="60" t="str">
        <f>INDEX(SETORES!$B:$B,MATCH(A583,SETORES!$A:$A,0))</f>
        <v>Funcionários</v>
      </c>
      <c r="H583" s="60" t="s">
        <v>88</v>
      </c>
    </row>
    <row r="584" spans="1:8" ht="14.25" hidden="1" customHeight="1" x14ac:dyDescent="0.3">
      <c r="A584" s="2" t="s">
        <v>44</v>
      </c>
      <c r="B584" s="60" t="s">
        <v>155</v>
      </c>
      <c r="C584" s="60" t="s">
        <v>168</v>
      </c>
      <c r="D584" s="68">
        <v>8</v>
      </c>
      <c r="E584" s="73">
        <v>1.87</v>
      </c>
      <c r="F584" s="79">
        <f>IFERROR(D584*E584,0)</f>
        <v>14.96</v>
      </c>
      <c r="G584" s="60" t="str">
        <f>INDEX(SETORES!$B:$B,MATCH(A584,SETORES!$A:$A,0))</f>
        <v>Funcionários</v>
      </c>
      <c r="H584" s="60" t="s">
        <v>88</v>
      </c>
    </row>
    <row r="585" spans="1:8" ht="14.25" hidden="1" customHeight="1" x14ac:dyDescent="0.3">
      <c r="A585" s="2" t="s">
        <v>44</v>
      </c>
      <c r="B585" s="60" t="s">
        <v>155</v>
      </c>
      <c r="C585" s="60" t="s">
        <v>160</v>
      </c>
      <c r="D585" s="68"/>
      <c r="E585" s="73"/>
      <c r="F585" s="79">
        <f>IFERROR(D585*E585,0)</f>
        <v>0</v>
      </c>
      <c r="G585" s="60" t="str">
        <f>INDEX(SETORES!$B:$B,MATCH(A585,SETORES!$A:$A,0))</f>
        <v>Funcionários</v>
      </c>
      <c r="H585" s="60" t="s">
        <v>88</v>
      </c>
    </row>
    <row r="586" spans="1:8" ht="14.25" hidden="1" customHeight="1" x14ac:dyDescent="0.3">
      <c r="A586" s="2" t="s">
        <v>139</v>
      </c>
      <c r="B586" s="60" t="s">
        <v>155</v>
      </c>
      <c r="C586" s="60" t="s">
        <v>250</v>
      </c>
      <c r="D586" s="68">
        <v>1</v>
      </c>
      <c r="E586" s="73">
        <v>1049.68</v>
      </c>
      <c r="F586" s="79">
        <f>IFERROR(D586*E586,0)</f>
        <v>1049.68</v>
      </c>
      <c r="G586" s="60" t="str">
        <f>INDEX(SETORES!$B:$B,MATCH(A586,SETORES!$A:$A,0))</f>
        <v>Funcionários</v>
      </c>
      <c r="H586" s="60" t="s">
        <v>88</v>
      </c>
    </row>
    <row r="587" spans="1:8" ht="14.25" hidden="1" customHeight="1" x14ac:dyDescent="0.3">
      <c r="A587" s="2" t="s">
        <v>139</v>
      </c>
      <c r="B587" s="60" t="s">
        <v>155</v>
      </c>
      <c r="C587" s="60" t="s">
        <v>171</v>
      </c>
      <c r="D587" s="68">
        <v>6</v>
      </c>
      <c r="E587" s="73">
        <v>52.09</v>
      </c>
      <c r="F587" s="79">
        <f>IFERROR(D587*E587,0)</f>
        <v>312.54000000000002</v>
      </c>
      <c r="G587" s="60" t="str">
        <f>INDEX(SETORES!$B:$B,MATCH(A587,SETORES!$A:$A,0))</f>
        <v>Funcionários</v>
      </c>
      <c r="H587" s="60" t="s">
        <v>88</v>
      </c>
    </row>
    <row r="588" spans="1:8" ht="14.25" hidden="1" customHeight="1" x14ac:dyDescent="0.3">
      <c r="A588" s="2" t="s">
        <v>139</v>
      </c>
      <c r="B588" s="60" t="s">
        <v>155</v>
      </c>
      <c r="C588" s="60" t="s">
        <v>170</v>
      </c>
      <c r="D588" s="68">
        <v>6</v>
      </c>
      <c r="E588" s="73">
        <v>32.549999999999997</v>
      </c>
      <c r="F588" s="79">
        <f>IFERROR(D588*E588,0)</f>
        <v>195.29999999999998</v>
      </c>
      <c r="G588" s="60" t="str">
        <f>INDEX(SETORES!$B:$B,MATCH(A588,SETORES!$A:$A,0))</f>
        <v>Funcionários</v>
      </c>
      <c r="H588" s="60" t="s">
        <v>88</v>
      </c>
    </row>
    <row r="589" spans="1:8" ht="14.25" customHeight="1" x14ac:dyDescent="0.3">
      <c r="A589" s="2" t="s">
        <v>139</v>
      </c>
      <c r="B589" s="60" t="s">
        <v>155</v>
      </c>
      <c r="C589" s="60" t="s">
        <v>169</v>
      </c>
      <c r="D589" s="68">
        <v>6</v>
      </c>
      <c r="E589" s="73">
        <v>52.35</v>
      </c>
      <c r="F589" s="79">
        <f>IFERROR(D589*E589,0)</f>
        <v>314.10000000000002</v>
      </c>
      <c r="G589" s="60" t="str">
        <f>INDEX(SETORES!$B:$B,MATCH(A589,SETORES!$A:$A,0))</f>
        <v>Funcionários</v>
      </c>
      <c r="H589" s="60" t="s">
        <v>88</v>
      </c>
    </row>
    <row r="590" spans="1:8" ht="14.25" hidden="1" customHeight="1" x14ac:dyDescent="0.3">
      <c r="A590" s="2" t="s">
        <v>139</v>
      </c>
      <c r="B590" s="60" t="s">
        <v>162</v>
      </c>
      <c r="C590" s="60" t="s">
        <v>164</v>
      </c>
      <c r="D590" s="68"/>
      <c r="E590" s="73"/>
      <c r="F590" s="79">
        <f>IFERROR(D590*E590,0)</f>
        <v>0</v>
      </c>
      <c r="G590" s="60" t="str">
        <f>INDEX(SETORES!$B:$B,MATCH(A590,SETORES!$A:$A,0))</f>
        <v>Funcionários</v>
      </c>
      <c r="H590" s="60" t="s">
        <v>88</v>
      </c>
    </row>
    <row r="591" spans="1:8" ht="14.25" hidden="1" customHeight="1" x14ac:dyDescent="0.3">
      <c r="A591" s="2" t="s">
        <v>139</v>
      </c>
      <c r="B591" s="60" t="s">
        <v>155</v>
      </c>
      <c r="C591" s="60" t="s">
        <v>161</v>
      </c>
      <c r="D591" s="68">
        <v>1</v>
      </c>
      <c r="E591" s="73">
        <v>27256.45</v>
      </c>
      <c r="F591" s="79">
        <f>IFERROR(D591*E591,0)</f>
        <v>27256.45</v>
      </c>
      <c r="G591" s="60" t="str">
        <f>INDEX(SETORES!$B:$B,MATCH(A591,SETORES!$A:$A,0))</f>
        <v>Funcionários</v>
      </c>
      <c r="H591" s="60" t="s">
        <v>88</v>
      </c>
    </row>
    <row r="592" spans="1:8" ht="14.25" hidden="1" customHeight="1" x14ac:dyDescent="0.3">
      <c r="A592" s="2" t="s">
        <v>139</v>
      </c>
      <c r="B592" s="60" t="s">
        <v>155</v>
      </c>
      <c r="C592" s="60" t="s">
        <v>167</v>
      </c>
      <c r="D592" s="68"/>
      <c r="E592" s="73"/>
      <c r="F592" s="79">
        <f>IFERROR(D592*E592,0)</f>
        <v>0</v>
      </c>
      <c r="G592" s="60" t="str">
        <f>INDEX(SETORES!$B:$B,MATCH(A592,SETORES!$A:$A,0))</f>
        <v>Funcionários</v>
      </c>
      <c r="H592" s="60" t="s">
        <v>88</v>
      </c>
    </row>
    <row r="593" spans="1:8" ht="14.25" hidden="1" customHeight="1" x14ac:dyDescent="0.3">
      <c r="A593" s="2" t="s">
        <v>139</v>
      </c>
      <c r="B593" s="60" t="s">
        <v>155</v>
      </c>
      <c r="C593" s="60" t="s">
        <v>168</v>
      </c>
      <c r="D593" s="68">
        <v>6</v>
      </c>
      <c r="E593" s="73">
        <v>1.87</v>
      </c>
      <c r="F593" s="79">
        <f>IFERROR(D593*E593,0)</f>
        <v>11.22</v>
      </c>
      <c r="G593" s="60" t="str">
        <f>INDEX(SETORES!$B:$B,MATCH(A593,SETORES!$A:$A,0))</f>
        <v>Funcionários</v>
      </c>
      <c r="H593" s="60" t="s">
        <v>88</v>
      </c>
    </row>
    <row r="594" spans="1:8" ht="14.25" hidden="1" customHeight="1" x14ac:dyDescent="0.3">
      <c r="A594" s="2" t="s">
        <v>53</v>
      </c>
      <c r="B594" s="60" t="s">
        <v>155</v>
      </c>
      <c r="C594" s="60" t="s">
        <v>159</v>
      </c>
      <c r="D594" s="68"/>
      <c r="E594" s="73"/>
      <c r="F594" s="79">
        <f>IFERROR(D594*E594,0)</f>
        <v>0</v>
      </c>
      <c r="G594" s="60" t="str">
        <f>INDEX(SETORES!$B:$B,MATCH(A594,SETORES!$A:$A,0))</f>
        <v>Clientes</v>
      </c>
      <c r="H594" s="60" t="s">
        <v>88</v>
      </c>
    </row>
    <row r="595" spans="1:8" ht="14.25" hidden="1" customHeight="1" x14ac:dyDescent="0.3">
      <c r="A595" s="2" t="s">
        <v>53</v>
      </c>
      <c r="B595" s="60" t="s">
        <v>155</v>
      </c>
      <c r="C595" s="60" t="s">
        <v>249</v>
      </c>
      <c r="D595" s="68">
        <v>1</v>
      </c>
      <c r="E595" s="73">
        <v>2571.4699999999998</v>
      </c>
      <c r="F595" s="79">
        <f>IFERROR(D595*E595,0)</f>
        <v>2571.4699999999998</v>
      </c>
      <c r="G595" s="60" t="str">
        <f>INDEX(SETORES!$B:$B,MATCH(A595,SETORES!$A:$A,0))</f>
        <v>Clientes</v>
      </c>
      <c r="H595" s="60" t="s">
        <v>88</v>
      </c>
    </row>
    <row r="596" spans="1:8" ht="14.25" hidden="1" customHeight="1" x14ac:dyDescent="0.3">
      <c r="A596" s="2" t="s">
        <v>53</v>
      </c>
      <c r="B596" s="60" t="s">
        <v>155</v>
      </c>
      <c r="C596" s="60" t="s">
        <v>171</v>
      </c>
      <c r="D596" s="68">
        <v>33</v>
      </c>
      <c r="E596" s="73">
        <v>52.09</v>
      </c>
      <c r="F596" s="79">
        <f>IFERROR(D596*E596,0)</f>
        <v>1718.97</v>
      </c>
      <c r="G596" s="60" t="s">
        <v>98</v>
      </c>
      <c r="H596" s="60" t="s">
        <v>88</v>
      </c>
    </row>
    <row r="597" spans="1:8" ht="14.25" hidden="1" customHeight="1" x14ac:dyDescent="0.3">
      <c r="A597" s="2" t="s">
        <v>53</v>
      </c>
      <c r="B597" s="60" t="s">
        <v>155</v>
      </c>
      <c r="C597" s="60" t="s">
        <v>170</v>
      </c>
      <c r="D597" s="68">
        <v>33</v>
      </c>
      <c r="E597" s="73">
        <v>32.549999999999997</v>
      </c>
      <c r="F597" s="79">
        <f>IFERROR(D597*E597,0)</f>
        <v>1074.1499999999999</v>
      </c>
      <c r="G597" s="60" t="s">
        <v>98</v>
      </c>
      <c r="H597" s="60" t="s">
        <v>88</v>
      </c>
    </row>
    <row r="598" spans="1:8" ht="14.25" customHeight="1" x14ac:dyDescent="0.3">
      <c r="A598" s="2" t="s">
        <v>53</v>
      </c>
      <c r="B598" s="60" t="s">
        <v>155</v>
      </c>
      <c r="C598" s="60" t="s">
        <v>169</v>
      </c>
      <c r="D598" s="68">
        <v>33</v>
      </c>
      <c r="E598" s="73">
        <v>52.35</v>
      </c>
      <c r="F598" s="79">
        <f>IFERROR(D598*E598,0)</f>
        <v>1727.55</v>
      </c>
      <c r="G598" s="60" t="s">
        <v>98</v>
      </c>
      <c r="H598" s="60" t="s">
        <v>88</v>
      </c>
    </row>
    <row r="599" spans="1:8" ht="14.25" hidden="1" customHeight="1" x14ac:dyDescent="0.3">
      <c r="A599" s="2" t="s">
        <v>53</v>
      </c>
      <c r="B599" s="60" t="s">
        <v>155</v>
      </c>
      <c r="C599" s="60" t="s">
        <v>158</v>
      </c>
      <c r="D599" s="68"/>
      <c r="E599" s="73"/>
      <c r="F599" s="79">
        <f>IFERROR(D599*E599,0)</f>
        <v>0</v>
      </c>
      <c r="G599" s="60" t="str">
        <f>INDEX(SETORES!$B:$B,MATCH(A599,SETORES!$A:$A,0))</f>
        <v>Clientes</v>
      </c>
      <c r="H599" s="60" t="s">
        <v>88</v>
      </c>
    </row>
    <row r="600" spans="1:8" ht="14.25" hidden="1" customHeight="1" x14ac:dyDescent="0.3">
      <c r="A600" s="2" t="s">
        <v>53</v>
      </c>
      <c r="B600" s="60" t="s">
        <v>162</v>
      </c>
      <c r="C600" s="60" t="s">
        <v>165</v>
      </c>
      <c r="D600" s="68"/>
      <c r="E600" s="73"/>
      <c r="F600" s="79">
        <f>IFERROR(D600*E600,0)</f>
        <v>0</v>
      </c>
      <c r="G600" s="60" t="str">
        <f>INDEX(SETORES!$B:$B,MATCH(A600,SETORES!$A:$A,0))</f>
        <v>Clientes</v>
      </c>
      <c r="H600" s="60" t="s">
        <v>88</v>
      </c>
    </row>
    <row r="601" spans="1:8" ht="14.25" hidden="1" customHeight="1" x14ac:dyDescent="0.3">
      <c r="A601" s="2" t="s">
        <v>53</v>
      </c>
      <c r="B601" s="60" t="s">
        <v>162</v>
      </c>
      <c r="C601" s="60" t="s">
        <v>163</v>
      </c>
      <c r="D601" s="68"/>
      <c r="E601" s="73"/>
      <c r="F601" s="79">
        <f>IFERROR(D601*E601,0)</f>
        <v>0</v>
      </c>
      <c r="G601" s="60" t="str">
        <f>INDEX(SETORES!$B:$B,MATCH(A601,SETORES!$A:$A,0))</f>
        <v>Clientes</v>
      </c>
      <c r="H601" s="60" t="s">
        <v>88</v>
      </c>
    </row>
    <row r="602" spans="1:8" ht="14.25" hidden="1" customHeight="1" x14ac:dyDescent="0.3">
      <c r="A602" s="35" t="s">
        <v>53</v>
      </c>
      <c r="B602" s="66" t="s">
        <v>162</v>
      </c>
      <c r="C602" s="66" t="s">
        <v>164</v>
      </c>
      <c r="D602" s="66">
        <v>1</v>
      </c>
      <c r="E602" s="78">
        <v>272</v>
      </c>
      <c r="F602" s="78">
        <f>IFERROR(D602*E602,0)</f>
        <v>272</v>
      </c>
      <c r="G602" s="66" t="str">
        <f>INDEX(SETORES!$B:$B,MATCH(A602,SETORES!$A:$A,0))</f>
        <v>Clientes</v>
      </c>
      <c r="H602" s="66" t="s">
        <v>88</v>
      </c>
    </row>
    <row r="603" spans="1:8" ht="14.25" hidden="1" customHeight="1" x14ac:dyDescent="0.3">
      <c r="A603" s="2" t="s">
        <v>53</v>
      </c>
      <c r="B603" s="60" t="s">
        <v>155</v>
      </c>
      <c r="C603" s="60" t="s">
        <v>161</v>
      </c>
      <c r="D603" s="68">
        <v>1</v>
      </c>
      <c r="E603" s="73">
        <v>106886.23</v>
      </c>
      <c r="F603" s="79">
        <f>IFERROR(D603*E603,0)</f>
        <v>106886.23</v>
      </c>
      <c r="G603" s="60" t="str">
        <f>INDEX(SETORES!$B:$B,MATCH(A603,SETORES!$A:$A,0))</f>
        <v>Clientes</v>
      </c>
      <c r="H603" s="60" t="s">
        <v>88</v>
      </c>
    </row>
    <row r="604" spans="1:8" ht="14.25" hidden="1" customHeight="1" x14ac:dyDescent="0.3">
      <c r="A604" s="2" t="s">
        <v>53</v>
      </c>
      <c r="B604" s="60" t="s">
        <v>155</v>
      </c>
      <c r="C604" s="60" t="s">
        <v>167</v>
      </c>
      <c r="D604" s="68"/>
      <c r="E604" s="73"/>
      <c r="F604" s="79">
        <f>IFERROR(D604*E604,0)</f>
        <v>0</v>
      </c>
      <c r="G604" s="60" t="str">
        <f>INDEX(SETORES!$B:$B,MATCH(A604,SETORES!$A:$A,0))</f>
        <v>Clientes</v>
      </c>
      <c r="H604" s="60" t="s">
        <v>88</v>
      </c>
    </row>
    <row r="605" spans="1:8" ht="14.25" hidden="1" customHeight="1" x14ac:dyDescent="0.3">
      <c r="A605" s="2" t="s">
        <v>53</v>
      </c>
      <c r="B605" s="60" t="s">
        <v>155</v>
      </c>
      <c r="C605" s="60" t="s">
        <v>240</v>
      </c>
      <c r="D605" s="68"/>
      <c r="E605" s="73"/>
      <c r="F605" s="79">
        <f>IFERROR(D605*E605,0)</f>
        <v>0</v>
      </c>
      <c r="G605" s="60" t="str">
        <f>INDEX(SETORES!$B:$B,MATCH(A605,SETORES!$A:$A,0))</f>
        <v>Clientes</v>
      </c>
      <c r="H605" s="60" t="s">
        <v>88</v>
      </c>
    </row>
    <row r="606" spans="1:8" ht="14.25" hidden="1" customHeight="1" x14ac:dyDescent="0.3">
      <c r="A606" s="2" t="s">
        <v>53</v>
      </c>
      <c r="B606" s="60" t="s">
        <v>155</v>
      </c>
      <c r="C606" s="60" t="s">
        <v>258</v>
      </c>
      <c r="D606" s="68">
        <v>1</v>
      </c>
      <c r="E606" s="73">
        <v>639.74</v>
      </c>
      <c r="F606" s="79">
        <f>IFERROR(D606*E606,0)</f>
        <v>639.74</v>
      </c>
      <c r="G606" s="60" t="str">
        <f>INDEX(SETORES!$B:$B,MATCH(A606,SETORES!$A:$A,0))</f>
        <v>Clientes</v>
      </c>
      <c r="H606" s="60" t="s">
        <v>88</v>
      </c>
    </row>
    <row r="607" spans="1:8" ht="14.25" hidden="1" customHeight="1" x14ac:dyDescent="0.3">
      <c r="A607" s="2" t="s">
        <v>53</v>
      </c>
      <c r="B607" s="60" t="s">
        <v>155</v>
      </c>
      <c r="C607" s="60" t="s">
        <v>166</v>
      </c>
      <c r="D607" s="68">
        <v>33</v>
      </c>
      <c r="E607" s="73">
        <v>50</v>
      </c>
      <c r="F607" s="79">
        <f>IFERROR(D607*E607,0)</f>
        <v>1650</v>
      </c>
      <c r="G607" s="60" t="str">
        <f>INDEX(SETORES!$B:$B,MATCH(A607,SETORES!$A:$A,0))</f>
        <v>Clientes</v>
      </c>
      <c r="H607" s="60" t="s">
        <v>88</v>
      </c>
    </row>
    <row r="608" spans="1:8" ht="14.25" hidden="1" customHeight="1" x14ac:dyDescent="0.3">
      <c r="A608" s="2" t="s">
        <v>53</v>
      </c>
      <c r="B608" s="60" t="s">
        <v>155</v>
      </c>
      <c r="C608" s="60" t="s">
        <v>156</v>
      </c>
      <c r="D608" s="68">
        <v>1</v>
      </c>
      <c r="E608" s="73">
        <v>9.5</v>
      </c>
      <c r="F608" s="79">
        <f>IFERROR(D608*E608,0)</f>
        <v>9.5</v>
      </c>
      <c r="G608" s="60" t="str">
        <f>INDEX(SETORES!$B:$B,MATCH(A608,SETORES!$A:$A,0))</f>
        <v>Clientes</v>
      </c>
      <c r="H608" s="60" t="s">
        <v>88</v>
      </c>
    </row>
    <row r="609" spans="1:8" ht="14.25" hidden="1" customHeight="1" x14ac:dyDescent="0.3">
      <c r="A609" s="2" t="s">
        <v>53</v>
      </c>
      <c r="B609" s="60" t="s">
        <v>155</v>
      </c>
      <c r="C609" s="60" t="s">
        <v>157</v>
      </c>
      <c r="D609" s="68">
        <v>1</v>
      </c>
      <c r="E609" s="73">
        <v>1668.3</v>
      </c>
      <c r="F609" s="79">
        <f>IFERROR(D609*E609,0)</f>
        <v>1668.3</v>
      </c>
      <c r="G609" s="60" t="str">
        <f>INDEX(SETORES!$B:$B,MATCH(A609,SETORES!$A:$A,0))</f>
        <v>Clientes</v>
      </c>
      <c r="H609" s="60" t="s">
        <v>88</v>
      </c>
    </row>
    <row r="610" spans="1:8" ht="14.25" hidden="1" customHeight="1" x14ac:dyDescent="0.3">
      <c r="A610" s="2" t="s">
        <v>53</v>
      </c>
      <c r="B610" s="60" t="s">
        <v>162</v>
      </c>
      <c r="C610" s="60" t="s">
        <v>222</v>
      </c>
      <c r="D610" s="68"/>
      <c r="E610" s="73"/>
      <c r="F610" s="79">
        <f>IFERROR(D610*E610,0)</f>
        <v>0</v>
      </c>
      <c r="G610" s="60" t="str">
        <f>INDEX(SETORES!$B:$B,MATCH(A610,SETORES!$A:$A,0))</f>
        <v>Clientes</v>
      </c>
      <c r="H610" s="60" t="s">
        <v>88</v>
      </c>
    </row>
    <row r="611" spans="1:8" ht="14.25" hidden="1" customHeight="1" x14ac:dyDescent="0.3">
      <c r="A611" s="2" t="s">
        <v>53</v>
      </c>
      <c r="B611" s="60" t="s">
        <v>155</v>
      </c>
      <c r="C611" s="60" t="s">
        <v>187</v>
      </c>
      <c r="D611" s="68"/>
      <c r="E611" s="73"/>
      <c r="F611" s="79">
        <f>IFERROR(D611*E611,0)</f>
        <v>0</v>
      </c>
      <c r="G611" s="60" t="str">
        <f>INDEX(SETORES!$B:$B,MATCH(A611,SETORES!$A:$A,0))</f>
        <v>Clientes</v>
      </c>
      <c r="H611" s="60" t="s">
        <v>88</v>
      </c>
    </row>
    <row r="612" spans="1:8" ht="14.25" hidden="1" customHeight="1" x14ac:dyDescent="0.3">
      <c r="A612" s="2" t="s">
        <v>53</v>
      </c>
      <c r="B612" s="60" t="s">
        <v>155</v>
      </c>
      <c r="C612" s="60" t="s">
        <v>168</v>
      </c>
      <c r="D612" s="68">
        <v>33</v>
      </c>
      <c r="E612" s="73">
        <v>1.87</v>
      </c>
      <c r="F612" s="79">
        <f>IFERROR(D612*E612,0)</f>
        <v>61.71</v>
      </c>
      <c r="G612" s="60" t="str">
        <f>INDEX(SETORES!$B:$B,MATCH(A612,SETORES!$A:$A,0))</f>
        <v>Clientes</v>
      </c>
      <c r="H612" s="60" t="s">
        <v>88</v>
      </c>
    </row>
    <row r="613" spans="1:8" ht="14.25" hidden="1" customHeight="1" x14ac:dyDescent="0.3">
      <c r="A613" s="2" t="s">
        <v>53</v>
      </c>
      <c r="B613" s="60" t="s">
        <v>155</v>
      </c>
      <c r="C613" s="60" t="s">
        <v>160</v>
      </c>
      <c r="D613" s="68"/>
      <c r="E613" s="73"/>
      <c r="F613" s="79">
        <f>IFERROR(D613*E613,0)</f>
        <v>0</v>
      </c>
      <c r="G613" s="60" t="str">
        <f>INDEX(SETORES!$B:$B,MATCH(A613,SETORES!$A:$A,0))</f>
        <v>Clientes</v>
      </c>
      <c r="H613" s="60" t="s">
        <v>88</v>
      </c>
    </row>
    <row r="614" spans="1:8" ht="14.25" hidden="1" customHeight="1" x14ac:dyDescent="0.3">
      <c r="A614" s="2" t="s">
        <v>52</v>
      </c>
      <c r="B614" s="60" t="s">
        <v>155</v>
      </c>
      <c r="C614" s="60" t="s">
        <v>159</v>
      </c>
      <c r="D614" s="68"/>
      <c r="E614" s="73"/>
      <c r="F614" s="79">
        <f>IFERROR(D614*E614,0)</f>
        <v>0</v>
      </c>
      <c r="G614" s="60" t="str">
        <f>INDEX(SETORES!$B:$B,MATCH(A614,SETORES!$A:$A,0))</f>
        <v>Clientes</v>
      </c>
      <c r="H614" s="60" t="s">
        <v>88</v>
      </c>
    </row>
    <row r="615" spans="1:8" ht="14.25" hidden="1" customHeight="1" x14ac:dyDescent="0.3">
      <c r="A615" s="2" t="s">
        <v>52</v>
      </c>
      <c r="B615" s="60" t="s">
        <v>155</v>
      </c>
      <c r="C615" s="60" t="s">
        <v>249</v>
      </c>
      <c r="D615" s="68">
        <v>1</v>
      </c>
      <c r="E615" s="73">
        <v>623.39</v>
      </c>
      <c r="F615" s="79">
        <f>IFERROR(D615*E615,0)</f>
        <v>623.39</v>
      </c>
      <c r="G615" s="60" t="str">
        <f>INDEX(SETORES!$B:$B,MATCH(A615,SETORES!$A:$A,0))</f>
        <v>Clientes</v>
      </c>
      <c r="H615" s="60" t="s">
        <v>88</v>
      </c>
    </row>
    <row r="616" spans="1:8" ht="14.25" hidden="1" customHeight="1" x14ac:dyDescent="0.3">
      <c r="A616" s="2" t="s">
        <v>52</v>
      </c>
      <c r="B616" s="60" t="s">
        <v>155</v>
      </c>
      <c r="C616" s="60" t="s">
        <v>171</v>
      </c>
      <c r="D616" s="68">
        <v>8</v>
      </c>
      <c r="E616" s="73">
        <v>52.09</v>
      </c>
      <c r="F616" s="79">
        <f>IFERROR(D616*E616,0)</f>
        <v>416.72</v>
      </c>
      <c r="G616" s="60" t="s">
        <v>98</v>
      </c>
      <c r="H616" s="60" t="s">
        <v>88</v>
      </c>
    </row>
    <row r="617" spans="1:8" ht="14.25" hidden="1" customHeight="1" x14ac:dyDescent="0.3">
      <c r="A617" s="2" t="s">
        <v>52</v>
      </c>
      <c r="B617" s="60" t="s">
        <v>155</v>
      </c>
      <c r="C617" s="60" t="s">
        <v>170</v>
      </c>
      <c r="D617" s="68">
        <v>8</v>
      </c>
      <c r="E617" s="73">
        <v>32.549999999999997</v>
      </c>
      <c r="F617" s="79">
        <f>IFERROR(D617*E617,0)</f>
        <v>260.39999999999998</v>
      </c>
      <c r="G617" s="60" t="s">
        <v>98</v>
      </c>
      <c r="H617" s="60" t="s">
        <v>88</v>
      </c>
    </row>
    <row r="618" spans="1:8" ht="14.25" customHeight="1" x14ac:dyDescent="0.3">
      <c r="A618" s="2" t="s">
        <v>52</v>
      </c>
      <c r="B618" s="60" t="s">
        <v>155</v>
      </c>
      <c r="C618" s="60" t="s">
        <v>169</v>
      </c>
      <c r="D618" s="68">
        <v>8</v>
      </c>
      <c r="E618" s="73">
        <v>52.35</v>
      </c>
      <c r="F618" s="79">
        <f>IFERROR(D618*E618,0)</f>
        <v>418.8</v>
      </c>
      <c r="G618" s="60" t="s">
        <v>98</v>
      </c>
      <c r="H618" s="60" t="s">
        <v>88</v>
      </c>
    </row>
    <row r="619" spans="1:8" ht="14.25" hidden="1" customHeight="1" x14ac:dyDescent="0.3">
      <c r="A619" s="2" t="s">
        <v>52</v>
      </c>
      <c r="B619" s="60" t="s">
        <v>155</v>
      </c>
      <c r="C619" s="60" t="s">
        <v>158</v>
      </c>
      <c r="D619" s="68"/>
      <c r="E619" s="73"/>
      <c r="F619" s="79">
        <f>IFERROR(D619*E619,0)</f>
        <v>0</v>
      </c>
      <c r="G619" s="60" t="str">
        <f>INDEX(SETORES!$B:$B,MATCH(A619,SETORES!$A:$A,0))</f>
        <v>Clientes</v>
      </c>
      <c r="H619" s="60" t="s">
        <v>88</v>
      </c>
    </row>
    <row r="620" spans="1:8" ht="14.25" hidden="1" customHeight="1" x14ac:dyDescent="0.3">
      <c r="A620" s="2" t="s">
        <v>52</v>
      </c>
      <c r="B620" s="60" t="s">
        <v>162</v>
      </c>
      <c r="C620" s="60" t="s">
        <v>164</v>
      </c>
      <c r="D620" s="68"/>
      <c r="E620" s="73"/>
      <c r="F620" s="79">
        <f>IFERROR(D620*E620,0)</f>
        <v>0</v>
      </c>
      <c r="G620" s="60" t="str">
        <f>INDEX(SETORES!$B:$B,MATCH(A620,SETORES!$A:$A,0))</f>
        <v>Clientes</v>
      </c>
      <c r="H620" s="60" t="s">
        <v>88</v>
      </c>
    </row>
    <row r="621" spans="1:8" ht="14.25" hidden="1" customHeight="1" x14ac:dyDescent="0.3">
      <c r="A621" s="2" t="s">
        <v>52</v>
      </c>
      <c r="B621" s="60" t="s">
        <v>155</v>
      </c>
      <c r="C621" s="60" t="s">
        <v>161</v>
      </c>
      <c r="D621" s="68">
        <v>1</v>
      </c>
      <c r="E621" s="73">
        <v>30736.23</v>
      </c>
      <c r="F621" s="79">
        <f>IFERROR(D621*E621,0)</f>
        <v>30736.23</v>
      </c>
      <c r="G621" s="60" t="str">
        <f>INDEX(SETORES!$B:$B,MATCH(A621,SETORES!$A:$A,0))</f>
        <v>Clientes</v>
      </c>
      <c r="H621" s="60" t="s">
        <v>88</v>
      </c>
    </row>
    <row r="622" spans="1:8" ht="14.25" hidden="1" customHeight="1" x14ac:dyDescent="0.3">
      <c r="A622" s="2" t="s">
        <v>52</v>
      </c>
      <c r="B622" s="60" t="s">
        <v>155</v>
      </c>
      <c r="C622" s="60" t="s">
        <v>167</v>
      </c>
      <c r="D622" s="68"/>
      <c r="E622" s="73"/>
      <c r="F622" s="79">
        <f>IFERROR(D622*E622,0)</f>
        <v>0</v>
      </c>
      <c r="G622" s="60" t="str">
        <f>INDEX(SETORES!$B:$B,MATCH(A622,SETORES!$A:$A,0))</f>
        <v>Clientes</v>
      </c>
      <c r="H622" s="60" t="s">
        <v>88</v>
      </c>
    </row>
    <row r="623" spans="1:8" ht="14.25" hidden="1" customHeight="1" x14ac:dyDescent="0.3">
      <c r="A623" s="2" t="s">
        <v>52</v>
      </c>
      <c r="B623" s="60" t="s">
        <v>155</v>
      </c>
      <c r="C623" s="60" t="s">
        <v>240</v>
      </c>
      <c r="D623" s="68"/>
      <c r="E623" s="73"/>
      <c r="F623" s="79">
        <f>IFERROR(D623*E623,0)</f>
        <v>0</v>
      </c>
      <c r="G623" s="60" t="str">
        <f>INDEX(SETORES!$B:$B,MATCH(A623,SETORES!$A:$A,0))</f>
        <v>Clientes</v>
      </c>
      <c r="H623" s="60" t="s">
        <v>88</v>
      </c>
    </row>
    <row r="624" spans="1:8" ht="14.25" hidden="1" customHeight="1" x14ac:dyDescent="0.3">
      <c r="A624" s="2" t="s">
        <v>52</v>
      </c>
      <c r="B624" s="60" t="s">
        <v>155</v>
      </c>
      <c r="C624" s="60" t="s">
        <v>258</v>
      </c>
      <c r="D624" s="68">
        <v>1</v>
      </c>
      <c r="E624" s="73">
        <v>155.09</v>
      </c>
      <c r="F624" s="79">
        <f>IFERROR(D624*E624,0)</f>
        <v>155.09</v>
      </c>
      <c r="G624" s="60" t="str">
        <f>INDEX(SETORES!$B:$B,MATCH(A624,SETORES!$A:$A,0))</f>
        <v>Clientes</v>
      </c>
      <c r="H624" s="60" t="s">
        <v>88</v>
      </c>
    </row>
    <row r="625" spans="1:8" ht="14.25" hidden="1" customHeight="1" x14ac:dyDescent="0.3">
      <c r="A625" s="2" t="s">
        <v>52</v>
      </c>
      <c r="B625" s="60" t="s">
        <v>155</v>
      </c>
      <c r="C625" s="60" t="s">
        <v>166</v>
      </c>
      <c r="D625" s="68">
        <v>8</v>
      </c>
      <c r="E625" s="73">
        <v>50</v>
      </c>
      <c r="F625" s="79">
        <f>IFERROR(D625*E625,0)</f>
        <v>400</v>
      </c>
      <c r="G625" s="60" t="str">
        <f>INDEX(SETORES!$B:$B,MATCH(A625,SETORES!$A:$A,0))</f>
        <v>Clientes</v>
      </c>
      <c r="H625" s="60" t="s">
        <v>88</v>
      </c>
    </row>
    <row r="626" spans="1:8" ht="14.25" hidden="1" customHeight="1" x14ac:dyDescent="0.3">
      <c r="A626" s="2" t="s">
        <v>52</v>
      </c>
      <c r="B626" s="60" t="s">
        <v>155</v>
      </c>
      <c r="C626" s="60" t="s">
        <v>156</v>
      </c>
      <c r="D626" s="68">
        <v>1</v>
      </c>
      <c r="E626" s="73">
        <v>2.2999999999999998</v>
      </c>
      <c r="F626" s="79">
        <f>IFERROR(D626*E626,0)</f>
        <v>2.2999999999999998</v>
      </c>
      <c r="G626" s="60" t="str">
        <f>INDEX(SETORES!$B:$B,MATCH(A626,SETORES!$A:$A,0))</f>
        <v>Clientes</v>
      </c>
      <c r="H626" s="60" t="s">
        <v>88</v>
      </c>
    </row>
    <row r="627" spans="1:8" ht="14.25" hidden="1" customHeight="1" x14ac:dyDescent="0.3">
      <c r="A627" s="2" t="s">
        <v>52</v>
      </c>
      <c r="B627" s="60" t="s">
        <v>155</v>
      </c>
      <c r="C627" s="60" t="s">
        <v>157</v>
      </c>
      <c r="D627" s="68">
        <v>1</v>
      </c>
      <c r="E627" s="73">
        <v>404.44</v>
      </c>
      <c r="F627" s="79">
        <f>IFERROR(D627*E627,0)</f>
        <v>404.44</v>
      </c>
      <c r="G627" s="60" t="str">
        <f>INDEX(SETORES!$B:$B,MATCH(A627,SETORES!$A:$A,0))</f>
        <v>Clientes</v>
      </c>
      <c r="H627" s="60" t="s">
        <v>88</v>
      </c>
    </row>
    <row r="628" spans="1:8" ht="14.25" hidden="1" customHeight="1" x14ac:dyDescent="0.3">
      <c r="A628" s="2" t="s">
        <v>52</v>
      </c>
      <c r="B628" s="60" t="s">
        <v>162</v>
      </c>
      <c r="C628" s="60" t="s">
        <v>222</v>
      </c>
      <c r="D628" s="68"/>
      <c r="E628" s="73"/>
      <c r="F628" s="79">
        <f>IFERROR(D628*E628,0)</f>
        <v>0</v>
      </c>
      <c r="G628" s="60" t="str">
        <f>INDEX(SETORES!$B:$B,MATCH(A628,SETORES!$A:$A,0))</f>
        <v>Clientes</v>
      </c>
      <c r="H628" s="60" t="s">
        <v>88</v>
      </c>
    </row>
    <row r="629" spans="1:8" ht="14.25" hidden="1" customHeight="1" x14ac:dyDescent="0.3">
      <c r="A629" s="2" t="s">
        <v>52</v>
      </c>
      <c r="B629" s="60" t="s">
        <v>155</v>
      </c>
      <c r="C629" s="60" t="s">
        <v>187</v>
      </c>
      <c r="D629" s="68"/>
      <c r="E629" s="73"/>
      <c r="F629" s="79">
        <f>IFERROR(D629*E629,0)</f>
        <v>0</v>
      </c>
      <c r="G629" s="60" t="str">
        <f>INDEX(SETORES!$B:$B,MATCH(A629,SETORES!$A:$A,0))</f>
        <v>Clientes</v>
      </c>
      <c r="H629" s="60" t="s">
        <v>88</v>
      </c>
    </row>
    <row r="630" spans="1:8" ht="14.25" hidden="1" customHeight="1" x14ac:dyDescent="0.3">
      <c r="A630" s="2" t="s">
        <v>52</v>
      </c>
      <c r="B630" s="60" t="s">
        <v>155</v>
      </c>
      <c r="C630" s="60" t="s">
        <v>168</v>
      </c>
      <c r="D630" s="68">
        <v>8</v>
      </c>
      <c r="E630" s="73">
        <v>1.87</v>
      </c>
      <c r="F630" s="79">
        <f>IFERROR(D630*E630,0)</f>
        <v>14.96</v>
      </c>
      <c r="G630" s="60" t="str">
        <f>INDEX(SETORES!$B:$B,MATCH(A630,SETORES!$A:$A,0))</f>
        <v>Clientes</v>
      </c>
      <c r="H630" s="60" t="s">
        <v>88</v>
      </c>
    </row>
    <row r="631" spans="1:8" ht="14.25" hidden="1" customHeight="1" x14ac:dyDescent="0.3">
      <c r="A631" s="2" t="s">
        <v>52</v>
      </c>
      <c r="B631" s="60" t="s">
        <v>155</v>
      </c>
      <c r="C631" s="60" t="s">
        <v>160</v>
      </c>
      <c r="D631" s="68"/>
      <c r="E631" s="73"/>
      <c r="F631" s="79">
        <f>IFERROR(D631*E631,0)</f>
        <v>0</v>
      </c>
      <c r="G631" s="60" t="str">
        <f>INDEX(SETORES!$B:$B,MATCH(A631,SETORES!$A:$A,0))</f>
        <v>Clientes</v>
      </c>
      <c r="H631" s="60" t="s">
        <v>88</v>
      </c>
    </row>
    <row r="632" spans="1:8" ht="14.25" hidden="1" customHeight="1" x14ac:dyDescent="0.3">
      <c r="A632" s="2" t="s">
        <v>51</v>
      </c>
      <c r="B632" s="60" t="s">
        <v>155</v>
      </c>
      <c r="C632" s="60" t="s">
        <v>159</v>
      </c>
      <c r="D632" s="68"/>
      <c r="E632" s="73"/>
      <c r="F632" s="79">
        <f>IFERROR(D632*E632,0)</f>
        <v>0</v>
      </c>
      <c r="G632" s="60" t="str">
        <f>INDEX(SETORES!$B:$B,MATCH(A632,SETORES!$A:$A,0))</f>
        <v>Clientes</v>
      </c>
      <c r="H632" s="60" t="s">
        <v>88</v>
      </c>
    </row>
    <row r="633" spans="1:8" ht="14.25" hidden="1" customHeight="1" x14ac:dyDescent="0.3">
      <c r="A633" s="2" t="s">
        <v>51</v>
      </c>
      <c r="B633" s="60" t="s">
        <v>155</v>
      </c>
      <c r="C633" s="60" t="s">
        <v>249</v>
      </c>
      <c r="D633" s="68">
        <v>1</v>
      </c>
      <c r="E633" s="73">
        <v>857.16</v>
      </c>
      <c r="F633" s="79">
        <f>IFERROR(D633*E633,0)</f>
        <v>857.16</v>
      </c>
      <c r="G633" s="60" t="str">
        <f>INDEX(SETORES!$B:$B,MATCH(A633,SETORES!$A:$A,0))</f>
        <v>Clientes</v>
      </c>
      <c r="H633" s="60" t="s">
        <v>88</v>
      </c>
    </row>
    <row r="634" spans="1:8" ht="14.25" hidden="1" customHeight="1" x14ac:dyDescent="0.3">
      <c r="A634" s="2" t="s">
        <v>51</v>
      </c>
      <c r="B634" s="60" t="s">
        <v>155</v>
      </c>
      <c r="C634" s="60" t="s">
        <v>171</v>
      </c>
      <c r="D634" s="68">
        <v>11</v>
      </c>
      <c r="E634" s="73">
        <v>52.09</v>
      </c>
      <c r="F634" s="79">
        <f>IFERROR(D634*E634,0)</f>
        <v>572.99</v>
      </c>
      <c r="G634" s="60" t="s">
        <v>98</v>
      </c>
      <c r="H634" s="60" t="s">
        <v>88</v>
      </c>
    </row>
    <row r="635" spans="1:8" ht="14.25" hidden="1" customHeight="1" x14ac:dyDescent="0.3">
      <c r="A635" s="2" t="s">
        <v>51</v>
      </c>
      <c r="B635" s="60" t="s">
        <v>155</v>
      </c>
      <c r="C635" s="60" t="s">
        <v>170</v>
      </c>
      <c r="D635" s="68">
        <v>11</v>
      </c>
      <c r="E635" s="73">
        <v>32.549999999999997</v>
      </c>
      <c r="F635" s="79">
        <f>IFERROR(D635*E635,0)</f>
        <v>358.04999999999995</v>
      </c>
      <c r="G635" s="60" t="s">
        <v>98</v>
      </c>
      <c r="H635" s="60" t="s">
        <v>88</v>
      </c>
    </row>
    <row r="636" spans="1:8" ht="14.25" customHeight="1" x14ac:dyDescent="0.3">
      <c r="A636" s="2" t="s">
        <v>51</v>
      </c>
      <c r="B636" s="60" t="s">
        <v>155</v>
      </c>
      <c r="C636" s="60" t="s">
        <v>169</v>
      </c>
      <c r="D636" s="68">
        <v>11</v>
      </c>
      <c r="E636" s="73">
        <v>52.35</v>
      </c>
      <c r="F636" s="79">
        <f>IFERROR(D636*E636,0)</f>
        <v>575.85</v>
      </c>
      <c r="G636" s="60" t="s">
        <v>98</v>
      </c>
      <c r="H636" s="60" t="s">
        <v>88</v>
      </c>
    </row>
    <row r="637" spans="1:8" ht="14.25" hidden="1" customHeight="1" x14ac:dyDescent="0.3">
      <c r="A637" s="2" t="s">
        <v>51</v>
      </c>
      <c r="B637" s="60" t="s">
        <v>155</v>
      </c>
      <c r="C637" s="60" t="s">
        <v>158</v>
      </c>
      <c r="D637" s="68"/>
      <c r="E637" s="73"/>
      <c r="F637" s="79">
        <f>IFERROR(D637*E637,0)</f>
        <v>0</v>
      </c>
      <c r="G637" s="60" t="str">
        <f>INDEX(SETORES!$B:$B,MATCH(A637,SETORES!$A:$A,0))</f>
        <v>Clientes</v>
      </c>
      <c r="H637" s="60" t="s">
        <v>88</v>
      </c>
    </row>
    <row r="638" spans="1:8" ht="14.25" hidden="1" customHeight="1" x14ac:dyDescent="0.3">
      <c r="A638" s="2" t="s">
        <v>51</v>
      </c>
      <c r="B638" s="60" t="s">
        <v>162</v>
      </c>
      <c r="C638" s="60" t="s">
        <v>163</v>
      </c>
      <c r="D638" s="68"/>
      <c r="E638" s="73"/>
      <c r="F638" s="79">
        <f>IFERROR(D638*E638,0)</f>
        <v>0</v>
      </c>
      <c r="G638" s="60" t="str">
        <f>INDEX(SETORES!$B:$B,MATCH(A638,SETORES!$A:$A,0))</f>
        <v>Clientes</v>
      </c>
      <c r="H638" s="60" t="s">
        <v>88</v>
      </c>
    </row>
    <row r="639" spans="1:8" ht="14.25" hidden="1" customHeight="1" x14ac:dyDescent="0.3">
      <c r="A639" s="2" t="s">
        <v>51</v>
      </c>
      <c r="B639" s="60" t="s">
        <v>155</v>
      </c>
      <c r="C639" s="60" t="s">
        <v>161</v>
      </c>
      <c r="D639" s="68">
        <v>1</v>
      </c>
      <c r="E639" s="73">
        <v>128483.01</v>
      </c>
      <c r="F639" s="79">
        <f>IFERROR(D639*E639,0)</f>
        <v>128483.01</v>
      </c>
      <c r="G639" s="60" t="str">
        <f>INDEX(SETORES!$B:$B,MATCH(A639,SETORES!$A:$A,0))</f>
        <v>Clientes</v>
      </c>
      <c r="H639" s="60" t="s">
        <v>88</v>
      </c>
    </row>
    <row r="640" spans="1:8" ht="14.25" hidden="1" customHeight="1" x14ac:dyDescent="0.3">
      <c r="A640" s="2" t="s">
        <v>51</v>
      </c>
      <c r="B640" s="60" t="s">
        <v>155</v>
      </c>
      <c r="C640" s="60" t="s">
        <v>167</v>
      </c>
      <c r="D640" s="68"/>
      <c r="E640" s="73"/>
      <c r="F640" s="79">
        <f>IFERROR(D640*E640,0)</f>
        <v>0</v>
      </c>
      <c r="G640" s="60" t="str">
        <f>INDEX(SETORES!$B:$B,MATCH(A640,SETORES!$A:$A,0))</f>
        <v>Clientes</v>
      </c>
      <c r="H640" s="60" t="s">
        <v>88</v>
      </c>
    </row>
    <row r="641" spans="1:8" ht="14.25" hidden="1" customHeight="1" x14ac:dyDescent="0.3">
      <c r="A641" s="2" t="s">
        <v>51</v>
      </c>
      <c r="B641" s="60" t="s">
        <v>155</v>
      </c>
      <c r="C641" s="60" t="s">
        <v>240</v>
      </c>
      <c r="D641" s="68"/>
      <c r="E641" s="73"/>
      <c r="F641" s="79">
        <f>IFERROR(D641*E641,0)</f>
        <v>0</v>
      </c>
      <c r="G641" s="60" t="str">
        <f>INDEX(SETORES!$B:$B,MATCH(A641,SETORES!$A:$A,0))</f>
        <v>Clientes</v>
      </c>
      <c r="H641" s="60" t="s">
        <v>88</v>
      </c>
    </row>
    <row r="642" spans="1:8" ht="14.25" hidden="1" customHeight="1" x14ac:dyDescent="0.3">
      <c r="A642" s="2" t="s">
        <v>51</v>
      </c>
      <c r="B642" s="60" t="s">
        <v>155</v>
      </c>
      <c r="C642" s="60" t="s">
        <v>258</v>
      </c>
      <c r="D642" s="68">
        <v>1</v>
      </c>
      <c r="E642" s="73">
        <v>213.25</v>
      </c>
      <c r="F642" s="79">
        <f>IFERROR(D642*E642,0)</f>
        <v>213.25</v>
      </c>
      <c r="G642" s="60" t="str">
        <f>INDEX(SETORES!$B:$B,MATCH(A642,SETORES!$A:$A,0))</f>
        <v>Clientes</v>
      </c>
      <c r="H642" s="60" t="s">
        <v>88</v>
      </c>
    </row>
    <row r="643" spans="1:8" ht="14.25" hidden="1" customHeight="1" x14ac:dyDescent="0.3">
      <c r="A643" s="2" t="s">
        <v>51</v>
      </c>
      <c r="B643" s="60" t="s">
        <v>155</v>
      </c>
      <c r="C643" s="60" t="s">
        <v>166</v>
      </c>
      <c r="D643" s="68">
        <v>11</v>
      </c>
      <c r="E643" s="73">
        <v>50</v>
      </c>
      <c r="F643" s="79">
        <f>IFERROR(D643*E643,0)</f>
        <v>550</v>
      </c>
      <c r="G643" s="60" t="str">
        <f>INDEX(SETORES!$B:$B,MATCH(A643,SETORES!$A:$A,0))</f>
        <v>Clientes</v>
      </c>
      <c r="H643" s="60" t="s">
        <v>88</v>
      </c>
    </row>
    <row r="644" spans="1:8" ht="14.25" hidden="1" customHeight="1" x14ac:dyDescent="0.3">
      <c r="A644" s="2" t="s">
        <v>51</v>
      </c>
      <c r="B644" s="60" t="s">
        <v>155</v>
      </c>
      <c r="C644" s="60" t="s">
        <v>156</v>
      </c>
      <c r="D644" s="68">
        <v>1</v>
      </c>
      <c r="E644" s="73">
        <v>3.17</v>
      </c>
      <c r="F644" s="79">
        <f>IFERROR(D644*E644,0)</f>
        <v>3.17</v>
      </c>
      <c r="G644" s="60" t="str">
        <f>INDEX(SETORES!$B:$B,MATCH(A644,SETORES!$A:$A,0))</f>
        <v>Clientes</v>
      </c>
      <c r="H644" s="60" t="s">
        <v>88</v>
      </c>
    </row>
    <row r="645" spans="1:8" ht="14.25" hidden="1" customHeight="1" x14ac:dyDescent="0.3">
      <c r="A645" s="2" t="s">
        <v>51</v>
      </c>
      <c r="B645" s="60" t="s">
        <v>155</v>
      </c>
      <c r="C645" s="60" t="s">
        <v>157</v>
      </c>
      <c r="D645" s="68">
        <v>1</v>
      </c>
      <c r="E645" s="73">
        <v>556.1</v>
      </c>
      <c r="F645" s="79">
        <f>IFERROR(D645*E645,0)</f>
        <v>556.1</v>
      </c>
      <c r="G645" s="60" t="str">
        <f>INDEX(SETORES!$B:$B,MATCH(A645,SETORES!$A:$A,0))</f>
        <v>Clientes</v>
      </c>
      <c r="H645" s="60" t="s">
        <v>88</v>
      </c>
    </row>
    <row r="646" spans="1:8" ht="14.25" hidden="1" customHeight="1" x14ac:dyDescent="0.3">
      <c r="A646" s="2" t="s">
        <v>51</v>
      </c>
      <c r="B646" s="60" t="s">
        <v>162</v>
      </c>
      <c r="C646" s="60" t="s">
        <v>222</v>
      </c>
      <c r="D646" s="68"/>
      <c r="E646" s="73"/>
      <c r="F646" s="79">
        <f>IFERROR(D646*E646,0)</f>
        <v>0</v>
      </c>
      <c r="G646" s="60" t="str">
        <f>INDEX(SETORES!$B:$B,MATCH(A646,SETORES!$A:$A,0))</f>
        <v>Clientes</v>
      </c>
      <c r="H646" s="60" t="s">
        <v>88</v>
      </c>
    </row>
    <row r="647" spans="1:8" ht="14.25" hidden="1" customHeight="1" x14ac:dyDescent="0.3">
      <c r="A647" s="2" t="s">
        <v>51</v>
      </c>
      <c r="B647" s="60" t="s">
        <v>155</v>
      </c>
      <c r="C647" s="60" t="s">
        <v>187</v>
      </c>
      <c r="D647" s="68"/>
      <c r="E647" s="73"/>
      <c r="F647" s="79">
        <f>IFERROR(D647*E647,0)</f>
        <v>0</v>
      </c>
      <c r="G647" s="60" t="str">
        <f>INDEX(SETORES!$B:$B,MATCH(A647,SETORES!$A:$A,0))</f>
        <v>Clientes</v>
      </c>
      <c r="H647" s="60" t="s">
        <v>88</v>
      </c>
    </row>
    <row r="648" spans="1:8" ht="14.25" hidden="1" customHeight="1" x14ac:dyDescent="0.3">
      <c r="A648" s="2" t="s">
        <v>51</v>
      </c>
      <c r="B648" s="60" t="s">
        <v>155</v>
      </c>
      <c r="C648" s="60" t="s">
        <v>168</v>
      </c>
      <c r="D648" s="68">
        <v>11</v>
      </c>
      <c r="E648" s="73">
        <v>1.87</v>
      </c>
      <c r="F648" s="79">
        <f>IFERROR(D648*E648,0)</f>
        <v>20.57</v>
      </c>
      <c r="G648" s="60" t="str">
        <f>INDEX(SETORES!$B:$B,MATCH(A648,SETORES!$A:$A,0))</f>
        <v>Clientes</v>
      </c>
      <c r="H648" s="60" t="s">
        <v>88</v>
      </c>
    </row>
    <row r="649" spans="1:8" ht="14.25" hidden="1" customHeight="1" x14ac:dyDescent="0.3">
      <c r="A649" s="2" t="s">
        <v>51</v>
      </c>
      <c r="B649" s="60" t="s">
        <v>155</v>
      </c>
      <c r="C649" s="60" t="s">
        <v>160</v>
      </c>
      <c r="D649" s="68"/>
      <c r="E649" s="73"/>
      <c r="F649" s="79">
        <f>IFERROR(D649*E649,0)</f>
        <v>0</v>
      </c>
      <c r="G649" s="60" t="str">
        <f>INDEX(SETORES!$B:$B,MATCH(A649,SETORES!$A:$A,0))</f>
        <v>Clientes</v>
      </c>
      <c r="H649" s="60" t="s">
        <v>88</v>
      </c>
    </row>
    <row r="650" spans="1:8" ht="14.25" hidden="1" customHeight="1" x14ac:dyDescent="0.3">
      <c r="A650" s="2" t="s">
        <v>87</v>
      </c>
      <c r="B650" s="60" t="s">
        <v>155</v>
      </c>
      <c r="C650" s="60" t="s">
        <v>159</v>
      </c>
      <c r="D650" s="68"/>
      <c r="E650" s="73"/>
      <c r="F650" s="79">
        <f>IFERROR(D650*E650,0)</f>
        <v>0</v>
      </c>
      <c r="G650" s="60" t="str">
        <f>INDEX(SETORES!$B:$B,MATCH(A650,SETORES!$A:$A,0))</f>
        <v>Clientes</v>
      </c>
      <c r="H650" s="60" t="s">
        <v>88</v>
      </c>
    </row>
    <row r="651" spans="1:8" ht="14.25" hidden="1" customHeight="1" x14ac:dyDescent="0.3">
      <c r="A651" s="2" t="s">
        <v>87</v>
      </c>
      <c r="B651" s="60" t="s">
        <v>155</v>
      </c>
      <c r="C651" s="60" t="s">
        <v>212</v>
      </c>
      <c r="D651" s="68">
        <v>5</v>
      </c>
      <c r="E651" s="73">
        <v>30</v>
      </c>
      <c r="F651" s="79">
        <f>IFERROR(D651*E651,0)</f>
        <v>150</v>
      </c>
      <c r="G651" s="60" t="str">
        <f>INDEX(SETORES!$B:$B,MATCH(A651,SETORES!$A:$A,0))</f>
        <v>Clientes</v>
      </c>
      <c r="H651" s="60" t="s">
        <v>88</v>
      </c>
    </row>
    <row r="652" spans="1:8" ht="14.25" hidden="1" customHeight="1" x14ac:dyDescent="0.3">
      <c r="A652" s="2" t="s">
        <v>87</v>
      </c>
      <c r="B652" s="60" t="s">
        <v>155</v>
      </c>
      <c r="C652" s="60" t="s">
        <v>171</v>
      </c>
      <c r="D652" s="68">
        <v>7</v>
      </c>
      <c r="E652" s="73">
        <v>52.09</v>
      </c>
      <c r="F652" s="79">
        <f>IFERROR(D652*E652,0)</f>
        <v>364.63</v>
      </c>
      <c r="G652" s="60" t="s">
        <v>98</v>
      </c>
      <c r="H652" s="60" t="s">
        <v>88</v>
      </c>
    </row>
    <row r="653" spans="1:8" ht="14.25" hidden="1" customHeight="1" x14ac:dyDescent="0.3">
      <c r="A653" s="2" t="s">
        <v>87</v>
      </c>
      <c r="B653" s="60" t="s">
        <v>155</v>
      </c>
      <c r="C653" s="60" t="s">
        <v>170</v>
      </c>
      <c r="D653" s="68">
        <v>7</v>
      </c>
      <c r="E653" s="73">
        <v>32.549999999999997</v>
      </c>
      <c r="F653" s="79">
        <f>IFERROR(D653*E653,0)</f>
        <v>227.84999999999997</v>
      </c>
      <c r="G653" s="60" t="s">
        <v>98</v>
      </c>
      <c r="H653" s="60" t="s">
        <v>88</v>
      </c>
    </row>
    <row r="654" spans="1:8" ht="14.25" customHeight="1" x14ac:dyDescent="0.3">
      <c r="A654" s="2" t="s">
        <v>87</v>
      </c>
      <c r="B654" s="60" t="s">
        <v>155</v>
      </c>
      <c r="C654" s="60" t="s">
        <v>169</v>
      </c>
      <c r="D654" s="68">
        <v>7</v>
      </c>
      <c r="E654" s="73">
        <v>52.35</v>
      </c>
      <c r="F654" s="79">
        <f>IFERROR(D654*E654,0)</f>
        <v>366.45</v>
      </c>
      <c r="G654" s="60" t="s">
        <v>98</v>
      </c>
      <c r="H654" s="60" t="s">
        <v>88</v>
      </c>
    </row>
    <row r="655" spans="1:8" ht="14.25" hidden="1" customHeight="1" x14ac:dyDescent="0.3">
      <c r="A655" s="2" t="s">
        <v>87</v>
      </c>
      <c r="B655" s="60" t="s">
        <v>155</v>
      </c>
      <c r="C655" s="60" t="s">
        <v>158</v>
      </c>
      <c r="D655" s="68"/>
      <c r="E655" s="73"/>
      <c r="F655" s="79">
        <f>IFERROR(D655*E655,0)</f>
        <v>0</v>
      </c>
      <c r="G655" s="60" t="str">
        <f>INDEX(SETORES!$B:$B,MATCH(A655,SETORES!$A:$A,0))</f>
        <v>Clientes</v>
      </c>
      <c r="H655" s="60" t="s">
        <v>88</v>
      </c>
    </row>
    <row r="656" spans="1:8" ht="14.25" hidden="1" customHeight="1" x14ac:dyDescent="0.3">
      <c r="A656" s="2" t="s">
        <v>87</v>
      </c>
      <c r="B656" s="60" t="s">
        <v>162</v>
      </c>
      <c r="C656" s="60" t="s">
        <v>163</v>
      </c>
      <c r="D656" s="68"/>
      <c r="E656" s="73"/>
      <c r="F656" s="79">
        <f>IFERROR(D656*E656,0)</f>
        <v>0</v>
      </c>
      <c r="G656" s="60" t="str">
        <f>INDEX(SETORES!$B:$B,MATCH(A656,SETORES!$A:$A,0))</f>
        <v>Clientes</v>
      </c>
      <c r="H656" s="60" t="s">
        <v>88</v>
      </c>
    </row>
    <row r="657" spans="1:8" ht="14.25" hidden="1" customHeight="1" x14ac:dyDescent="0.3">
      <c r="A657" s="2" t="s">
        <v>87</v>
      </c>
      <c r="B657" s="60" t="s">
        <v>155</v>
      </c>
      <c r="C657" s="60" t="s">
        <v>161</v>
      </c>
      <c r="D657" s="68">
        <v>1</v>
      </c>
      <c r="E657" s="73">
        <v>35073.9</v>
      </c>
      <c r="F657" s="79">
        <f>IFERROR(D657*E657,0)</f>
        <v>35073.9</v>
      </c>
      <c r="G657" s="60" t="str">
        <f>INDEX(SETORES!$B:$B,MATCH(A657,SETORES!$A:$A,0))</f>
        <v>Clientes</v>
      </c>
      <c r="H657" s="60" t="s">
        <v>88</v>
      </c>
    </row>
    <row r="658" spans="1:8" ht="14.25" hidden="1" customHeight="1" x14ac:dyDescent="0.3">
      <c r="A658" s="2" t="s">
        <v>87</v>
      </c>
      <c r="B658" s="60" t="s">
        <v>155</v>
      </c>
      <c r="C658" s="60" t="s">
        <v>167</v>
      </c>
      <c r="D658" s="68"/>
      <c r="E658" s="73"/>
      <c r="F658" s="79">
        <f>IFERROR(D658*E658,0)</f>
        <v>0</v>
      </c>
      <c r="G658" s="60" t="str">
        <f>INDEX(SETORES!$B:$B,MATCH(A658,SETORES!$A:$A,0))</f>
        <v>Clientes</v>
      </c>
      <c r="H658" s="60" t="s">
        <v>88</v>
      </c>
    </row>
    <row r="659" spans="1:8" ht="14.25" hidden="1" customHeight="1" x14ac:dyDescent="0.3">
      <c r="A659" s="2" t="s">
        <v>87</v>
      </c>
      <c r="B659" s="60" t="s">
        <v>155</v>
      </c>
      <c r="C659" s="60" t="s">
        <v>238</v>
      </c>
      <c r="D659" s="68"/>
      <c r="E659" s="73"/>
      <c r="F659" s="79">
        <f>IFERROR(D659*E659,0)</f>
        <v>0</v>
      </c>
      <c r="G659" s="60" t="str">
        <f>INDEX(SETORES!$B:$B,MATCH(A659,SETORES!$A:$A,0))</f>
        <v>Clientes</v>
      </c>
      <c r="H659" s="60" t="s">
        <v>88</v>
      </c>
    </row>
    <row r="660" spans="1:8" ht="14.25" hidden="1" customHeight="1" x14ac:dyDescent="0.3">
      <c r="A660" s="2" t="s">
        <v>87</v>
      </c>
      <c r="B660" s="60" t="s">
        <v>155</v>
      </c>
      <c r="C660" s="60" t="s">
        <v>258</v>
      </c>
      <c r="D660" s="68">
        <v>1</v>
      </c>
      <c r="E660" s="73">
        <v>135.69999999999999</v>
      </c>
      <c r="F660" s="79">
        <f>IFERROR(D660*E660,0)</f>
        <v>135.69999999999999</v>
      </c>
      <c r="G660" s="60" t="str">
        <f>INDEX(SETORES!$B:$B,MATCH(A660,SETORES!$A:$A,0))</f>
        <v>Clientes</v>
      </c>
      <c r="H660" s="60" t="s">
        <v>88</v>
      </c>
    </row>
    <row r="661" spans="1:8" ht="14.25" hidden="1" customHeight="1" x14ac:dyDescent="0.3">
      <c r="A661" s="2" t="s">
        <v>87</v>
      </c>
      <c r="B661" s="60" t="s">
        <v>155</v>
      </c>
      <c r="C661" s="60" t="s">
        <v>166</v>
      </c>
      <c r="D661" s="68">
        <v>7</v>
      </c>
      <c r="E661" s="73">
        <v>50</v>
      </c>
      <c r="F661" s="79">
        <f>IFERROR(D661*E661,0)</f>
        <v>350</v>
      </c>
      <c r="G661" s="60" t="str">
        <f>INDEX(SETORES!$B:$B,MATCH(A661,SETORES!$A:$A,0))</f>
        <v>Clientes</v>
      </c>
      <c r="H661" s="60" t="s">
        <v>88</v>
      </c>
    </row>
    <row r="662" spans="1:8" ht="14.25" hidden="1" customHeight="1" x14ac:dyDescent="0.3">
      <c r="A662" s="2" t="s">
        <v>87</v>
      </c>
      <c r="B662" s="60" t="s">
        <v>162</v>
      </c>
      <c r="C662" s="60" t="s">
        <v>156</v>
      </c>
      <c r="D662" s="68">
        <v>1</v>
      </c>
      <c r="E662" s="73">
        <v>52.84</v>
      </c>
      <c r="F662" s="79">
        <f>IFERROR(D662*E662,0)</f>
        <v>52.84</v>
      </c>
      <c r="G662" s="60" t="str">
        <f>INDEX(SETORES!$B:$B,MATCH(A662,SETORES!$A:$A,0))</f>
        <v>Clientes</v>
      </c>
      <c r="H662" s="60" t="s">
        <v>88</v>
      </c>
    </row>
    <row r="663" spans="1:8" ht="14.25" hidden="1" customHeight="1" x14ac:dyDescent="0.3">
      <c r="A663" s="2" t="s">
        <v>87</v>
      </c>
      <c r="B663" s="60" t="s">
        <v>155</v>
      </c>
      <c r="C663" s="60" t="s">
        <v>157</v>
      </c>
      <c r="D663" s="68">
        <v>1</v>
      </c>
      <c r="E663" s="73">
        <v>107.14</v>
      </c>
      <c r="F663" s="79">
        <f>IFERROR(D663*E663,0)</f>
        <v>107.14</v>
      </c>
      <c r="G663" s="60" t="str">
        <f>INDEX(SETORES!$B:$B,MATCH(A663,SETORES!$A:$A,0))</f>
        <v>Clientes</v>
      </c>
      <c r="H663" s="60" t="s">
        <v>88</v>
      </c>
    </row>
    <row r="664" spans="1:8" ht="14.25" hidden="1" customHeight="1" x14ac:dyDescent="0.3">
      <c r="A664" s="2" t="s">
        <v>87</v>
      </c>
      <c r="B664" s="60" t="s">
        <v>155</v>
      </c>
      <c r="C664" s="60" t="s">
        <v>168</v>
      </c>
      <c r="D664" s="68">
        <v>7</v>
      </c>
      <c r="E664" s="73">
        <v>1.87</v>
      </c>
      <c r="F664" s="79">
        <f>IFERROR(D664*E664,0)</f>
        <v>13.09</v>
      </c>
      <c r="G664" s="60" t="str">
        <f>INDEX(SETORES!$B:$B,MATCH(A664,SETORES!$A:$A,0))</f>
        <v>Clientes</v>
      </c>
      <c r="H664" s="60" t="s">
        <v>88</v>
      </c>
    </row>
    <row r="665" spans="1:8" ht="14.25" hidden="1" customHeight="1" x14ac:dyDescent="0.3">
      <c r="A665" s="2" t="s">
        <v>55</v>
      </c>
      <c r="B665" s="60" t="s">
        <v>155</v>
      </c>
      <c r="C665" s="67" t="s">
        <v>236</v>
      </c>
      <c r="D665" s="68">
        <v>1</v>
      </c>
      <c r="E665" s="73">
        <v>21454</v>
      </c>
      <c r="F665" s="79">
        <f>IFERROR(D665*E665,0)</f>
        <v>21454</v>
      </c>
      <c r="G665" s="60" t="str">
        <f>INDEX(SETORES!$B:$B,MATCH(A665,SETORES!$A:$A,0))</f>
        <v>Funcionários</v>
      </c>
      <c r="H665" s="60" t="s">
        <v>21</v>
      </c>
    </row>
    <row r="666" spans="1:8" ht="14.25" hidden="1" customHeight="1" x14ac:dyDescent="0.3">
      <c r="A666" s="34" t="s">
        <v>55</v>
      </c>
      <c r="B666" s="61" t="s">
        <v>162</v>
      </c>
      <c r="C666" s="61" t="s">
        <v>222</v>
      </c>
      <c r="D666" s="69"/>
      <c r="E666" s="74"/>
      <c r="F666" s="80">
        <v>0</v>
      </c>
      <c r="G666" s="61" t="str">
        <f>INDEX(SETORES!$B:$B,MATCH(A666,SETORES!$A:$A,0))</f>
        <v>Funcionários</v>
      </c>
      <c r="H666" s="61" t="s">
        <v>21</v>
      </c>
    </row>
    <row r="667" spans="1:8" ht="14.25" hidden="1" customHeight="1" x14ac:dyDescent="0.3">
      <c r="A667" s="34" t="s">
        <v>55</v>
      </c>
      <c r="B667" s="61" t="s">
        <v>155</v>
      </c>
      <c r="C667" s="67" t="s">
        <v>185</v>
      </c>
      <c r="D667" s="69">
        <v>1</v>
      </c>
      <c r="E667" s="74">
        <v>99</v>
      </c>
      <c r="F667" s="80">
        <f>IFERROR(D667*E667,0)</f>
        <v>99</v>
      </c>
      <c r="G667" s="61" t="str">
        <f>INDEX(SETORES!$B:$B,MATCH(A667,SETORES!$A:$A,0))</f>
        <v>Funcionários</v>
      </c>
      <c r="H667" s="61" t="s">
        <v>21</v>
      </c>
    </row>
    <row r="668" spans="1:8" ht="14.25" hidden="1" customHeight="1" x14ac:dyDescent="0.3">
      <c r="A668" s="2" t="s">
        <v>55</v>
      </c>
      <c r="B668" s="60" t="s">
        <v>155</v>
      </c>
      <c r="C668" s="60" t="s">
        <v>245</v>
      </c>
      <c r="D668" s="68">
        <v>1</v>
      </c>
      <c r="E668" s="73">
        <v>436</v>
      </c>
      <c r="F668" s="79">
        <f>IFERROR(D668*E668,0)</f>
        <v>436</v>
      </c>
      <c r="G668" s="60" t="str">
        <f>INDEX(SETORES!$B:$B,MATCH(A668,SETORES!$A:$A,0))</f>
        <v>Funcionários</v>
      </c>
      <c r="H668" s="60" t="s">
        <v>21</v>
      </c>
    </row>
    <row r="669" spans="1:8" ht="14.25" hidden="1" customHeight="1" x14ac:dyDescent="0.3">
      <c r="A669" s="34" t="s">
        <v>55</v>
      </c>
      <c r="B669" s="61" t="s">
        <v>155</v>
      </c>
      <c r="C669" s="67" t="s">
        <v>243</v>
      </c>
      <c r="D669" s="69">
        <v>1</v>
      </c>
      <c r="E669" s="74">
        <v>1787.09</v>
      </c>
      <c r="F669" s="80">
        <f>IFERROR(D669*E669,0)</f>
        <v>1787.09</v>
      </c>
      <c r="G669" s="61" t="str">
        <f>INDEX(SETORES!$B:$B,MATCH(A669,SETORES!$A:$A,0))</f>
        <v>Funcionários</v>
      </c>
      <c r="H669" s="61" t="s">
        <v>21</v>
      </c>
    </row>
    <row r="670" spans="1:8" ht="14.25" hidden="1" customHeight="1" x14ac:dyDescent="0.3">
      <c r="A670" s="34" t="s">
        <v>137</v>
      </c>
      <c r="B670" s="61" t="s">
        <v>155</v>
      </c>
      <c r="C670" s="61" t="s">
        <v>159</v>
      </c>
      <c r="D670" s="69">
        <v>1</v>
      </c>
      <c r="E670" s="74">
        <v>4.8500000000000001E-2</v>
      </c>
      <c r="F670" s="80">
        <v>4.8500000000000001E-2</v>
      </c>
      <c r="G670" s="61" t="s">
        <v>96</v>
      </c>
      <c r="H670" s="61" t="s">
        <v>21</v>
      </c>
    </row>
    <row r="671" spans="1:8" ht="14.25" hidden="1" customHeight="1" x14ac:dyDescent="0.3">
      <c r="A671" s="34" t="s">
        <v>137</v>
      </c>
      <c r="B671" s="61" t="s">
        <v>155</v>
      </c>
      <c r="C671" s="61" t="s">
        <v>212</v>
      </c>
      <c r="D671" s="69">
        <v>1</v>
      </c>
      <c r="E671" s="74">
        <v>30</v>
      </c>
      <c r="F671" s="80">
        <f>IFERROR(D671*E671,0)</f>
        <v>30</v>
      </c>
      <c r="G671" s="61" t="str">
        <f>INDEX(SETORES!$B:$B,MATCH(A671,SETORES!$A:$A,0))</f>
        <v>Clientes</v>
      </c>
      <c r="H671" s="61" t="s">
        <v>21</v>
      </c>
    </row>
    <row r="672" spans="1:8" ht="14.25" hidden="1" customHeight="1" x14ac:dyDescent="0.3">
      <c r="A672" s="2" t="s">
        <v>137</v>
      </c>
      <c r="B672" s="60" t="s">
        <v>155</v>
      </c>
      <c r="C672" s="60" t="s">
        <v>248</v>
      </c>
      <c r="D672" s="68">
        <v>1</v>
      </c>
      <c r="E672" s="73">
        <v>1086.4000000000001</v>
      </c>
      <c r="F672" s="79">
        <f>IFERROR(D672*E672,0)</f>
        <v>1086.4000000000001</v>
      </c>
      <c r="G672" s="60" t="str">
        <f>INDEX(SETORES!$B:$B,MATCH(A672,SETORES!$A:$A,0))</f>
        <v>Clientes</v>
      </c>
      <c r="H672" s="60" t="s">
        <v>21</v>
      </c>
    </row>
    <row r="673" spans="1:8" ht="14.25" hidden="1" customHeight="1" x14ac:dyDescent="0.3">
      <c r="A673" s="34" t="s">
        <v>137</v>
      </c>
      <c r="B673" s="61" t="s">
        <v>155</v>
      </c>
      <c r="C673" s="61" t="s">
        <v>171</v>
      </c>
      <c r="D673" s="69">
        <v>2</v>
      </c>
      <c r="E673" s="74">
        <v>43.54</v>
      </c>
      <c r="F673" s="80">
        <f>IFERROR(D673*E673,0)</f>
        <v>87.08</v>
      </c>
      <c r="G673" s="61" t="s">
        <v>98</v>
      </c>
      <c r="H673" s="61" t="s">
        <v>21</v>
      </c>
    </row>
    <row r="674" spans="1:8" ht="14.25" hidden="1" customHeight="1" x14ac:dyDescent="0.3">
      <c r="A674" s="34" t="s">
        <v>137</v>
      </c>
      <c r="B674" s="61" t="s">
        <v>155</v>
      </c>
      <c r="C674" s="61" t="s">
        <v>170</v>
      </c>
      <c r="D674" s="69">
        <v>2</v>
      </c>
      <c r="E674" s="74">
        <v>29.74</v>
      </c>
      <c r="F674" s="80">
        <f>IFERROR(D674*E674,0)</f>
        <v>59.48</v>
      </c>
      <c r="G674" s="60" t="s">
        <v>98</v>
      </c>
      <c r="H674" s="61" t="s">
        <v>21</v>
      </c>
    </row>
    <row r="675" spans="1:8" ht="14.25" customHeight="1" x14ac:dyDescent="0.3">
      <c r="A675" s="34" t="s">
        <v>137</v>
      </c>
      <c r="B675" s="61" t="s">
        <v>155</v>
      </c>
      <c r="C675" s="61" t="s">
        <v>169</v>
      </c>
      <c r="D675" s="69">
        <v>2</v>
      </c>
      <c r="E675" s="74">
        <v>47.66</v>
      </c>
      <c r="F675" s="80">
        <f>IFERROR(D675*E675,0)</f>
        <v>95.32</v>
      </c>
      <c r="G675" s="60" t="s">
        <v>98</v>
      </c>
      <c r="H675" s="61" t="s">
        <v>21</v>
      </c>
    </row>
    <row r="676" spans="1:8" ht="14.25" hidden="1" customHeight="1" x14ac:dyDescent="0.3">
      <c r="A676" s="2" t="s">
        <v>137</v>
      </c>
      <c r="B676" s="60" t="s">
        <v>155</v>
      </c>
      <c r="C676" s="60" t="s">
        <v>158</v>
      </c>
      <c r="D676" s="68">
        <v>1</v>
      </c>
      <c r="E676" s="73">
        <v>16.545999999999999</v>
      </c>
      <c r="F676" s="79">
        <v>16.545999999999999</v>
      </c>
      <c r="G676" s="60" t="s">
        <v>96</v>
      </c>
      <c r="H676" s="60" t="s">
        <v>21</v>
      </c>
    </row>
    <row r="677" spans="1:8" ht="14.25" hidden="1" customHeight="1" x14ac:dyDescent="0.3">
      <c r="A677" s="2" t="s">
        <v>137</v>
      </c>
      <c r="B677" s="60" t="s">
        <v>155</v>
      </c>
      <c r="C677" s="60" t="s">
        <v>161</v>
      </c>
      <c r="D677" s="68">
        <v>1</v>
      </c>
      <c r="E677" s="73">
        <v>6292.45</v>
      </c>
      <c r="F677" s="79">
        <f>IFERROR(E677,0)</f>
        <v>6292.45</v>
      </c>
      <c r="G677" s="60" t="str">
        <f>INDEX(SETORES!$B:$B,MATCH(A677,SETORES!$A:$A,0))</f>
        <v>Clientes</v>
      </c>
      <c r="H677" s="60" t="s">
        <v>21</v>
      </c>
    </row>
    <row r="678" spans="1:8" ht="14.25" hidden="1" customHeight="1" x14ac:dyDescent="0.3">
      <c r="A678" s="2" t="s">
        <v>137</v>
      </c>
      <c r="B678" s="60" t="s">
        <v>155</v>
      </c>
      <c r="C678" s="60" t="s">
        <v>167</v>
      </c>
      <c r="D678" s="68">
        <v>2</v>
      </c>
      <c r="E678" s="73">
        <v>9.92</v>
      </c>
      <c r="F678" s="79">
        <f>IFERROR(D678*E678,0)</f>
        <v>19.84</v>
      </c>
      <c r="G678" s="60" t="str">
        <f>INDEX(SETORES!$B:$B,MATCH(A678,SETORES!$A:$A,0))</f>
        <v>Clientes</v>
      </c>
      <c r="H678" s="60" t="s">
        <v>21</v>
      </c>
    </row>
    <row r="679" spans="1:8" ht="14.25" hidden="1" customHeight="1" x14ac:dyDescent="0.3">
      <c r="A679" s="2" t="s">
        <v>137</v>
      </c>
      <c r="B679" s="60" t="s">
        <v>155</v>
      </c>
      <c r="C679" s="60" t="s">
        <v>166</v>
      </c>
      <c r="D679" s="68">
        <v>2</v>
      </c>
      <c r="E679" s="73">
        <v>50</v>
      </c>
      <c r="F679" s="79">
        <f>IFERROR(D679*E679,0)</f>
        <v>100</v>
      </c>
      <c r="G679" s="60" t="str">
        <f>INDEX(SETORES!$B:$B,MATCH(A679,SETORES!$A:$A,0))</f>
        <v>Clientes</v>
      </c>
      <c r="H679" s="60" t="s">
        <v>21</v>
      </c>
    </row>
    <row r="680" spans="1:8" ht="14.25" hidden="1" customHeight="1" x14ac:dyDescent="0.3">
      <c r="A680" s="34" t="s">
        <v>137</v>
      </c>
      <c r="B680" s="61" t="s">
        <v>155</v>
      </c>
      <c r="C680" s="61" t="s">
        <v>168</v>
      </c>
      <c r="D680" s="69">
        <v>2</v>
      </c>
      <c r="E680" s="74">
        <v>2.0499999999999998</v>
      </c>
      <c r="F680" s="80">
        <f>IFERROR(D680*E680,0)</f>
        <v>4.0999999999999996</v>
      </c>
      <c r="G680" s="61" t="str">
        <f>INDEX(SETORES!$B:$B,MATCH(A680,SETORES!$A:$A,0))</f>
        <v>Clientes</v>
      </c>
      <c r="H680" s="61" t="s">
        <v>21</v>
      </c>
    </row>
    <row r="681" spans="1:8" ht="14.25" hidden="1" customHeight="1" x14ac:dyDescent="0.3">
      <c r="A681" s="2" t="s">
        <v>35</v>
      </c>
      <c r="B681" s="60" t="s">
        <v>155</v>
      </c>
      <c r="C681" s="60" t="s">
        <v>159</v>
      </c>
      <c r="D681" s="68">
        <v>1</v>
      </c>
      <c r="E681" s="73">
        <v>7.2700000000000001E-2</v>
      </c>
      <c r="F681" s="79">
        <v>7.2700000000000001E-2</v>
      </c>
      <c r="G681" s="60" t="str">
        <f>INDEX(SETORES!$B:$B,MATCH(A681,SETORES!$A:$A,0))</f>
        <v>Clientes</v>
      </c>
      <c r="H681" s="60" t="s">
        <v>21</v>
      </c>
    </row>
    <row r="682" spans="1:8" ht="14.25" hidden="1" customHeight="1" x14ac:dyDescent="0.3">
      <c r="A682" s="2" t="s">
        <v>35</v>
      </c>
      <c r="B682" s="60" t="s">
        <v>155</v>
      </c>
      <c r="C682" s="60" t="s">
        <v>212</v>
      </c>
      <c r="D682" s="68">
        <v>1</v>
      </c>
      <c r="E682" s="73">
        <v>30</v>
      </c>
      <c r="F682" s="79">
        <f>IFERROR(D682*E682,0)</f>
        <v>30</v>
      </c>
      <c r="G682" s="60" t="str">
        <f>INDEX(SETORES!$B:$B,MATCH(A682,SETORES!$A:$A,0))</f>
        <v>Clientes</v>
      </c>
      <c r="H682" s="60" t="s">
        <v>21</v>
      </c>
    </row>
    <row r="683" spans="1:8" ht="14.25" hidden="1" customHeight="1" x14ac:dyDescent="0.3">
      <c r="A683" s="34" t="s">
        <v>35</v>
      </c>
      <c r="B683" s="61" t="s">
        <v>155</v>
      </c>
      <c r="C683" s="61" t="s">
        <v>248</v>
      </c>
      <c r="D683" s="69">
        <v>1</v>
      </c>
      <c r="E683" s="74">
        <v>1629.6</v>
      </c>
      <c r="F683" s="80">
        <f>IFERROR(D683*E683,0)</f>
        <v>1629.6</v>
      </c>
      <c r="G683" s="61" t="str">
        <f>INDEX(SETORES!$B:$B,MATCH(A683,SETORES!$A:$A,0))</f>
        <v>Clientes</v>
      </c>
      <c r="H683" s="61" t="s">
        <v>21</v>
      </c>
    </row>
    <row r="684" spans="1:8" ht="14.25" hidden="1" customHeight="1" x14ac:dyDescent="0.3">
      <c r="A684" s="34" t="s">
        <v>35</v>
      </c>
      <c r="B684" s="61" t="s">
        <v>155</v>
      </c>
      <c r="C684" s="61" t="s">
        <v>171</v>
      </c>
      <c r="D684" s="69">
        <v>3</v>
      </c>
      <c r="E684" s="74">
        <v>43.54</v>
      </c>
      <c r="F684" s="80">
        <f>IFERROR(D684*E684,0)</f>
        <v>130.62</v>
      </c>
      <c r="G684" s="61" t="s">
        <v>98</v>
      </c>
      <c r="H684" s="61" t="s">
        <v>21</v>
      </c>
    </row>
    <row r="685" spans="1:8" ht="14.25" hidden="1" customHeight="1" x14ac:dyDescent="0.3">
      <c r="A685" s="2" t="s">
        <v>35</v>
      </c>
      <c r="B685" s="60" t="s">
        <v>155</v>
      </c>
      <c r="C685" s="60" t="s">
        <v>170</v>
      </c>
      <c r="D685" s="68">
        <v>3</v>
      </c>
      <c r="E685" s="73">
        <v>29.74</v>
      </c>
      <c r="F685" s="79">
        <f>IFERROR(D685*E685,0)</f>
        <v>89.22</v>
      </c>
      <c r="G685" s="60" t="s">
        <v>98</v>
      </c>
      <c r="H685" s="60" t="s">
        <v>21</v>
      </c>
    </row>
    <row r="686" spans="1:8" ht="14.25" customHeight="1" x14ac:dyDescent="0.3">
      <c r="A686" s="2" t="s">
        <v>35</v>
      </c>
      <c r="B686" s="60" t="s">
        <v>155</v>
      </c>
      <c r="C686" s="60" t="s">
        <v>169</v>
      </c>
      <c r="D686" s="68">
        <v>3</v>
      </c>
      <c r="E686" s="73">
        <v>47.66</v>
      </c>
      <c r="F686" s="79">
        <f>IFERROR(D686*E686,0)</f>
        <v>142.97999999999999</v>
      </c>
      <c r="G686" s="60" t="s">
        <v>98</v>
      </c>
      <c r="H686" s="60" t="s">
        <v>21</v>
      </c>
    </row>
    <row r="687" spans="1:8" ht="14.25" hidden="1" customHeight="1" x14ac:dyDescent="0.3">
      <c r="A687" s="34" t="s">
        <v>35</v>
      </c>
      <c r="B687" s="61" t="s">
        <v>155</v>
      </c>
      <c r="C687" s="61" t="s">
        <v>158</v>
      </c>
      <c r="D687" s="69">
        <v>1</v>
      </c>
      <c r="E687" s="74">
        <v>24.818999999999999</v>
      </c>
      <c r="F687" s="80">
        <v>24.818999999999999</v>
      </c>
      <c r="G687" s="61" t="str">
        <f>INDEX(SETORES!$B:$B,MATCH(A687,SETORES!$A:$A,0))</f>
        <v>Clientes</v>
      </c>
      <c r="H687" s="61" t="s">
        <v>21</v>
      </c>
    </row>
    <row r="688" spans="1:8" ht="14.25" hidden="1" customHeight="1" x14ac:dyDescent="0.3">
      <c r="A688" s="34" t="s">
        <v>35</v>
      </c>
      <c r="B688" s="61" t="s">
        <v>162</v>
      </c>
      <c r="C688" s="61" t="s">
        <v>165</v>
      </c>
      <c r="D688" s="69"/>
      <c r="E688" s="74"/>
      <c r="F688" s="80">
        <f>IFERROR(D688*E688,0)</f>
        <v>0</v>
      </c>
      <c r="G688" s="61" t="str">
        <f>INDEX(SETORES!$B:$B,MATCH(A688,SETORES!$A:$A,0))</f>
        <v>Clientes</v>
      </c>
      <c r="H688" s="61" t="s">
        <v>21</v>
      </c>
    </row>
    <row r="689" spans="1:8" ht="14.25" hidden="1" customHeight="1" x14ac:dyDescent="0.3">
      <c r="A689" s="34" t="s">
        <v>35</v>
      </c>
      <c r="B689" s="61" t="s">
        <v>162</v>
      </c>
      <c r="C689" s="61" t="s">
        <v>163</v>
      </c>
      <c r="D689" s="69"/>
      <c r="E689" s="74"/>
      <c r="F689" s="80">
        <f>IFERROR(D689*E689,0)</f>
        <v>0</v>
      </c>
      <c r="G689" s="61" t="str">
        <f>INDEX(SETORES!$B:$B,MATCH(A689,SETORES!$A:$A,0))</f>
        <v>Clientes</v>
      </c>
      <c r="H689" s="61" t="s">
        <v>21</v>
      </c>
    </row>
    <row r="690" spans="1:8" ht="14.25" hidden="1" customHeight="1" x14ac:dyDescent="0.3">
      <c r="A690" s="2" t="s">
        <v>35</v>
      </c>
      <c r="B690" s="60" t="s">
        <v>162</v>
      </c>
      <c r="C690" s="60" t="s">
        <v>164</v>
      </c>
      <c r="D690" s="68"/>
      <c r="E690" s="73"/>
      <c r="F690" s="79">
        <f>IFERROR(D690*E690,0)</f>
        <v>0</v>
      </c>
      <c r="G690" s="60" t="str">
        <f>INDEX(SETORES!$B:$B,MATCH(A690,SETORES!$A:$A,0))</f>
        <v>Clientes</v>
      </c>
      <c r="H690" s="60" t="s">
        <v>21</v>
      </c>
    </row>
    <row r="691" spans="1:8" ht="14.25" hidden="1" customHeight="1" x14ac:dyDescent="0.3">
      <c r="A691" s="2" t="s">
        <v>35</v>
      </c>
      <c r="B691" s="60" t="s">
        <v>155</v>
      </c>
      <c r="C691" s="60" t="s">
        <v>161</v>
      </c>
      <c r="D691" s="68">
        <v>1</v>
      </c>
      <c r="E691" s="73">
        <v>8929.7000000000007</v>
      </c>
      <c r="F691" s="79">
        <f>IFERROR(E691,0)</f>
        <v>8929.7000000000007</v>
      </c>
      <c r="G691" s="60" t="str">
        <f>INDEX(SETORES!$B:$B,MATCH(A691,SETORES!$A:$A,0))</f>
        <v>Clientes</v>
      </c>
      <c r="H691" s="60" t="s">
        <v>21</v>
      </c>
    </row>
    <row r="692" spans="1:8" ht="14.25" hidden="1" customHeight="1" x14ac:dyDescent="0.3">
      <c r="A692" s="34" t="s">
        <v>35</v>
      </c>
      <c r="B692" s="61" t="s">
        <v>155</v>
      </c>
      <c r="C692" s="61" t="s">
        <v>167</v>
      </c>
      <c r="D692" s="69">
        <v>3</v>
      </c>
      <c r="E692" s="74">
        <v>9.92</v>
      </c>
      <c r="F692" s="80">
        <f>IFERROR(D692*E692,0)</f>
        <v>29.759999999999998</v>
      </c>
      <c r="G692" s="61" t="str">
        <f>INDEX(SETORES!$B:$B,MATCH(A692,SETORES!$A:$A,0))</f>
        <v>Clientes</v>
      </c>
      <c r="H692" s="61" t="s">
        <v>21</v>
      </c>
    </row>
    <row r="693" spans="1:8" ht="14.25" hidden="1" customHeight="1" x14ac:dyDescent="0.3">
      <c r="A693" s="2" t="s">
        <v>35</v>
      </c>
      <c r="B693" s="60" t="s">
        <v>155</v>
      </c>
      <c r="C693" s="60" t="s">
        <v>166</v>
      </c>
      <c r="D693" s="68">
        <v>2</v>
      </c>
      <c r="E693" s="73">
        <v>50</v>
      </c>
      <c r="F693" s="79">
        <f>IFERROR(D693*E693,0)</f>
        <v>100</v>
      </c>
      <c r="G693" s="60" t="str">
        <f>INDEX(SETORES!$B:$B,MATCH(A693,SETORES!$A:$A,0))</f>
        <v>Clientes</v>
      </c>
      <c r="H693" s="60" t="s">
        <v>21</v>
      </c>
    </row>
    <row r="694" spans="1:8" ht="14.25" hidden="1" customHeight="1" x14ac:dyDescent="0.3">
      <c r="A694" s="34" t="s">
        <v>35</v>
      </c>
      <c r="B694" s="61" t="s">
        <v>155</v>
      </c>
      <c r="C694" s="61" t="s">
        <v>156</v>
      </c>
      <c r="D694" s="69"/>
      <c r="E694" s="74"/>
      <c r="F694" s="80">
        <v>0</v>
      </c>
      <c r="G694" s="61" t="str">
        <f>INDEX(SETORES!$B:$B,MATCH(A694,SETORES!$A:$A,0))</f>
        <v>Clientes</v>
      </c>
      <c r="H694" s="61" t="s">
        <v>21</v>
      </c>
    </row>
    <row r="695" spans="1:8" ht="14.25" hidden="1" customHeight="1" x14ac:dyDescent="0.3">
      <c r="A695" s="2" t="s">
        <v>35</v>
      </c>
      <c r="B695" s="60" t="s">
        <v>155</v>
      </c>
      <c r="C695" s="60" t="s">
        <v>157</v>
      </c>
      <c r="D695" s="68">
        <v>1</v>
      </c>
      <c r="E695" s="73">
        <v>92.000100000000003</v>
      </c>
      <c r="F695" s="79">
        <v>92.000100000000003</v>
      </c>
      <c r="G695" s="60" t="str">
        <f>INDEX(SETORES!$B:$B,MATCH(A695,SETORES!$A:$A,0))</f>
        <v>Clientes</v>
      </c>
      <c r="H695" s="60" t="s">
        <v>21</v>
      </c>
    </row>
    <row r="696" spans="1:8" ht="14.25" hidden="1" customHeight="1" x14ac:dyDescent="0.3">
      <c r="A696" s="2" t="s">
        <v>35</v>
      </c>
      <c r="B696" s="60" t="s">
        <v>162</v>
      </c>
      <c r="C696" s="60" t="s">
        <v>222</v>
      </c>
      <c r="D696" s="68"/>
      <c r="E696" s="73"/>
      <c r="F696" s="79">
        <f>IFERROR(D696*E696,0)</f>
        <v>0</v>
      </c>
      <c r="G696" s="60" t="str">
        <f>INDEX(SETORES!$B:$B,MATCH(A696,SETORES!$A:$A,0))</f>
        <v>Clientes</v>
      </c>
      <c r="H696" s="60" t="s">
        <v>21</v>
      </c>
    </row>
    <row r="697" spans="1:8" ht="14.25" hidden="1" customHeight="1" x14ac:dyDescent="0.3">
      <c r="A697" s="2" t="s">
        <v>35</v>
      </c>
      <c r="B697" s="60" t="s">
        <v>155</v>
      </c>
      <c r="C697" s="60" t="s">
        <v>168</v>
      </c>
      <c r="D697" s="68">
        <v>3</v>
      </c>
      <c r="E697" s="73">
        <v>2.0499999999999998</v>
      </c>
      <c r="F697" s="79">
        <f>IFERROR(D697*E697,0)</f>
        <v>6.1499999999999995</v>
      </c>
      <c r="G697" s="60" t="str">
        <f>INDEX(SETORES!$B:$B,MATCH(A697,SETORES!$A:$A,0))</f>
        <v>Clientes</v>
      </c>
      <c r="H697" s="60" t="s">
        <v>21</v>
      </c>
    </row>
    <row r="698" spans="1:8" ht="14.25" hidden="1" customHeight="1" x14ac:dyDescent="0.3">
      <c r="A698" s="34" t="s">
        <v>35</v>
      </c>
      <c r="B698" s="61" t="s">
        <v>155</v>
      </c>
      <c r="C698" s="61" t="s">
        <v>160</v>
      </c>
      <c r="D698" s="69"/>
      <c r="E698" s="74"/>
      <c r="F698" s="80">
        <f>IFERROR(D698*E698,0)</f>
        <v>0</v>
      </c>
      <c r="G698" s="61" t="str">
        <f>INDEX(SETORES!$B:$B,MATCH(A698,SETORES!$A:$A,0))</f>
        <v>Clientes</v>
      </c>
      <c r="H698" s="61" t="s">
        <v>21</v>
      </c>
    </row>
    <row r="699" spans="1:8" ht="14.25" hidden="1" customHeight="1" x14ac:dyDescent="0.3">
      <c r="A699" s="2" t="s">
        <v>38</v>
      </c>
      <c r="B699" s="60" t="s">
        <v>155</v>
      </c>
      <c r="C699" s="60" t="s">
        <v>159</v>
      </c>
      <c r="D699" s="68">
        <v>1</v>
      </c>
      <c r="E699" s="73">
        <v>0.31519999999999998</v>
      </c>
      <c r="F699" s="79">
        <v>0.31519999999999998</v>
      </c>
      <c r="G699" s="60" t="str">
        <f>INDEX(SETORES!$B:$B,MATCH(A699,SETORES!$A:$A,0))</f>
        <v>Clientes</v>
      </c>
      <c r="H699" s="60" t="s">
        <v>21</v>
      </c>
    </row>
    <row r="700" spans="1:8" ht="14.25" hidden="1" customHeight="1" x14ac:dyDescent="0.3">
      <c r="A700" s="2" t="s">
        <v>38</v>
      </c>
      <c r="B700" s="60" t="s">
        <v>155</v>
      </c>
      <c r="C700" s="60" t="s">
        <v>249</v>
      </c>
      <c r="D700" s="68">
        <v>1</v>
      </c>
      <c r="E700" s="73">
        <v>970.12</v>
      </c>
      <c r="F700" s="79">
        <f>IFERROR(D700*E700,0)</f>
        <v>970.12</v>
      </c>
      <c r="G700" s="60" t="str">
        <f>INDEX(SETORES!$B:$B,MATCH(A700,SETORES!$A:$A,0))</f>
        <v>Clientes</v>
      </c>
      <c r="H700" s="60" t="s">
        <v>21</v>
      </c>
    </row>
    <row r="701" spans="1:8" ht="14.25" hidden="1" customHeight="1" x14ac:dyDescent="0.3">
      <c r="A701" s="2" t="s">
        <v>38</v>
      </c>
      <c r="B701" s="60" t="s">
        <v>155</v>
      </c>
      <c r="C701" s="60" t="s">
        <v>171</v>
      </c>
      <c r="D701" s="68">
        <v>13</v>
      </c>
      <c r="E701" s="73">
        <v>43.54</v>
      </c>
      <c r="F701" s="79">
        <f>IFERROR(D701*E701,0)</f>
        <v>566.02</v>
      </c>
      <c r="G701" s="61" t="s">
        <v>98</v>
      </c>
      <c r="H701" s="60" t="s">
        <v>21</v>
      </c>
    </row>
    <row r="702" spans="1:8" ht="14.25" hidden="1" customHeight="1" x14ac:dyDescent="0.3">
      <c r="A702" s="34" t="s">
        <v>38</v>
      </c>
      <c r="B702" s="61" t="s">
        <v>155</v>
      </c>
      <c r="C702" s="61" t="s">
        <v>170</v>
      </c>
      <c r="D702" s="69">
        <v>13</v>
      </c>
      <c r="E702" s="74">
        <v>29.74</v>
      </c>
      <c r="F702" s="80">
        <f>IFERROR(D702*E702,0)</f>
        <v>386.62</v>
      </c>
      <c r="G702" s="60" t="s">
        <v>98</v>
      </c>
      <c r="H702" s="61" t="s">
        <v>21</v>
      </c>
    </row>
    <row r="703" spans="1:8" ht="14.25" customHeight="1" x14ac:dyDescent="0.3">
      <c r="A703" s="34" t="s">
        <v>38</v>
      </c>
      <c r="B703" s="61" t="s">
        <v>155</v>
      </c>
      <c r="C703" s="61" t="s">
        <v>169</v>
      </c>
      <c r="D703" s="69">
        <v>13</v>
      </c>
      <c r="E703" s="74">
        <v>47.66</v>
      </c>
      <c r="F703" s="80">
        <f>IFERROR(D703*E703,0)</f>
        <v>619.57999999999993</v>
      </c>
      <c r="G703" s="60" t="s">
        <v>98</v>
      </c>
      <c r="H703" s="61" t="s">
        <v>21</v>
      </c>
    </row>
    <row r="704" spans="1:8" ht="14.25" hidden="1" customHeight="1" x14ac:dyDescent="0.3">
      <c r="A704" s="34" t="s">
        <v>38</v>
      </c>
      <c r="B704" s="61" t="s">
        <v>155</v>
      </c>
      <c r="C704" s="61" t="s">
        <v>158</v>
      </c>
      <c r="D704" s="69">
        <v>1</v>
      </c>
      <c r="E704" s="74">
        <v>107.54900000000001</v>
      </c>
      <c r="F704" s="80">
        <v>107.54900000000001</v>
      </c>
      <c r="G704" s="61" t="str">
        <f>INDEX(SETORES!$B:$B,MATCH(A704,SETORES!$A:$A,0))</f>
        <v>Clientes</v>
      </c>
      <c r="H704" s="61" t="s">
        <v>21</v>
      </c>
    </row>
    <row r="705" spans="1:8" ht="14.25" hidden="1" customHeight="1" x14ac:dyDescent="0.3">
      <c r="A705" s="34" t="s">
        <v>38</v>
      </c>
      <c r="B705" s="61" t="s">
        <v>162</v>
      </c>
      <c r="C705" s="61" t="s">
        <v>165</v>
      </c>
      <c r="D705" s="69">
        <v>1</v>
      </c>
      <c r="E705" s="74">
        <v>65</v>
      </c>
      <c r="F705" s="80">
        <f>IFERROR(D705*E705,0)</f>
        <v>65</v>
      </c>
      <c r="G705" s="61" t="str">
        <f>INDEX(SETORES!$B:$B,MATCH(A705,SETORES!$A:$A,0))</f>
        <v>Clientes</v>
      </c>
      <c r="H705" s="61" t="s">
        <v>21</v>
      </c>
    </row>
    <row r="706" spans="1:8" ht="14.25" hidden="1" customHeight="1" x14ac:dyDescent="0.3">
      <c r="A706" s="34" t="s">
        <v>38</v>
      </c>
      <c r="B706" s="61" t="s">
        <v>162</v>
      </c>
      <c r="C706" s="61" t="s">
        <v>163</v>
      </c>
      <c r="D706" s="69">
        <v>4</v>
      </c>
      <c r="E706" s="74">
        <v>45</v>
      </c>
      <c r="F706" s="80">
        <f>IFERROR(D706*E706,0)</f>
        <v>180</v>
      </c>
      <c r="G706" s="61" t="str">
        <f>INDEX(SETORES!$B:$B,MATCH(A706,SETORES!$A:$A,0))</f>
        <v>Clientes</v>
      </c>
      <c r="H706" s="61" t="s">
        <v>21</v>
      </c>
    </row>
    <row r="707" spans="1:8" ht="14.25" hidden="1" customHeight="1" x14ac:dyDescent="0.3">
      <c r="A707" s="2" t="s">
        <v>38</v>
      </c>
      <c r="B707" s="60" t="s">
        <v>162</v>
      </c>
      <c r="C707" s="60" t="s">
        <v>164</v>
      </c>
      <c r="D707" s="68"/>
      <c r="E707" s="73"/>
      <c r="F707" s="79">
        <f>IFERROR(D707*E707,0)</f>
        <v>0</v>
      </c>
      <c r="G707" s="60" t="str">
        <f>INDEX(SETORES!$B:$B,MATCH(A707,SETORES!$A:$A,0))</f>
        <v>Clientes</v>
      </c>
      <c r="H707" s="60" t="s">
        <v>21</v>
      </c>
    </row>
    <row r="708" spans="1:8" ht="14.25" hidden="1" customHeight="1" x14ac:dyDescent="0.3">
      <c r="A708" s="2" t="s">
        <v>38</v>
      </c>
      <c r="B708" s="60" t="s">
        <v>155</v>
      </c>
      <c r="C708" s="60" t="s">
        <v>161</v>
      </c>
      <c r="D708" s="68">
        <v>1</v>
      </c>
      <c r="E708" s="73">
        <v>38898.86</v>
      </c>
      <c r="F708" s="79">
        <f>IFERROR(E708,0)</f>
        <v>38898.86</v>
      </c>
      <c r="G708" s="60" t="str">
        <f>INDEX(SETORES!$B:$B,MATCH(A708,SETORES!$A:$A,0))</f>
        <v>Clientes</v>
      </c>
      <c r="H708" s="60" t="s">
        <v>21</v>
      </c>
    </row>
    <row r="709" spans="1:8" ht="14.25" hidden="1" customHeight="1" x14ac:dyDescent="0.3">
      <c r="A709" s="34" t="s">
        <v>38</v>
      </c>
      <c r="B709" s="61" t="s">
        <v>155</v>
      </c>
      <c r="C709" s="61" t="s">
        <v>167</v>
      </c>
      <c r="D709" s="69">
        <v>13</v>
      </c>
      <c r="E709" s="74">
        <v>9.92</v>
      </c>
      <c r="F709" s="80">
        <f>IFERROR(D709*E709,0)</f>
        <v>128.96</v>
      </c>
      <c r="G709" s="61" t="str">
        <f>INDEX(SETORES!$B:$B,MATCH(A709,SETORES!$A:$A,0))</f>
        <v>Clientes</v>
      </c>
      <c r="H709" s="61" t="s">
        <v>21</v>
      </c>
    </row>
    <row r="710" spans="1:8" ht="14.25" hidden="1" customHeight="1" x14ac:dyDescent="0.3">
      <c r="A710" s="2" t="s">
        <v>38</v>
      </c>
      <c r="B710" s="60" t="s">
        <v>155</v>
      </c>
      <c r="C710" s="60" t="s">
        <v>240</v>
      </c>
      <c r="D710" s="68">
        <v>1</v>
      </c>
      <c r="E710" s="73">
        <v>2.727868</v>
      </c>
      <c r="F710" s="79">
        <f>IFERROR(D710*E710,0)</f>
        <v>2.727868</v>
      </c>
      <c r="G710" s="60" t="str">
        <f>INDEX(SETORES!$B:$B,MATCH(A710,SETORES!$A:$A,0))</f>
        <v>Clientes</v>
      </c>
      <c r="H710" s="60" t="s">
        <v>21</v>
      </c>
    </row>
    <row r="711" spans="1:8" ht="14.25" hidden="1" customHeight="1" x14ac:dyDescent="0.3">
      <c r="A711" s="2" t="s">
        <v>38</v>
      </c>
      <c r="B711" s="60" t="s">
        <v>155</v>
      </c>
      <c r="C711" s="60" t="s">
        <v>166</v>
      </c>
      <c r="D711" s="68">
        <v>1</v>
      </c>
      <c r="E711" s="73">
        <v>50</v>
      </c>
      <c r="F711" s="79">
        <f>IFERROR(D711*E711,0)</f>
        <v>50</v>
      </c>
      <c r="G711" s="60" t="str">
        <f>INDEX(SETORES!$B:$B,MATCH(A711,SETORES!$A:$A,0))</f>
        <v>Clientes</v>
      </c>
      <c r="H711" s="60" t="s">
        <v>21</v>
      </c>
    </row>
    <row r="712" spans="1:8" ht="14.25" hidden="1" customHeight="1" x14ac:dyDescent="0.3">
      <c r="A712" s="34" t="s">
        <v>38</v>
      </c>
      <c r="B712" s="61" t="s">
        <v>155</v>
      </c>
      <c r="C712" s="61" t="s">
        <v>156</v>
      </c>
      <c r="D712" s="69">
        <v>13</v>
      </c>
      <c r="E712" s="74">
        <v>0.98509999999999998</v>
      </c>
      <c r="F712" s="80">
        <v>12.8063</v>
      </c>
      <c r="G712" s="61" t="str">
        <f>INDEX(SETORES!$B:$B,MATCH(A712,SETORES!$A:$A,0))</f>
        <v>Clientes</v>
      </c>
      <c r="H712" s="61" t="s">
        <v>21</v>
      </c>
    </row>
    <row r="713" spans="1:8" ht="14.25" hidden="1" customHeight="1" x14ac:dyDescent="0.3">
      <c r="A713" s="2" t="s">
        <v>38</v>
      </c>
      <c r="B713" s="60" t="s">
        <v>155</v>
      </c>
      <c r="C713" s="60" t="s">
        <v>157</v>
      </c>
      <c r="D713" s="68">
        <v>1</v>
      </c>
      <c r="E713" s="73">
        <v>389.23278699999997</v>
      </c>
      <c r="F713" s="79">
        <v>389.23278699999997</v>
      </c>
      <c r="G713" s="60" t="str">
        <f>INDEX(SETORES!$B:$B,MATCH(A713,SETORES!$A:$A,0))</f>
        <v>Clientes</v>
      </c>
      <c r="H713" s="60" t="s">
        <v>21</v>
      </c>
    </row>
    <row r="714" spans="1:8" ht="14.25" hidden="1" customHeight="1" x14ac:dyDescent="0.3">
      <c r="A714" s="34" t="s">
        <v>38</v>
      </c>
      <c r="B714" s="61" t="s">
        <v>162</v>
      </c>
      <c r="C714" s="61" t="s">
        <v>222</v>
      </c>
      <c r="D714" s="69"/>
      <c r="E714" s="74"/>
      <c r="F714" s="80">
        <f>IFERROR(D714*E714,0)</f>
        <v>0</v>
      </c>
      <c r="G714" s="61" t="str">
        <f>INDEX(SETORES!$B:$B,MATCH(A714,SETORES!$A:$A,0))</f>
        <v>Clientes</v>
      </c>
      <c r="H714" s="61" t="s">
        <v>21</v>
      </c>
    </row>
    <row r="715" spans="1:8" ht="14.25" hidden="1" customHeight="1" x14ac:dyDescent="0.3">
      <c r="A715" s="34" t="s">
        <v>38</v>
      </c>
      <c r="B715" s="61" t="s">
        <v>155</v>
      </c>
      <c r="C715" s="61" t="s">
        <v>187</v>
      </c>
      <c r="D715" s="69">
        <v>1</v>
      </c>
      <c r="E715" s="74">
        <v>719.456231</v>
      </c>
      <c r="F715" s="80">
        <f>IFERROR(D715*E715,0)</f>
        <v>719.456231</v>
      </c>
      <c r="G715" s="61" t="str">
        <f>INDEX(SETORES!$B:$B,MATCH(A715,SETORES!$A:$A,0))</f>
        <v>Clientes</v>
      </c>
      <c r="H715" s="61" t="s">
        <v>21</v>
      </c>
    </row>
    <row r="716" spans="1:8" ht="14.25" hidden="1" customHeight="1" x14ac:dyDescent="0.3">
      <c r="A716" s="2" t="s">
        <v>38</v>
      </c>
      <c r="B716" s="60" t="s">
        <v>155</v>
      </c>
      <c r="C716" s="60" t="s">
        <v>168</v>
      </c>
      <c r="D716" s="68">
        <v>13</v>
      </c>
      <c r="E716" s="73">
        <v>2.0499999999999998</v>
      </c>
      <c r="F716" s="79">
        <f>IFERROR(D716*E716,0)</f>
        <v>26.65</v>
      </c>
      <c r="G716" s="60" t="str">
        <f>INDEX(SETORES!$B:$B,MATCH(A716,SETORES!$A:$A,0))</f>
        <v>Clientes</v>
      </c>
      <c r="H716" s="60" t="s">
        <v>21</v>
      </c>
    </row>
    <row r="717" spans="1:8" ht="14.25" hidden="1" customHeight="1" x14ac:dyDescent="0.3">
      <c r="A717" s="34" t="s">
        <v>38</v>
      </c>
      <c r="B717" s="61" t="s">
        <v>155</v>
      </c>
      <c r="C717" s="61" t="s">
        <v>160</v>
      </c>
      <c r="D717" s="69"/>
      <c r="E717" s="74"/>
      <c r="F717" s="80">
        <f>IFERROR(D717*E717,0)</f>
        <v>0</v>
      </c>
      <c r="G717" s="61" t="str">
        <f>INDEX(SETORES!$B:$B,MATCH(A717,SETORES!$A:$A,0))</f>
        <v>Clientes</v>
      </c>
      <c r="H717" s="61" t="s">
        <v>21</v>
      </c>
    </row>
    <row r="718" spans="1:8" ht="14.25" hidden="1" customHeight="1" x14ac:dyDescent="0.3">
      <c r="A718" s="34" t="s">
        <v>78</v>
      </c>
      <c r="B718" s="61" t="s">
        <v>155</v>
      </c>
      <c r="C718" s="61" t="s">
        <v>159</v>
      </c>
      <c r="D718" s="69">
        <v>14</v>
      </c>
      <c r="E718" s="74">
        <v>3.3247</v>
      </c>
      <c r="F718" s="80">
        <v>46.5458</v>
      </c>
      <c r="G718" s="61" t="str">
        <f>INDEX(SETORES!$B:$B,MATCH(A718,SETORES!$A:$A,0))</f>
        <v>Clientes</v>
      </c>
      <c r="H718" s="61" t="s">
        <v>21</v>
      </c>
    </row>
    <row r="719" spans="1:8" ht="14.25" hidden="1" customHeight="1" x14ac:dyDescent="0.3">
      <c r="A719" s="34" t="s">
        <v>78</v>
      </c>
      <c r="B719" s="61" t="s">
        <v>155</v>
      </c>
      <c r="C719" s="61" t="s">
        <v>212</v>
      </c>
      <c r="D719" s="69">
        <v>13</v>
      </c>
      <c r="E719" s="74">
        <v>30</v>
      </c>
      <c r="F719" s="80">
        <f>IFERROR(D719*E719,0)</f>
        <v>390</v>
      </c>
      <c r="G719" s="61" t="str">
        <f>INDEX(SETORES!$B:$B,MATCH(A719,SETORES!$A:$A,0))</f>
        <v>Clientes</v>
      </c>
      <c r="H719" s="61" t="s">
        <v>21</v>
      </c>
    </row>
    <row r="720" spans="1:8" ht="14.25" hidden="1" customHeight="1" x14ac:dyDescent="0.3">
      <c r="A720" s="2" t="s">
        <v>78</v>
      </c>
      <c r="B720" s="60" t="s">
        <v>155</v>
      </c>
      <c r="C720" s="60" t="s">
        <v>171</v>
      </c>
      <c r="D720" s="68">
        <v>14</v>
      </c>
      <c r="E720" s="73">
        <v>43.54</v>
      </c>
      <c r="F720" s="79">
        <f>IFERROR(D720*E720,0)</f>
        <v>609.55999999999995</v>
      </c>
      <c r="G720" s="61" t="s">
        <v>98</v>
      </c>
      <c r="H720" s="60" t="s">
        <v>21</v>
      </c>
    </row>
    <row r="721" spans="1:8" ht="14.25" hidden="1" customHeight="1" x14ac:dyDescent="0.3">
      <c r="A721" s="34" t="s">
        <v>78</v>
      </c>
      <c r="B721" s="61" t="s">
        <v>155</v>
      </c>
      <c r="C721" s="61" t="s">
        <v>170</v>
      </c>
      <c r="D721" s="69">
        <v>14</v>
      </c>
      <c r="E721" s="74">
        <v>29.74</v>
      </c>
      <c r="F721" s="80">
        <f>IFERROR(D721*E721,0)</f>
        <v>416.35999999999996</v>
      </c>
      <c r="G721" s="60" t="s">
        <v>98</v>
      </c>
      <c r="H721" s="61" t="s">
        <v>21</v>
      </c>
    </row>
    <row r="722" spans="1:8" ht="14.25" customHeight="1" x14ac:dyDescent="0.3">
      <c r="A722" s="34" t="s">
        <v>78</v>
      </c>
      <c r="B722" s="61" t="s">
        <v>155</v>
      </c>
      <c r="C722" s="61" t="s">
        <v>169</v>
      </c>
      <c r="D722" s="69">
        <v>14</v>
      </c>
      <c r="E722" s="74">
        <v>47.66</v>
      </c>
      <c r="F722" s="80">
        <f>IFERROR(D722*E722,0)</f>
        <v>667.24</v>
      </c>
      <c r="G722" s="60" t="s">
        <v>98</v>
      </c>
      <c r="H722" s="61" t="s">
        <v>21</v>
      </c>
    </row>
    <row r="723" spans="1:8" ht="14.25" hidden="1" customHeight="1" x14ac:dyDescent="0.3">
      <c r="A723" s="2" t="s">
        <v>78</v>
      </c>
      <c r="B723" s="60" t="s">
        <v>155</v>
      </c>
      <c r="C723" s="60" t="s">
        <v>158</v>
      </c>
      <c r="D723" s="68">
        <v>14</v>
      </c>
      <c r="E723" s="73">
        <v>21.258199999999999</v>
      </c>
      <c r="F723" s="79">
        <v>297.6148</v>
      </c>
      <c r="G723" s="60" t="str">
        <f>INDEX(SETORES!$B:$B,MATCH(A723,SETORES!$A:$A,0))</f>
        <v>Clientes</v>
      </c>
      <c r="H723" s="60" t="s">
        <v>21</v>
      </c>
    </row>
    <row r="724" spans="1:8" ht="14.25" hidden="1" customHeight="1" x14ac:dyDescent="0.3">
      <c r="A724" s="34" t="s">
        <v>78</v>
      </c>
      <c r="B724" s="61" t="s">
        <v>155</v>
      </c>
      <c r="C724" s="61" t="s">
        <v>161</v>
      </c>
      <c r="D724" s="69">
        <v>1</v>
      </c>
      <c r="E724" s="74">
        <v>74369.919999999998</v>
      </c>
      <c r="F724" s="80">
        <f>IFERROR(E724,0)</f>
        <v>74369.919999999998</v>
      </c>
      <c r="G724" s="61" t="str">
        <f>INDEX(SETORES!$B:$B,MATCH(A724,SETORES!$A:$A,0))</f>
        <v>Clientes</v>
      </c>
      <c r="H724" s="61" t="s">
        <v>21</v>
      </c>
    </row>
    <row r="725" spans="1:8" ht="14.25" hidden="1" customHeight="1" x14ac:dyDescent="0.3">
      <c r="A725" s="2" t="s">
        <v>78</v>
      </c>
      <c r="B725" s="60" t="s">
        <v>155</v>
      </c>
      <c r="C725" s="60" t="s">
        <v>167</v>
      </c>
      <c r="D725" s="68">
        <v>14</v>
      </c>
      <c r="E725" s="73">
        <v>9.92</v>
      </c>
      <c r="F725" s="79">
        <f>IFERROR(D725*E725,0)</f>
        <v>138.88</v>
      </c>
      <c r="G725" s="60" t="str">
        <f>INDEX(SETORES!$B:$B,MATCH(A725,SETORES!$A:$A,0))</f>
        <v>Clientes</v>
      </c>
      <c r="H725" s="60" t="s">
        <v>21</v>
      </c>
    </row>
    <row r="726" spans="1:8" ht="14.25" hidden="1" customHeight="1" x14ac:dyDescent="0.3">
      <c r="A726" s="34" t="s">
        <v>78</v>
      </c>
      <c r="B726" s="61" t="s">
        <v>155</v>
      </c>
      <c r="C726" s="61" t="s">
        <v>238</v>
      </c>
      <c r="D726" s="69">
        <v>1</v>
      </c>
      <c r="E726" s="74">
        <v>220</v>
      </c>
      <c r="F726" s="80">
        <f>IFERROR(D726*E726,0)</f>
        <v>220</v>
      </c>
      <c r="G726" s="61" t="str">
        <f>INDEX(SETORES!$B:$B,MATCH(A726,SETORES!$A:$A,0))</f>
        <v>Clientes</v>
      </c>
      <c r="H726" s="61" t="s">
        <v>21</v>
      </c>
    </row>
    <row r="727" spans="1:8" ht="14.25" hidden="1" customHeight="1" x14ac:dyDescent="0.3">
      <c r="A727" s="2" t="s">
        <v>78</v>
      </c>
      <c r="B727" s="60" t="s">
        <v>155</v>
      </c>
      <c r="C727" s="60" t="s">
        <v>166</v>
      </c>
      <c r="D727" s="68">
        <v>8</v>
      </c>
      <c r="E727" s="73">
        <v>50</v>
      </c>
      <c r="F727" s="79">
        <f>IFERROR(D727*E727,0)</f>
        <v>400</v>
      </c>
      <c r="G727" s="60" t="str">
        <f>INDEX(SETORES!$B:$B,MATCH(A727,SETORES!$A:$A,0))</f>
        <v>Clientes</v>
      </c>
      <c r="H727" s="60" t="s">
        <v>21</v>
      </c>
    </row>
    <row r="728" spans="1:8" ht="14.25" hidden="1" customHeight="1" x14ac:dyDescent="0.3">
      <c r="A728" s="2" t="s">
        <v>78</v>
      </c>
      <c r="B728" s="60" t="s">
        <v>162</v>
      </c>
      <c r="C728" s="60" t="s">
        <v>209</v>
      </c>
      <c r="D728" s="68">
        <v>14</v>
      </c>
      <c r="E728" s="73">
        <v>76.92</v>
      </c>
      <c r="F728" s="79">
        <f>IFERROR(D728*E728,0)</f>
        <v>1076.8800000000001</v>
      </c>
      <c r="G728" s="60" t="str">
        <f>INDEX(SETORES!$B:$B,MATCH(A728,SETORES!$A:$A,0))</f>
        <v>Clientes</v>
      </c>
      <c r="H728" s="60" t="s">
        <v>21</v>
      </c>
    </row>
    <row r="729" spans="1:8" ht="14.25" hidden="1" customHeight="1" x14ac:dyDescent="0.3">
      <c r="A729" s="2" t="s">
        <v>78</v>
      </c>
      <c r="B729" s="60" t="s">
        <v>162</v>
      </c>
      <c r="C729" s="60" t="s">
        <v>222</v>
      </c>
      <c r="D729" s="68"/>
      <c r="E729" s="73"/>
      <c r="F729" s="79">
        <f>IFERROR(D729*E729,0)</f>
        <v>0</v>
      </c>
      <c r="G729" s="60" t="str">
        <f>INDEX(SETORES!$B:$B,MATCH(A729,SETORES!$A:$A,0))</f>
        <v>Clientes</v>
      </c>
      <c r="H729" s="60" t="s">
        <v>21</v>
      </c>
    </row>
    <row r="730" spans="1:8" ht="14.25" hidden="1" customHeight="1" x14ac:dyDescent="0.3">
      <c r="A730" s="34" t="s">
        <v>78</v>
      </c>
      <c r="B730" s="61" t="s">
        <v>155</v>
      </c>
      <c r="C730" s="61" t="s">
        <v>168</v>
      </c>
      <c r="D730" s="69">
        <v>14</v>
      </c>
      <c r="E730" s="74">
        <v>2.0499999999999998</v>
      </c>
      <c r="F730" s="80">
        <f>IFERROR(D730*E730,0)</f>
        <v>28.699999999999996</v>
      </c>
      <c r="G730" s="61" t="str">
        <f>INDEX(SETORES!$B:$B,MATCH(A730,SETORES!$A:$A,0))</f>
        <v>Clientes</v>
      </c>
      <c r="H730" s="61" t="s">
        <v>21</v>
      </c>
    </row>
    <row r="731" spans="1:8" ht="14.25" hidden="1" customHeight="1" x14ac:dyDescent="0.3">
      <c r="A731" s="2" t="s">
        <v>54</v>
      </c>
      <c r="B731" s="60" t="s">
        <v>155</v>
      </c>
      <c r="C731" s="60" t="s">
        <v>206</v>
      </c>
      <c r="D731" s="68">
        <v>1</v>
      </c>
      <c r="E731" s="73">
        <v>545.99</v>
      </c>
      <c r="F731" s="79">
        <f>IFERROR(D731*E731,0)</f>
        <v>545.99</v>
      </c>
      <c r="G731" s="60" t="str">
        <f>INDEX(SETORES!$B:$B,MATCH(A731,SETORES!$A:$A,0))</f>
        <v>Clientes</v>
      </c>
      <c r="H731" s="60" t="s">
        <v>21</v>
      </c>
    </row>
    <row r="732" spans="1:8" ht="14.25" hidden="1" customHeight="1" x14ac:dyDescent="0.3">
      <c r="A732" s="34" t="s">
        <v>54</v>
      </c>
      <c r="B732" s="61" t="s">
        <v>155</v>
      </c>
      <c r="C732" s="61" t="s">
        <v>159</v>
      </c>
      <c r="D732" s="69">
        <v>1</v>
      </c>
      <c r="E732" s="74">
        <v>0.26669999999999999</v>
      </c>
      <c r="F732" s="80">
        <v>0.26669999999999999</v>
      </c>
      <c r="G732" s="61" t="s">
        <v>96</v>
      </c>
      <c r="H732" s="61" t="s">
        <v>21</v>
      </c>
    </row>
    <row r="733" spans="1:8" ht="14.25" hidden="1" customHeight="1" x14ac:dyDescent="0.3">
      <c r="A733" s="34" t="s">
        <v>54</v>
      </c>
      <c r="B733" s="61" t="s">
        <v>162</v>
      </c>
      <c r="C733" s="61" t="s">
        <v>203</v>
      </c>
      <c r="D733" s="69">
        <v>1</v>
      </c>
      <c r="E733" s="74">
        <v>3393.29</v>
      </c>
      <c r="F733" s="80">
        <f>IFERROR(D733*E733,0)</f>
        <v>3393.29</v>
      </c>
      <c r="G733" s="61" t="str">
        <f>INDEX(SETORES!$B:$B,MATCH(A733,SETORES!$A:$A,0))</f>
        <v>Clientes</v>
      </c>
      <c r="H733" s="61" t="s">
        <v>21</v>
      </c>
    </row>
    <row r="734" spans="1:8" ht="14.25" hidden="1" customHeight="1" x14ac:dyDescent="0.3">
      <c r="A734" s="34" t="s">
        <v>54</v>
      </c>
      <c r="B734" s="61" t="s">
        <v>155</v>
      </c>
      <c r="C734" s="61" t="s">
        <v>205</v>
      </c>
      <c r="D734" s="69">
        <v>1</v>
      </c>
      <c r="E734" s="74">
        <v>2997</v>
      </c>
      <c r="F734" s="80">
        <f>IFERROR(D734*E734,0)</f>
        <v>2997</v>
      </c>
      <c r="G734" s="61" t="str">
        <f>INDEX(SETORES!$B:$B,MATCH(A734,SETORES!$A:$A,0))</f>
        <v>Clientes</v>
      </c>
      <c r="H734" s="61" t="s">
        <v>21</v>
      </c>
    </row>
    <row r="735" spans="1:8" ht="14.25" hidden="1" customHeight="1" x14ac:dyDescent="0.3">
      <c r="A735" s="34" t="s">
        <v>54</v>
      </c>
      <c r="B735" s="61" t="s">
        <v>155</v>
      </c>
      <c r="C735" s="61" t="s">
        <v>171</v>
      </c>
      <c r="D735" s="69">
        <v>11</v>
      </c>
      <c r="E735" s="74">
        <v>43.54</v>
      </c>
      <c r="F735" s="80">
        <f>IFERROR(D735*E735,0)</f>
        <v>478.94</v>
      </c>
      <c r="G735" s="61" t="s">
        <v>98</v>
      </c>
      <c r="H735" s="61" t="s">
        <v>21</v>
      </c>
    </row>
    <row r="736" spans="1:8" ht="14.25" hidden="1" customHeight="1" x14ac:dyDescent="0.3">
      <c r="A736" s="2" t="s">
        <v>54</v>
      </c>
      <c r="B736" s="60" t="s">
        <v>155</v>
      </c>
      <c r="C736" s="60" t="s">
        <v>170</v>
      </c>
      <c r="D736" s="68">
        <v>11</v>
      </c>
      <c r="E736" s="73">
        <v>29.74</v>
      </c>
      <c r="F736" s="79">
        <f>IFERROR(D736*E736,0)</f>
        <v>327.14</v>
      </c>
      <c r="G736" s="60" t="s">
        <v>98</v>
      </c>
      <c r="H736" s="60" t="s">
        <v>21</v>
      </c>
    </row>
    <row r="737" spans="1:8" ht="14.25" customHeight="1" x14ac:dyDescent="0.3">
      <c r="A737" s="2" t="s">
        <v>54</v>
      </c>
      <c r="B737" s="60" t="s">
        <v>155</v>
      </c>
      <c r="C737" s="60" t="s">
        <v>169</v>
      </c>
      <c r="D737" s="68">
        <v>11</v>
      </c>
      <c r="E737" s="73">
        <v>47.66</v>
      </c>
      <c r="F737" s="79">
        <f>IFERROR(D737*E737,0)</f>
        <v>524.26</v>
      </c>
      <c r="G737" s="60" t="s">
        <v>98</v>
      </c>
      <c r="H737" s="60" t="s">
        <v>21</v>
      </c>
    </row>
    <row r="738" spans="1:8" ht="14.25" hidden="1" customHeight="1" x14ac:dyDescent="0.3">
      <c r="A738" s="34" t="s">
        <v>54</v>
      </c>
      <c r="B738" s="61" t="s">
        <v>162</v>
      </c>
      <c r="C738" s="61" t="s">
        <v>201</v>
      </c>
      <c r="D738" s="69"/>
      <c r="E738" s="74"/>
      <c r="F738" s="80">
        <f>IFERROR(D738*E738,0)</f>
        <v>0</v>
      </c>
      <c r="G738" s="61" t="str">
        <f>INDEX(SETORES!$B:$B,MATCH(A738,SETORES!$A:$A,0))</f>
        <v>Clientes</v>
      </c>
      <c r="H738" s="61" t="s">
        <v>21</v>
      </c>
    </row>
    <row r="739" spans="1:8" ht="14.25" hidden="1" customHeight="1" x14ac:dyDescent="0.3">
      <c r="A739" s="34" t="s">
        <v>54</v>
      </c>
      <c r="B739" s="61" t="s">
        <v>155</v>
      </c>
      <c r="C739" s="61" t="s">
        <v>207</v>
      </c>
      <c r="D739" s="69"/>
      <c r="E739" s="74"/>
      <c r="F739" s="80">
        <f>IFERROR(D739*E739,0)</f>
        <v>0</v>
      </c>
      <c r="G739" s="61" t="str">
        <f>INDEX(SETORES!$B:$B,MATCH(A739,SETORES!$A:$A,0))</f>
        <v>Clientes</v>
      </c>
      <c r="H739" s="61" t="s">
        <v>21</v>
      </c>
    </row>
    <row r="740" spans="1:8" ht="14.25" hidden="1" customHeight="1" x14ac:dyDescent="0.3">
      <c r="A740" s="34" t="s">
        <v>54</v>
      </c>
      <c r="B740" s="61" t="s">
        <v>155</v>
      </c>
      <c r="C740" s="61" t="s">
        <v>196</v>
      </c>
      <c r="D740" s="69">
        <v>11</v>
      </c>
      <c r="E740" s="74">
        <v>50</v>
      </c>
      <c r="F740" s="80">
        <f>IFERROR(D740*E740,0)</f>
        <v>550</v>
      </c>
      <c r="G740" s="61" t="str">
        <f>INDEX(SETORES!$B:$B,MATCH(A740,SETORES!$A:$A,0))</f>
        <v>Clientes</v>
      </c>
      <c r="H740" s="61" t="s">
        <v>21</v>
      </c>
    </row>
    <row r="741" spans="1:8" ht="14.25" hidden="1" customHeight="1" x14ac:dyDescent="0.3">
      <c r="A741" s="34" t="s">
        <v>54</v>
      </c>
      <c r="B741" s="61" t="s">
        <v>162</v>
      </c>
      <c r="C741" s="61" t="s">
        <v>194</v>
      </c>
      <c r="D741" s="69"/>
      <c r="E741" s="74"/>
      <c r="F741" s="80">
        <f>IFERROR(D741*E741,0)</f>
        <v>0</v>
      </c>
      <c r="G741" s="61" t="str">
        <f>INDEX(SETORES!$B:$B,MATCH(A741,SETORES!$A:$A,0))</f>
        <v>Clientes</v>
      </c>
      <c r="H741" s="61" t="s">
        <v>21</v>
      </c>
    </row>
    <row r="742" spans="1:8" ht="14.25" hidden="1" customHeight="1" x14ac:dyDescent="0.3">
      <c r="A742" s="2" t="s">
        <v>54</v>
      </c>
      <c r="B742" s="60" t="s">
        <v>155</v>
      </c>
      <c r="C742" s="60" t="s">
        <v>158</v>
      </c>
      <c r="D742" s="68">
        <v>1</v>
      </c>
      <c r="E742" s="73">
        <v>91.003</v>
      </c>
      <c r="F742" s="79">
        <v>91.003</v>
      </c>
      <c r="G742" s="60" t="s">
        <v>96</v>
      </c>
      <c r="H742" s="60" t="s">
        <v>21</v>
      </c>
    </row>
    <row r="743" spans="1:8" ht="14.25" hidden="1" customHeight="1" x14ac:dyDescent="0.3">
      <c r="A743" s="34" t="s">
        <v>54</v>
      </c>
      <c r="B743" s="61" t="s">
        <v>162</v>
      </c>
      <c r="C743" s="61" t="s">
        <v>165</v>
      </c>
      <c r="D743" s="69">
        <v>1</v>
      </c>
      <c r="E743" s="74">
        <v>60</v>
      </c>
      <c r="F743" s="80">
        <f>IFERROR(D743*E743,0)</f>
        <v>60</v>
      </c>
      <c r="G743" s="61" t="str">
        <f>INDEX(SETORES!$B:$B,MATCH(A743,SETORES!$A:$A,0))</f>
        <v>Clientes</v>
      </c>
      <c r="H743" s="61" t="s">
        <v>21</v>
      </c>
    </row>
    <row r="744" spans="1:8" ht="14.25" hidden="1" customHeight="1" x14ac:dyDescent="0.3">
      <c r="A744" s="2" t="s">
        <v>54</v>
      </c>
      <c r="B744" s="60" t="s">
        <v>155</v>
      </c>
      <c r="C744" s="60" t="s">
        <v>161</v>
      </c>
      <c r="D744" s="68">
        <v>1</v>
      </c>
      <c r="E744" s="73">
        <v>113007.3</v>
      </c>
      <c r="F744" s="79">
        <f>IFERROR(E744,0)</f>
        <v>113007.3</v>
      </c>
      <c r="G744" s="60" t="str">
        <f>INDEX(SETORES!$B:$B,MATCH(A744,SETORES!$A:$A,0))</f>
        <v>Clientes</v>
      </c>
      <c r="H744" s="60" t="s">
        <v>21</v>
      </c>
    </row>
    <row r="745" spans="1:8" ht="14.25" hidden="1" customHeight="1" x14ac:dyDescent="0.3">
      <c r="A745" s="2" t="s">
        <v>54</v>
      </c>
      <c r="B745" s="60" t="s">
        <v>155</v>
      </c>
      <c r="C745" s="60" t="s">
        <v>167</v>
      </c>
      <c r="D745" s="68">
        <v>11</v>
      </c>
      <c r="E745" s="73">
        <v>9.92</v>
      </c>
      <c r="F745" s="79">
        <f>IFERROR(D745*E745,0)</f>
        <v>109.12</v>
      </c>
      <c r="G745" s="60" t="str">
        <f>INDEX(SETORES!$B:$B,MATCH(A745,SETORES!$A:$A,0))</f>
        <v>Clientes</v>
      </c>
      <c r="H745" s="60" t="s">
        <v>21</v>
      </c>
    </row>
    <row r="746" spans="1:8" ht="14.25" hidden="1" customHeight="1" x14ac:dyDescent="0.3">
      <c r="A746" s="34" t="s">
        <v>54</v>
      </c>
      <c r="B746" s="61" t="s">
        <v>155</v>
      </c>
      <c r="C746" s="61" t="s">
        <v>238</v>
      </c>
      <c r="D746" s="69">
        <v>1</v>
      </c>
      <c r="E746" s="74">
        <v>10.784312</v>
      </c>
      <c r="F746" s="80">
        <f>IFERROR(D746*E746,0)</f>
        <v>10.784312</v>
      </c>
      <c r="G746" s="61" t="str">
        <f>INDEX(SETORES!$B:$B,MATCH(A746,SETORES!$A:$A,0))</f>
        <v>Clientes</v>
      </c>
      <c r="H746" s="61" t="s">
        <v>21</v>
      </c>
    </row>
    <row r="747" spans="1:8" ht="14.25" hidden="1" customHeight="1" x14ac:dyDescent="0.3">
      <c r="A747" s="34" t="s">
        <v>54</v>
      </c>
      <c r="B747" s="61" t="s">
        <v>155</v>
      </c>
      <c r="C747" s="61" t="s">
        <v>198</v>
      </c>
      <c r="D747" s="69">
        <v>7</v>
      </c>
      <c r="E747" s="74">
        <v>30</v>
      </c>
      <c r="F747" s="80">
        <f>IFERROR(D747*E747,0)</f>
        <v>210</v>
      </c>
      <c r="G747" s="61" t="str">
        <f>INDEX(SETORES!$B:$B,MATCH(A747,SETORES!$A:$A,0))</f>
        <v>Clientes</v>
      </c>
      <c r="H747" s="61" t="s">
        <v>21</v>
      </c>
    </row>
    <row r="748" spans="1:8" ht="14.25" hidden="1" customHeight="1" x14ac:dyDescent="0.3">
      <c r="A748" s="2" t="s">
        <v>54</v>
      </c>
      <c r="B748" s="60" t="s">
        <v>162</v>
      </c>
      <c r="C748" s="60" t="s">
        <v>195</v>
      </c>
      <c r="D748" s="68"/>
      <c r="E748" s="73"/>
      <c r="F748" s="79">
        <f>IFERROR(D748*E748,0)</f>
        <v>0</v>
      </c>
      <c r="G748" s="60" t="str">
        <f>INDEX(SETORES!$B:$B,MATCH(A748,SETORES!$A:$A,0))</f>
        <v>Clientes</v>
      </c>
      <c r="H748" s="60" t="s">
        <v>21</v>
      </c>
    </row>
    <row r="749" spans="1:8" ht="14.25" hidden="1" customHeight="1" x14ac:dyDescent="0.3">
      <c r="A749" s="2" t="s">
        <v>54</v>
      </c>
      <c r="B749" s="60" t="s">
        <v>155</v>
      </c>
      <c r="C749" s="60" t="s">
        <v>157</v>
      </c>
      <c r="D749" s="68">
        <v>1</v>
      </c>
      <c r="E749" s="73">
        <v>81.33</v>
      </c>
      <c r="F749" s="79">
        <v>81.33</v>
      </c>
      <c r="G749" s="60" t="str">
        <f>INDEX(SETORES!$B:$B,MATCH(A749,SETORES!$A:$A,0))</f>
        <v>Clientes</v>
      </c>
      <c r="H749" s="60" t="s">
        <v>21</v>
      </c>
    </row>
    <row r="750" spans="1:8" ht="14.25" hidden="1" customHeight="1" x14ac:dyDescent="0.3">
      <c r="A750" s="2" t="s">
        <v>54</v>
      </c>
      <c r="B750" s="60" t="s">
        <v>162</v>
      </c>
      <c r="C750" s="60" t="s">
        <v>200</v>
      </c>
      <c r="D750" s="68">
        <v>2</v>
      </c>
      <c r="E750" s="73">
        <v>45</v>
      </c>
      <c r="F750" s="79">
        <f>IFERROR(D750*E750,0)</f>
        <v>90</v>
      </c>
      <c r="G750" s="60" t="str">
        <f>INDEX(SETORES!$B:$B,MATCH(A750,SETORES!$A:$A,0))</f>
        <v>Clientes</v>
      </c>
      <c r="H750" s="60" t="s">
        <v>21</v>
      </c>
    </row>
    <row r="751" spans="1:8" ht="14.25" hidden="1" customHeight="1" x14ac:dyDescent="0.3">
      <c r="A751" s="2" t="s">
        <v>54</v>
      </c>
      <c r="B751" s="60" t="s">
        <v>155</v>
      </c>
      <c r="C751" s="60" t="s">
        <v>246</v>
      </c>
      <c r="D751" s="68">
        <v>1</v>
      </c>
      <c r="E751" s="73">
        <v>106.58</v>
      </c>
      <c r="F751" s="79">
        <f>IFERROR(D751*E751,0)</f>
        <v>106.58</v>
      </c>
      <c r="G751" s="60" t="str">
        <f>INDEX(SETORES!$B:$B,MATCH(A751,SETORES!$A:$A,0))</f>
        <v>Clientes</v>
      </c>
      <c r="H751" s="60" t="s">
        <v>21</v>
      </c>
    </row>
    <row r="752" spans="1:8" ht="14.25" hidden="1" customHeight="1" x14ac:dyDescent="0.3">
      <c r="A752" s="2" t="s">
        <v>54</v>
      </c>
      <c r="B752" s="60" t="s">
        <v>162</v>
      </c>
      <c r="C752" s="60" t="s">
        <v>204</v>
      </c>
      <c r="D752" s="68"/>
      <c r="E752" s="73"/>
      <c r="F752" s="79">
        <f>IFERROR(D752*E752,0)</f>
        <v>0</v>
      </c>
      <c r="G752" s="60" t="str">
        <f>INDEX(SETORES!$B:$B,MATCH(A752,SETORES!$A:$A,0))</f>
        <v>Clientes</v>
      </c>
      <c r="H752" s="60" t="s">
        <v>21</v>
      </c>
    </row>
    <row r="753" spans="1:8" ht="14.25" hidden="1" customHeight="1" x14ac:dyDescent="0.3">
      <c r="A753" s="2" t="s">
        <v>54</v>
      </c>
      <c r="B753" s="60" t="s">
        <v>155</v>
      </c>
      <c r="C753" s="60" t="s">
        <v>208</v>
      </c>
      <c r="D753" s="68">
        <v>1</v>
      </c>
      <c r="E753" s="73">
        <v>3042.34</v>
      </c>
      <c r="F753" s="79">
        <f>IFERROR(D753*E753,0)</f>
        <v>3042.34</v>
      </c>
      <c r="G753" s="60" t="str">
        <f>INDEX(SETORES!$B:$B,MATCH(A753,SETORES!$A:$A,0))</f>
        <v>Clientes</v>
      </c>
      <c r="H753" s="60" t="s">
        <v>21</v>
      </c>
    </row>
    <row r="754" spans="1:8" ht="14.25" hidden="1" customHeight="1" x14ac:dyDescent="0.3">
      <c r="A754" s="34" t="s">
        <v>54</v>
      </c>
      <c r="B754" s="61" t="s">
        <v>155</v>
      </c>
      <c r="C754" s="61" t="s">
        <v>168</v>
      </c>
      <c r="D754" s="69">
        <v>11</v>
      </c>
      <c r="E754" s="74">
        <v>2.0499999999999998</v>
      </c>
      <c r="F754" s="80">
        <f>IFERROR(D754*E754,0)</f>
        <v>22.549999999999997</v>
      </c>
      <c r="G754" s="61" t="str">
        <f>INDEX(SETORES!$B:$B,MATCH(A754,SETORES!$A:$A,0))</f>
        <v>Clientes</v>
      </c>
      <c r="H754" s="61" t="s">
        <v>21</v>
      </c>
    </row>
    <row r="755" spans="1:8" ht="14.25" hidden="1" customHeight="1" x14ac:dyDescent="0.3">
      <c r="A755" s="2" t="s">
        <v>54</v>
      </c>
      <c r="B755" s="60" t="s">
        <v>162</v>
      </c>
      <c r="C755" s="60" t="s">
        <v>202</v>
      </c>
      <c r="D755" s="68"/>
      <c r="E755" s="73"/>
      <c r="F755" s="79">
        <f>IFERROR(D755*E755,0)</f>
        <v>0</v>
      </c>
      <c r="G755" s="60" t="str">
        <f>INDEX(SETORES!$B:$B,MATCH(A755,SETORES!$A:$A,0))</f>
        <v>Clientes</v>
      </c>
      <c r="H755" s="60" t="s">
        <v>21</v>
      </c>
    </row>
    <row r="756" spans="1:8" ht="14.25" hidden="1" customHeight="1" x14ac:dyDescent="0.3">
      <c r="A756" s="2" t="s">
        <v>43</v>
      </c>
      <c r="B756" s="60" t="s">
        <v>155</v>
      </c>
      <c r="C756" s="60" t="s">
        <v>159</v>
      </c>
      <c r="D756" s="68">
        <v>5</v>
      </c>
      <c r="E756" s="73">
        <v>3.3247</v>
      </c>
      <c r="F756" s="79">
        <v>16.6235</v>
      </c>
      <c r="G756" s="60" t="str">
        <f>INDEX(SETORES!$B:$B,MATCH(A756,SETORES!$A:$A,0))</f>
        <v>Clientes</v>
      </c>
      <c r="H756" s="60" t="s">
        <v>21</v>
      </c>
    </row>
    <row r="757" spans="1:8" ht="14.25" hidden="1" customHeight="1" x14ac:dyDescent="0.3">
      <c r="A757" s="2" t="s">
        <v>43</v>
      </c>
      <c r="B757" s="60" t="s">
        <v>155</v>
      </c>
      <c r="C757" s="60" t="s">
        <v>212</v>
      </c>
      <c r="D757" s="68">
        <v>2</v>
      </c>
      <c r="E757" s="73">
        <v>30</v>
      </c>
      <c r="F757" s="79">
        <f>IFERROR(D757*E757,0)</f>
        <v>60</v>
      </c>
      <c r="G757" s="60" t="str">
        <f>INDEX(SETORES!$B:$B,MATCH(A757,SETORES!$A:$A,0))</f>
        <v>Clientes</v>
      </c>
      <c r="H757" s="60" t="s">
        <v>21</v>
      </c>
    </row>
    <row r="758" spans="1:8" ht="14.25" hidden="1" customHeight="1" x14ac:dyDescent="0.3">
      <c r="A758" s="2" t="s">
        <v>43</v>
      </c>
      <c r="B758" s="60" t="s">
        <v>162</v>
      </c>
      <c r="C758" s="60" t="s">
        <v>217</v>
      </c>
      <c r="D758" s="68">
        <v>1</v>
      </c>
      <c r="E758" s="73">
        <v>811.2</v>
      </c>
      <c r="F758" s="79">
        <f>IFERROR(D758*E758,0)</f>
        <v>811.2</v>
      </c>
      <c r="G758" s="60" t="str">
        <f>INDEX(SETORES!$B:$B,MATCH(A758,SETORES!$A:$A,0))</f>
        <v>Clientes</v>
      </c>
      <c r="H758" s="60" t="s">
        <v>21</v>
      </c>
    </row>
    <row r="759" spans="1:8" ht="14.25" hidden="1" customHeight="1" x14ac:dyDescent="0.3">
      <c r="A759" s="34" t="s">
        <v>43</v>
      </c>
      <c r="B759" s="61" t="s">
        <v>155</v>
      </c>
      <c r="C759" s="61" t="s">
        <v>171</v>
      </c>
      <c r="D759" s="69">
        <v>5</v>
      </c>
      <c r="E759" s="74">
        <v>43.54</v>
      </c>
      <c r="F759" s="80">
        <f>IFERROR(D759*E759,0)</f>
        <v>217.7</v>
      </c>
      <c r="G759" s="61" t="s">
        <v>98</v>
      </c>
      <c r="H759" s="61" t="s">
        <v>21</v>
      </c>
    </row>
    <row r="760" spans="1:8" ht="14.25" hidden="1" customHeight="1" x14ac:dyDescent="0.3">
      <c r="A760" s="2" t="s">
        <v>43</v>
      </c>
      <c r="B760" s="60" t="s">
        <v>155</v>
      </c>
      <c r="C760" s="60" t="s">
        <v>170</v>
      </c>
      <c r="D760" s="68">
        <v>5</v>
      </c>
      <c r="E760" s="73">
        <v>29.74</v>
      </c>
      <c r="F760" s="79">
        <f>IFERROR(D760*E760,0)</f>
        <v>148.69999999999999</v>
      </c>
      <c r="G760" s="60" t="s">
        <v>98</v>
      </c>
      <c r="H760" s="60" t="s">
        <v>21</v>
      </c>
    </row>
    <row r="761" spans="1:8" ht="14.25" customHeight="1" x14ac:dyDescent="0.3">
      <c r="A761" s="2" t="s">
        <v>43</v>
      </c>
      <c r="B761" s="60" t="s">
        <v>155</v>
      </c>
      <c r="C761" s="60" t="s">
        <v>169</v>
      </c>
      <c r="D761" s="68">
        <v>5</v>
      </c>
      <c r="E761" s="73">
        <v>47.66</v>
      </c>
      <c r="F761" s="79">
        <f>IFERROR(D761*E761,0)</f>
        <v>238.29999999999998</v>
      </c>
      <c r="G761" s="60" t="s">
        <v>98</v>
      </c>
      <c r="H761" s="60" t="s">
        <v>21</v>
      </c>
    </row>
    <row r="762" spans="1:8" ht="14.25" hidden="1" customHeight="1" x14ac:dyDescent="0.3">
      <c r="A762" s="34" t="s">
        <v>43</v>
      </c>
      <c r="B762" s="61" t="s">
        <v>155</v>
      </c>
      <c r="C762" s="61" t="s">
        <v>158</v>
      </c>
      <c r="D762" s="69">
        <v>5</v>
      </c>
      <c r="E762" s="74">
        <v>21.258199999999999</v>
      </c>
      <c r="F762" s="80">
        <v>106.291</v>
      </c>
      <c r="G762" s="61" t="str">
        <f>INDEX(SETORES!$B:$B,MATCH(A762,SETORES!$A:$A,0))</f>
        <v>Clientes</v>
      </c>
      <c r="H762" s="61" t="s">
        <v>21</v>
      </c>
    </row>
    <row r="763" spans="1:8" ht="14.25" hidden="1" customHeight="1" x14ac:dyDescent="0.3">
      <c r="A763" s="2" t="s">
        <v>43</v>
      </c>
      <c r="B763" s="60" t="s">
        <v>162</v>
      </c>
      <c r="C763" s="60" t="s">
        <v>163</v>
      </c>
      <c r="D763" s="68">
        <v>2</v>
      </c>
      <c r="E763" s="73">
        <v>45</v>
      </c>
      <c r="F763" s="79">
        <f>IFERROR(D763*E763,0)</f>
        <v>90</v>
      </c>
      <c r="G763" s="60" t="str">
        <f>INDEX(SETORES!$B:$B,MATCH(A763,SETORES!$A:$A,0))</f>
        <v>Clientes</v>
      </c>
      <c r="H763" s="60" t="s">
        <v>21</v>
      </c>
    </row>
    <row r="764" spans="1:8" ht="14.25" hidden="1" customHeight="1" x14ac:dyDescent="0.3">
      <c r="A764" s="2" t="s">
        <v>43</v>
      </c>
      <c r="B764" s="60" t="s">
        <v>155</v>
      </c>
      <c r="C764" s="60" t="s">
        <v>161</v>
      </c>
      <c r="D764" s="68">
        <v>1</v>
      </c>
      <c r="E764" s="73">
        <v>25624.63</v>
      </c>
      <c r="F764" s="79">
        <f>IFERROR(E764,0)</f>
        <v>25624.63</v>
      </c>
      <c r="G764" s="60" t="str">
        <f>INDEX(SETORES!$B:$B,MATCH(A764,SETORES!$A:$A,0))</f>
        <v>Clientes</v>
      </c>
      <c r="H764" s="60" t="s">
        <v>21</v>
      </c>
    </row>
    <row r="765" spans="1:8" ht="14.25" hidden="1" customHeight="1" x14ac:dyDescent="0.3">
      <c r="A765" s="2" t="s">
        <v>43</v>
      </c>
      <c r="B765" s="60" t="s">
        <v>155</v>
      </c>
      <c r="C765" s="60" t="s">
        <v>167</v>
      </c>
      <c r="D765" s="68">
        <v>5</v>
      </c>
      <c r="E765" s="73">
        <v>9.92</v>
      </c>
      <c r="F765" s="79">
        <f>IFERROR(D765*E765,0)</f>
        <v>49.6</v>
      </c>
      <c r="G765" s="60" t="str">
        <f>INDEX(SETORES!$B:$B,MATCH(A765,SETORES!$A:$A,0))</f>
        <v>Clientes</v>
      </c>
      <c r="H765" s="60" t="s">
        <v>21</v>
      </c>
    </row>
    <row r="766" spans="1:8" ht="14.25" hidden="1" customHeight="1" x14ac:dyDescent="0.3">
      <c r="A766" s="34" t="s">
        <v>43</v>
      </c>
      <c r="B766" s="61" t="s">
        <v>155</v>
      </c>
      <c r="C766" s="61" t="s">
        <v>238</v>
      </c>
      <c r="D766" s="69">
        <v>1</v>
      </c>
      <c r="E766" s="74">
        <v>25.6</v>
      </c>
      <c r="F766" s="80">
        <f>IFERROR(D766*E766,0)</f>
        <v>25.6</v>
      </c>
      <c r="G766" s="61" t="str">
        <f>INDEX(SETORES!$B:$B,MATCH(A766,SETORES!$A:$A,0))</f>
        <v>Clientes</v>
      </c>
      <c r="H766" s="61" t="s">
        <v>21</v>
      </c>
    </row>
    <row r="767" spans="1:8" ht="14.25" hidden="1" customHeight="1" x14ac:dyDescent="0.3">
      <c r="A767" s="2" t="s">
        <v>43</v>
      </c>
      <c r="B767" s="60" t="s">
        <v>155</v>
      </c>
      <c r="C767" s="60" t="s">
        <v>166</v>
      </c>
      <c r="D767" s="68">
        <v>3</v>
      </c>
      <c r="E767" s="73">
        <v>50</v>
      </c>
      <c r="F767" s="79">
        <f>IFERROR(D767*E767,0)</f>
        <v>150</v>
      </c>
      <c r="G767" s="60" t="str">
        <f>INDEX(SETORES!$B:$B,MATCH(A767,SETORES!$A:$A,0))</f>
        <v>Clientes</v>
      </c>
      <c r="H767" s="60" t="s">
        <v>21</v>
      </c>
    </row>
    <row r="768" spans="1:8" ht="14.25" hidden="1" customHeight="1" x14ac:dyDescent="0.3">
      <c r="A768" s="34" t="s">
        <v>43</v>
      </c>
      <c r="B768" s="61" t="s">
        <v>155</v>
      </c>
      <c r="C768" s="61" t="s">
        <v>156</v>
      </c>
      <c r="D768" s="69"/>
      <c r="E768" s="74"/>
      <c r="F768" s="80">
        <v>0</v>
      </c>
      <c r="G768" s="61" t="str">
        <f>INDEX(SETORES!$B:$B,MATCH(A768,SETORES!$A:$A,0))</f>
        <v>Clientes</v>
      </c>
      <c r="H768" s="61" t="s">
        <v>21</v>
      </c>
    </row>
    <row r="769" spans="1:8" ht="14.25" hidden="1" customHeight="1" x14ac:dyDescent="0.3">
      <c r="A769" s="2" t="s">
        <v>43</v>
      </c>
      <c r="B769" s="60" t="s">
        <v>155</v>
      </c>
      <c r="C769" s="60" t="s">
        <v>157</v>
      </c>
      <c r="D769" s="68"/>
      <c r="E769" s="73"/>
      <c r="F769" s="79">
        <v>0</v>
      </c>
      <c r="G769" s="60" t="str">
        <f>INDEX(SETORES!$B:$B,MATCH(A769,SETORES!$A:$A,0))</f>
        <v>Clientes</v>
      </c>
      <c r="H769" s="60" t="s">
        <v>21</v>
      </c>
    </row>
    <row r="770" spans="1:8" ht="14.25" hidden="1" customHeight="1" x14ac:dyDescent="0.3">
      <c r="A770" s="34" t="s">
        <v>43</v>
      </c>
      <c r="B770" s="61" t="s">
        <v>162</v>
      </c>
      <c r="C770" s="61" t="s">
        <v>209</v>
      </c>
      <c r="D770" s="69">
        <v>5</v>
      </c>
      <c r="E770" s="74">
        <v>76.92</v>
      </c>
      <c r="F770" s="80">
        <f>IFERROR(D770*E770,0)</f>
        <v>384.6</v>
      </c>
      <c r="G770" s="61" t="str">
        <f>INDEX(SETORES!$B:$B,MATCH(A770,SETORES!$A:$A,0))</f>
        <v>Clientes</v>
      </c>
      <c r="H770" s="61" t="s">
        <v>21</v>
      </c>
    </row>
    <row r="771" spans="1:8" ht="14.25" hidden="1" customHeight="1" x14ac:dyDescent="0.3">
      <c r="A771" s="34" t="s">
        <v>43</v>
      </c>
      <c r="B771" s="61" t="s">
        <v>162</v>
      </c>
      <c r="C771" s="61" t="s">
        <v>222</v>
      </c>
      <c r="D771" s="69"/>
      <c r="E771" s="74"/>
      <c r="F771" s="80">
        <f>IFERROR(D771*E771,0)</f>
        <v>0</v>
      </c>
      <c r="G771" s="61" t="str">
        <f>INDEX(SETORES!$B:$B,MATCH(A771,SETORES!$A:$A,0))</f>
        <v>Clientes</v>
      </c>
      <c r="H771" s="61" t="s">
        <v>21</v>
      </c>
    </row>
    <row r="772" spans="1:8" ht="14.25" hidden="1" customHeight="1" x14ac:dyDescent="0.3">
      <c r="A772" s="34" t="s">
        <v>43</v>
      </c>
      <c r="B772" s="61" t="s">
        <v>155</v>
      </c>
      <c r="C772" s="61" t="s">
        <v>168</v>
      </c>
      <c r="D772" s="69">
        <v>5</v>
      </c>
      <c r="E772" s="74">
        <v>2.0499999999999998</v>
      </c>
      <c r="F772" s="80">
        <f>IFERROR(D772*E772,0)</f>
        <v>10.25</v>
      </c>
      <c r="G772" s="61" t="str">
        <f>INDEX(SETORES!$B:$B,MATCH(A772,SETORES!$A:$A,0))</f>
        <v>Clientes</v>
      </c>
      <c r="H772" s="61" t="s">
        <v>21</v>
      </c>
    </row>
    <row r="773" spans="1:8" ht="14.25" hidden="1" customHeight="1" x14ac:dyDescent="0.3">
      <c r="A773" s="34" t="s">
        <v>43</v>
      </c>
      <c r="B773" s="61" t="s">
        <v>155</v>
      </c>
      <c r="C773" s="61" t="s">
        <v>160</v>
      </c>
      <c r="D773" s="69"/>
      <c r="E773" s="74"/>
      <c r="F773" s="80">
        <f>IFERROR(D773*E773,0)</f>
        <v>0</v>
      </c>
      <c r="G773" s="61" t="str">
        <f>INDEX(SETORES!$B:$B,MATCH(A773,SETORES!$A:$A,0))</f>
        <v>Clientes</v>
      </c>
      <c r="H773" s="61" t="s">
        <v>21</v>
      </c>
    </row>
    <row r="774" spans="1:8" ht="14.25" hidden="1" customHeight="1" x14ac:dyDescent="0.3">
      <c r="A774" s="35" t="s">
        <v>143</v>
      </c>
      <c r="B774" s="66" t="s">
        <v>155</v>
      </c>
      <c r="C774" s="66" t="s">
        <v>161</v>
      </c>
      <c r="D774" s="66">
        <v>1</v>
      </c>
      <c r="E774" s="78">
        <v>38158.160000000003</v>
      </c>
      <c r="F774" s="78">
        <f>D774*E774</f>
        <v>38158.160000000003</v>
      </c>
      <c r="G774" s="66" t="s">
        <v>96</v>
      </c>
      <c r="H774" s="66" t="s">
        <v>21</v>
      </c>
    </row>
    <row r="775" spans="1:8" ht="14.25" hidden="1" customHeight="1" x14ac:dyDescent="0.3">
      <c r="A775" s="35" t="s">
        <v>143</v>
      </c>
      <c r="B775" s="66" t="s">
        <v>162</v>
      </c>
      <c r="C775" s="66" t="s">
        <v>222</v>
      </c>
      <c r="D775" s="66">
        <v>1</v>
      </c>
      <c r="E775" s="78">
        <v>8880.36</v>
      </c>
      <c r="F775" s="78">
        <f>D775*E775</f>
        <v>8880.36</v>
      </c>
      <c r="G775" s="66" t="s">
        <v>96</v>
      </c>
      <c r="H775" s="66" t="s">
        <v>21</v>
      </c>
    </row>
    <row r="776" spans="1:8" ht="14.25" hidden="1" customHeight="1" x14ac:dyDescent="0.3">
      <c r="A776" s="34" t="s">
        <v>40</v>
      </c>
      <c r="B776" s="61" t="s">
        <v>155</v>
      </c>
      <c r="C776" s="61" t="s">
        <v>159</v>
      </c>
      <c r="D776" s="69">
        <v>1</v>
      </c>
      <c r="E776" s="74">
        <v>0.1212</v>
      </c>
      <c r="F776" s="80">
        <v>0.1212</v>
      </c>
      <c r="G776" s="61" t="str">
        <f>INDEX(SETORES!$B:$B,MATCH(A776,SETORES!$A:$A,0))</f>
        <v>Clientes</v>
      </c>
      <c r="H776" s="61" t="s">
        <v>21</v>
      </c>
    </row>
    <row r="777" spans="1:8" ht="14.25" hidden="1" customHeight="1" x14ac:dyDescent="0.3">
      <c r="A777" s="2" t="s">
        <v>40</v>
      </c>
      <c r="B777" s="60" t="s">
        <v>162</v>
      </c>
      <c r="C777" s="60" t="s">
        <v>241</v>
      </c>
      <c r="D777" s="68">
        <v>1</v>
      </c>
      <c r="E777" s="73">
        <v>6000</v>
      </c>
      <c r="F777" s="79">
        <f>IFERROR(D777*E777,0)</f>
        <v>6000</v>
      </c>
      <c r="G777" s="60" t="str">
        <f>INDEX(SETORES!$B:$B,MATCH(A777,SETORES!$A:$A,0))</f>
        <v>Clientes</v>
      </c>
      <c r="H777" s="60" t="s">
        <v>21</v>
      </c>
    </row>
    <row r="778" spans="1:8" ht="14.25" hidden="1" customHeight="1" x14ac:dyDescent="0.3">
      <c r="A778" s="34" t="s">
        <v>40</v>
      </c>
      <c r="B778" s="61" t="s">
        <v>155</v>
      </c>
      <c r="C778" s="61" t="s">
        <v>212</v>
      </c>
      <c r="D778" s="69">
        <v>2</v>
      </c>
      <c r="E778" s="74">
        <v>30</v>
      </c>
      <c r="F778" s="80">
        <f>IFERROR(D778*E778,0)</f>
        <v>60</v>
      </c>
      <c r="G778" s="61" t="str">
        <f>INDEX(SETORES!$B:$B,MATCH(A778,SETORES!$A:$A,0))</f>
        <v>Clientes</v>
      </c>
      <c r="H778" s="61" t="s">
        <v>21</v>
      </c>
    </row>
    <row r="779" spans="1:8" ht="14.25" hidden="1" customHeight="1" x14ac:dyDescent="0.3">
      <c r="A779" s="34" t="s">
        <v>40</v>
      </c>
      <c r="B779" s="61" t="s">
        <v>162</v>
      </c>
      <c r="C779" s="61" t="s">
        <v>211</v>
      </c>
      <c r="D779" s="69">
        <v>1</v>
      </c>
      <c r="E779" s="74">
        <v>12000</v>
      </c>
      <c r="F779" s="80">
        <f>IFERROR(D779*E779,0)</f>
        <v>12000</v>
      </c>
      <c r="G779" s="61" t="str">
        <f>INDEX(SETORES!$B:$B,MATCH(A779,SETORES!$A:$A,0))</f>
        <v>Clientes</v>
      </c>
      <c r="H779" s="61" t="s">
        <v>21</v>
      </c>
    </row>
    <row r="780" spans="1:8" ht="14.25" hidden="1" customHeight="1" x14ac:dyDescent="0.3">
      <c r="A780" s="2" t="s">
        <v>40</v>
      </c>
      <c r="B780" s="60" t="s">
        <v>155</v>
      </c>
      <c r="C780" s="60" t="s">
        <v>171</v>
      </c>
      <c r="D780" s="68">
        <v>5</v>
      </c>
      <c r="E780" s="73">
        <v>43.54</v>
      </c>
      <c r="F780" s="79">
        <f>IFERROR(D780*E780,0)</f>
        <v>217.7</v>
      </c>
      <c r="G780" s="61" t="s">
        <v>98</v>
      </c>
      <c r="H780" s="60" t="s">
        <v>21</v>
      </c>
    </row>
    <row r="781" spans="1:8" ht="14.25" hidden="1" customHeight="1" x14ac:dyDescent="0.3">
      <c r="A781" s="34" t="s">
        <v>40</v>
      </c>
      <c r="B781" s="61" t="s">
        <v>155</v>
      </c>
      <c r="C781" s="61" t="s">
        <v>170</v>
      </c>
      <c r="D781" s="69">
        <v>5</v>
      </c>
      <c r="E781" s="74">
        <v>29.74</v>
      </c>
      <c r="F781" s="80">
        <f>IFERROR(D781*E781,0)</f>
        <v>148.69999999999999</v>
      </c>
      <c r="G781" s="60" t="s">
        <v>98</v>
      </c>
      <c r="H781" s="61" t="s">
        <v>21</v>
      </c>
    </row>
    <row r="782" spans="1:8" ht="14.25" customHeight="1" x14ac:dyDescent="0.3">
      <c r="A782" s="34" t="s">
        <v>40</v>
      </c>
      <c r="B782" s="61" t="s">
        <v>155</v>
      </c>
      <c r="C782" s="61" t="s">
        <v>169</v>
      </c>
      <c r="D782" s="69">
        <v>5</v>
      </c>
      <c r="E782" s="74">
        <v>47.66</v>
      </c>
      <c r="F782" s="80">
        <f>IFERROR(D782*E782,0)</f>
        <v>238.29999999999998</v>
      </c>
      <c r="G782" s="60" t="s">
        <v>98</v>
      </c>
      <c r="H782" s="61" t="s">
        <v>21</v>
      </c>
    </row>
    <row r="783" spans="1:8" ht="14.25" hidden="1" customHeight="1" x14ac:dyDescent="0.3">
      <c r="A783" s="2" t="s">
        <v>40</v>
      </c>
      <c r="B783" s="60" t="s">
        <v>155</v>
      </c>
      <c r="C783" s="60" t="s">
        <v>158</v>
      </c>
      <c r="D783" s="68">
        <v>1</v>
      </c>
      <c r="E783" s="73">
        <v>41.365000000000002</v>
      </c>
      <c r="F783" s="79">
        <v>41.365000000000002</v>
      </c>
      <c r="G783" s="60" t="str">
        <f>INDEX(SETORES!$B:$B,MATCH(A783,SETORES!$A:$A,0))</f>
        <v>Clientes</v>
      </c>
      <c r="H783" s="60" t="s">
        <v>21</v>
      </c>
    </row>
    <row r="784" spans="1:8" ht="14.25" hidden="1" customHeight="1" x14ac:dyDescent="0.3">
      <c r="A784" s="34" t="s">
        <v>40</v>
      </c>
      <c r="B784" s="61" t="s">
        <v>162</v>
      </c>
      <c r="C784" s="61" t="s">
        <v>165</v>
      </c>
      <c r="D784" s="69">
        <v>1</v>
      </c>
      <c r="E784" s="74">
        <v>65</v>
      </c>
      <c r="F784" s="80">
        <f>IFERROR(D784*E784,0)</f>
        <v>65</v>
      </c>
      <c r="G784" s="61" t="str">
        <f>INDEX(SETORES!$B:$B,MATCH(A784,SETORES!$A:$A,0))</f>
        <v>Clientes</v>
      </c>
      <c r="H784" s="61" t="s">
        <v>21</v>
      </c>
    </row>
    <row r="785" spans="1:8" ht="14.25" hidden="1" customHeight="1" x14ac:dyDescent="0.3">
      <c r="A785" s="34" t="s">
        <v>40</v>
      </c>
      <c r="B785" s="61" t="s">
        <v>162</v>
      </c>
      <c r="C785" s="61" t="s">
        <v>163</v>
      </c>
      <c r="D785" s="69">
        <v>4</v>
      </c>
      <c r="E785" s="74">
        <v>56.5</v>
      </c>
      <c r="F785" s="80">
        <f>IFERROR(D785*E785,0)</f>
        <v>226</v>
      </c>
      <c r="G785" s="61" t="str">
        <f>INDEX(SETORES!$B:$B,MATCH(A785,SETORES!$A:$A,0))</f>
        <v>Clientes</v>
      </c>
      <c r="H785" s="61" t="s">
        <v>21</v>
      </c>
    </row>
    <row r="786" spans="1:8" ht="14.25" hidden="1" customHeight="1" x14ac:dyDescent="0.3">
      <c r="A786" s="2" t="s">
        <v>40</v>
      </c>
      <c r="B786" s="60" t="s">
        <v>162</v>
      </c>
      <c r="C786" s="60" t="s">
        <v>164</v>
      </c>
      <c r="D786" s="68"/>
      <c r="E786" s="73"/>
      <c r="F786" s="79">
        <f>IFERROR(D786*E786,0)</f>
        <v>0</v>
      </c>
      <c r="G786" s="60" t="str">
        <f>INDEX(SETORES!$B:$B,MATCH(A786,SETORES!$A:$A,0))</f>
        <v>Clientes</v>
      </c>
      <c r="H786" s="60" t="s">
        <v>21</v>
      </c>
    </row>
    <row r="787" spans="1:8" ht="14.25" hidden="1" customHeight="1" x14ac:dyDescent="0.3">
      <c r="A787" s="34" t="s">
        <v>40</v>
      </c>
      <c r="B787" s="61" t="s">
        <v>155</v>
      </c>
      <c r="C787" s="61" t="s">
        <v>161</v>
      </c>
      <c r="D787" s="69">
        <v>1</v>
      </c>
      <c r="E787" s="74">
        <v>14720.9</v>
      </c>
      <c r="F787" s="80">
        <f>IFERROR(E787,0)</f>
        <v>14720.9</v>
      </c>
      <c r="G787" s="61" t="str">
        <f>INDEX(SETORES!$B:$B,MATCH(A787,SETORES!$A:$A,0))</f>
        <v>Clientes</v>
      </c>
      <c r="H787" s="61" t="s">
        <v>21</v>
      </c>
    </row>
    <row r="788" spans="1:8" ht="14.25" hidden="1" customHeight="1" x14ac:dyDescent="0.3">
      <c r="A788" s="34" t="s">
        <v>40</v>
      </c>
      <c r="B788" s="61" t="s">
        <v>155</v>
      </c>
      <c r="C788" s="61" t="s">
        <v>167</v>
      </c>
      <c r="D788" s="69">
        <v>5</v>
      </c>
      <c r="E788" s="74">
        <v>9.92</v>
      </c>
      <c r="F788" s="80">
        <f>IFERROR(D788*E788,0)</f>
        <v>49.6</v>
      </c>
      <c r="G788" s="61" t="str">
        <f>INDEX(SETORES!$B:$B,MATCH(A788,SETORES!$A:$A,0))</f>
        <v>Clientes</v>
      </c>
      <c r="H788" s="61" t="s">
        <v>21</v>
      </c>
    </row>
    <row r="789" spans="1:8" ht="14.25" hidden="1" customHeight="1" x14ac:dyDescent="0.3">
      <c r="A789" s="2" t="s">
        <v>40</v>
      </c>
      <c r="B789" s="60" t="s">
        <v>155</v>
      </c>
      <c r="C789" s="60" t="s">
        <v>238</v>
      </c>
      <c r="D789" s="68">
        <v>1</v>
      </c>
      <c r="E789" s="73">
        <v>4.9019599999999999</v>
      </c>
      <c r="F789" s="79">
        <f>IFERROR(D789*E789,0)</f>
        <v>4.9019599999999999</v>
      </c>
      <c r="G789" s="60" t="str">
        <f>INDEX(SETORES!$B:$B,MATCH(A789,SETORES!$A:$A,0))</f>
        <v>Clientes</v>
      </c>
      <c r="H789" s="60" t="s">
        <v>21</v>
      </c>
    </row>
    <row r="790" spans="1:8" ht="14.25" hidden="1" customHeight="1" x14ac:dyDescent="0.3">
      <c r="A790" s="2" t="s">
        <v>40</v>
      </c>
      <c r="B790" s="60" t="s">
        <v>155</v>
      </c>
      <c r="C790" s="60" t="s">
        <v>166</v>
      </c>
      <c r="D790" s="68">
        <v>7</v>
      </c>
      <c r="E790" s="73">
        <v>50</v>
      </c>
      <c r="F790" s="79">
        <f>IFERROR(D790*E790,0)</f>
        <v>350</v>
      </c>
      <c r="G790" s="60" t="str">
        <f>INDEX(SETORES!$B:$B,MATCH(A790,SETORES!$A:$A,0))</f>
        <v>Clientes</v>
      </c>
      <c r="H790" s="60" t="s">
        <v>21</v>
      </c>
    </row>
    <row r="791" spans="1:8" ht="14.25" hidden="1" customHeight="1" x14ac:dyDescent="0.3">
      <c r="A791" s="2" t="s">
        <v>40</v>
      </c>
      <c r="B791" s="60" t="s">
        <v>155</v>
      </c>
      <c r="C791" s="60" t="s">
        <v>181</v>
      </c>
      <c r="D791" s="68">
        <v>1</v>
      </c>
      <c r="E791" s="73">
        <v>2559.4499999999998</v>
      </c>
      <c r="F791" s="79">
        <f>IFERROR(D791*E791,0)</f>
        <v>2559.4499999999998</v>
      </c>
      <c r="G791" s="60" t="str">
        <f>INDEX(SETORES!$B:$B,MATCH(A791,SETORES!$A:$A,0))</f>
        <v>Clientes</v>
      </c>
      <c r="H791" s="60" t="s">
        <v>21</v>
      </c>
    </row>
    <row r="792" spans="1:8" ht="14.25" hidden="1" customHeight="1" x14ac:dyDescent="0.3">
      <c r="A792" s="2" t="s">
        <v>40</v>
      </c>
      <c r="B792" s="60" t="s">
        <v>155</v>
      </c>
      <c r="C792" s="60" t="s">
        <v>156</v>
      </c>
      <c r="D792" s="68"/>
      <c r="E792" s="73"/>
      <c r="F792" s="79">
        <v>0</v>
      </c>
      <c r="G792" s="60" t="str">
        <f>INDEX(SETORES!$B:$B,MATCH(A792,SETORES!$A:$A,0))</f>
        <v>Clientes</v>
      </c>
      <c r="H792" s="60" t="s">
        <v>21</v>
      </c>
    </row>
    <row r="793" spans="1:8" ht="14.25" hidden="1" customHeight="1" x14ac:dyDescent="0.3">
      <c r="A793" s="34" t="s">
        <v>40</v>
      </c>
      <c r="B793" s="61" t="s">
        <v>155</v>
      </c>
      <c r="C793" s="61" t="s">
        <v>157</v>
      </c>
      <c r="D793" s="69">
        <v>1</v>
      </c>
      <c r="E793" s="74">
        <v>51.3</v>
      </c>
      <c r="F793" s="80">
        <v>51.3</v>
      </c>
      <c r="G793" s="61" t="str">
        <f>INDEX(SETORES!$B:$B,MATCH(A793,SETORES!$A:$A,0))</f>
        <v>Clientes</v>
      </c>
      <c r="H793" s="61" t="s">
        <v>21</v>
      </c>
    </row>
    <row r="794" spans="1:8" ht="14.25" hidden="1" customHeight="1" x14ac:dyDescent="0.3">
      <c r="A794" s="34" t="s">
        <v>40</v>
      </c>
      <c r="B794" s="61" t="s">
        <v>162</v>
      </c>
      <c r="C794" s="61" t="s">
        <v>222</v>
      </c>
      <c r="D794" s="69"/>
      <c r="E794" s="74"/>
      <c r="F794" s="80">
        <f>IFERROR(D794*E794,0)</f>
        <v>0</v>
      </c>
      <c r="G794" s="61" t="str">
        <f>INDEX(SETORES!$B:$B,MATCH(A794,SETORES!$A:$A,0))</f>
        <v>Clientes</v>
      </c>
      <c r="H794" s="61" t="s">
        <v>21</v>
      </c>
    </row>
    <row r="795" spans="1:8" ht="14.25" hidden="1" customHeight="1" x14ac:dyDescent="0.3">
      <c r="A795" s="2" t="s">
        <v>40</v>
      </c>
      <c r="B795" s="60" t="s">
        <v>155</v>
      </c>
      <c r="C795" s="60" t="s">
        <v>168</v>
      </c>
      <c r="D795" s="68">
        <v>5</v>
      </c>
      <c r="E795" s="73">
        <v>2.0499999999999998</v>
      </c>
      <c r="F795" s="79">
        <f>IFERROR(D795*E795,0)</f>
        <v>10.25</v>
      </c>
      <c r="G795" s="60" t="str">
        <f>INDEX(SETORES!$B:$B,MATCH(A795,SETORES!$A:$A,0))</f>
        <v>Clientes</v>
      </c>
      <c r="H795" s="60" t="s">
        <v>21</v>
      </c>
    </row>
    <row r="796" spans="1:8" ht="14.25" hidden="1" customHeight="1" x14ac:dyDescent="0.3">
      <c r="A796" s="2" t="s">
        <v>40</v>
      </c>
      <c r="B796" s="60" t="s">
        <v>155</v>
      </c>
      <c r="C796" s="60" t="s">
        <v>160</v>
      </c>
      <c r="D796" s="68"/>
      <c r="E796" s="73"/>
      <c r="F796" s="79">
        <f>IFERROR(D796*E796,0)</f>
        <v>0</v>
      </c>
      <c r="G796" s="60" t="str">
        <f>INDEX(SETORES!$B:$B,MATCH(A796,SETORES!$A:$A,0))</f>
        <v>Clientes</v>
      </c>
      <c r="H796" s="60" t="s">
        <v>21</v>
      </c>
    </row>
    <row r="797" spans="1:8" ht="14.25" hidden="1" customHeight="1" x14ac:dyDescent="0.3">
      <c r="A797" s="34" t="s">
        <v>41</v>
      </c>
      <c r="B797" s="61" t="s">
        <v>155</v>
      </c>
      <c r="C797" s="61" t="s">
        <v>159</v>
      </c>
      <c r="D797" s="69">
        <v>1</v>
      </c>
      <c r="E797" s="74">
        <v>2.4199999999999999E-2</v>
      </c>
      <c r="F797" s="80">
        <v>2.4199999999999999E-2</v>
      </c>
      <c r="G797" s="61" t="str">
        <f>INDEX(SETORES!$B:$B,MATCH(A797,SETORES!$A:$A,0))</f>
        <v>Clientes</v>
      </c>
      <c r="H797" s="61" t="s">
        <v>21</v>
      </c>
    </row>
    <row r="798" spans="1:8" ht="14.25" hidden="1" customHeight="1" x14ac:dyDescent="0.3">
      <c r="A798" s="2" t="s">
        <v>41</v>
      </c>
      <c r="B798" s="60" t="s">
        <v>155</v>
      </c>
      <c r="C798" s="60" t="s">
        <v>212</v>
      </c>
      <c r="D798" s="68">
        <v>1</v>
      </c>
      <c r="E798" s="73">
        <v>30</v>
      </c>
      <c r="F798" s="79">
        <f>IFERROR(D798*E798,0)</f>
        <v>30</v>
      </c>
      <c r="G798" s="60" t="str">
        <f>INDEX(SETORES!$B:$B,MATCH(A798,SETORES!$A:$A,0))</f>
        <v>Clientes</v>
      </c>
      <c r="H798" s="60" t="s">
        <v>21</v>
      </c>
    </row>
    <row r="799" spans="1:8" ht="14.25" hidden="1" customHeight="1" x14ac:dyDescent="0.3">
      <c r="A799" s="34" t="s">
        <v>41</v>
      </c>
      <c r="B799" s="61" t="s">
        <v>162</v>
      </c>
      <c r="C799" s="61" t="s">
        <v>217</v>
      </c>
      <c r="D799" s="69">
        <v>1</v>
      </c>
      <c r="E799" s="74">
        <v>1837.24</v>
      </c>
      <c r="F799" s="80">
        <f>IFERROR(D799*E799,0)</f>
        <v>1837.24</v>
      </c>
      <c r="G799" s="61" t="str">
        <f>INDEX(SETORES!$B:$B,MATCH(A799,SETORES!$A:$A,0))</f>
        <v>Clientes</v>
      </c>
      <c r="H799" s="61" t="s">
        <v>21</v>
      </c>
    </row>
    <row r="800" spans="1:8" ht="14.25" hidden="1" customHeight="1" x14ac:dyDescent="0.3">
      <c r="A800" s="34" t="s">
        <v>41</v>
      </c>
      <c r="B800" s="61" t="s">
        <v>155</v>
      </c>
      <c r="C800" s="61" t="s">
        <v>171</v>
      </c>
      <c r="D800" s="69">
        <v>1</v>
      </c>
      <c r="E800" s="74">
        <v>43.54</v>
      </c>
      <c r="F800" s="80">
        <f>IFERROR(D800*E800,0)</f>
        <v>43.54</v>
      </c>
      <c r="G800" s="61" t="s">
        <v>98</v>
      </c>
      <c r="H800" s="61" t="s">
        <v>21</v>
      </c>
    </row>
    <row r="801" spans="1:8" ht="14.25" hidden="1" customHeight="1" x14ac:dyDescent="0.3">
      <c r="A801" s="2" t="s">
        <v>41</v>
      </c>
      <c r="B801" s="60" t="s">
        <v>155</v>
      </c>
      <c r="C801" s="60" t="s">
        <v>170</v>
      </c>
      <c r="D801" s="68">
        <v>1</v>
      </c>
      <c r="E801" s="73">
        <v>29.74</v>
      </c>
      <c r="F801" s="79">
        <f>IFERROR(D801*E801,0)</f>
        <v>29.74</v>
      </c>
      <c r="G801" s="60" t="s">
        <v>98</v>
      </c>
      <c r="H801" s="60" t="s">
        <v>21</v>
      </c>
    </row>
    <row r="802" spans="1:8" ht="14.25" customHeight="1" x14ac:dyDescent="0.3">
      <c r="A802" s="2" t="s">
        <v>41</v>
      </c>
      <c r="B802" s="60" t="s">
        <v>155</v>
      </c>
      <c r="C802" s="60" t="s">
        <v>169</v>
      </c>
      <c r="D802" s="68">
        <v>1</v>
      </c>
      <c r="E802" s="73">
        <v>47.66</v>
      </c>
      <c r="F802" s="79">
        <f>IFERROR(D802*E802,0)</f>
        <v>47.66</v>
      </c>
      <c r="G802" s="60" t="s">
        <v>98</v>
      </c>
      <c r="H802" s="60" t="s">
        <v>21</v>
      </c>
    </row>
    <row r="803" spans="1:8" ht="14.25" hidden="1" customHeight="1" x14ac:dyDescent="0.3">
      <c r="A803" s="2" t="s">
        <v>41</v>
      </c>
      <c r="B803" s="60" t="s">
        <v>155</v>
      </c>
      <c r="C803" s="60" t="s">
        <v>158</v>
      </c>
      <c r="D803" s="68">
        <v>1</v>
      </c>
      <c r="E803" s="73">
        <v>8.2729999999999997</v>
      </c>
      <c r="F803" s="79">
        <v>8.2729999999999997</v>
      </c>
      <c r="G803" s="60" t="str">
        <f>INDEX(SETORES!$B:$B,MATCH(A803,SETORES!$A:$A,0))</f>
        <v>Clientes</v>
      </c>
      <c r="H803" s="60" t="s">
        <v>21</v>
      </c>
    </row>
    <row r="804" spans="1:8" ht="14.25" hidden="1" customHeight="1" x14ac:dyDescent="0.3">
      <c r="A804" s="34" t="s">
        <v>41</v>
      </c>
      <c r="B804" s="61" t="s">
        <v>155</v>
      </c>
      <c r="C804" s="61" t="s">
        <v>161</v>
      </c>
      <c r="D804" s="69">
        <v>1</v>
      </c>
      <c r="E804" s="74">
        <v>18000</v>
      </c>
      <c r="F804" s="80">
        <f>IFERROR(E804,0)</f>
        <v>18000</v>
      </c>
      <c r="G804" s="61" t="str">
        <f>INDEX(SETORES!$B:$B,MATCH(A804,SETORES!$A:$A,0))</f>
        <v>Clientes</v>
      </c>
      <c r="H804" s="61" t="s">
        <v>21</v>
      </c>
    </row>
    <row r="805" spans="1:8" ht="14.25" hidden="1" customHeight="1" x14ac:dyDescent="0.3">
      <c r="A805" s="2" t="s">
        <v>41</v>
      </c>
      <c r="B805" s="60" t="s">
        <v>155</v>
      </c>
      <c r="C805" s="60" t="s">
        <v>167</v>
      </c>
      <c r="D805" s="68">
        <v>1</v>
      </c>
      <c r="E805" s="73">
        <v>9.92</v>
      </c>
      <c r="F805" s="79">
        <f>IFERROR(D805*E805,0)</f>
        <v>9.92</v>
      </c>
      <c r="G805" s="60" t="str">
        <f>INDEX(SETORES!$B:$B,MATCH(A805,SETORES!$A:$A,0))</f>
        <v>Clientes</v>
      </c>
      <c r="H805" s="60" t="s">
        <v>21</v>
      </c>
    </row>
    <row r="806" spans="1:8" ht="14.25" hidden="1" customHeight="1" x14ac:dyDescent="0.3">
      <c r="A806" s="34" t="s">
        <v>41</v>
      </c>
      <c r="B806" s="61" t="s">
        <v>155</v>
      </c>
      <c r="C806" s="61" t="s">
        <v>238</v>
      </c>
      <c r="D806" s="69">
        <v>1</v>
      </c>
      <c r="E806" s="74">
        <v>0.98039200000000004</v>
      </c>
      <c r="F806" s="80">
        <f>IFERROR(D806*E806,0)</f>
        <v>0.98039200000000004</v>
      </c>
      <c r="G806" s="61" t="str">
        <f>INDEX(SETORES!$B:$B,MATCH(A806,SETORES!$A:$A,0))</f>
        <v>Clientes</v>
      </c>
      <c r="H806" s="61" t="s">
        <v>21</v>
      </c>
    </row>
    <row r="807" spans="1:8" ht="14.25" hidden="1" customHeight="1" x14ac:dyDescent="0.3">
      <c r="A807" s="2" t="s">
        <v>41</v>
      </c>
      <c r="B807" s="60" t="s">
        <v>155</v>
      </c>
      <c r="C807" s="60" t="s">
        <v>166</v>
      </c>
      <c r="D807" s="68">
        <v>1</v>
      </c>
      <c r="E807" s="73">
        <v>50</v>
      </c>
      <c r="F807" s="79">
        <f>IFERROR(D807*E807,0)</f>
        <v>50</v>
      </c>
      <c r="G807" s="60" t="str">
        <f>INDEX(SETORES!$B:$B,MATCH(A807,SETORES!$A:$A,0))</f>
        <v>Clientes</v>
      </c>
      <c r="H807" s="60" t="s">
        <v>21</v>
      </c>
    </row>
    <row r="808" spans="1:8" ht="14.25" hidden="1" customHeight="1" x14ac:dyDescent="0.3">
      <c r="A808" s="2" t="s">
        <v>41</v>
      </c>
      <c r="B808" s="60" t="s">
        <v>155</v>
      </c>
      <c r="C808" s="60" t="s">
        <v>156</v>
      </c>
      <c r="D808" s="68"/>
      <c r="E808" s="73"/>
      <c r="F808" s="79">
        <v>0</v>
      </c>
      <c r="G808" s="60" t="str">
        <f>INDEX(SETORES!$B:$B,MATCH(A808,SETORES!$A:$A,0))</f>
        <v>Clientes</v>
      </c>
      <c r="H808" s="60" t="s">
        <v>21</v>
      </c>
    </row>
    <row r="809" spans="1:8" ht="14.25" hidden="1" customHeight="1" x14ac:dyDescent="0.3">
      <c r="A809" s="34" t="s">
        <v>41</v>
      </c>
      <c r="B809" s="61" t="s">
        <v>155</v>
      </c>
      <c r="C809" s="61" t="s">
        <v>157</v>
      </c>
      <c r="D809" s="69">
        <v>1</v>
      </c>
      <c r="E809" s="74">
        <v>37.43</v>
      </c>
      <c r="F809" s="80">
        <v>37.43</v>
      </c>
      <c r="G809" s="61" t="str">
        <f>INDEX(SETORES!$B:$B,MATCH(A809,SETORES!$A:$A,0))</f>
        <v>Clientes</v>
      </c>
      <c r="H809" s="61" t="s">
        <v>21</v>
      </c>
    </row>
    <row r="810" spans="1:8" ht="14.25" hidden="1" customHeight="1" x14ac:dyDescent="0.3">
      <c r="A810" s="2" t="s">
        <v>41</v>
      </c>
      <c r="B810" s="60" t="s">
        <v>162</v>
      </c>
      <c r="C810" s="60" t="s">
        <v>222</v>
      </c>
      <c r="D810" s="68"/>
      <c r="E810" s="73"/>
      <c r="F810" s="79">
        <f>IFERROR(D810*E810,0)</f>
        <v>0</v>
      </c>
      <c r="G810" s="60" t="str">
        <f>INDEX(SETORES!$B:$B,MATCH(A810,SETORES!$A:$A,0))</f>
        <v>Clientes</v>
      </c>
      <c r="H810" s="60" t="s">
        <v>21</v>
      </c>
    </row>
    <row r="811" spans="1:8" ht="14.25" hidden="1" customHeight="1" x14ac:dyDescent="0.3">
      <c r="A811" s="34" t="s">
        <v>41</v>
      </c>
      <c r="B811" s="61" t="s">
        <v>155</v>
      </c>
      <c r="C811" s="61" t="s">
        <v>168</v>
      </c>
      <c r="D811" s="69">
        <v>1</v>
      </c>
      <c r="E811" s="74">
        <v>2.0499999999999998</v>
      </c>
      <c r="F811" s="80">
        <f>IFERROR(D811*E811,0)</f>
        <v>2.0499999999999998</v>
      </c>
      <c r="G811" s="61" t="str">
        <f>INDEX(SETORES!$B:$B,MATCH(A811,SETORES!$A:$A,0))</f>
        <v>Clientes</v>
      </c>
      <c r="H811" s="61" t="s">
        <v>21</v>
      </c>
    </row>
    <row r="812" spans="1:8" ht="14.25" hidden="1" customHeight="1" x14ac:dyDescent="0.3">
      <c r="A812" s="34" t="s">
        <v>79</v>
      </c>
      <c r="B812" s="61" t="s">
        <v>155</v>
      </c>
      <c r="C812" s="61" t="s">
        <v>159</v>
      </c>
      <c r="D812" s="69">
        <v>5</v>
      </c>
      <c r="E812" s="74">
        <v>3.3247</v>
      </c>
      <c r="F812" s="80">
        <v>16.6235</v>
      </c>
      <c r="G812" s="61" t="str">
        <f>INDEX(SETORES!$B:$B,MATCH(A812,SETORES!$A:$A,0))</f>
        <v>Funcionários</v>
      </c>
      <c r="H812" s="61" t="s">
        <v>21</v>
      </c>
    </row>
    <row r="813" spans="1:8" ht="14.25" hidden="1" customHeight="1" x14ac:dyDescent="0.3">
      <c r="A813" s="34" t="s">
        <v>79</v>
      </c>
      <c r="B813" s="61" t="s">
        <v>162</v>
      </c>
      <c r="C813" s="61" t="s">
        <v>252</v>
      </c>
      <c r="D813" s="69">
        <v>1</v>
      </c>
      <c r="E813" s="74">
        <v>89474.31</v>
      </c>
      <c r="F813" s="80">
        <f>IFERROR(E813,0)</f>
        <v>89474.31</v>
      </c>
      <c r="G813" s="61" t="s">
        <v>98</v>
      </c>
      <c r="H813" s="61" t="s">
        <v>21</v>
      </c>
    </row>
    <row r="814" spans="1:8" ht="14.25" hidden="1" customHeight="1" x14ac:dyDescent="0.3">
      <c r="A814" s="2" t="s">
        <v>79</v>
      </c>
      <c r="B814" s="60" t="s">
        <v>162</v>
      </c>
      <c r="C814" s="60" t="s">
        <v>255</v>
      </c>
      <c r="D814" s="68">
        <v>1</v>
      </c>
      <c r="E814" s="73">
        <v>-12600</v>
      </c>
      <c r="F814" s="79">
        <f>IFERROR(E814,0)</f>
        <v>-12600</v>
      </c>
      <c r="G814" s="60" t="s">
        <v>98</v>
      </c>
      <c r="H814" s="60" t="s">
        <v>21</v>
      </c>
    </row>
    <row r="815" spans="1:8" ht="14.25" hidden="1" customHeight="1" x14ac:dyDescent="0.3">
      <c r="A815" s="2" t="s">
        <v>79</v>
      </c>
      <c r="B815" s="60" t="s">
        <v>155</v>
      </c>
      <c r="C815" s="60" t="s">
        <v>250</v>
      </c>
      <c r="D815" s="68">
        <v>1</v>
      </c>
      <c r="E815" s="73">
        <v>885.85</v>
      </c>
      <c r="F815" s="79">
        <f>IFERROR(D815*E815,0)</f>
        <v>885.85</v>
      </c>
      <c r="G815" s="60" t="s">
        <v>98</v>
      </c>
      <c r="H815" s="60" t="s">
        <v>21</v>
      </c>
    </row>
    <row r="816" spans="1:8" ht="14.25" hidden="1" customHeight="1" x14ac:dyDescent="0.3">
      <c r="A816" s="34" t="s">
        <v>79</v>
      </c>
      <c r="B816" s="61" t="s">
        <v>155</v>
      </c>
      <c r="C816" s="61" t="s">
        <v>171</v>
      </c>
      <c r="D816" s="69">
        <v>5</v>
      </c>
      <c r="E816" s="74">
        <v>43.54</v>
      </c>
      <c r="F816" s="80">
        <f>IFERROR(D816*E816,0)</f>
        <v>217.7</v>
      </c>
      <c r="G816" s="61" t="s">
        <v>98</v>
      </c>
      <c r="H816" s="61" t="s">
        <v>21</v>
      </c>
    </row>
    <row r="817" spans="1:8" ht="14.25" hidden="1" customHeight="1" x14ac:dyDescent="0.3">
      <c r="A817" s="2" t="s">
        <v>79</v>
      </c>
      <c r="B817" s="60" t="s">
        <v>155</v>
      </c>
      <c r="C817" s="60" t="s">
        <v>170</v>
      </c>
      <c r="D817" s="68">
        <v>5</v>
      </c>
      <c r="E817" s="73">
        <v>29.74</v>
      </c>
      <c r="F817" s="79">
        <f>IFERROR(D817*E817,0)</f>
        <v>148.69999999999999</v>
      </c>
      <c r="G817" s="60" t="s">
        <v>98</v>
      </c>
      <c r="H817" s="60" t="s">
        <v>21</v>
      </c>
    </row>
    <row r="818" spans="1:8" ht="14.25" customHeight="1" x14ac:dyDescent="0.3">
      <c r="A818" s="2" t="s">
        <v>79</v>
      </c>
      <c r="B818" s="60" t="s">
        <v>155</v>
      </c>
      <c r="C818" s="60" t="s">
        <v>169</v>
      </c>
      <c r="D818" s="68">
        <v>5</v>
      </c>
      <c r="E818" s="73">
        <v>47.66</v>
      </c>
      <c r="F818" s="79">
        <f>IFERROR(D818*E818,0)</f>
        <v>238.29999999999998</v>
      </c>
      <c r="G818" s="60" t="s">
        <v>98</v>
      </c>
      <c r="H818" s="60" t="s">
        <v>21</v>
      </c>
    </row>
    <row r="819" spans="1:8" ht="14.25" hidden="1" customHeight="1" x14ac:dyDescent="0.3">
      <c r="A819" s="2" t="s">
        <v>79</v>
      </c>
      <c r="B819" s="60" t="s">
        <v>155</v>
      </c>
      <c r="C819" s="60" t="s">
        <v>158</v>
      </c>
      <c r="D819" s="68">
        <v>5</v>
      </c>
      <c r="E819" s="73">
        <v>21.258199999999999</v>
      </c>
      <c r="F819" s="79">
        <v>106.291</v>
      </c>
      <c r="G819" s="60" t="str">
        <f>INDEX(SETORES!$B:$B,MATCH(A819,SETORES!$A:$A,0))</f>
        <v>Funcionários</v>
      </c>
      <c r="H819" s="60" t="s">
        <v>21</v>
      </c>
    </row>
    <row r="820" spans="1:8" ht="14.25" hidden="1" customHeight="1" x14ac:dyDescent="0.3">
      <c r="A820" s="2" t="s">
        <v>79</v>
      </c>
      <c r="B820" s="60" t="s">
        <v>155</v>
      </c>
      <c r="C820" s="60" t="s">
        <v>161</v>
      </c>
      <c r="D820" s="68">
        <v>1</v>
      </c>
      <c r="E820" s="73">
        <v>27510.6</v>
      </c>
      <c r="F820" s="79">
        <v>27510.6</v>
      </c>
      <c r="G820" s="60" t="str">
        <f>INDEX(SETORES!$B:$B,MATCH(A820,SETORES!$A:$A,0))</f>
        <v>Funcionários</v>
      </c>
      <c r="H820" s="60" t="s">
        <v>21</v>
      </c>
    </row>
    <row r="821" spans="1:8" ht="14.25" hidden="1" customHeight="1" x14ac:dyDescent="0.3">
      <c r="A821" s="34" t="s">
        <v>79</v>
      </c>
      <c r="B821" s="61" t="s">
        <v>162</v>
      </c>
      <c r="C821" s="61" t="s">
        <v>254</v>
      </c>
      <c r="D821" s="69">
        <v>1</v>
      </c>
      <c r="E821" s="74">
        <v>1170</v>
      </c>
      <c r="F821" s="80">
        <f>IFERROR(E821,0)</f>
        <v>1170</v>
      </c>
      <c r="G821" s="61" t="s">
        <v>98</v>
      </c>
      <c r="H821" s="61" t="s">
        <v>21</v>
      </c>
    </row>
    <row r="822" spans="1:8" ht="14.25" hidden="1" customHeight="1" x14ac:dyDescent="0.3">
      <c r="A822" s="34" t="s">
        <v>79</v>
      </c>
      <c r="B822" s="61" t="s">
        <v>155</v>
      </c>
      <c r="C822" s="61" t="s">
        <v>167</v>
      </c>
      <c r="D822" s="69">
        <v>5</v>
      </c>
      <c r="E822" s="74">
        <v>9.92</v>
      </c>
      <c r="F822" s="80">
        <f>IFERROR(D822*E822,0)</f>
        <v>49.6</v>
      </c>
      <c r="G822" s="61" t="s">
        <v>98</v>
      </c>
      <c r="H822" s="61" t="s">
        <v>21</v>
      </c>
    </row>
    <row r="823" spans="1:8" ht="14.25" hidden="1" customHeight="1" x14ac:dyDescent="0.3">
      <c r="A823" s="34" t="s">
        <v>79</v>
      </c>
      <c r="B823" s="61" t="s">
        <v>155</v>
      </c>
      <c r="C823" s="61" t="s">
        <v>166</v>
      </c>
      <c r="D823" s="69">
        <v>1</v>
      </c>
      <c r="E823" s="74">
        <v>50</v>
      </c>
      <c r="F823" s="80">
        <f>IFERROR(D823*E823,0)</f>
        <v>50</v>
      </c>
      <c r="G823" s="61" t="str">
        <f>INDEX(SETORES!$B:$B,MATCH(A823,SETORES!$A:$A,0))</f>
        <v>Funcionários</v>
      </c>
      <c r="H823" s="61" t="s">
        <v>21</v>
      </c>
    </row>
    <row r="824" spans="1:8" ht="14.25" hidden="1" customHeight="1" x14ac:dyDescent="0.3">
      <c r="A824" s="2" t="s">
        <v>79</v>
      </c>
      <c r="B824" s="60" t="s">
        <v>162</v>
      </c>
      <c r="C824" s="60" t="s">
        <v>253</v>
      </c>
      <c r="D824" s="68">
        <v>1</v>
      </c>
      <c r="E824" s="73">
        <v>1800.06</v>
      </c>
      <c r="F824" s="79">
        <f>IFERROR(E824,0)</f>
        <v>1800.06</v>
      </c>
      <c r="G824" s="60" t="s">
        <v>98</v>
      </c>
      <c r="H824" s="60" t="s">
        <v>21</v>
      </c>
    </row>
    <row r="825" spans="1:8" ht="14.25" hidden="1" customHeight="1" x14ac:dyDescent="0.3">
      <c r="A825" s="34" t="s">
        <v>79</v>
      </c>
      <c r="B825" s="61" t="s">
        <v>162</v>
      </c>
      <c r="C825" s="61" t="s">
        <v>209</v>
      </c>
      <c r="D825" s="69">
        <v>5</v>
      </c>
      <c r="E825" s="74">
        <v>76.92</v>
      </c>
      <c r="F825" s="80">
        <f>IFERROR(D825*E825,0)</f>
        <v>384.6</v>
      </c>
      <c r="G825" s="61" t="str">
        <f>INDEX(SETORES!$B:$B,MATCH(A825,SETORES!$A:$A,0))</f>
        <v>Funcionários</v>
      </c>
      <c r="H825" s="61" t="s">
        <v>21</v>
      </c>
    </row>
    <row r="826" spans="1:8" ht="14.25" hidden="1" customHeight="1" x14ac:dyDescent="0.3">
      <c r="A826" s="34" t="s">
        <v>79</v>
      </c>
      <c r="B826" s="61" t="s">
        <v>162</v>
      </c>
      <c r="C826" s="61" t="s">
        <v>222</v>
      </c>
      <c r="D826" s="69"/>
      <c r="E826" s="74"/>
      <c r="F826" s="80">
        <f>IFERROR(D826*E826,0)</f>
        <v>0</v>
      </c>
      <c r="G826" s="61" t="str">
        <f>INDEX(SETORES!$B:$B,MATCH(A826,SETORES!$A:$A,0))</f>
        <v>Funcionários</v>
      </c>
      <c r="H826" s="61" t="s">
        <v>21</v>
      </c>
    </row>
    <row r="827" spans="1:8" ht="14.25" hidden="1" customHeight="1" x14ac:dyDescent="0.3">
      <c r="A827" s="35" t="s">
        <v>79</v>
      </c>
      <c r="B827" s="66" t="s">
        <v>162</v>
      </c>
      <c r="C827" s="66" t="s">
        <v>222</v>
      </c>
      <c r="D827" s="66">
        <v>1</v>
      </c>
      <c r="E827" s="78">
        <v>11025.81</v>
      </c>
      <c r="F827" s="78">
        <f>D827*E827</f>
        <v>11025.81</v>
      </c>
      <c r="G827" s="66" t="s">
        <v>98</v>
      </c>
      <c r="H827" s="66" t="s">
        <v>21</v>
      </c>
    </row>
    <row r="828" spans="1:8" ht="14.25" hidden="1" customHeight="1" x14ac:dyDescent="0.3">
      <c r="A828" s="2" t="s">
        <v>79</v>
      </c>
      <c r="B828" s="60" t="s">
        <v>155</v>
      </c>
      <c r="C828" s="60" t="s">
        <v>168</v>
      </c>
      <c r="D828" s="68">
        <v>5</v>
      </c>
      <c r="E828" s="73">
        <v>2.0499999999999998</v>
      </c>
      <c r="F828" s="79">
        <f>IFERROR(D828*E828,0)</f>
        <v>10.25</v>
      </c>
      <c r="G828" s="60" t="s">
        <v>98</v>
      </c>
      <c r="H828" s="60" t="s">
        <v>21</v>
      </c>
    </row>
    <row r="829" spans="1:8" ht="14.25" hidden="1" customHeight="1" x14ac:dyDescent="0.3">
      <c r="A829" s="34" t="s">
        <v>141</v>
      </c>
      <c r="B829" s="61" t="s">
        <v>155</v>
      </c>
      <c r="C829" s="61" t="s">
        <v>161</v>
      </c>
      <c r="D829" s="69">
        <v>1</v>
      </c>
      <c r="E829" s="74">
        <v>20362.12</v>
      </c>
      <c r="F829" s="80">
        <f>D829*E829</f>
        <v>20362.12</v>
      </c>
      <c r="G829" s="61"/>
      <c r="H829" s="61" t="s">
        <v>21</v>
      </c>
    </row>
    <row r="830" spans="1:8" ht="14.25" hidden="1" customHeight="1" x14ac:dyDescent="0.3">
      <c r="A830" s="34" t="s">
        <v>80</v>
      </c>
      <c r="B830" s="61" t="s">
        <v>155</v>
      </c>
      <c r="C830" s="61" t="s">
        <v>159</v>
      </c>
      <c r="D830" s="69">
        <v>1</v>
      </c>
      <c r="E830" s="74">
        <v>7.2700000000000001E-2</v>
      </c>
      <c r="F830" s="80">
        <v>7.2700000000000001E-2</v>
      </c>
      <c r="G830" s="61" t="s">
        <v>96</v>
      </c>
      <c r="H830" s="61" t="s">
        <v>21</v>
      </c>
    </row>
    <row r="831" spans="1:8" ht="14.25" hidden="1" customHeight="1" x14ac:dyDescent="0.3">
      <c r="A831" s="2" t="s">
        <v>80</v>
      </c>
      <c r="B831" s="60" t="s">
        <v>155</v>
      </c>
      <c r="C831" s="60" t="s">
        <v>171</v>
      </c>
      <c r="D831" s="68">
        <v>3</v>
      </c>
      <c r="E831" s="73">
        <v>43.54</v>
      </c>
      <c r="F831" s="79">
        <f>IFERROR(D831*E831,0)</f>
        <v>130.62</v>
      </c>
      <c r="G831" s="61" t="s">
        <v>98</v>
      </c>
      <c r="H831" s="60" t="s">
        <v>21</v>
      </c>
    </row>
    <row r="832" spans="1:8" ht="14.25" hidden="1" customHeight="1" x14ac:dyDescent="0.3">
      <c r="A832" s="34" t="s">
        <v>80</v>
      </c>
      <c r="B832" s="61" t="s">
        <v>155</v>
      </c>
      <c r="C832" s="61" t="s">
        <v>170</v>
      </c>
      <c r="D832" s="69">
        <v>3</v>
      </c>
      <c r="E832" s="74">
        <v>29.74</v>
      </c>
      <c r="F832" s="80">
        <f>IFERROR(D832*E832,0)</f>
        <v>89.22</v>
      </c>
      <c r="G832" s="60" t="s">
        <v>98</v>
      </c>
      <c r="H832" s="61" t="s">
        <v>21</v>
      </c>
    </row>
    <row r="833" spans="1:8" ht="14.25" customHeight="1" x14ac:dyDescent="0.3">
      <c r="A833" s="34" t="s">
        <v>80</v>
      </c>
      <c r="B833" s="61" t="s">
        <v>155</v>
      </c>
      <c r="C833" s="61" t="s">
        <v>169</v>
      </c>
      <c r="D833" s="69">
        <v>3</v>
      </c>
      <c r="E833" s="74">
        <v>47.66</v>
      </c>
      <c r="F833" s="80">
        <f>IFERROR(D833*E833,0)</f>
        <v>142.97999999999999</v>
      </c>
      <c r="G833" s="60" t="s">
        <v>98</v>
      </c>
      <c r="H833" s="61" t="s">
        <v>21</v>
      </c>
    </row>
    <row r="834" spans="1:8" ht="14.25" hidden="1" customHeight="1" x14ac:dyDescent="0.3">
      <c r="A834" s="2" t="s">
        <v>80</v>
      </c>
      <c r="B834" s="60" t="s">
        <v>155</v>
      </c>
      <c r="C834" s="60" t="s">
        <v>158</v>
      </c>
      <c r="D834" s="68">
        <v>1</v>
      </c>
      <c r="E834" s="73">
        <v>24.818999999999999</v>
      </c>
      <c r="F834" s="79">
        <v>24.818999999999999</v>
      </c>
      <c r="G834" s="60" t="s">
        <v>96</v>
      </c>
      <c r="H834" s="60" t="s">
        <v>21</v>
      </c>
    </row>
    <row r="835" spans="1:8" ht="14.25" hidden="1" customHeight="1" x14ac:dyDescent="0.3">
      <c r="A835" s="34" t="s">
        <v>80</v>
      </c>
      <c r="B835" s="61" t="s">
        <v>155</v>
      </c>
      <c r="C835" s="61" t="s">
        <v>161</v>
      </c>
      <c r="D835" s="69">
        <v>1</v>
      </c>
      <c r="E835" s="74">
        <v>28674.49</v>
      </c>
      <c r="F835" s="80">
        <f>IFERROR(E835,0)</f>
        <v>28674.49</v>
      </c>
      <c r="G835" s="61" t="str">
        <f>INDEX(SETORES!$B:$B,MATCH(A835,SETORES!$A:$A,0))</f>
        <v>Clientes</v>
      </c>
      <c r="H835" s="61" t="s">
        <v>21</v>
      </c>
    </row>
    <row r="836" spans="1:8" ht="14.25" hidden="1" customHeight="1" x14ac:dyDescent="0.3">
      <c r="A836" s="2" t="s">
        <v>80</v>
      </c>
      <c r="B836" s="60" t="s">
        <v>155</v>
      </c>
      <c r="C836" s="60" t="s">
        <v>167</v>
      </c>
      <c r="D836" s="68">
        <v>3</v>
      </c>
      <c r="E836" s="73">
        <v>9.92</v>
      </c>
      <c r="F836" s="79">
        <f>IFERROR(D836*E836,0)</f>
        <v>29.759999999999998</v>
      </c>
      <c r="G836" s="60" t="str">
        <f>INDEX(SETORES!$B:$B,MATCH(A836,SETORES!$A:$A,0))</f>
        <v>Clientes</v>
      </c>
      <c r="H836" s="60" t="s">
        <v>21</v>
      </c>
    </row>
    <row r="837" spans="1:8" ht="14.25" hidden="1" customHeight="1" x14ac:dyDescent="0.3">
      <c r="A837" s="2" t="s">
        <v>80</v>
      </c>
      <c r="B837" s="60" t="s">
        <v>155</v>
      </c>
      <c r="C837" s="60" t="s">
        <v>238</v>
      </c>
      <c r="D837" s="68">
        <v>1</v>
      </c>
      <c r="E837" s="73">
        <v>2.941176</v>
      </c>
      <c r="F837" s="79">
        <f>IFERROR(D837*E837,0)</f>
        <v>2.941176</v>
      </c>
      <c r="G837" s="60" t="str">
        <f>INDEX(SETORES!$B:$B,MATCH(A837,SETORES!$A:$A,0))</f>
        <v>Clientes</v>
      </c>
      <c r="H837" s="60" t="s">
        <v>21</v>
      </c>
    </row>
    <row r="838" spans="1:8" ht="14.25" hidden="1" customHeight="1" x14ac:dyDescent="0.3">
      <c r="A838" s="2" t="s">
        <v>80</v>
      </c>
      <c r="B838" s="60" t="s">
        <v>155</v>
      </c>
      <c r="C838" s="60" t="s">
        <v>166</v>
      </c>
      <c r="D838" s="68">
        <v>2</v>
      </c>
      <c r="E838" s="73">
        <v>50</v>
      </c>
      <c r="F838" s="79">
        <f>IFERROR(D838*E838,0)</f>
        <v>100</v>
      </c>
      <c r="G838" s="60" t="str">
        <f>INDEX(SETORES!$B:$B,MATCH(A838,SETORES!$A:$A,0))</f>
        <v>Clientes</v>
      </c>
      <c r="H838" s="60" t="s">
        <v>21</v>
      </c>
    </row>
    <row r="839" spans="1:8" ht="14.25" hidden="1" customHeight="1" x14ac:dyDescent="0.3">
      <c r="A839" s="2" t="s">
        <v>80</v>
      </c>
      <c r="B839" s="60" t="s">
        <v>155</v>
      </c>
      <c r="C839" s="60" t="s">
        <v>156</v>
      </c>
      <c r="D839" s="68">
        <v>3</v>
      </c>
      <c r="E839" s="73">
        <v>2.2566999999999999</v>
      </c>
      <c r="F839" s="79">
        <v>6.7701000000000002</v>
      </c>
      <c r="G839" s="60" t="str">
        <f>INDEX(SETORES!$B:$B,MATCH(A839,SETORES!$A:$A,0))</f>
        <v>Clientes</v>
      </c>
      <c r="H839" s="60" t="s">
        <v>21</v>
      </c>
    </row>
    <row r="840" spans="1:8" ht="14.25" hidden="1" customHeight="1" x14ac:dyDescent="0.3">
      <c r="A840" s="34" t="s">
        <v>80</v>
      </c>
      <c r="B840" s="61" t="s">
        <v>155</v>
      </c>
      <c r="C840" s="61" t="s">
        <v>157</v>
      </c>
      <c r="D840" s="69">
        <v>1</v>
      </c>
      <c r="E840" s="74">
        <v>66.760000000000005</v>
      </c>
      <c r="F840" s="80">
        <v>66.760000000000005</v>
      </c>
      <c r="G840" s="61" t="str">
        <f>INDEX(SETORES!$B:$B,MATCH(A840,SETORES!$A:$A,0))</f>
        <v>Clientes</v>
      </c>
      <c r="H840" s="61" t="s">
        <v>21</v>
      </c>
    </row>
    <row r="841" spans="1:8" ht="14.25" hidden="1" customHeight="1" x14ac:dyDescent="0.3">
      <c r="A841" s="2" t="s">
        <v>80</v>
      </c>
      <c r="B841" s="60" t="s">
        <v>162</v>
      </c>
      <c r="C841" s="60" t="s">
        <v>222</v>
      </c>
      <c r="D841" s="68"/>
      <c r="E841" s="73"/>
      <c r="F841" s="79">
        <f>IFERROR(D841*E841,0)</f>
        <v>0</v>
      </c>
      <c r="G841" s="60" t="str">
        <f>INDEX(SETORES!$B:$B,MATCH(A841,SETORES!$A:$A,0))</f>
        <v>Clientes</v>
      </c>
      <c r="H841" s="60" t="s">
        <v>21</v>
      </c>
    </row>
    <row r="842" spans="1:8" ht="14.25" hidden="1" customHeight="1" x14ac:dyDescent="0.3">
      <c r="A842" s="34" t="s">
        <v>80</v>
      </c>
      <c r="B842" s="61" t="s">
        <v>155</v>
      </c>
      <c r="C842" s="61" t="s">
        <v>168</v>
      </c>
      <c r="D842" s="69">
        <v>3</v>
      </c>
      <c r="E842" s="74">
        <v>2.0499999999999998</v>
      </c>
      <c r="F842" s="80">
        <f>IFERROR(D842*E842,0)</f>
        <v>6.1499999999999995</v>
      </c>
      <c r="G842" s="61" t="str">
        <f>INDEX(SETORES!$B:$B,MATCH(A842,SETORES!$A:$A,0))</f>
        <v>Clientes</v>
      </c>
      <c r="H842" s="61" t="s">
        <v>21</v>
      </c>
    </row>
    <row r="843" spans="1:8" ht="14.25" hidden="1" customHeight="1" x14ac:dyDescent="0.3">
      <c r="A843" s="34" t="s">
        <v>42</v>
      </c>
      <c r="B843" s="61" t="s">
        <v>155</v>
      </c>
      <c r="C843" s="61" t="s">
        <v>159</v>
      </c>
      <c r="D843" s="69">
        <v>1</v>
      </c>
      <c r="E843" s="74">
        <v>4.8500000000000001E-2</v>
      </c>
      <c r="F843" s="80">
        <v>4.8500000000000001E-2</v>
      </c>
      <c r="G843" s="61" t="str">
        <f>INDEX(SETORES!$B:$B,MATCH(A843,SETORES!$A:$A,0))</f>
        <v>Clientes</v>
      </c>
      <c r="H843" s="61" t="s">
        <v>21</v>
      </c>
    </row>
    <row r="844" spans="1:8" ht="14.25" hidden="1" customHeight="1" x14ac:dyDescent="0.3">
      <c r="A844" s="34" t="s">
        <v>42</v>
      </c>
      <c r="B844" s="61" t="s">
        <v>155</v>
      </c>
      <c r="C844" s="61" t="s">
        <v>171</v>
      </c>
      <c r="D844" s="69">
        <v>2</v>
      </c>
      <c r="E844" s="74">
        <v>43.54</v>
      </c>
      <c r="F844" s="80">
        <f>IFERROR(D844*E844,0)</f>
        <v>87.08</v>
      </c>
      <c r="G844" s="61" t="s">
        <v>98</v>
      </c>
      <c r="H844" s="61" t="s">
        <v>21</v>
      </c>
    </row>
    <row r="845" spans="1:8" ht="14.25" hidden="1" customHeight="1" x14ac:dyDescent="0.3">
      <c r="A845" s="2" t="s">
        <v>42</v>
      </c>
      <c r="B845" s="60" t="s">
        <v>155</v>
      </c>
      <c r="C845" s="60" t="s">
        <v>170</v>
      </c>
      <c r="D845" s="68">
        <v>2</v>
      </c>
      <c r="E845" s="73">
        <v>29.74</v>
      </c>
      <c r="F845" s="79">
        <f>IFERROR(D845*E845,0)</f>
        <v>59.48</v>
      </c>
      <c r="G845" s="60" t="s">
        <v>98</v>
      </c>
      <c r="H845" s="60" t="s">
        <v>21</v>
      </c>
    </row>
    <row r="846" spans="1:8" ht="14.25" customHeight="1" x14ac:dyDescent="0.3">
      <c r="A846" s="2" t="s">
        <v>42</v>
      </c>
      <c r="B846" s="60" t="s">
        <v>155</v>
      </c>
      <c r="C846" s="60" t="s">
        <v>169</v>
      </c>
      <c r="D846" s="68">
        <v>2</v>
      </c>
      <c r="E846" s="73">
        <v>47.66</v>
      </c>
      <c r="F846" s="79">
        <f>IFERROR(D846*E846,0)</f>
        <v>95.32</v>
      </c>
      <c r="G846" s="60" t="s">
        <v>98</v>
      </c>
      <c r="H846" s="60" t="s">
        <v>21</v>
      </c>
    </row>
    <row r="847" spans="1:8" ht="14.25" hidden="1" customHeight="1" x14ac:dyDescent="0.3">
      <c r="A847" s="2" t="s">
        <v>42</v>
      </c>
      <c r="B847" s="60" t="s">
        <v>155</v>
      </c>
      <c r="C847" s="60" t="s">
        <v>158</v>
      </c>
      <c r="D847" s="68">
        <v>1</v>
      </c>
      <c r="E847" s="73">
        <v>16.545999999999999</v>
      </c>
      <c r="F847" s="79">
        <v>16.545999999999999</v>
      </c>
      <c r="G847" s="60" t="str">
        <f>INDEX(SETORES!$B:$B,MATCH(A847,SETORES!$A:$A,0))</f>
        <v>Clientes</v>
      </c>
      <c r="H847" s="60" t="s">
        <v>21</v>
      </c>
    </row>
    <row r="848" spans="1:8" ht="14.25" hidden="1" customHeight="1" x14ac:dyDescent="0.3">
      <c r="A848" s="34" t="s">
        <v>42</v>
      </c>
      <c r="B848" s="61" t="s">
        <v>162</v>
      </c>
      <c r="C848" s="61" t="s">
        <v>163</v>
      </c>
      <c r="D848" s="69"/>
      <c r="E848" s="74"/>
      <c r="F848" s="80">
        <f>IFERROR(D848*E848,0)</f>
        <v>0</v>
      </c>
      <c r="G848" s="61" t="str">
        <f>INDEX(SETORES!$B:$B,MATCH(A848,SETORES!$A:$A,0))</f>
        <v>Clientes</v>
      </c>
      <c r="H848" s="61" t="s">
        <v>21</v>
      </c>
    </row>
    <row r="849" spans="1:8" ht="14.25" hidden="1" customHeight="1" x14ac:dyDescent="0.3">
      <c r="A849" s="2" t="s">
        <v>42</v>
      </c>
      <c r="B849" s="60" t="s">
        <v>162</v>
      </c>
      <c r="C849" s="60" t="s">
        <v>164</v>
      </c>
      <c r="D849" s="68"/>
      <c r="E849" s="73"/>
      <c r="F849" s="79">
        <f>IFERROR(D849*E849,0)</f>
        <v>0</v>
      </c>
      <c r="G849" s="60" t="str">
        <f>INDEX(SETORES!$B:$B,MATCH(A849,SETORES!$A:$A,0))</f>
        <v>Clientes</v>
      </c>
      <c r="H849" s="60" t="s">
        <v>21</v>
      </c>
    </row>
    <row r="850" spans="1:8" ht="14.25" hidden="1" customHeight="1" x14ac:dyDescent="0.3">
      <c r="A850" s="34" t="s">
        <v>42</v>
      </c>
      <c r="B850" s="61" t="s">
        <v>155</v>
      </c>
      <c r="C850" s="61" t="s">
        <v>161</v>
      </c>
      <c r="D850" s="69">
        <v>1</v>
      </c>
      <c r="E850" s="74">
        <v>27129.8033777778</v>
      </c>
      <c r="F850" s="80">
        <f>IFERROR(E850,0)</f>
        <v>27129.8033777778</v>
      </c>
      <c r="G850" s="61" t="str">
        <f>INDEX(SETORES!$B:$B,MATCH(A850,SETORES!$A:$A,0))</f>
        <v>Clientes</v>
      </c>
      <c r="H850" s="61" t="s">
        <v>21</v>
      </c>
    </row>
    <row r="851" spans="1:8" ht="14.25" hidden="1" customHeight="1" x14ac:dyDescent="0.3">
      <c r="A851" s="2" t="s">
        <v>42</v>
      </c>
      <c r="B851" s="60" t="s">
        <v>155</v>
      </c>
      <c r="C851" s="60" t="s">
        <v>167</v>
      </c>
      <c r="D851" s="68">
        <v>2</v>
      </c>
      <c r="E851" s="73">
        <v>9.92</v>
      </c>
      <c r="F851" s="79">
        <f>IFERROR(D851*E851,0)</f>
        <v>19.84</v>
      </c>
      <c r="G851" s="60" t="str">
        <f>INDEX(SETORES!$B:$B,MATCH(A851,SETORES!$A:$A,0))</f>
        <v>Clientes</v>
      </c>
      <c r="H851" s="60" t="s">
        <v>21</v>
      </c>
    </row>
    <row r="852" spans="1:8" ht="14.25" hidden="1" customHeight="1" x14ac:dyDescent="0.3">
      <c r="A852" s="34" t="s">
        <v>42</v>
      </c>
      <c r="B852" s="61" t="s">
        <v>155</v>
      </c>
      <c r="C852" s="61" t="s">
        <v>238</v>
      </c>
      <c r="D852" s="69">
        <v>1</v>
      </c>
      <c r="E852" s="74">
        <v>1.9607840000000001</v>
      </c>
      <c r="F852" s="80">
        <f>IFERROR(D852*E852,0)</f>
        <v>1.9607840000000001</v>
      </c>
      <c r="G852" s="61" t="str">
        <f>INDEX(SETORES!$B:$B,MATCH(A852,SETORES!$A:$A,0))</f>
        <v>Clientes</v>
      </c>
      <c r="H852" s="61" t="s">
        <v>21</v>
      </c>
    </row>
    <row r="853" spans="1:8" ht="14.25" hidden="1" customHeight="1" x14ac:dyDescent="0.3">
      <c r="A853" s="34" t="s">
        <v>42</v>
      </c>
      <c r="B853" s="61" t="s">
        <v>155</v>
      </c>
      <c r="C853" s="61" t="s">
        <v>166</v>
      </c>
      <c r="D853" s="69">
        <v>2</v>
      </c>
      <c r="E853" s="74">
        <v>50</v>
      </c>
      <c r="F853" s="80">
        <f>IFERROR(D853*E853,0)</f>
        <v>100</v>
      </c>
      <c r="G853" s="61" t="str">
        <f>INDEX(SETORES!$B:$B,MATCH(A853,SETORES!$A:$A,0))</f>
        <v>Clientes</v>
      </c>
      <c r="H853" s="61" t="s">
        <v>21</v>
      </c>
    </row>
    <row r="854" spans="1:8" ht="14.25" hidden="1" customHeight="1" x14ac:dyDescent="0.3">
      <c r="A854" s="2" t="s">
        <v>42</v>
      </c>
      <c r="B854" s="60" t="s">
        <v>155</v>
      </c>
      <c r="C854" s="60" t="s">
        <v>156</v>
      </c>
      <c r="D854" s="68">
        <v>2</v>
      </c>
      <c r="E854" s="73">
        <v>3.3849999999999998</v>
      </c>
      <c r="F854" s="79">
        <v>6.77</v>
      </c>
      <c r="G854" s="60" t="str">
        <f>INDEX(SETORES!$B:$B,MATCH(A854,SETORES!$A:$A,0))</f>
        <v>Clientes</v>
      </c>
      <c r="H854" s="60" t="s">
        <v>21</v>
      </c>
    </row>
    <row r="855" spans="1:8" ht="14.25" hidden="1" customHeight="1" x14ac:dyDescent="0.3">
      <c r="A855" s="34" t="s">
        <v>42</v>
      </c>
      <c r="B855" s="61" t="s">
        <v>155</v>
      </c>
      <c r="C855" s="61" t="s">
        <v>157</v>
      </c>
      <c r="D855" s="69">
        <v>1</v>
      </c>
      <c r="E855" s="74">
        <v>78.930000000000007</v>
      </c>
      <c r="F855" s="80">
        <v>78.930000000000007</v>
      </c>
      <c r="G855" s="61" t="str">
        <f>INDEX(SETORES!$B:$B,MATCH(A855,SETORES!$A:$A,0))</f>
        <v>Clientes</v>
      </c>
      <c r="H855" s="61" t="s">
        <v>21</v>
      </c>
    </row>
    <row r="856" spans="1:8" ht="14.25" hidden="1" customHeight="1" x14ac:dyDescent="0.3">
      <c r="A856" s="34" t="s">
        <v>42</v>
      </c>
      <c r="B856" s="61" t="s">
        <v>162</v>
      </c>
      <c r="C856" s="61" t="s">
        <v>222</v>
      </c>
      <c r="D856" s="69"/>
      <c r="E856" s="74"/>
      <c r="F856" s="80">
        <f>IFERROR(D856*E856,0)</f>
        <v>0</v>
      </c>
      <c r="G856" s="61" t="str">
        <f>INDEX(SETORES!$B:$B,MATCH(A856,SETORES!$A:$A,0))</f>
        <v>Clientes</v>
      </c>
      <c r="H856" s="61" t="s">
        <v>21</v>
      </c>
    </row>
    <row r="857" spans="1:8" ht="14.25" hidden="1" customHeight="1" x14ac:dyDescent="0.3">
      <c r="A857" s="34" t="s">
        <v>42</v>
      </c>
      <c r="B857" s="61" t="s">
        <v>155</v>
      </c>
      <c r="C857" s="61" t="s">
        <v>168</v>
      </c>
      <c r="D857" s="69">
        <v>2</v>
      </c>
      <c r="E857" s="74">
        <v>2.0499999999999998</v>
      </c>
      <c r="F857" s="80">
        <f>IFERROR(D857*E857,0)</f>
        <v>4.0999999999999996</v>
      </c>
      <c r="G857" s="61" t="str">
        <f>INDEX(SETORES!$B:$B,MATCH(A857,SETORES!$A:$A,0))</f>
        <v>Clientes</v>
      </c>
      <c r="H857" s="61" t="s">
        <v>21</v>
      </c>
    </row>
    <row r="858" spans="1:8" ht="14.25" hidden="1" customHeight="1" x14ac:dyDescent="0.3">
      <c r="A858" s="2" t="s">
        <v>42</v>
      </c>
      <c r="B858" s="60" t="s">
        <v>155</v>
      </c>
      <c r="C858" s="60" t="s">
        <v>160</v>
      </c>
      <c r="D858" s="68"/>
      <c r="E858" s="73"/>
      <c r="F858" s="79">
        <f>IFERROR(D858*E858,0)</f>
        <v>0</v>
      </c>
      <c r="G858" s="60" t="str">
        <f>INDEX(SETORES!$B:$B,MATCH(A858,SETORES!$A:$A,0))</f>
        <v>Clientes</v>
      </c>
      <c r="H858" s="60" t="s">
        <v>21</v>
      </c>
    </row>
    <row r="859" spans="1:8" ht="14.25" hidden="1" customHeight="1" x14ac:dyDescent="0.3">
      <c r="A859" s="2" t="s">
        <v>42</v>
      </c>
      <c r="B859" s="60" t="s">
        <v>162</v>
      </c>
      <c r="C859" s="60" t="s">
        <v>215</v>
      </c>
      <c r="D859" s="68"/>
      <c r="E859" s="73"/>
      <c r="F859" s="79">
        <f>IFERROR(D859*E859,0)</f>
        <v>0</v>
      </c>
      <c r="G859" s="60" t="str">
        <f>INDEX(SETORES!$B:$B,MATCH(A859,SETORES!$A:$A,0))</f>
        <v>Clientes</v>
      </c>
      <c r="H859" s="60" t="s">
        <v>21</v>
      </c>
    </row>
    <row r="860" spans="1:8" ht="14.25" hidden="1" customHeight="1" x14ac:dyDescent="0.3">
      <c r="A860" s="34" t="s">
        <v>33</v>
      </c>
      <c r="B860" s="61" t="s">
        <v>155</v>
      </c>
      <c r="C860" s="61" t="s">
        <v>159</v>
      </c>
      <c r="D860" s="69">
        <v>1</v>
      </c>
      <c r="E860" s="74">
        <v>0.16969999999999999</v>
      </c>
      <c r="F860" s="80">
        <v>0.16969999999999999</v>
      </c>
      <c r="G860" s="61" t="str">
        <f>INDEX(SETORES!$B:$B,MATCH(A860,SETORES!$A:$A,0))</f>
        <v>Funcionários</v>
      </c>
      <c r="H860" s="61" t="s">
        <v>21</v>
      </c>
    </row>
    <row r="861" spans="1:8" ht="14.25" hidden="1" customHeight="1" x14ac:dyDescent="0.3">
      <c r="A861" s="2" t="s">
        <v>33</v>
      </c>
      <c r="B861" s="60" t="s">
        <v>155</v>
      </c>
      <c r="C861" s="60" t="s">
        <v>212</v>
      </c>
      <c r="D861" s="68">
        <v>2</v>
      </c>
      <c r="E861" s="73">
        <v>30</v>
      </c>
      <c r="F861" s="79">
        <f>IFERROR(D861*E861,0)</f>
        <v>60</v>
      </c>
      <c r="G861" s="60" t="str">
        <f>INDEX(SETORES!$B:$B,MATCH(A861,SETORES!$A:$A,0))</f>
        <v>Funcionários</v>
      </c>
      <c r="H861" s="60" t="s">
        <v>21</v>
      </c>
    </row>
    <row r="862" spans="1:8" ht="14.25" hidden="1" customHeight="1" x14ac:dyDescent="0.3">
      <c r="A862" s="2" t="s">
        <v>33</v>
      </c>
      <c r="B862" s="60" t="s">
        <v>155</v>
      </c>
      <c r="C862" s="60" t="s">
        <v>171</v>
      </c>
      <c r="D862" s="68">
        <v>7</v>
      </c>
      <c r="E862" s="73">
        <v>43.54</v>
      </c>
      <c r="F862" s="79">
        <f>IFERROR(D862*E862,0)</f>
        <v>304.77999999999997</v>
      </c>
      <c r="G862" s="60" t="str">
        <f>INDEX(SETORES!$B:$B,MATCH(A862,SETORES!$A:$A,0))</f>
        <v>Funcionários</v>
      </c>
      <c r="H862" s="60" t="s">
        <v>21</v>
      </c>
    </row>
    <row r="863" spans="1:8" ht="14.25" hidden="1" customHeight="1" x14ac:dyDescent="0.3">
      <c r="A863" s="34" t="s">
        <v>33</v>
      </c>
      <c r="B863" s="61" t="s">
        <v>155</v>
      </c>
      <c r="C863" s="61" t="s">
        <v>170</v>
      </c>
      <c r="D863" s="69">
        <v>7</v>
      </c>
      <c r="E863" s="74">
        <v>29.74</v>
      </c>
      <c r="F863" s="80">
        <f>IFERROR(D863*E863,0)</f>
        <v>208.17999999999998</v>
      </c>
      <c r="G863" s="60" t="s">
        <v>98</v>
      </c>
      <c r="H863" s="61" t="s">
        <v>21</v>
      </c>
    </row>
    <row r="864" spans="1:8" ht="14.25" customHeight="1" x14ac:dyDescent="0.3">
      <c r="A864" s="34" t="s">
        <v>33</v>
      </c>
      <c r="B864" s="61" t="s">
        <v>155</v>
      </c>
      <c r="C864" s="61" t="s">
        <v>169</v>
      </c>
      <c r="D864" s="69">
        <v>7</v>
      </c>
      <c r="E864" s="74">
        <v>47.66</v>
      </c>
      <c r="F864" s="80">
        <f>IFERROR(D864*E864,0)</f>
        <v>333.62</v>
      </c>
      <c r="G864" s="60" t="s">
        <v>98</v>
      </c>
      <c r="H864" s="61" t="s">
        <v>21</v>
      </c>
    </row>
    <row r="865" spans="1:8" ht="14.25" hidden="1" customHeight="1" x14ac:dyDescent="0.3">
      <c r="A865" s="2" t="s">
        <v>33</v>
      </c>
      <c r="B865" s="60" t="s">
        <v>155</v>
      </c>
      <c r="C865" s="60" t="s">
        <v>158</v>
      </c>
      <c r="D865" s="68">
        <v>1</v>
      </c>
      <c r="E865" s="73">
        <v>57.911000000000001</v>
      </c>
      <c r="F865" s="79">
        <v>57.911000000000001</v>
      </c>
      <c r="G865" s="60" t="str">
        <f>INDEX(SETORES!$B:$B,MATCH(A865,SETORES!$A:$A,0))</f>
        <v>Funcionários</v>
      </c>
      <c r="H865" s="60" t="s">
        <v>21</v>
      </c>
    </row>
    <row r="866" spans="1:8" ht="14.25" hidden="1" customHeight="1" x14ac:dyDescent="0.3">
      <c r="A866" s="2" t="s">
        <v>33</v>
      </c>
      <c r="B866" s="60" t="s">
        <v>162</v>
      </c>
      <c r="C866" s="60" t="s">
        <v>165</v>
      </c>
      <c r="D866" s="68">
        <v>1</v>
      </c>
      <c r="E866" s="73">
        <v>65</v>
      </c>
      <c r="F866" s="79">
        <f>IFERROR(D866*E866,0)</f>
        <v>65</v>
      </c>
      <c r="G866" s="60" t="str">
        <f>INDEX(SETORES!$B:$B,MATCH(A866,SETORES!$A:$A,0))</f>
        <v>Funcionários</v>
      </c>
      <c r="H866" s="60" t="s">
        <v>21</v>
      </c>
    </row>
    <row r="867" spans="1:8" ht="14.25" hidden="1" customHeight="1" x14ac:dyDescent="0.3">
      <c r="A867" s="2" t="s">
        <v>33</v>
      </c>
      <c r="B867" s="60" t="s">
        <v>162</v>
      </c>
      <c r="C867" s="60" t="s">
        <v>163</v>
      </c>
      <c r="D867" s="68"/>
      <c r="E867" s="73"/>
      <c r="F867" s="79">
        <f>IFERROR(D867*E867,0)</f>
        <v>0</v>
      </c>
      <c r="G867" s="60" t="str">
        <f>INDEX(SETORES!$B:$B,MATCH(A867,SETORES!$A:$A,0))</f>
        <v>Funcionários</v>
      </c>
      <c r="H867" s="60" t="s">
        <v>21</v>
      </c>
    </row>
    <row r="868" spans="1:8" ht="14.25" hidden="1" customHeight="1" x14ac:dyDescent="0.3">
      <c r="A868" s="34" t="s">
        <v>33</v>
      </c>
      <c r="B868" s="61" t="s">
        <v>162</v>
      </c>
      <c r="C868" s="61" t="s">
        <v>164</v>
      </c>
      <c r="D868" s="69"/>
      <c r="E868" s="74"/>
      <c r="F868" s="80">
        <f>IFERROR(D868*E868,0)</f>
        <v>0</v>
      </c>
      <c r="G868" s="61" t="str">
        <f>INDEX(SETORES!$B:$B,MATCH(A868,SETORES!$A:$A,0))</f>
        <v>Funcionários</v>
      </c>
      <c r="H868" s="61" t="s">
        <v>21</v>
      </c>
    </row>
    <row r="869" spans="1:8" ht="14.25" hidden="1" customHeight="1" x14ac:dyDescent="0.3">
      <c r="A869" s="34" t="s">
        <v>33</v>
      </c>
      <c r="B869" s="61" t="s">
        <v>155</v>
      </c>
      <c r="C869" s="61" t="s">
        <v>161</v>
      </c>
      <c r="D869" s="69">
        <v>1</v>
      </c>
      <c r="E869" s="74">
        <v>43775.11</v>
      </c>
      <c r="F869" s="80">
        <f>IFERROR(E869,0)</f>
        <v>43775.11</v>
      </c>
      <c r="G869" s="61" t="str">
        <f>INDEX(SETORES!$B:$B,MATCH(A869,SETORES!$A:$A,0))</f>
        <v>Funcionários</v>
      </c>
      <c r="H869" s="61" t="s">
        <v>21</v>
      </c>
    </row>
    <row r="870" spans="1:8" ht="14.25" hidden="1" customHeight="1" x14ac:dyDescent="0.3">
      <c r="A870" s="2" t="s">
        <v>33</v>
      </c>
      <c r="B870" s="60" t="s">
        <v>155</v>
      </c>
      <c r="C870" s="60" t="s">
        <v>167</v>
      </c>
      <c r="D870" s="68">
        <v>7</v>
      </c>
      <c r="E870" s="73">
        <v>9.92</v>
      </c>
      <c r="F870" s="79">
        <f>IFERROR(D870*E870,0)</f>
        <v>69.44</v>
      </c>
      <c r="G870" s="60" t="str">
        <f>INDEX(SETORES!$B:$B,MATCH(A870,SETORES!$A:$A,0))</f>
        <v>Funcionários</v>
      </c>
      <c r="H870" s="60" t="s">
        <v>21</v>
      </c>
    </row>
    <row r="871" spans="1:8" ht="14.25" hidden="1" customHeight="1" x14ac:dyDescent="0.3">
      <c r="A871" s="34" t="s">
        <v>33</v>
      </c>
      <c r="B871" s="61" t="s">
        <v>162</v>
      </c>
      <c r="C871" s="61" t="s">
        <v>214</v>
      </c>
      <c r="D871" s="69"/>
      <c r="E871" s="74"/>
      <c r="F871" s="80">
        <f>IFERROR(D871*E871,0)</f>
        <v>0</v>
      </c>
      <c r="G871" s="61" t="str">
        <f>INDEX(SETORES!$B:$B,MATCH(A871,SETORES!$A:$A,0))</f>
        <v>Funcionários</v>
      </c>
      <c r="H871" s="61" t="s">
        <v>21</v>
      </c>
    </row>
    <row r="872" spans="1:8" ht="14.25" hidden="1" customHeight="1" x14ac:dyDescent="0.3">
      <c r="A872" s="34" t="s">
        <v>33</v>
      </c>
      <c r="B872" s="61" t="s">
        <v>155</v>
      </c>
      <c r="C872" s="61" t="s">
        <v>238</v>
      </c>
      <c r="D872" s="69">
        <v>1</v>
      </c>
      <c r="E872" s="74">
        <v>153.58000000000001</v>
      </c>
      <c r="F872" s="80">
        <f>IFERROR(D872*E872,0)</f>
        <v>153.58000000000001</v>
      </c>
      <c r="G872" s="61" t="str">
        <f>INDEX(SETORES!$B:$B,MATCH(A872,SETORES!$A:$A,0))</f>
        <v>Funcionários</v>
      </c>
      <c r="H872" s="61" t="s">
        <v>21</v>
      </c>
    </row>
    <row r="873" spans="1:8" ht="14.25" hidden="1" customHeight="1" x14ac:dyDescent="0.3">
      <c r="A873" s="2" t="s">
        <v>33</v>
      </c>
      <c r="B873" s="60" t="s">
        <v>155</v>
      </c>
      <c r="C873" s="60" t="s">
        <v>166</v>
      </c>
      <c r="D873" s="68">
        <v>7</v>
      </c>
      <c r="E873" s="73">
        <v>50</v>
      </c>
      <c r="F873" s="79">
        <f>IFERROR(D873*E873,0)</f>
        <v>350</v>
      </c>
      <c r="G873" s="60" t="str">
        <f>INDEX(SETORES!$B:$B,MATCH(A873,SETORES!$A:$A,0))</f>
        <v>Funcionários</v>
      </c>
      <c r="H873" s="60" t="s">
        <v>21</v>
      </c>
    </row>
    <row r="874" spans="1:8" ht="14.25" hidden="1" customHeight="1" x14ac:dyDescent="0.3">
      <c r="A874" s="34" t="s">
        <v>33</v>
      </c>
      <c r="B874" s="61" t="s">
        <v>155</v>
      </c>
      <c r="C874" s="61" t="s">
        <v>177</v>
      </c>
      <c r="D874" s="69">
        <v>1</v>
      </c>
      <c r="E874" s="74">
        <v>2559.44</v>
      </c>
      <c r="F874" s="80">
        <f>IFERROR(D874*E874,0)</f>
        <v>2559.44</v>
      </c>
      <c r="G874" s="61" t="str">
        <f>INDEX(SETORES!$B:$B,MATCH(A874,SETORES!$A:$A,0))</f>
        <v>Funcionários</v>
      </c>
      <c r="H874" s="61" t="s">
        <v>21</v>
      </c>
    </row>
    <row r="875" spans="1:8" ht="14.25" hidden="1" customHeight="1" x14ac:dyDescent="0.3">
      <c r="A875" s="2" t="s">
        <v>33</v>
      </c>
      <c r="B875" s="60" t="s">
        <v>155</v>
      </c>
      <c r="C875" s="60" t="s">
        <v>156</v>
      </c>
      <c r="D875" s="68"/>
      <c r="E875" s="73"/>
      <c r="F875" s="79">
        <v>0</v>
      </c>
      <c r="G875" s="60" t="str">
        <f>INDEX(SETORES!$B:$B,MATCH(A875,SETORES!$A:$A,0))</f>
        <v>Funcionários</v>
      </c>
      <c r="H875" s="60" t="s">
        <v>21</v>
      </c>
    </row>
    <row r="876" spans="1:8" ht="14.25" hidden="1" customHeight="1" x14ac:dyDescent="0.3">
      <c r="A876" s="34" t="s">
        <v>33</v>
      </c>
      <c r="B876" s="61" t="s">
        <v>155</v>
      </c>
      <c r="C876" s="61" t="s">
        <v>157</v>
      </c>
      <c r="D876" s="69">
        <v>1</v>
      </c>
      <c r="E876" s="74">
        <v>75.540000000000006</v>
      </c>
      <c r="F876" s="80">
        <v>75.540000000000006</v>
      </c>
      <c r="G876" s="61" t="str">
        <f>INDEX(SETORES!$B:$B,MATCH(A876,SETORES!$A:$A,0))</f>
        <v>Funcionários</v>
      </c>
      <c r="H876" s="61" t="s">
        <v>21</v>
      </c>
    </row>
    <row r="877" spans="1:8" ht="14.25" hidden="1" customHeight="1" x14ac:dyDescent="0.3">
      <c r="A877" s="2" t="s">
        <v>33</v>
      </c>
      <c r="B877" s="60" t="s">
        <v>155</v>
      </c>
      <c r="C877" s="60" t="s">
        <v>239</v>
      </c>
      <c r="D877" s="68">
        <v>1</v>
      </c>
      <c r="E877" s="73">
        <v>4226.8</v>
      </c>
      <c r="F877" s="79">
        <f>IFERROR(D877*E877,0)</f>
        <v>4226.8</v>
      </c>
      <c r="G877" s="60" t="str">
        <f>INDEX(SETORES!$B:$B,MATCH(A877,SETORES!$A:$A,0))</f>
        <v>Funcionários</v>
      </c>
      <c r="H877" s="60" t="s">
        <v>21</v>
      </c>
    </row>
    <row r="878" spans="1:8" ht="14.25" hidden="1" customHeight="1" x14ac:dyDescent="0.3">
      <c r="A878" s="34" t="s">
        <v>33</v>
      </c>
      <c r="B878" s="61" t="s">
        <v>155</v>
      </c>
      <c r="C878" s="61" t="s">
        <v>180</v>
      </c>
      <c r="D878" s="69">
        <v>1</v>
      </c>
      <c r="E878" s="74">
        <v>3800</v>
      </c>
      <c r="F878" s="80">
        <f>IFERROR(D878*E878,0)</f>
        <v>3800</v>
      </c>
      <c r="G878" s="61" t="str">
        <f>INDEX(SETORES!$B:$B,MATCH(A878,SETORES!$A:$A,0))</f>
        <v>Funcionários</v>
      </c>
      <c r="H878" s="61" t="s">
        <v>21</v>
      </c>
    </row>
    <row r="879" spans="1:8" ht="14.25" hidden="1" customHeight="1" x14ac:dyDescent="0.3">
      <c r="A879" s="2" t="s">
        <v>33</v>
      </c>
      <c r="B879" s="60" t="s">
        <v>155</v>
      </c>
      <c r="C879" s="60" t="s">
        <v>179</v>
      </c>
      <c r="D879" s="68">
        <v>1</v>
      </c>
      <c r="E879" s="73">
        <v>1099.93</v>
      </c>
      <c r="F879" s="79">
        <f>IFERROR(D879*E879,0)</f>
        <v>1099.93</v>
      </c>
      <c r="G879" s="60" t="str">
        <f>INDEX(SETORES!$B:$B,MATCH(A879,SETORES!$A:$A,0))</f>
        <v>Funcionários</v>
      </c>
      <c r="H879" s="60" t="s">
        <v>21</v>
      </c>
    </row>
    <row r="880" spans="1:8" ht="14.25" hidden="1" customHeight="1" x14ac:dyDescent="0.3">
      <c r="A880" s="34" t="s">
        <v>33</v>
      </c>
      <c r="B880" s="61" t="s">
        <v>155</v>
      </c>
      <c r="C880" s="61" t="s">
        <v>168</v>
      </c>
      <c r="D880" s="69">
        <v>7</v>
      </c>
      <c r="E880" s="74">
        <v>2.0499999999999998</v>
      </c>
      <c r="F880" s="80">
        <f>IFERROR(D880*E880,0)</f>
        <v>14.349999999999998</v>
      </c>
      <c r="G880" s="61" t="str">
        <f>INDEX(SETORES!$B:$B,MATCH(A880,SETORES!$A:$A,0))</f>
        <v>Funcionários</v>
      </c>
      <c r="H880" s="61" t="s">
        <v>21</v>
      </c>
    </row>
    <row r="881" spans="1:8" ht="14.25" hidden="1" customHeight="1" x14ac:dyDescent="0.3">
      <c r="A881" s="2" t="s">
        <v>33</v>
      </c>
      <c r="B881" s="60" t="s">
        <v>155</v>
      </c>
      <c r="C881" s="60" t="s">
        <v>160</v>
      </c>
      <c r="D881" s="68"/>
      <c r="E881" s="73"/>
      <c r="F881" s="79">
        <f>IFERROR(D881*E881,0)</f>
        <v>0</v>
      </c>
      <c r="G881" s="60" t="str">
        <f>INDEX(SETORES!$B:$B,MATCH(A881,SETORES!$A:$A,0))</f>
        <v>Funcionários</v>
      </c>
      <c r="H881" s="60" t="s">
        <v>21</v>
      </c>
    </row>
    <row r="882" spans="1:8" ht="14.25" hidden="1" customHeight="1" x14ac:dyDescent="0.3">
      <c r="A882" s="2" t="s">
        <v>45</v>
      </c>
      <c r="B882" s="60" t="s">
        <v>155</v>
      </c>
      <c r="C882" s="60" t="s">
        <v>159</v>
      </c>
      <c r="D882" s="68">
        <v>10</v>
      </c>
      <c r="E882" s="73">
        <v>3.3247</v>
      </c>
      <c r="F882" s="79">
        <v>33.247</v>
      </c>
      <c r="G882" s="60" t="str">
        <f>INDEX(SETORES!$B:$B,MATCH(A882,SETORES!$A:$A,0))</f>
        <v>Clientes</v>
      </c>
      <c r="H882" s="60" t="s">
        <v>21</v>
      </c>
    </row>
    <row r="883" spans="1:8" ht="14.25" hidden="1" customHeight="1" x14ac:dyDescent="0.3">
      <c r="A883" s="34" t="s">
        <v>45</v>
      </c>
      <c r="B883" s="61" t="s">
        <v>155</v>
      </c>
      <c r="C883" s="61" t="s">
        <v>212</v>
      </c>
      <c r="D883" s="69">
        <v>8</v>
      </c>
      <c r="E883" s="74">
        <v>30</v>
      </c>
      <c r="F883" s="80">
        <f>IFERROR(D883*E883,0)</f>
        <v>240</v>
      </c>
      <c r="G883" s="61" t="str">
        <f>INDEX(SETORES!$B:$B,MATCH(A883,SETORES!$A:$A,0))</f>
        <v>Clientes</v>
      </c>
      <c r="H883" s="61" t="s">
        <v>21</v>
      </c>
    </row>
    <row r="884" spans="1:8" ht="14.25" hidden="1" customHeight="1" x14ac:dyDescent="0.3">
      <c r="A884" s="2" t="s">
        <v>45</v>
      </c>
      <c r="B884" s="60" t="s">
        <v>162</v>
      </c>
      <c r="C884" s="60" t="s">
        <v>217</v>
      </c>
      <c r="D884" s="68">
        <v>1</v>
      </c>
      <c r="E884" s="73">
        <v>6506.65</v>
      </c>
      <c r="F884" s="79">
        <f>IFERROR(D884*E884,0)</f>
        <v>6506.65</v>
      </c>
      <c r="G884" s="60" t="str">
        <f>INDEX(SETORES!$B:$B,MATCH(A884,SETORES!$A:$A,0))</f>
        <v>Clientes</v>
      </c>
      <c r="H884" s="60" t="s">
        <v>21</v>
      </c>
    </row>
    <row r="885" spans="1:8" ht="14.25" hidden="1" customHeight="1" x14ac:dyDescent="0.3">
      <c r="A885" s="34" t="s">
        <v>45</v>
      </c>
      <c r="B885" s="61" t="s">
        <v>155</v>
      </c>
      <c r="C885" s="61" t="s">
        <v>250</v>
      </c>
      <c r="D885" s="69">
        <v>1</v>
      </c>
      <c r="E885" s="74">
        <v>1771.7</v>
      </c>
      <c r="F885" s="80">
        <f>IFERROR(D885*E885,0)</f>
        <v>1771.7</v>
      </c>
      <c r="G885" s="61" t="str">
        <f>INDEX(SETORES!$B:$B,MATCH(A885,SETORES!$A:$A,0))</f>
        <v>Clientes</v>
      </c>
      <c r="H885" s="61" t="s">
        <v>21</v>
      </c>
    </row>
    <row r="886" spans="1:8" ht="14.25" hidden="1" customHeight="1" x14ac:dyDescent="0.3">
      <c r="A886" s="2" t="s">
        <v>45</v>
      </c>
      <c r="B886" s="60" t="s">
        <v>155</v>
      </c>
      <c r="C886" s="60" t="s">
        <v>171</v>
      </c>
      <c r="D886" s="68">
        <v>10</v>
      </c>
      <c r="E886" s="73">
        <v>43.54</v>
      </c>
      <c r="F886" s="79">
        <f>IFERROR(D886*E886,0)</f>
        <v>435.4</v>
      </c>
      <c r="G886" s="60" t="s">
        <v>98</v>
      </c>
      <c r="H886" s="60" t="s">
        <v>21</v>
      </c>
    </row>
    <row r="887" spans="1:8" ht="14.25" hidden="1" customHeight="1" x14ac:dyDescent="0.3">
      <c r="A887" s="34" t="s">
        <v>45</v>
      </c>
      <c r="B887" s="61" t="s">
        <v>155</v>
      </c>
      <c r="C887" s="61" t="s">
        <v>170</v>
      </c>
      <c r="D887" s="69">
        <v>10</v>
      </c>
      <c r="E887" s="74">
        <v>29.74</v>
      </c>
      <c r="F887" s="80">
        <f>IFERROR(D887*E887,0)</f>
        <v>297.39999999999998</v>
      </c>
      <c r="G887" s="60" t="s">
        <v>98</v>
      </c>
      <c r="H887" s="61" t="s">
        <v>21</v>
      </c>
    </row>
    <row r="888" spans="1:8" ht="14.25" customHeight="1" x14ac:dyDescent="0.3">
      <c r="A888" s="34" t="s">
        <v>45</v>
      </c>
      <c r="B888" s="61" t="s">
        <v>155</v>
      </c>
      <c r="C888" s="61" t="s">
        <v>169</v>
      </c>
      <c r="D888" s="69">
        <v>10</v>
      </c>
      <c r="E888" s="74">
        <v>47.66</v>
      </c>
      <c r="F888" s="80">
        <f>IFERROR(D888*E888,0)</f>
        <v>476.59999999999997</v>
      </c>
      <c r="G888" s="60" t="s">
        <v>98</v>
      </c>
      <c r="H888" s="61" t="s">
        <v>21</v>
      </c>
    </row>
    <row r="889" spans="1:8" ht="14.25" hidden="1" customHeight="1" x14ac:dyDescent="0.3">
      <c r="A889" s="2" t="s">
        <v>45</v>
      </c>
      <c r="B889" s="60" t="s">
        <v>162</v>
      </c>
      <c r="C889" s="60" t="s">
        <v>194</v>
      </c>
      <c r="D889" s="68"/>
      <c r="E889" s="73"/>
      <c r="F889" s="79">
        <f>IFERROR(D889*E889,0)</f>
        <v>0</v>
      </c>
      <c r="G889" s="60" t="str">
        <f>INDEX(SETORES!$B:$B,MATCH(A889,SETORES!$A:$A,0))</f>
        <v>Clientes</v>
      </c>
      <c r="H889" s="60" t="s">
        <v>21</v>
      </c>
    </row>
    <row r="890" spans="1:8" ht="14.25" hidden="1" customHeight="1" x14ac:dyDescent="0.3">
      <c r="A890" s="34" t="s">
        <v>45</v>
      </c>
      <c r="B890" s="61" t="s">
        <v>155</v>
      </c>
      <c r="C890" s="61" t="s">
        <v>158</v>
      </c>
      <c r="D890" s="69">
        <v>10</v>
      </c>
      <c r="E890" s="74">
        <v>21.258199999999999</v>
      </c>
      <c r="F890" s="80">
        <v>212.58199999999999</v>
      </c>
      <c r="G890" s="61" t="str">
        <f>INDEX(SETORES!$B:$B,MATCH(A890,SETORES!$A:$A,0))</f>
        <v>Clientes</v>
      </c>
      <c r="H890" s="61" t="s">
        <v>21</v>
      </c>
    </row>
    <row r="891" spans="1:8" ht="14.25" hidden="1" customHeight="1" x14ac:dyDescent="0.3">
      <c r="A891" s="34" t="s">
        <v>45</v>
      </c>
      <c r="B891" s="61" t="s">
        <v>162</v>
      </c>
      <c r="C891" s="61" t="s">
        <v>163</v>
      </c>
      <c r="D891" s="69">
        <v>2</v>
      </c>
      <c r="E891" s="74">
        <v>68</v>
      </c>
      <c r="F891" s="80">
        <f>IFERROR(D891*E891,0)</f>
        <v>136</v>
      </c>
      <c r="G891" s="61" t="str">
        <f>INDEX(SETORES!$B:$B,MATCH(A891,SETORES!$A:$A,0))</f>
        <v>Clientes</v>
      </c>
      <c r="H891" s="61" t="s">
        <v>21</v>
      </c>
    </row>
    <row r="892" spans="1:8" ht="14.25" hidden="1" customHeight="1" x14ac:dyDescent="0.3">
      <c r="A892" s="2" t="s">
        <v>45</v>
      </c>
      <c r="B892" s="60" t="s">
        <v>162</v>
      </c>
      <c r="C892" s="60" t="s">
        <v>164</v>
      </c>
      <c r="D892" s="68"/>
      <c r="E892" s="73"/>
      <c r="F892" s="79">
        <f>IFERROR(D892*E892,0)</f>
        <v>0</v>
      </c>
      <c r="G892" s="60" t="str">
        <f>INDEX(SETORES!$B:$B,MATCH(A892,SETORES!$A:$A,0))</f>
        <v>Clientes</v>
      </c>
      <c r="H892" s="60" t="s">
        <v>21</v>
      </c>
    </row>
    <row r="893" spans="1:8" ht="14.25" hidden="1" customHeight="1" x14ac:dyDescent="0.3">
      <c r="A893" s="2" t="s">
        <v>45</v>
      </c>
      <c r="B893" s="60" t="s">
        <v>155</v>
      </c>
      <c r="C893" s="60" t="s">
        <v>161</v>
      </c>
      <c r="D893" s="68">
        <v>1</v>
      </c>
      <c r="E893" s="73">
        <v>62444.09</v>
      </c>
      <c r="F893" s="79">
        <f>IFERROR(E893,0)</f>
        <v>62444.09</v>
      </c>
      <c r="G893" s="60" t="str">
        <f>INDEX(SETORES!$B:$B,MATCH(A893,SETORES!$A:$A,0))</f>
        <v>Clientes</v>
      </c>
      <c r="H893" s="60" t="s">
        <v>21</v>
      </c>
    </row>
    <row r="894" spans="1:8" ht="14.25" hidden="1" customHeight="1" x14ac:dyDescent="0.3">
      <c r="A894" s="2" t="s">
        <v>45</v>
      </c>
      <c r="B894" s="60" t="s">
        <v>155</v>
      </c>
      <c r="C894" s="60" t="s">
        <v>167</v>
      </c>
      <c r="D894" s="68">
        <v>10</v>
      </c>
      <c r="E894" s="73">
        <v>9.92</v>
      </c>
      <c r="F894" s="79">
        <f>IFERROR(D894*E894,0)</f>
        <v>99.2</v>
      </c>
      <c r="G894" s="60" t="str">
        <f>INDEX(SETORES!$B:$B,MATCH(A894,SETORES!$A:$A,0))</f>
        <v>Clientes</v>
      </c>
      <c r="H894" s="60" t="s">
        <v>21</v>
      </c>
    </row>
    <row r="895" spans="1:8" ht="14.25" hidden="1" customHeight="1" x14ac:dyDescent="0.3">
      <c r="A895" s="34" t="s">
        <v>45</v>
      </c>
      <c r="B895" s="61" t="s">
        <v>155</v>
      </c>
      <c r="C895" s="61" t="s">
        <v>238</v>
      </c>
      <c r="D895" s="69">
        <v>1</v>
      </c>
      <c r="E895" s="74">
        <v>128.68</v>
      </c>
      <c r="F895" s="80">
        <f>IFERROR(D895*E895,0)</f>
        <v>128.68</v>
      </c>
      <c r="G895" s="61" t="str">
        <f>INDEX(SETORES!$B:$B,MATCH(A895,SETORES!$A:$A,0))</f>
        <v>Clientes</v>
      </c>
      <c r="H895" s="61" t="s">
        <v>21</v>
      </c>
    </row>
    <row r="896" spans="1:8" ht="14.25" hidden="1" customHeight="1" x14ac:dyDescent="0.3">
      <c r="A896" s="34" t="s">
        <v>45</v>
      </c>
      <c r="B896" s="61" t="s">
        <v>155</v>
      </c>
      <c r="C896" s="61" t="s">
        <v>166</v>
      </c>
      <c r="D896" s="69">
        <v>14</v>
      </c>
      <c r="E896" s="74">
        <v>44.29</v>
      </c>
      <c r="F896" s="80">
        <f>IFERROR(D896*E896,0)</f>
        <v>620.05999999999995</v>
      </c>
      <c r="G896" s="61" t="str">
        <f>INDEX(SETORES!$B:$B,MATCH(A896,SETORES!$A:$A,0))</f>
        <v>Clientes</v>
      </c>
      <c r="H896" s="61" t="s">
        <v>21</v>
      </c>
    </row>
    <row r="897" spans="1:8" ht="14.25" hidden="1" customHeight="1" x14ac:dyDescent="0.3">
      <c r="A897" s="2" t="s">
        <v>45</v>
      </c>
      <c r="B897" s="60" t="s">
        <v>155</v>
      </c>
      <c r="C897" s="60" t="s">
        <v>156</v>
      </c>
      <c r="D897" s="68"/>
      <c r="E897" s="73"/>
      <c r="F897" s="79">
        <v>0</v>
      </c>
      <c r="G897" s="60" t="str">
        <f>INDEX(SETORES!$B:$B,MATCH(A897,SETORES!$A:$A,0))</f>
        <v>Clientes</v>
      </c>
      <c r="H897" s="60" t="s">
        <v>21</v>
      </c>
    </row>
    <row r="898" spans="1:8" ht="14.25" hidden="1" customHeight="1" x14ac:dyDescent="0.3">
      <c r="A898" s="34" t="s">
        <v>45</v>
      </c>
      <c r="B898" s="61" t="s">
        <v>155</v>
      </c>
      <c r="C898" s="61" t="s">
        <v>157</v>
      </c>
      <c r="D898" s="69"/>
      <c r="E898" s="74"/>
      <c r="F898" s="80">
        <v>0</v>
      </c>
      <c r="G898" s="61" t="str">
        <f>INDEX(SETORES!$B:$B,MATCH(A898,SETORES!$A:$A,0))</f>
        <v>Clientes</v>
      </c>
      <c r="H898" s="61" t="s">
        <v>21</v>
      </c>
    </row>
    <row r="899" spans="1:8" ht="14.25" hidden="1" customHeight="1" x14ac:dyDescent="0.3">
      <c r="A899" s="34" t="s">
        <v>45</v>
      </c>
      <c r="B899" s="61" t="s">
        <v>162</v>
      </c>
      <c r="C899" s="61" t="s">
        <v>209</v>
      </c>
      <c r="D899" s="69">
        <v>10</v>
      </c>
      <c r="E899" s="74">
        <v>76.92</v>
      </c>
      <c r="F899" s="80">
        <f>IFERROR(D899*E899,0)</f>
        <v>769.2</v>
      </c>
      <c r="G899" s="61" t="str">
        <f>INDEX(SETORES!$B:$B,MATCH(A899,SETORES!$A:$A,0))</f>
        <v>Clientes</v>
      </c>
      <c r="H899" s="61" t="s">
        <v>21</v>
      </c>
    </row>
    <row r="900" spans="1:8" ht="14.25" hidden="1" customHeight="1" x14ac:dyDescent="0.3">
      <c r="A900" s="2" t="s">
        <v>45</v>
      </c>
      <c r="B900" s="60" t="s">
        <v>162</v>
      </c>
      <c r="C900" s="60" t="s">
        <v>222</v>
      </c>
      <c r="D900" s="68">
        <v>1</v>
      </c>
      <c r="E900" s="73">
        <v>14703.68</v>
      </c>
      <c r="F900" s="79">
        <f>IFERROR(D900*E900,0)</f>
        <v>14703.68</v>
      </c>
      <c r="G900" s="60" t="str">
        <f>INDEX(SETORES!$B:$B,MATCH(A900,SETORES!$A:$A,0))</f>
        <v>Clientes</v>
      </c>
      <c r="H900" s="60" t="s">
        <v>21</v>
      </c>
    </row>
    <row r="901" spans="1:8" ht="14.25" hidden="1" customHeight="1" x14ac:dyDescent="0.3">
      <c r="A901" s="2" t="s">
        <v>45</v>
      </c>
      <c r="B901" s="60" t="s">
        <v>155</v>
      </c>
      <c r="C901" s="60" t="s">
        <v>244</v>
      </c>
      <c r="D901" s="68">
        <v>1</v>
      </c>
      <c r="E901" s="73">
        <v>666.2</v>
      </c>
      <c r="F901" s="79">
        <f>IFERROR(D901*E901,0)</f>
        <v>666.2</v>
      </c>
      <c r="G901" s="60" t="str">
        <f>INDEX(SETORES!$B:$B,MATCH(A901,SETORES!$A:$A,0))</f>
        <v>Clientes</v>
      </c>
      <c r="H901" s="60" t="s">
        <v>21</v>
      </c>
    </row>
    <row r="902" spans="1:8" ht="14.25" hidden="1" customHeight="1" x14ac:dyDescent="0.3">
      <c r="A902" s="34" t="s">
        <v>45</v>
      </c>
      <c r="B902" s="61" t="s">
        <v>155</v>
      </c>
      <c r="C902" s="61" t="s">
        <v>168</v>
      </c>
      <c r="D902" s="69">
        <v>10</v>
      </c>
      <c r="E902" s="74">
        <v>2.0499999999999998</v>
      </c>
      <c r="F902" s="80">
        <f>IFERROR(D902*E902,0)</f>
        <v>20.5</v>
      </c>
      <c r="G902" s="61" t="str">
        <f>INDEX(SETORES!$B:$B,MATCH(A902,SETORES!$A:$A,0))</f>
        <v>Clientes</v>
      </c>
      <c r="H902" s="61" t="s">
        <v>21</v>
      </c>
    </row>
    <row r="903" spans="1:8" ht="14.25" hidden="1" customHeight="1" x14ac:dyDescent="0.3">
      <c r="A903" s="34" t="s">
        <v>45</v>
      </c>
      <c r="B903" s="61" t="s">
        <v>155</v>
      </c>
      <c r="C903" s="61" t="s">
        <v>160</v>
      </c>
      <c r="D903" s="69"/>
      <c r="E903" s="74"/>
      <c r="F903" s="80">
        <f>IFERROR(D903*E903,0)</f>
        <v>0</v>
      </c>
      <c r="G903" s="61" t="str">
        <f>INDEX(SETORES!$B:$B,MATCH(A903,SETORES!$A:$A,0))</f>
        <v>Clientes</v>
      </c>
      <c r="H903" s="61" t="s">
        <v>21</v>
      </c>
    </row>
    <row r="904" spans="1:8" ht="14.25" hidden="1" customHeight="1" x14ac:dyDescent="0.3">
      <c r="A904" s="34" t="s">
        <v>50</v>
      </c>
      <c r="B904" s="61" t="s">
        <v>155</v>
      </c>
      <c r="C904" s="61" t="s">
        <v>159</v>
      </c>
      <c r="D904" s="69">
        <v>16</v>
      </c>
      <c r="E904" s="74">
        <v>3.3247</v>
      </c>
      <c r="F904" s="80">
        <v>53.1952</v>
      </c>
      <c r="G904" s="61" t="str">
        <f>INDEX(SETORES!$B:$B,MATCH(A904,SETORES!$A:$A,0))</f>
        <v>Clientes</v>
      </c>
      <c r="H904" s="61" t="s">
        <v>21</v>
      </c>
    </row>
    <row r="905" spans="1:8" ht="14.25" hidden="1" customHeight="1" x14ac:dyDescent="0.3">
      <c r="A905" s="34" t="s">
        <v>50</v>
      </c>
      <c r="B905" s="61" t="s">
        <v>155</v>
      </c>
      <c r="C905" s="61" t="s">
        <v>171</v>
      </c>
      <c r="D905" s="69">
        <v>16</v>
      </c>
      <c r="E905" s="74">
        <v>43.54</v>
      </c>
      <c r="F905" s="80">
        <f>IFERROR(D905*E905,0)</f>
        <v>696.64</v>
      </c>
      <c r="G905" s="61" t="s">
        <v>98</v>
      </c>
      <c r="H905" s="61" t="s">
        <v>21</v>
      </c>
    </row>
    <row r="906" spans="1:8" ht="14.25" hidden="1" customHeight="1" x14ac:dyDescent="0.3">
      <c r="A906" s="2" t="s">
        <v>50</v>
      </c>
      <c r="B906" s="60" t="s">
        <v>155</v>
      </c>
      <c r="C906" s="60" t="s">
        <v>170</v>
      </c>
      <c r="D906" s="68">
        <v>16</v>
      </c>
      <c r="E906" s="73">
        <v>29.74</v>
      </c>
      <c r="F906" s="79">
        <f>IFERROR(D906*E906,0)</f>
        <v>475.84</v>
      </c>
      <c r="G906" s="60" t="s">
        <v>98</v>
      </c>
      <c r="H906" s="60" t="s">
        <v>21</v>
      </c>
    </row>
    <row r="907" spans="1:8" ht="14.25" customHeight="1" x14ac:dyDescent="0.3">
      <c r="A907" s="2" t="s">
        <v>50</v>
      </c>
      <c r="B907" s="60" t="s">
        <v>155</v>
      </c>
      <c r="C907" s="60" t="s">
        <v>169</v>
      </c>
      <c r="D907" s="68">
        <v>16</v>
      </c>
      <c r="E907" s="73">
        <v>47.66</v>
      </c>
      <c r="F907" s="79">
        <f>IFERROR(D907*E907,0)</f>
        <v>762.56</v>
      </c>
      <c r="G907" s="60" t="s">
        <v>98</v>
      </c>
      <c r="H907" s="60" t="s">
        <v>21</v>
      </c>
    </row>
    <row r="908" spans="1:8" ht="14.25" hidden="1" customHeight="1" x14ac:dyDescent="0.3">
      <c r="A908" s="2" t="s">
        <v>50</v>
      </c>
      <c r="B908" s="60" t="s">
        <v>155</v>
      </c>
      <c r="C908" s="60" t="s">
        <v>158</v>
      </c>
      <c r="D908" s="68">
        <v>16</v>
      </c>
      <c r="E908" s="73">
        <v>21.258199999999999</v>
      </c>
      <c r="F908" s="79">
        <v>340.13119999999998</v>
      </c>
      <c r="G908" s="60" t="str">
        <f>INDEX(SETORES!$B:$B,MATCH(A908,SETORES!$A:$A,0))</f>
        <v>Clientes</v>
      </c>
      <c r="H908" s="60" t="s">
        <v>21</v>
      </c>
    </row>
    <row r="909" spans="1:8" ht="14.25" hidden="1" customHeight="1" x14ac:dyDescent="0.3">
      <c r="A909" s="2" t="s">
        <v>50</v>
      </c>
      <c r="B909" s="60" t="s">
        <v>162</v>
      </c>
      <c r="C909" s="60" t="s">
        <v>165</v>
      </c>
      <c r="D909" s="68">
        <v>1</v>
      </c>
      <c r="E909" s="73">
        <v>100</v>
      </c>
      <c r="F909" s="79">
        <f>IFERROR(D909*E909,0)</f>
        <v>100</v>
      </c>
      <c r="G909" s="60" t="str">
        <f>INDEX(SETORES!$B:$B,MATCH(A909,SETORES!$A:$A,0))</f>
        <v>Clientes</v>
      </c>
      <c r="H909" s="60" t="s">
        <v>21</v>
      </c>
    </row>
    <row r="910" spans="1:8" ht="14.25" hidden="1" customHeight="1" x14ac:dyDescent="0.3">
      <c r="A910" s="2" t="s">
        <v>50</v>
      </c>
      <c r="B910" s="60" t="s">
        <v>162</v>
      </c>
      <c r="C910" s="60" t="s">
        <v>163</v>
      </c>
      <c r="D910" s="68">
        <v>4</v>
      </c>
      <c r="E910" s="73">
        <v>33.75</v>
      </c>
      <c r="F910" s="79">
        <f>IFERROR(D910*E910,0)</f>
        <v>135</v>
      </c>
      <c r="G910" s="60" t="str">
        <f>INDEX(SETORES!$B:$B,MATCH(A910,SETORES!$A:$A,0))</f>
        <v>Clientes</v>
      </c>
      <c r="H910" s="60" t="s">
        <v>21</v>
      </c>
    </row>
    <row r="911" spans="1:8" ht="14.25" hidden="1" customHeight="1" x14ac:dyDescent="0.3">
      <c r="A911" s="34" t="s">
        <v>50</v>
      </c>
      <c r="B911" s="61" t="s">
        <v>162</v>
      </c>
      <c r="C911" s="61" t="s">
        <v>164</v>
      </c>
      <c r="D911" s="69"/>
      <c r="E911" s="74"/>
      <c r="F911" s="80">
        <f>IFERROR(D911*E911,0)</f>
        <v>0</v>
      </c>
      <c r="G911" s="61" t="str">
        <f>INDEX(SETORES!$B:$B,MATCH(A911,SETORES!$A:$A,0))</f>
        <v>Clientes</v>
      </c>
      <c r="H911" s="61" t="s">
        <v>21</v>
      </c>
    </row>
    <row r="912" spans="1:8" ht="14.25" hidden="1" customHeight="1" x14ac:dyDescent="0.3">
      <c r="A912" s="34" t="s">
        <v>50</v>
      </c>
      <c r="B912" s="61" t="s">
        <v>155</v>
      </c>
      <c r="C912" s="61" t="s">
        <v>161</v>
      </c>
      <c r="D912" s="69">
        <v>1</v>
      </c>
      <c r="E912" s="74">
        <v>80081.350000000006</v>
      </c>
      <c r="F912" s="80">
        <f>IFERROR(E912,0)</f>
        <v>80081.350000000006</v>
      </c>
      <c r="G912" s="61" t="str">
        <f>INDEX(SETORES!$B:$B,MATCH(A912,SETORES!$A:$A,0))</f>
        <v>Clientes</v>
      </c>
      <c r="H912" s="61" t="s">
        <v>21</v>
      </c>
    </row>
    <row r="913" spans="1:8" ht="14.25" hidden="1" customHeight="1" x14ac:dyDescent="0.3">
      <c r="A913" s="34" t="s">
        <v>50</v>
      </c>
      <c r="B913" s="61" t="s">
        <v>155</v>
      </c>
      <c r="C913" s="61" t="s">
        <v>167</v>
      </c>
      <c r="D913" s="69">
        <v>16</v>
      </c>
      <c r="E913" s="74">
        <v>9.92</v>
      </c>
      <c r="F913" s="80">
        <f>IFERROR(D913*E913,0)</f>
        <v>158.72</v>
      </c>
      <c r="G913" s="61" t="str">
        <f>INDEX(SETORES!$B:$B,MATCH(A913,SETORES!$A:$A,0))</f>
        <v>Clientes</v>
      </c>
      <c r="H913" s="61" t="s">
        <v>21</v>
      </c>
    </row>
    <row r="914" spans="1:8" ht="14.25" hidden="1" customHeight="1" x14ac:dyDescent="0.3">
      <c r="A914" s="2" t="s">
        <v>50</v>
      </c>
      <c r="B914" s="60" t="s">
        <v>155</v>
      </c>
      <c r="C914" s="60" t="s">
        <v>238</v>
      </c>
      <c r="D914" s="68">
        <v>1</v>
      </c>
      <c r="E914" s="73">
        <v>153.58000000000001</v>
      </c>
      <c r="F914" s="79">
        <f>IFERROR(D914*E914,0)</f>
        <v>153.58000000000001</v>
      </c>
      <c r="G914" s="60" t="str">
        <f>INDEX(SETORES!$B:$B,MATCH(A914,SETORES!$A:$A,0))</f>
        <v>Clientes</v>
      </c>
      <c r="H914" s="60" t="s">
        <v>21</v>
      </c>
    </row>
    <row r="915" spans="1:8" ht="14.25" hidden="1" customHeight="1" x14ac:dyDescent="0.3">
      <c r="A915" s="34" t="s">
        <v>50</v>
      </c>
      <c r="B915" s="61" t="s">
        <v>155</v>
      </c>
      <c r="C915" s="61" t="s">
        <v>166</v>
      </c>
      <c r="D915" s="69">
        <v>12</v>
      </c>
      <c r="E915" s="74">
        <v>23.33</v>
      </c>
      <c r="F915" s="80">
        <f>IFERROR(D915*E915,0)</f>
        <v>279.95999999999998</v>
      </c>
      <c r="G915" s="61" t="str">
        <f>INDEX(SETORES!$B:$B,MATCH(A915,SETORES!$A:$A,0))</f>
        <v>Clientes</v>
      </c>
      <c r="H915" s="61" t="s">
        <v>21</v>
      </c>
    </row>
    <row r="916" spans="1:8" ht="14.25" hidden="1" customHeight="1" x14ac:dyDescent="0.3">
      <c r="A916" s="2" t="s">
        <v>50</v>
      </c>
      <c r="B916" s="60" t="s">
        <v>155</v>
      </c>
      <c r="C916" s="60" t="s">
        <v>156</v>
      </c>
      <c r="D916" s="68"/>
      <c r="E916" s="73"/>
      <c r="F916" s="79">
        <v>32684.03</v>
      </c>
      <c r="G916" s="60" t="str">
        <f>INDEX(SETORES!$B:$B,MATCH(A916,SETORES!$A:$A,0))</f>
        <v>Clientes</v>
      </c>
      <c r="H916" s="60" t="s">
        <v>21</v>
      </c>
    </row>
    <row r="917" spans="1:8" ht="14.25" hidden="1" customHeight="1" x14ac:dyDescent="0.3">
      <c r="A917" s="34" t="s">
        <v>50</v>
      </c>
      <c r="B917" s="61" t="s">
        <v>155</v>
      </c>
      <c r="C917" s="61" t="s">
        <v>157</v>
      </c>
      <c r="D917" s="69"/>
      <c r="E917" s="74"/>
      <c r="F917" s="80">
        <v>0</v>
      </c>
      <c r="G917" s="61" t="str">
        <f>INDEX(SETORES!$B:$B,MATCH(A917,SETORES!$A:$A,0))</f>
        <v>Clientes</v>
      </c>
      <c r="H917" s="61" t="s">
        <v>21</v>
      </c>
    </row>
    <row r="918" spans="1:8" ht="14.25" hidden="1" customHeight="1" x14ac:dyDescent="0.3">
      <c r="A918" s="2" t="s">
        <v>50</v>
      </c>
      <c r="B918" s="60" t="s">
        <v>162</v>
      </c>
      <c r="C918" s="60" t="s">
        <v>209</v>
      </c>
      <c r="D918" s="68">
        <v>16</v>
      </c>
      <c r="E918" s="73">
        <v>76.92</v>
      </c>
      <c r="F918" s="79">
        <f>IFERROR(D918*E918,0)</f>
        <v>1230.72</v>
      </c>
      <c r="G918" s="60" t="str">
        <f>INDEX(SETORES!$B:$B,MATCH(A918,SETORES!$A:$A,0))</f>
        <v>Clientes</v>
      </c>
      <c r="H918" s="60" t="s">
        <v>21</v>
      </c>
    </row>
    <row r="919" spans="1:8" ht="14.25" hidden="1" customHeight="1" x14ac:dyDescent="0.3">
      <c r="A919" s="34" t="s">
        <v>50</v>
      </c>
      <c r="B919" s="61" t="s">
        <v>162</v>
      </c>
      <c r="C919" s="61" t="s">
        <v>222</v>
      </c>
      <c r="D919" s="69"/>
      <c r="E919" s="74"/>
      <c r="F919" s="80">
        <f>IFERROR(D919*E919,0)</f>
        <v>0</v>
      </c>
      <c r="G919" s="61" t="str">
        <f>INDEX(SETORES!$B:$B,MATCH(A919,SETORES!$A:$A,0))</f>
        <v>Clientes</v>
      </c>
      <c r="H919" s="61" t="s">
        <v>21</v>
      </c>
    </row>
    <row r="920" spans="1:8" ht="14.25" hidden="1" customHeight="1" x14ac:dyDescent="0.3">
      <c r="A920" s="2" t="s">
        <v>50</v>
      </c>
      <c r="B920" s="60" t="s">
        <v>155</v>
      </c>
      <c r="C920" s="60" t="s">
        <v>168</v>
      </c>
      <c r="D920" s="68">
        <v>16</v>
      </c>
      <c r="E920" s="73">
        <v>2.0499999999999998</v>
      </c>
      <c r="F920" s="79">
        <f>IFERROR(D920*E920,0)</f>
        <v>32.799999999999997</v>
      </c>
      <c r="G920" s="60" t="str">
        <f>INDEX(SETORES!$B:$B,MATCH(A920,SETORES!$A:$A,0))</f>
        <v>Clientes</v>
      </c>
      <c r="H920" s="60" t="s">
        <v>21</v>
      </c>
    </row>
    <row r="921" spans="1:8" ht="14.25" hidden="1" customHeight="1" x14ac:dyDescent="0.3">
      <c r="A921" s="2" t="s">
        <v>50</v>
      </c>
      <c r="B921" s="60" t="s">
        <v>155</v>
      </c>
      <c r="C921" s="60" t="s">
        <v>160</v>
      </c>
      <c r="D921" s="68"/>
      <c r="E921" s="73"/>
      <c r="F921" s="79">
        <f>IFERROR(D921*E921,0)</f>
        <v>0</v>
      </c>
      <c r="G921" s="60" t="str">
        <f>INDEX(SETORES!$B:$B,MATCH(A921,SETORES!$A:$A,0))</f>
        <v>Clientes</v>
      </c>
      <c r="H921" s="60" t="s">
        <v>21</v>
      </c>
    </row>
    <row r="922" spans="1:8" ht="14.25" hidden="1" customHeight="1" x14ac:dyDescent="0.3">
      <c r="A922" s="2" t="s">
        <v>36</v>
      </c>
      <c r="B922" s="60" t="s">
        <v>155</v>
      </c>
      <c r="C922" s="60" t="s">
        <v>159</v>
      </c>
      <c r="D922" s="68">
        <v>1</v>
      </c>
      <c r="E922" s="73">
        <v>0.19400000000000001</v>
      </c>
      <c r="F922" s="79">
        <v>0.19400000000000001</v>
      </c>
      <c r="G922" s="60" t="str">
        <f>INDEX(SETORES!$B:$B,MATCH(A922,SETORES!$A:$A,0))</f>
        <v>Clientes</v>
      </c>
      <c r="H922" s="60" t="s">
        <v>21</v>
      </c>
    </row>
    <row r="923" spans="1:8" ht="14.25" hidden="1" customHeight="1" x14ac:dyDescent="0.3">
      <c r="A923" s="2" t="s">
        <v>36</v>
      </c>
      <c r="B923" s="60" t="s">
        <v>155</v>
      </c>
      <c r="C923" s="60" t="s">
        <v>212</v>
      </c>
      <c r="D923" s="68">
        <v>2</v>
      </c>
      <c r="E923" s="73">
        <v>30</v>
      </c>
      <c r="F923" s="79">
        <f>IFERROR(D923*E923,0)</f>
        <v>60</v>
      </c>
      <c r="G923" s="60" t="str">
        <f>INDEX(SETORES!$B:$B,MATCH(A923,SETORES!$A:$A,0))</f>
        <v>Clientes</v>
      </c>
      <c r="H923" s="60" t="s">
        <v>21</v>
      </c>
    </row>
    <row r="924" spans="1:8" ht="14.25" hidden="1" customHeight="1" x14ac:dyDescent="0.3">
      <c r="A924" s="2" t="s">
        <v>36</v>
      </c>
      <c r="B924" s="60" t="s">
        <v>155</v>
      </c>
      <c r="C924" s="60" t="s">
        <v>171</v>
      </c>
      <c r="D924" s="68">
        <v>9</v>
      </c>
      <c r="E924" s="73">
        <v>43.54</v>
      </c>
      <c r="F924" s="79">
        <f>IFERROR(D924*E924,0)</f>
        <v>391.86</v>
      </c>
      <c r="G924" s="60" t="s">
        <v>98</v>
      </c>
      <c r="H924" s="60" t="s">
        <v>21</v>
      </c>
    </row>
    <row r="925" spans="1:8" ht="14.25" hidden="1" customHeight="1" x14ac:dyDescent="0.3">
      <c r="A925" s="34" t="s">
        <v>36</v>
      </c>
      <c r="B925" s="61" t="s">
        <v>155</v>
      </c>
      <c r="C925" s="61" t="s">
        <v>170</v>
      </c>
      <c r="D925" s="69">
        <v>9</v>
      </c>
      <c r="E925" s="74">
        <v>29.74</v>
      </c>
      <c r="F925" s="80">
        <f>IFERROR(D925*E925,0)</f>
        <v>267.65999999999997</v>
      </c>
      <c r="G925" s="60" t="s">
        <v>98</v>
      </c>
      <c r="H925" s="61" t="s">
        <v>21</v>
      </c>
    </row>
    <row r="926" spans="1:8" ht="14.25" customHeight="1" x14ac:dyDescent="0.3">
      <c r="A926" s="34" t="s">
        <v>36</v>
      </c>
      <c r="B926" s="61" t="s">
        <v>155</v>
      </c>
      <c r="C926" s="61" t="s">
        <v>169</v>
      </c>
      <c r="D926" s="69">
        <v>9</v>
      </c>
      <c r="E926" s="74">
        <v>47.66</v>
      </c>
      <c r="F926" s="80">
        <f>IFERROR(D926*E926,0)</f>
        <v>428.93999999999994</v>
      </c>
      <c r="G926" s="60" t="s">
        <v>98</v>
      </c>
      <c r="H926" s="61" t="s">
        <v>21</v>
      </c>
    </row>
    <row r="927" spans="1:8" ht="14.25" hidden="1" customHeight="1" x14ac:dyDescent="0.3">
      <c r="A927" s="34" t="s">
        <v>36</v>
      </c>
      <c r="B927" s="61" t="s">
        <v>155</v>
      </c>
      <c r="C927" s="61" t="s">
        <v>158</v>
      </c>
      <c r="D927" s="69">
        <v>1</v>
      </c>
      <c r="E927" s="74">
        <v>66.183999999999997</v>
      </c>
      <c r="F927" s="80">
        <v>66.183999999999997</v>
      </c>
      <c r="G927" s="61" t="str">
        <f>INDEX(SETORES!$B:$B,MATCH(A927,SETORES!$A:$A,0))</f>
        <v>Clientes</v>
      </c>
      <c r="H927" s="61" t="s">
        <v>21</v>
      </c>
    </row>
    <row r="928" spans="1:8" ht="14.25" hidden="1" customHeight="1" x14ac:dyDescent="0.3">
      <c r="A928" s="2" t="s">
        <v>36</v>
      </c>
      <c r="B928" s="60" t="s">
        <v>162</v>
      </c>
      <c r="C928" s="60" t="s">
        <v>163</v>
      </c>
      <c r="D928" s="68">
        <v>2</v>
      </c>
      <c r="E928" s="73">
        <v>45</v>
      </c>
      <c r="F928" s="79">
        <f>IFERROR(D928*E928,0)</f>
        <v>90</v>
      </c>
      <c r="G928" s="60" t="str">
        <f>INDEX(SETORES!$B:$B,MATCH(A928,SETORES!$A:$A,0))</f>
        <v>Clientes</v>
      </c>
      <c r="H928" s="60" t="s">
        <v>21</v>
      </c>
    </row>
    <row r="929" spans="1:8" ht="14.25" hidden="1" customHeight="1" x14ac:dyDescent="0.3">
      <c r="A929" s="34" t="s">
        <v>36</v>
      </c>
      <c r="B929" s="61" t="s">
        <v>162</v>
      </c>
      <c r="C929" s="61" t="s">
        <v>164</v>
      </c>
      <c r="D929" s="69"/>
      <c r="E929" s="74"/>
      <c r="F929" s="80">
        <f>IFERROR(D929*E929,0)</f>
        <v>0</v>
      </c>
      <c r="G929" s="61" t="str">
        <f>INDEX(SETORES!$B:$B,MATCH(A929,SETORES!$A:$A,0))</f>
        <v>Clientes</v>
      </c>
      <c r="H929" s="61" t="s">
        <v>21</v>
      </c>
    </row>
    <row r="930" spans="1:8" ht="14.25" hidden="1" customHeight="1" x14ac:dyDescent="0.3">
      <c r="A930" s="2" t="s">
        <v>36</v>
      </c>
      <c r="B930" s="60" t="s">
        <v>155</v>
      </c>
      <c r="C930" s="60" t="s">
        <v>161</v>
      </c>
      <c r="D930" s="68">
        <v>1</v>
      </c>
      <c r="E930" s="73">
        <v>41415.06</v>
      </c>
      <c r="F930" s="79">
        <f>IFERROR(E930,0)</f>
        <v>41415.06</v>
      </c>
      <c r="G930" s="60" t="str">
        <f>INDEX(SETORES!$B:$B,MATCH(A930,SETORES!$A:$A,0))</f>
        <v>Clientes</v>
      </c>
      <c r="H930" s="60" t="s">
        <v>21</v>
      </c>
    </row>
    <row r="931" spans="1:8" ht="14.25" hidden="1" customHeight="1" x14ac:dyDescent="0.3">
      <c r="A931" s="2" t="s">
        <v>36</v>
      </c>
      <c r="B931" s="60" t="s">
        <v>155</v>
      </c>
      <c r="C931" s="60" t="s">
        <v>167</v>
      </c>
      <c r="D931" s="68">
        <v>9</v>
      </c>
      <c r="E931" s="73">
        <v>9.92</v>
      </c>
      <c r="F931" s="79">
        <f>IFERROR(D931*E931,0)</f>
        <v>89.28</v>
      </c>
      <c r="G931" s="60" t="str">
        <f>INDEX(SETORES!$B:$B,MATCH(A931,SETORES!$A:$A,0))</f>
        <v>Clientes</v>
      </c>
      <c r="H931" s="60" t="s">
        <v>21</v>
      </c>
    </row>
    <row r="932" spans="1:8" ht="14.25" hidden="1" customHeight="1" x14ac:dyDescent="0.3">
      <c r="A932" s="34" t="s">
        <v>36</v>
      </c>
      <c r="B932" s="61" t="s">
        <v>155</v>
      </c>
      <c r="C932" s="61" t="s">
        <v>238</v>
      </c>
      <c r="D932" s="69">
        <v>1</v>
      </c>
      <c r="E932" s="74">
        <v>153.58000000000001</v>
      </c>
      <c r="F932" s="80">
        <f>IFERROR(D932*E932,0)</f>
        <v>153.58000000000001</v>
      </c>
      <c r="G932" s="61" t="str">
        <f>INDEX(SETORES!$B:$B,MATCH(A932,SETORES!$A:$A,0))</f>
        <v>Clientes</v>
      </c>
      <c r="H932" s="61" t="s">
        <v>21</v>
      </c>
    </row>
    <row r="933" spans="1:8" ht="14.25" hidden="1" customHeight="1" x14ac:dyDescent="0.3">
      <c r="A933" s="2" t="s">
        <v>36</v>
      </c>
      <c r="B933" s="60" t="s">
        <v>155</v>
      </c>
      <c r="C933" s="60" t="s">
        <v>166</v>
      </c>
      <c r="D933" s="68">
        <v>8</v>
      </c>
      <c r="E933" s="73">
        <v>50</v>
      </c>
      <c r="F933" s="79">
        <f>IFERROR(D933*E933,0)</f>
        <v>400</v>
      </c>
      <c r="G933" s="60" t="str">
        <f>INDEX(SETORES!$B:$B,MATCH(A933,SETORES!$A:$A,0))</f>
        <v>Clientes</v>
      </c>
      <c r="H933" s="60" t="s">
        <v>21</v>
      </c>
    </row>
    <row r="934" spans="1:8" ht="14.25" hidden="1" customHeight="1" x14ac:dyDescent="0.3">
      <c r="A934" s="34" t="s">
        <v>36</v>
      </c>
      <c r="B934" s="61" t="s">
        <v>155</v>
      </c>
      <c r="C934" s="61" t="s">
        <v>219</v>
      </c>
      <c r="D934" s="69">
        <v>1</v>
      </c>
      <c r="E934" s="74">
        <v>29185.01</v>
      </c>
      <c r="F934" s="80">
        <f>IFERROR(D934*E934,0)</f>
        <v>29185.01</v>
      </c>
      <c r="G934" s="61" t="str">
        <f>INDEX(SETORES!$B:$B,MATCH(A934,SETORES!$A:$A,0))</f>
        <v>Clientes</v>
      </c>
      <c r="H934" s="61" t="s">
        <v>21</v>
      </c>
    </row>
    <row r="935" spans="1:8" ht="14.25" hidden="1" customHeight="1" x14ac:dyDescent="0.3">
      <c r="A935" s="34" t="s">
        <v>36</v>
      </c>
      <c r="B935" s="61" t="s">
        <v>155</v>
      </c>
      <c r="C935" s="61" t="s">
        <v>156</v>
      </c>
      <c r="D935" s="69">
        <v>1</v>
      </c>
      <c r="E935" s="74">
        <v>71.42</v>
      </c>
      <c r="F935" s="80">
        <v>714.20039999999995</v>
      </c>
      <c r="G935" s="61" t="str">
        <f>INDEX(SETORES!$B:$B,MATCH(A935,SETORES!$A:$A,0))</f>
        <v>Clientes</v>
      </c>
      <c r="H935" s="61" t="s">
        <v>21</v>
      </c>
    </row>
    <row r="936" spans="1:8" ht="14.25" hidden="1" customHeight="1" x14ac:dyDescent="0.3">
      <c r="A936" s="2" t="s">
        <v>36</v>
      </c>
      <c r="B936" s="60" t="s">
        <v>155</v>
      </c>
      <c r="C936" s="60" t="s">
        <v>157</v>
      </c>
      <c r="D936" s="68">
        <v>1</v>
      </c>
      <c r="E936" s="73">
        <v>221.42</v>
      </c>
      <c r="F936" s="79">
        <v>221.42</v>
      </c>
      <c r="G936" s="60" t="str">
        <f>INDEX(SETORES!$B:$B,MATCH(A936,SETORES!$A:$A,0))</f>
        <v>Clientes</v>
      </c>
      <c r="H936" s="60" t="s">
        <v>21</v>
      </c>
    </row>
    <row r="937" spans="1:8" ht="14.25" hidden="1" customHeight="1" x14ac:dyDescent="0.3">
      <c r="A937" s="2" t="s">
        <v>36</v>
      </c>
      <c r="B937" s="60" t="s">
        <v>155</v>
      </c>
      <c r="C937" s="60" t="s">
        <v>242</v>
      </c>
      <c r="D937" s="68">
        <v>1</v>
      </c>
      <c r="E937" s="73">
        <v>1807.85</v>
      </c>
      <c r="F937" s="79">
        <f>IFERROR(D937*E937,0)</f>
        <v>1807.85</v>
      </c>
      <c r="G937" s="60" t="str">
        <f>INDEX(SETORES!$B:$B,MATCH(A937,SETORES!$A:$A,0))</f>
        <v>Clientes</v>
      </c>
      <c r="H937" s="60" t="s">
        <v>21</v>
      </c>
    </row>
    <row r="938" spans="1:8" ht="14.25" hidden="1" customHeight="1" x14ac:dyDescent="0.3">
      <c r="A938" s="2" t="s">
        <v>36</v>
      </c>
      <c r="B938" s="60" t="s">
        <v>162</v>
      </c>
      <c r="C938" s="60" t="s">
        <v>222</v>
      </c>
      <c r="D938" s="68"/>
      <c r="E938" s="73"/>
      <c r="F938" s="79">
        <f>IFERROR(D938*E938,0)</f>
        <v>0</v>
      </c>
      <c r="G938" s="60" t="str">
        <f>INDEX(SETORES!$B:$B,MATCH(A938,SETORES!$A:$A,0))</f>
        <v>Clientes</v>
      </c>
      <c r="H938" s="60" t="s">
        <v>21</v>
      </c>
    </row>
    <row r="939" spans="1:8" ht="14.25" hidden="1" customHeight="1" x14ac:dyDescent="0.3">
      <c r="A939" s="34" t="s">
        <v>36</v>
      </c>
      <c r="B939" s="61" t="s">
        <v>155</v>
      </c>
      <c r="C939" s="61" t="s">
        <v>168</v>
      </c>
      <c r="D939" s="69">
        <v>9</v>
      </c>
      <c r="E939" s="74">
        <v>2.0499999999999998</v>
      </c>
      <c r="F939" s="80">
        <f>IFERROR(D939*E939,0)</f>
        <v>18.45</v>
      </c>
      <c r="G939" s="61" t="str">
        <f>INDEX(SETORES!$B:$B,MATCH(A939,SETORES!$A:$A,0))</f>
        <v>Clientes</v>
      </c>
      <c r="H939" s="61" t="s">
        <v>21</v>
      </c>
    </row>
    <row r="940" spans="1:8" ht="14.25" hidden="1" customHeight="1" x14ac:dyDescent="0.3">
      <c r="A940" s="34" t="s">
        <v>36</v>
      </c>
      <c r="B940" s="61" t="s">
        <v>155</v>
      </c>
      <c r="C940" s="61" t="s">
        <v>160</v>
      </c>
      <c r="D940" s="69"/>
      <c r="E940" s="74"/>
      <c r="F940" s="80">
        <f>IFERROR(D940*E940,0)</f>
        <v>0</v>
      </c>
      <c r="G940" s="61" t="str">
        <f>INDEX(SETORES!$B:$B,MATCH(A940,SETORES!$A:$A,0))</f>
        <v>Clientes</v>
      </c>
      <c r="H940" s="61" t="s">
        <v>21</v>
      </c>
    </row>
    <row r="941" spans="1:8" ht="14.25" hidden="1" customHeight="1" x14ac:dyDescent="0.3">
      <c r="A941" s="34" t="s">
        <v>81</v>
      </c>
      <c r="B941" s="61" t="s">
        <v>155</v>
      </c>
      <c r="C941" s="61" t="s">
        <v>212</v>
      </c>
      <c r="D941" s="69">
        <v>2</v>
      </c>
      <c r="E941" s="74">
        <v>30</v>
      </c>
      <c r="F941" s="80">
        <f>IFERROR(D941*E941,0)</f>
        <v>60</v>
      </c>
      <c r="G941" s="61" t="str">
        <f>INDEX(SETORES!$B:$B,MATCH(A941,SETORES!$A:$A,0))</f>
        <v>Clientes</v>
      </c>
      <c r="H941" s="61" t="s">
        <v>21</v>
      </c>
    </row>
    <row r="942" spans="1:8" ht="14.25" hidden="1" customHeight="1" x14ac:dyDescent="0.3">
      <c r="A942" s="2" t="s">
        <v>81</v>
      </c>
      <c r="B942" s="60" t="s">
        <v>155</v>
      </c>
      <c r="C942" s="60" t="s">
        <v>171</v>
      </c>
      <c r="D942" s="68">
        <v>3</v>
      </c>
      <c r="E942" s="73">
        <v>43.54</v>
      </c>
      <c r="F942" s="79">
        <f>IFERROR(D942*E942,0)</f>
        <v>130.62</v>
      </c>
      <c r="G942" s="60" t="s">
        <v>98</v>
      </c>
      <c r="H942" s="60" t="s">
        <v>21</v>
      </c>
    </row>
    <row r="943" spans="1:8" ht="14.25" hidden="1" customHeight="1" x14ac:dyDescent="0.3">
      <c r="A943" s="34" t="s">
        <v>81</v>
      </c>
      <c r="B943" s="61" t="s">
        <v>155</v>
      </c>
      <c r="C943" s="61" t="s">
        <v>170</v>
      </c>
      <c r="D943" s="69">
        <v>3</v>
      </c>
      <c r="E943" s="74">
        <v>29.74</v>
      </c>
      <c r="F943" s="80">
        <f>IFERROR(D943*E943,0)</f>
        <v>89.22</v>
      </c>
      <c r="G943" s="60" t="s">
        <v>98</v>
      </c>
      <c r="H943" s="61" t="s">
        <v>21</v>
      </c>
    </row>
    <row r="944" spans="1:8" ht="14.25" customHeight="1" x14ac:dyDescent="0.3">
      <c r="A944" s="34" t="s">
        <v>81</v>
      </c>
      <c r="B944" s="61" t="s">
        <v>155</v>
      </c>
      <c r="C944" s="61" t="s">
        <v>169</v>
      </c>
      <c r="D944" s="69">
        <v>3</v>
      </c>
      <c r="E944" s="74">
        <v>47.66</v>
      </c>
      <c r="F944" s="80">
        <f>IFERROR(D944*E944,0)</f>
        <v>142.97999999999999</v>
      </c>
      <c r="G944" s="60" t="s">
        <v>98</v>
      </c>
      <c r="H944" s="61" t="s">
        <v>21</v>
      </c>
    </row>
    <row r="945" spans="1:8" ht="14.25" hidden="1" customHeight="1" x14ac:dyDescent="0.3">
      <c r="A945" s="34" t="s">
        <v>81</v>
      </c>
      <c r="B945" s="61" t="s">
        <v>162</v>
      </c>
      <c r="C945" s="61" t="s">
        <v>163</v>
      </c>
      <c r="D945" s="69">
        <v>2</v>
      </c>
      <c r="E945" s="74">
        <v>45</v>
      </c>
      <c r="F945" s="80">
        <f>IFERROR(D945*E945,0)</f>
        <v>90</v>
      </c>
      <c r="G945" s="61" t="str">
        <f>INDEX(SETORES!$B:$B,MATCH(A945,SETORES!$A:$A,0))</f>
        <v>Clientes</v>
      </c>
      <c r="H945" s="61" t="s">
        <v>21</v>
      </c>
    </row>
    <row r="946" spans="1:8" ht="14.25" hidden="1" customHeight="1" x14ac:dyDescent="0.3">
      <c r="A946" s="2" t="s">
        <v>81</v>
      </c>
      <c r="B946" s="60" t="s">
        <v>155</v>
      </c>
      <c r="C946" s="60" t="s">
        <v>161</v>
      </c>
      <c r="D946" s="68">
        <v>1</v>
      </c>
      <c r="E946" s="73">
        <v>13569.86</v>
      </c>
      <c r="F946" s="79">
        <f>IFERROR(E946,0)</f>
        <v>13569.86</v>
      </c>
      <c r="G946" s="60" t="str">
        <f>INDEX(SETORES!$B:$B,MATCH(A946,SETORES!$A:$A,0))</f>
        <v>Clientes</v>
      </c>
      <c r="H946" s="60" t="s">
        <v>21</v>
      </c>
    </row>
    <row r="947" spans="1:8" ht="14.25" hidden="1" customHeight="1" x14ac:dyDescent="0.3">
      <c r="A947" s="2" t="s">
        <v>81</v>
      </c>
      <c r="B947" s="60" t="s">
        <v>155</v>
      </c>
      <c r="C947" s="60" t="s">
        <v>167</v>
      </c>
      <c r="D947" s="68">
        <v>3</v>
      </c>
      <c r="E947" s="73">
        <v>9.92</v>
      </c>
      <c r="F947" s="79">
        <f>IFERROR(D947*E947,0)</f>
        <v>29.759999999999998</v>
      </c>
      <c r="G947" s="60" t="str">
        <f>INDEX(SETORES!$B:$B,MATCH(A947,SETORES!$A:$A,0))</f>
        <v>Clientes</v>
      </c>
      <c r="H947" s="60" t="s">
        <v>21</v>
      </c>
    </row>
    <row r="948" spans="1:8" ht="14.25" hidden="1" customHeight="1" x14ac:dyDescent="0.3">
      <c r="A948" s="2" t="s">
        <v>81</v>
      </c>
      <c r="B948" s="60" t="s">
        <v>155</v>
      </c>
      <c r="C948" s="60" t="s">
        <v>238</v>
      </c>
      <c r="D948" s="68">
        <v>1</v>
      </c>
      <c r="E948" s="73">
        <v>2.941176</v>
      </c>
      <c r="F948" s="79">
        <f>IFERROR(D948*E948,0)</f>
        <v>2.941176</v>
      </c>
      <c r="G948" s="60" t="str">
        <f>INDEX(SETORES!$B:$B,MATCH(A948,SETORES!$A:$A,0))</f>
        <v>Clientes</v>
      </c>
      <c r="H948" s="60" t="s">
        <v>21</v>
      </c>
    </row>
    <row r="949" spans="1:8" ht="14.25" hidden="1" customHeight="1" x14ac:dyDescent="0.3">
      <c r="A949" s="2" t="s">
        <v>81</v>
      </c>
      <c r="B949" s="60" t="s">
        <v>155</v>
      </c>
      <c r="C949" s="60" t="s">
        <v>166</v>
      </c>
      <c r="D949" s="68">
        <v>3</v>
      </c>
      <c r="E949" s="73">
        <v>50</v>
      </c>
      <c r="F949" s="79">
        <f>IFERROR(D949*E949,0)</f>
        <v>150</v>
      </c>
      <c r="G949" s="60" t="str">
        <f>INDEX(SETORES!$B:$B,MATCH(A949,SETORES!$A:$A,0))</f>
        <v>Clientes</v>
      </c>
      <c r="H949" s="60" t="s">
        <v>21</v>
      </c>
    </row>
    <row r="950" spans="1:8" ht="14.25" hidden="1" customHeight="1" x14ac:dyDescent="0.3">
      <c r="A950" s="34" t="s">
        <v>81</v>
      </c>
      <c r="B950" s="61" t="s">
        <v>155</v>
      </c>
      <c r="C950" s="61" t="s">
        <v>157</v>
      </c>
      <c r="D950" s="69">
        <v>1</v>
      </c>
      <c r="E950" s="74">
        <v>68.12</v>
      </c>
      <c r="F950" s="80">
        <v>68.12</v>
      </c>
      <c r="G950" s="61" t="str">
        <f>INDEX(SETORES!$B:$B,MATCH(A950,SETORES!$A:$A,0))</f>
        <v>Clientes</v>
      </c>
      <c r="H950" s="61" t="s">
        <v>21</v>
      </c>
    </row>
    <row r="951" spans="1:8" ht="14.25" hidden="1" customHeight="1" x14ac:dyDescent="0.3">
      <c r="A951" s="34" t="s">
        <v>81</v>
      </c>
      <c r="B951" s="61" t="s">
        <v>162</v>
      </c>
      <c r="C951" s="61" t="s">
        <v>222</v>
      </c>
      <c r="D951" s="69"/>
      <c r="E951" s="74"/>
      <c r="F951" s="80">
        <f>IFERROR(D951*E951,0)</f>
        <v>0</v>
      </c>
      <c r="G951" s="61" t="str">
        <f>INDEX(SETORES!$B:$B,MATCH(A951,SETORES!$A:$A,0))</f>
        <v>Clientes</v>
      </c>
      <c r="H951" s="61" t="s">
        <v>21</v>
      </c>
    </row>
    <row r="952" spans="1:8" ht="14.25" hidden="1" customHeight="1" x14ac:dyDescent="0.3">
      <c r="A952" s="34" t="s">
        <v>81</v>
      </c>
      <c r="B952" s="61" t="s">
        <v>155</v>
      </c>
      <c r="C952" s="61" t="s">
        <v>168</v>
      </c>
      <c r="D952" s="69">
        <v>3</v>
      </c>
      <c r="E952" s="74">
        <v>2.0499999999999998</v>
      </c>
      <c r="F952" s="80">
        <f>IFERROR(D952*E952,0)</f>
        <v>6.1499999999999995</v>
      </c>
      <c r="G952" s="61" t="str">
        <f>INDEX(SETORES!$B:$B,MATCH(A952,SETORES!$A:$A,0))</f>
        <v>Clientes</v>
      </c>
      <c r="H952" s="61" t="s">
        <v>21</v>
      </c>
    </row>
    <row r="953" spans="1:8" ht="14.25" hidden="1" customHeight="1" x14ac:dyDescent="0.3">
      <c r="A953" s="34" t="s">
        <v>82</v>
      </c>
      <c r="B953" s="61" t="s">
        <v>162</v>
      </c>
      <c r="C953" s="61" t="s">
        <v>217</v>
      </c>
      <c r="D953" s="69">
        <v>1</v>
      </c>
      <c r="E953" s="74">
        <v>13559.09</v>
      </c>
      <c r="F953" s="80">
        <f>IFERROR(D953*E953,0)</f>
        <v>13559.09</v>
      </c>
      <c r="G953" s="61" t="str">
        <f>INDEX(SETORES!$B:$B,MATCH(A953,SETORES!$A:$A,0))</f>
        <v>Clientes</v>
      </c>
      <c r="H953" s="61" t="s">
        <v>21</v>
      </c>
    </row>
    <row r="954" spans="1:8" ht="14.25" hidden="1" customHeight="1" x14ac:dyDescent="0.3">
      <c r="A954" s="34" t="s">
        <v>82</v>
      </c>
      <c r="B954" s="61" t="s">
        <v>155</v>
      </c>
      <c r="C954" s="61" t="s">
        <v>250</v>
      </c>
      <c r="D954" s="69">
        <v>1</v>
      </c>
      <c r="E954" s="74">
        <v>1417.36</v>
      </c>
      <c r="F954" s="80">
        <f>IFERROR(D954*E954,0)</f>
        <v>1417.36</v>
      </c>
      <c r="G954" s="61" t="str">
        <f>INDEX(SETORES!$B:$B,MATCH(A954,SETORES!$A:$A,0))</f>
        <v>Clientes</v>
      </c>
      <c r="H954" s="61" t="s">
        <v>21</v>
      </c>
    </row>
    <row r="955" spans="1:8" ht="14.25" hidden="1" customHeight="1" x14ac:dyDescent="0.3">
      <c r="A955" s="2" t="s">
        <v>82</v>
      </c>
      <c r="B955" s="60" t="s">
        <v>155</v>
      </c>
      <c r="C955" s="60" t="s">
        <v>171</v>
      </c>
      <c r="D955" s="68">
        <v>8</v>
      </c>
      <c r="E955" s="73">
        <v>43.54</v>
      </c>
      <c r="F955" s="79">
        <f>IFERROR(D955*E955,0)</f>
        <v>348.32</v>
      </c>
      <c r="G955" s="60" t="s">
        <v>98</v>
      </c>
      <c r="H955" s="60" t="s">
        <v>21</v>
      </c>
    </row>
    <row r="956" spans="1:8" ht="14.25" hidden="1" customHeight="1" x14ac:dyDescent="0.3">
      <c r="A956" s="34" t="s">
        <v>82</v>
      </c>
      <c r="B956" s="61" t="s">
        <v>155</v>
      </c>
      <c r="C956" s="61" t="s">
        <v>170</v>
      </c>
      <c r="D956" s="69">
        <v>8</v>
      </c>
      <c r="E956" s="74">
        <v>29.74</v>
      </c>
      <c r="F956" s="80">
        <f>IFERROR(D956*E956,0)</f>
        <v>237.92</v>
      </c>
      <c r="G956" s="60" t="s">
        <v>98</v>
      </c>
      <c r="H956" s="61" t="s">
        <v>21</v>
      </c>
    </row>
    <row r="957" spans="1:8" ht="14.25" customHeight="1" x14ac:dyDescent="0.3">
      <c r="A957" s="34" t="s">
        <v>82</v>
      </c>
      <c r="B957" s="61" t="s">
        <v>155</v>
      </c>
      <c r="C957" s="61" t="s">
        <v>169</v>
      </c>
      <c r="D957" s="69">
        <v>8</v>
      </c>
      <c r="E957" s="74">
        <v>47.66</v>
      </c>
      <c r="F957" s="80">
        <f>IFERROR(D957*E957,0)</f>
        <v>381.28</v>
      </c>
      <c r="G957" s="60" t="s">
        <v>98</v>
      </c>
      <c r="H957" s="61" t="s">
        <v>21</v>
      </c>
    </row>
    <row r="958" spans="1:8" ht="14.25" hidden="1" customHeight="1" x14ac:dyDescent="0.3">
      <c r="A958" s="2" t="s">
        <v>82</v>
      </c>
      <c r="B958" s="60" t="s">
        <v>162</v>
      </c>
      <c r="C958" s="60" t="s">
        <v>221</v>
      </c>
      <c r="D958" s="68">
        <v>1</v>
      </c>
      <c r="E958" s="73">
        <v>2979.78</v>
      </c>
      <c r="F958" s="79">
        <f>IFERROR(D958*E958,0)</f>
        <v>2979.78</v>
      </c>
      <c r="G958" s="60" t="str">
        <f>INDEX(SETORES!$B:$B,MATCH(A958,SETORES!$A:$A,0))</f>
        <v>Clientes</v>
      </c>
      <c r="H958" s="60" t="s">
        <v>21</v>
      </c>
    </row>
    <row r="959" spans="1:8" ht="14.25" hidden="1" customHeight="1" x14ac:dyDescent="0.3">
      <c r="A959" s="2" t="s">
        <v>82</v>
      </c>
      <c r="B959" s="60" t="s">
        <v>155</v>
      </c>
      <c r="C959" s="60" t="s">
        <v>161</v>
      </c>
      <c r="D959" s="68">
        <v>1</v>
      </c>
      <c r="E959" s="73">
        <v>56795.02</v>
      </c>
      <c r="F959" s="79">
        <f>IFERROR(E959,0)</f>
        <v>56795.02</v>
      </c>
      <c r="G959" s="60" t="str">
        <f>INDEX(SETORES!$B:$B,MATCH(A959,SETORES!$A:$A,0))</f>
        <v>Clientes</v>
      </c>
      <c r="H959" s="60" t="s">
        <v>21</v>
      </c>
    </row>
    <row r="960" spans="1:8" ht="14.25" hidden="1" customHeight="1" x14ac:dyDescent="0.3">
      <c r="A960" s="2" t="s">
        <v>82</v>
      </c>
      <c r="B960" s="60" t="s">
        <v>155</v>
      </c>
      <c r="C960" s="60" t="s">
        <v>167</v>
      </c>
      <c r="D960" s="68">
        <v>8</v>
      </c>
      <c r="E960" s="73">
        <v>9.92</v>
      </c>
      <c r="F960" s="79">
        <f>IFERROR(D960*E960,0)</f>
        <v>79.36</v>
      </c>
      <c r="G960" s="60" t="str">
        <f>INDEX(SETORES!$B:$B,MATCH(A960,SETORES!$A:$A,0))</f>
        <v>Clientes</v>
      </c>
      <c r="H960" s="60" t="s">
        <v>21</v>
      </c>
    </row>
    <row r="961" spans="1:8" ht="14.25" hidden="1" customHeight="1" x14ac:dyDescent="0.3">
      <c r="A961" s="2" t="s">
        <v>82</v>
      </c>
      <c r="B961" s="60" t="s">
        <v>155</v>
      </c>
      <c r="C961" s="60" t="s">
        <v>166</v>
      </c>
      <c r="D961" s="68">
        <v>1</v>
      </c>
      <c r="E961" s="73">
        <v>50</v>
      </c>
      <c r="F961" s="79">
        <f>IFERROR(D961*E961,0)</f>
        <v>50</v>
      </c>
      <c r="G961" s="60" t="str">
        <f>INDEX(SETORES!$B:$B,MATCH(A961,SETORES!$A:$A,0))</f>
        <v>Clientes</v>
      </c>
      <c r="H961" s="60" t="s">
        <v>21</v>
      </c>
    </row>
    <row r="962" spans="1:8" ht="14.25" hidden="1" customHeight="1" x14ac:dyDescent="0.3">
      <c r="A962" s="2" t="s">
        <v>82</v>
      </c>
      <c r="B962" s="60" t="s">
        <v>162</v>
      </c>
      <c r="C962" s="60" t="s">
        <v>222</v>
      </c>
      <c r="D962" s="68"/>
      <c r="E962" s="73"/>
      <c r="F962" s="79">
        <f>IFERROR(D962*E962,0)</f>
        <v>0</v>
      </c>
      <c r="G962" s="60" t="str">
        <f>INDEX(SETORES!$B:$B,MATCH(A962,SETORES!$A:$A,0))</f>
        <v>Clientes</v>
      </c>
      <c r="H962" s="60" t="s">
        <v>21</v>
      </c>
    </row>
    <row r="963" spans="1:8" ht="14.25" hidden="1" customHeight="1" x14ac:dyDescent="0.3">
      <c r="A963" s="34" t="s">
        <v>82</v>
      </c>
      <c r="B963" s="61" t="s">
        <v>155</v>
      </c>
      <c r="C963" s="61" t="s">
        <v>168</v>
      </c>
      <c r="D963" s="69">
        <v>8</v>
      </c>
      <c r="E963" s="74">
        <v>2.0499999999999998</v>
      </c>
      <c r="F963" s="80">
        <f>IFERROR(D963*E963,0)</f>
        <v>16.399999999999999</v>
      </c>
      <c r="G963" s="61" t="str">
        <f>INDEX(SETORES!$B:$B,MATCH(A963,SETORES!$A:$A,0))</f>
        <v>Clientes</v>
      </c>
      <c r="H963" s="61" t="s">
        <v>21</v>
      </c>
    </row>
    <row r="964" spans="1:8" ht="14.25" hidden="1" customHeight="1" x14ac:dyDescent="0.3">
      <c r="A964" s="2" t="s">
        <v>34</v>
      </c>
      <c r="B964" s="60" t="s">
        <v>155</v>
      </c>
      <c r="C964" s="60" t="s">
        <v>159</v>
      </c>
      <c r="D964" s="68">
        <v>1</v>
      </c>
      <c r="E964" s="73">
        <v>0.14549999999999999</v>
      </c>
      <c r="F964" s="79">
        <v>0.14549999999999999</v>
      </c>
      <c r="G964" s="60" t="str">
        <f>INDEX(SETORES!$B:$B,MATCH(A964,SETORES!$A:$A,0))</f>
        <v>Clientes</v>
      </c>
      <c r="H964" s="60" t="s">
        <v>21</v>
      </c>
    </row>
    <row r="965" spans="1:8" ht="14.25" hidden="1" customHeight="1" x14ac:dyDescent="0.3">
      <c r="A965" s="2" t="s">
        <v>34</v>
      </c>
      <c r="B965" s="60" t="s">
        <v>155</v>
      </c>
      <c r="C965" s="60" t="s">
        <v>212</v>
      </c>
      <c r="D965" s="68">
        <v>2</v>
      </c>
      <c r="E965" s="73">
        <v>30</v>
      </c>
      <c r="F965" s="79">
        <f>IFERROR(D965*E965,0)</f>
        <v>60</v>
      </c>
      <c r="G965" s="60" t="str">
        <f>INDEX(SETORES!$B:$B,MATCH(A965,SETORES!$A:$A,0))</f>
        <v>Clientes</v>
      </c>
      <c r="H965" s="60" t="s">
        <v>21</v>
      </c>
    </row>
    <row r="966" spans="1:8" ht="14.25" hidden="1" customHeight="1" x14ac:dyDescent="0.3">
      <c r="A966" s="2" t="s">
        <v>34</v>
      </c>
      <c r="B966" s="60" t="s">
        <v>155</v>
      </c>
      <c r="C966" s="60" t="s">
        <v>248</v>
      </c>
      <c r="D966" s="68">
        <v>1</v>
      </c>
      <c r="E966" s="73">
        <v>3259.19</v>
      </c>
      <c r="F966" s="79">
        <f>IFERROR(D966*E966,0)</f>
        <v>3259.19</v>
      </c>
      <c r="G966" s="60" t="str">
        <f>INDEX(SETORES!$B:$B,MATCH(A966,SETORES!$A:$A,0))</f>
        <v>Clientes</v>
      </c>
      <c r="H966" s="60" t="s">
        <v>21</v>
      </c>
    </row>
    <row r="967" spans="1:8" ht="14.25" hidden="1" customHeight="1" x14ac:dyDescent="0.3">
      <c r="A967" s="2" t="s">
        <v>34</v>
      </c>
      <c r="B967" s="60" t="s">
        <v>155</v>
      </c>
      <c r="C967" s="60" t="s">
        <v>171</v>
      </c>
      <c r="D967" s="68">
        <v>6</v>
      </c>
      <c r="E967" s="73">
        <v>43.54</v>
      </c>
      <c r="F967" s="79">
        <f>IFERROR(D967*E967,0)</f>
        <v>261.24</v>
      </c>
      <c r="G967" s="60" t="s">
        <v>98</v>
      </c>
      <c r="H967" s="60" t="s">
        <v>21</v>
      </c>
    </row>
    <row r="968" spans="1:8" ht="14.25" hidden="1" customHeight="1" x14ac:dyDescent="0.3">
      <c r="A968" s="34" t="s">
        <v>34</v>
      </c>
      <c r="B968" s="61" t="s">
        <v>155</v>
      </c>
      <c r="C968" s="61" t="s">
        <v>170</v>
      </c>
      <c r="D968" s="69">
        <v>6</v>
      </c>
      <c r="E968" s="74">
        <v>29.74</v>
      </c>
      <c r="F968" s="80">
        <f>IFERROR(D968*E968,0)</f>
        <v>178.44</v>
      </c>
      <c r="G968" s="60" t="s">
        <v>98</v>
      </c>
      <c r="H968" s="61" t="s">
        <v>21</v>
      </c>
    </row>
    <row r="969" spans="1:8" ht="14.25" customHeight="1" x14ac:dyDescent="0.3">
      <c r="A969" s="34" t="s">
        <v>34</v>
      </c>
      <c r="B969" s="61" t="s">
        <v>155</v>
      </c>
      <c r="C969" s="61" t="s">
        <v>169</v>
      </c>
      <c r="D969" s="69">
        <v>6</v>
      </c>
      <c r="E969" s="74">
        <v>47.66</v>
      </c>
      <c r="F969" s="80">
        <f>IFERROR(D969*E969,0)</f>
        <v>285.95999999999998</v>
      </c>
      <c r="G969" s="60" t="s">
        <v>98</v>
      </c>
      <c r="H969" s="61" t="s">
        <v>21</v>
      </c>
    </row>
    <row r="970" spans="1:8" ht="14.25" hidden="1" customHeight="1" x14ac:dyDescent="0.3">
      <c r="A970" s="34" t="s">
        <v>34</v>
      </c>
      <c r="B970" s="61" t="s">
        <v>155</v>
      </c>
      <c r="C970" s="61" t="s">
        <v>158</v>
      </c>
      <c r="D970" s="69">
        <v>1</v>
      </c>
      <c r="E970" s="74">
        <v>49.637999999999998</v>
      </c>
      <c r="F970" s="80">
        <v>49.637999999999998</v>
      </c>
      <c r="G970" s="61" t="str">
        <f>INDEX(SETORES!$B:$B,MATCH(A970,SETORES!$A:$A,0))</f>
        <v>Clientes</v>
      </c>
      <c r="H970" s="61" t="s">
        <v>21</v>
      </c>
    </row>
    <row r="971" spans="1:8" ht="14.25" hidden="1" customHeight="1" x14ac:dyDescent="0.3">
      <c r="A971" s="34" t="s">
        <v>34</v>
      </c>
      <c r="B971" s="61" t="s">
        <v>162</v>
      </c>
      <c r="C971" s="61" t="s">
        <v>165</v>
      </c>
      <c r="D971" s="69"/>
      <c r="E971" s="74"/>
      <c r="F971" s="80">
        <f>IFERROR(D971*E971,0)</f>
        <v>0</v>
      </c>
      <c r="G971" s="61" t="str">
        <f>INDEX(SETORES!$B:$B,MATCH(A971,SETORES!$A:$A,0))</f>
        <v>Clientes</v>
      </c>
      <c r="H971" s="61" t="s">
        <v>21</v>
      </c>
    </row>
    <row r="972" spans="1:8" ht="14.25" hidden="1" customHeight="1" x14ac:dyDescent="0.3">
      <c r="A972" s="34" t="s">
        <v>34</v>
      </c>
      <c r="B972" s="61" t="s">
        <v>162</v>
      </c>
      <c r="C972" s="61" t="s">
        <v>163</v>
      </c>
      <c r="D972" s="69">
        <v>3</v>
      </c>
      <c r="E972" s="74">
        <v>45</v>
      </c>
      <c r="F972" s="80">
        <f>IFERROR(D972*E972,0)</f>
        <v>135</v>
      </c>
      <c r="G972" s="61" t="str">
        <f>INDEX(SETORES!$B:$B,MATCH(A972,SETORES!$A:$A,0))</f>
        <v>Clientes</v>
      </c>
      <c r="H972" s="61" t="s">
        <v>21</v>
      </c>
    </row>
    <row r="973" spans="1:8" ht="14.25" hidden="1" customHeight="1" x14ac:dyDescent="0.3">
      <c r="A973" s="2" t="s">
        <v>34</v>
      </c>
      <c r="B973" s="60" t="s">
        <v>162</v>
      </c>
      <c r="C973" s="60" t="s">
        <v>164</v>
      </c>
      <c r="D973" s="68"/>
      <c r="E973" s="73"/>
      <c r="F973" s="79">
        <f>IFERROR(D973*E973,0)</f>
        <v>0</v>
      </c>
      <c r="G973" s="60" t="str">
        <f>INDEX(SETORES!$B:$B,MATCH(A973,SETORES!$A:$A,0))</f>
        <v>Clientes</v>
      </c>
      <c r="H973" s="60" t="s">
        <v>21</v>
      </c>
    </row>
    <row r="974" spans="1:8" ht="14.25" hidden="1" customHeight="1" x14ac:dyDescent="0.3">
      <c r="A974" s="2" t="s">
        <v>34</v>
      </c>
      <c r="B974" s="60" t="s">
        <v>155</v>
      </c>
      <c r="C974" s="60" t="s">
        <v>161</v>
      </c>
      <c r="D974" s="68">
        <v>1</v>
      </c>
      <c r="E974" s="73">
        <v>22488.240000000002</v>
      </c>
      <c r="F974" s="79">
        <f>IFERROR(E974,0)</f>
        <v>22488.240000000002</v>
      </c>
      <c r="G974" s="60" t="str">
        <f>INDEX(SETORES!$B:$B,MATCH(A974,SETORES!$A:$A,0))</f>
        <v>Clientes</v>
      </c>
      <c r="H974" s="60" t="s">
        <v>21</v>
      </c>
    </row>
    <row r="975" spans="1:8" ht="14.25" hidden="1" customHeight="1" x14ac:dyDescent="0.3">
      <c r="A975" s="34" t="s">
        <v>34</v>
      </c>
      <c r="B975" s="61" t="s">
        <v>155</v>
      </c>
      <c r="C975" s="61" t="s">
        <v>167</v>
      </c>
      <c r="D975" s="69">
        <v>6</v>
      </c>
      <c r="E975" s="74">
        <v>9.92</v>
      </c>
      <c r="F975" s="80">
        <f>IFERROR(D975*E975,0)</f>
        <v>59.519999999999996</v>
      </c>
      <c r="G975" s="61" t="str">
        <f>INDEX(SETORES!$B:$B,MATCH(A975,SETORES!$A:$A,0))</f>
        <v>Clientes</v>
      </c>
      <c r="H975" s="61" t="s">
        <v>21</v>
      </c>
    </row>
    <row r="976" spans="1:8" ht="14.25" hidden="1" customHeight="1" x14ac:dyDescent="0.3">
      <c r="A976" s="2" t="s">
        <v>34</v>
      </c>
      <c r="B976" s="60" t="s">
        <v>155</v>
      </c>
      <c r="C976" s="60" t="s">
        <v>238</v>
      </c>
      <c r="D976" s="68">
        <v>1</v>
      </c>
      <c r="E976" s="73">
        <v>5.882352</v>
      </c>
      <c r="F976" s="79">
        <f>IFERROR(D976*E976,0)</f>
        <v>5.882352</v>
      </c>
      <c r="G976" s="60" t="str">
        <f>INDEX(SETORES!$B:$B,MATCH(A976,SETORES!$A:$A,0))</f>
        <v>Clientes</v>
      </c>
      <c r="H976" s="60" t="s">
        <v>21</v>
      </c>
    </row>
    <row r="977" spans="1:8" ht="14.25" hidden="1" customHeight="1" x14ac:dyDescent="0.3">
      <c r="A977" s="2" t="s">
        <v>34</v>
      </c>
      <c r="B977" s="60" t="s">
        <v>155</v>
      </c>
      <c r="C977" s="60" t="s">
        <v>166</v>
      </c>
      <c r="D977" s="68">
        <v>6</v>
      </c>
      <c r="E977" s="73">
        <v>50</v>
      </c>
      <c r="F977" s="79">
        <f>IFERROR(D977*E977,0)</f>
        <v>300</v>
      </c>
      <c r="G977" s="60" t="str">
        <f>INDEX(SETORES!$B:$B,MATCH(A977,SETORES!$A:$A,0))</f>
        <v>Clientes</v>
      </c>
      <c r="H977" s="60" t="s">
        <v>21</v>
      </c>
    </row>
    <row r="978" spans="1:8" ht="14.25" hidden="1" customHeight="1" x14ac:dyDescent="0.3">
      <c r="A978" s="34" t="s">
        <v>34</v>
      </c>
      <c r="B978" s="61" t="s">
        <v>155</v>
      </c>
      <c r="C978" s="61" t="s">
        <v>156</v>
      </c>
      <c r="D978" s="69">
        <v>6</v>
      </c>
      <c r="E978" s="74">
        <v>3.1032999999999999</v>
      </c>
      <c r="F978" s="80">
        <v>18.619800000000001</v>
      </c>
      <c r="G978" s="61" t="str">
        <f>INDEX(SETORES!$B:$B,MATCH(A978,SETORES!$A:$A,0))</f>
        <v>Clientes</v>
      </c>
      <c r="H978" s="61" t="s">
        <v>21</v>
      </c>
    </row>
    <row r="979" spans="1:8" ht="14.25" hidden="1" customHeight="1" x14ac:dyDescent="0.3">
      <c r="A979" s="2" t="s">
        <v>34</v>
      </c>
      <c r="B979" s="60" t="s">
        <v>155</v>
      </c>
      <c r="C979" s="60" t="s">
        <v>157</v>
      </c>
      <c r="D979" s="68">
        <v>1</v>
      </c>
      <c r="E979" s="73">
        <v>188.83</v>
      </c>
      <c r="F979" s="79">
        <v>188.83</v>
      </c>
      <c r="G979" s="60" t="str">
        <f>INDEX(SETORES!$B:$B,MATCH(A979,SETORES!$A:$A,0))</f>
        <v>Clientes</v>
      </c>
      <c r="H979" s="60" t="s">
        <v>21</v>
      </c>
    </row>
    <row r="980" spans="1:8" ht="14.25" hidden="1" customHeight="1" x14ac:dyDescent="0.3">
      <c r="A980" s="34" t="s">
        <v>34</v>
      </c>
      <c r="B980" s="61" t="s">
        <v>162</v>
      </c>
      <c r="C980" s="61" t="s">
        <v>222</v>
      </c>
      <c r="D980" s="69"/>
      <c r="E980" s="74"/>
      <c r="F980" s="80">
        <f>IFERROR(D980*E980,0)</f>
        <v>0</v>
      </c>
      <c r="G980" s="61" t="str">
        <f>INDEX(SETORES!$B:$B,MATCH(A980,SETORES!$A:$A,0))</f>
        <v>Clientes</v>
      </c>
      <c r="H980" s="61" t="s">
        <v>21</v>
      </c>
    </row>
    <row r="981" spans="1:8" ht="14.25" hidden="1" customHeight="1" x14ac:dyDescent="0.3">
      <c r="A981" s="2" t="s">
        <v>34</v>
      </c>
      <c r="B981" s="60" t="s">
        <v>155</v>
      </c>
      <c r="C981" s="60" t="s">
        <v>168</v>
      </c>
      <c r="D981" s="68">
        <v>6</v>
      </c>
      <c r="E981" s="73">
        <v>2.0499999999999998</v>
      </c>
      <c r="F981" s="79">
        <f>IFERROR(D981*E981,0)</f>
        <v>12.299999999999999</v>
      </c>
      <c r="G981" s="60" t="str">
        <f>INDEX(SETORES!$B:$B,MATCH(A981,SETORES!$A:$A,0))</f>
        <v>Clientes</v>
      </c>
      <c r="H981" s="60" t="s">
        <v>21</v>
      </c>
    </row>
    <row r="982" spans="1:8" ht="14.25" hidden="1" customHeight="1" x14ac:dyDescent="0.3">
      <c r="A982" s="34" t="s">
        <v>34</v>
      </c>
      <c r="B982" s="61" t="s">
        <v>155</v>
      </c>
      <c r="C982" s="61" t="s">
        <v>160</v>
      </c>
      <c r="D982" s="69"/>
      <c r="E982" s="74"/>
      <c r="F982" s="80">
        <f>IFERROR(D982*E982,0)</f>
        <v>0</v>
      </c>
      <c r="G982" s="61" t="str">
        <f>INDEX(SETORES!$B:$B,MATCH(A982,SETORES!$A:$A,0))</f>
        <v>Clientes</v>
      </c>
      <c r="H982" s="61" t="s">
        <v>21</v>
      </c>
    </row>
    <row r="983" spans="1:8" ht="14.25" hidden="1" customHeight="1" x14ac:dyDescent="0.3">
      <c r="A983" s="34" t="s">
        <v>83</v>
      </c>
      <c r="B983" s="61" t="s">
        <v>155</v>
      </c>
      <c r="C983" s="61" t="s">
        <v>212</v>
      </c>
      <c r="D983" s="69">
        <v>2</v>
      </c>
      <c r="E983" s="74">
        <v>30</v>
      </c>
      <c r="F983" s="80">
        <f>IFERROR(D983*E983,0)</f>
        <v>60</v>
      </c>
      <c r="G983" s="61" t="str">
        <f>INDEX(SETORES!$B:$B,MATCH(A983,SETORES!$A:$A,0))</f>
        <v>Clientes</v>
      </c>
      <c r="H983" s="61" t="s">
        <v>21</v>
      </c>
    </row>
    <row r="984" spans="1:8" ht="14.25" hidden="1" customHeight="1" x14ac:dyDescent="0.3">
      <c r="A984" s="2" t="s">
        <v>83</v>
      </c>
      <c r="B984" s="60" t="s">
        <v>162</v>
      </c>
      <c r="C984" s="60" t="s">
        <v>217</v>
      </c>
      <c r="D984" s="68">
        <v>1</v>
      </c>
      <c r="E984" s="73">
        <v>1878.14</v>
      </c>
      <c r="F984" s="79">
        <f>IFERROR(D984*E984,0)</f>
        <v>1878.14</v>
      </c>
      <c r="G984" s="60" t="str">
        <f>INDEX(SETORES!$B:$B,MATCH(A984,SETORES!$A:$A,0))</f>
        <v>Clientes</v>
      </c>
      <c r="H984" s="60" t="s">
        <v>21</v>
      </c>
    </row>
    <row r="985" spans="1:8" ht="14.25" hidden="1" customHeight="1" x14ac:dyDescent="0.3">
      <c r="A985" s="34" t="s">
        <v>83</v>
      </c>
      <c r="B985" s="61" t="s">
        <v>155</v>
      </c>
      <c r="C985" s="61" t="s">
        <v>237</v>
      </c>
      <c r="D985" s="69">
        <v>1</v>
      </c>
      <c r="E985" s="74">
        <v>7500</v>
      </c>
      <c r="F985" s="80">
        <f>IFERROR(D985*E985,0)</f>
        <v>7500</v>
      </c>
      <c r="G985" s="61" t="str">
        <f>INDEX(SETORES!$B:$B,MATCH(A985,SETORES!$A:$A,0))</f>
        <v>Clientes</v>
      </c>
      <c r="H985" s="61" t="s">
        <v>21</v>
      </c>
    </row>
    <row r="986" spans="1:8" ht="14.25" hidden="1" customHeight="1" x14ac:dyDescent="0.3">
      <c r="A986" s="2" t="s">
        <v>83</v>
      </c>
      <c r="B986" s="60" t="s">
        <v>155</v>
      </c>
      <c r="C986" s="60" t="s">
        <v>171</v>
      </c>
      <c r="D986" s="68">
        <v>2</v>
      </c>
      <c r="E986" s="73">
        <v>43.54</v>
      </c>
      <c r="F986" s="79">
        <f>IFERROR(D986*E986,0)</f>
        <v>87.08</v>
      </c>
      <c r="G986" s="60" t="s">
        <v>98</v>
      </c>
      <c r="H986" s="60" t="s">
        <v>21</v>
      </c>
    </row>
    <row r="987" spans="1:8" ht="14.25" hidden="1" customHeight="1" x14ac:dyDescent="0.3">
      <c r="A987" s="34" t="s">
        <v>83</v>
      </c>
      <c r="B987" s="61" t="s">
        <v>155</v>
      </c>
      <c r="C987" s="61" t="s">
        <v>170</v>
      </c>
      <c r="D987" s="69">
        <v>2</v>
      </c>
      <c r="E987" s="74">
        <v>29.74</v>
      </c>
      <c r="F987" s="80">
        <f>IFERROR(D987*E987,0)</f>
        <v>59.48</v>
      </c>
      <c r="G987" s="60" t="s">
        <v>98</v>
      </c>
      <c r="H987" s="61" t="s">
        <v>21</v>
      </c>
    </row>
    <row r="988" spans="1:8" ht="14.25" customHeight="1" x14ac:dyDescent="0.3">
      <c r="A988" s="34" t="s">
        <v>83</v>
      </c>
      <c r="B988" s="61" t="s">
        <v>155</v>
      </c>
      <c r="C988" s="61" t="s">
        <v>169</v>
      </c>
      <c r="D988" s="69">
        <v>2</v>
      </c>
      <c r="E988" s="74">
        <v>47.66</v>
      </c>
      <c r="F988" s="80">
        <f>IFERROR(D988*E988,0)</f>
        <v>95.32</v>
      </c>
      <c r="G988" s="60" t="s">
        <v>98</v>
      </c>
      <c r="H988" s="61" t="s">
        <v>21</v>
      </c>
    </row>
    <row r="989" spans="1:8" ht="14.25" hidden="1" customHeight="1" x14ac:dyDescent="0.3">
      <c r="A989" s="2" t="s">
        <v>83</v>
      </c>
      <c r="B989" s="60" t="s">
        <v>155</v>
      </c>
      <c r="C989" s="60" t="s">
        <v>161</v>
      </c>
      <c r="D989" s="68">
        <v>1</v>
      </c>
      <c r="E989" s="73">
        <v>6068.32</v>
      </c>
      <c r="F989" s="79">
        <f>IFERROR(E989,0)</f>
        <v>6068.32</v>
      </c>
      <c r="G989" s="60" t="str">
        <f>INDEX(SETORES!$B:$B,MATCH(A989,SETORES!$A:$A,0))</f>
        <v>Clientes</v>
      </c>
      <c r="H989" s="60" t="s">
        <v>21</v>
      </c>
    </row>
    <row r="990" spans="1:8" ht="14.25" hidden="1" customHeight="1" x14ac:dyDescent="0.3">
      <c r="A990" s="2" t="s">
        <v>83</v>
      </c>
      <c r="B990" s="60" t="s">
        <v>155</v>
      </c>
      <c r="C990" s="60" t="s">
        <v>167</v>
      </c>
      <c r="D990" s="68">
        <v>2</v>
      </c>
      <c r="E990" s="73">
        <v>9.92</v>
      </c>
      <c r="F990" s="79">
        <f>IFERROR(D990*E990,0)</f>
        <v>19.84</v>
      </c>
      <c r="G990" s="60" t="str">
        <f>INDEX(SETORES!$B:$B,MATCH(A990,SETORES!$A:$A,0))</f>
        <v>Clientes</v>
      </c>
      <c r="H990" s="60" t="s">
        <v>21</v>
      </c>
    </row>
    <row r="991" spans="1:8" ht="14.25" hidden="1" customHeight="1" x14ac:dyDescent="0.3">
      <c r="A991" s="34" t="s">
        <v>83</v>
      </c>
      <c r="B991" s="61" t="s">
        <v>155</v>
      </c>
      <c r="C991" s="61" t="s">
        <v>238</v>
      </c>
      <c r="D991" s="69">
        <v>1</v>
      </c>
      <c r="E991" s="74">
        <v>0</v>
      </c>
      <c r="F991" s="80">
        <f>IFERROR(D991*E991,0)</f>
        <v>0</v>
      </c>
      <c r="G991" s="61" t="str">
        <f>INDEX(SETORES!$B:$B,MATCH(A991,SETORES!$A:$A,0))</f>
        <v>Clientes</v>
      </c>
      <c r="H991" s="61" t="s">
        <v>21</v>
      </c>
    </row>
    <row r="992" spans="1:8" ht="14.25" hidden="1" customHeight="1" x14ac:dyDescent="0.3">
      <c r="A992" s="2" t="s">
        <v>83</v>
      </c>
      <c r="B992" s="60" t="s">
        <v>155</v>
      </c>
      <c r="C992" s="60" t="s">
        <v>166</v>
      </c>
      <c r="D992" s="68">
        <v>3</v>
      </c>
      <c r="E992" s="73">
        <v>50</v>
      </c>
      <c r="F992" s="79">
        <f>IFERROR(D992*E992,0)</f>
        <v>150</v>
      </c>
      <c r="G992" s="60" t="str">
        <f>INDEX(SETORES!$B:$B,MATCH(A992,SETORES!$A:$A,0))</f>
        <v>Clientes</v>
      </c>
      <c r="H992" s="60" t="s">
        <v>21</v>
      </c>
    </row>
    <row r="993" spans="1:8" ht="14.25" hidden="1" customHeight="1" x14ac:dyDescent="0.3">
      <c r="A993" s="34" t="s">
        <v>83</v>
      </c>
      <c r="B993" s="61" t="s">
        <v>155</v>
      </c>
      <c r="C993" s="61" t="s">
        <v>157</v>
      </c>
      <c r="D993" s="69">
        <v>1</v>
      </c>
      <c r="E993" s="74">
        <v>71.13</v>
      </c>
      <c r="F993" s="80">
        <v>71.13</v>
      </c>
      <c r="G993" s="61" t="str">
        <f>INDEX(SETORES!$B:$B,MATCH(A993,SETORES!$A:$A,0))</f>
        <v>Clientes</v>
      </c>
      <c r="H993" s="61" t="s">
        <v>21</v>
      </c>
    </row>
    <row r="994" spans="1:8" ht="14.25" hidden="1" customHeight="1" x14ac:dyDescent="0.3">
      <c r="A994" s="2" t="s">
        <v>83</v>
      </c>
      <c r="B994" s="60" t="s">
        <v>162</v>
      </c>
      <c r="C994" s="60" t="s">
        <v>222</v>
      </c>
      <c r="D994" s="68"/>
      <c r="E994" s="73"/>
      <c r="F994" s="79">
        <f>IFERROR(D994*E994,0)</f>
        <v>0</v>
      </c>
      <c r="G994" s="60" t="str">
        <f>INDEX(SETORES!$B:$B,MATCH(A994,SETORES!$A:$A,0))</f>
        <v>Clientes</v>
      </c>
      <c r="H994" s="60" t="s">
        <v>21</v>
      </c>
    </row>
    <row r="995" spans="1:8" ht="14.25" hidden="1" customHeight="1" x14ac:dyDescent="0.3">
      <c r="A995" s="34" t="s">
        <v>83</v>
      </c>
      <c r="B995" s="61" t="s">
        <v>155</v>
      </c>
      <c r="C995" s="61" t="s">
        <v>168</v>
      </c>
      <c r="D995" s="69">
        <v>2</v>
      </c>
      <c r="E995" s="74">
        <v>2.0499999999999998</v>
      </c>
      <c r="F995" s="80">
        <f>IFERROR(D995*E995,0)</f>
        <v>4.0999999999999996</v>
      </c>
      <c r="G995" s="61" t="str">
        <f>INDEX(SETORES!$B:$B,MATCH(A995,SETORES!$A:$A,0))</f>
        <v>Clientes</v>
      </c>
      <c r="H995" s="61" t="s">
        <v>21</v>
      </c>
    </row>
    <row r="996" spans="1:8" ht="14.25" hidden="1" customHeight="1" x14ac:dyDescent="0.3">
      <c r="A996" s="2" t="s">
        <v>84</v>
      </c>
      <c r="B996" s="60" t="s">
        <v>162</v>
      </c>
      <c r="C996" s="60" t="s">
        <v>217</v>
      </c>
      <c r="D996" s="68">
        <v>1</v>
      </c>
      <c r="E996" s="73">
        <v>7771.58</v>
      </c>
      <c r="F996" s="79">
        <f>IFERROR(D996*E996,0)</f>
        <v>7771.58</v>
      </c>
      <c r="G996" s="60" t="str">
        <f>INDEX(SETORES!$B:$B,MATCH(A996,SETORES!$A:$A,0))</f>
        <v>Clientes</v>
      </c>
      <c r="H996" s="60" t="s">
        <v>21</v>
      </c>
    </row>
    <row r="997" spans="1:8" ht="14.25" hidden="1" customHeight="1" x14ac:dyDescent="0.3">
      <c r="A997" s="2" t="s">
        <v>84</v>
      </c>
      <c r="B997" s="60" t="s">
        <v>155</v>
      </c>
      <c r="C997" s="60" t="s">
        <v>250</v>
      </c>
      <c r="D997" s="68">
        <v>1</v>
      </c>
      <c r="E997" s="73">
        <v>3897.73</v>
      </c>
      <c r="F997" s="79">
        <f>IFERROR(D997*E997,0)</f>
        <v>3897.73</v>
      </c>
      <c r="G997" s="60" t="str">
        <f>INDEX(SETORES!$B:$B,MATCH(A997,SETORES!$A:$A,0))</f>
        <v>Clientes</v>
      </c>
      <c r="H997" s="60" t="s">
        <v>21</v>
      </c>
    </row>
    <row r="998" spans="1:8" ht="14.25" hidden="1" customHeight="1" x14ac:dyDescent="0.3">
      <c r="A998" s="2" t="s">
        <v>84</v>
      </c>
      <c r="B998" s="60" t="s">
        <v>155</v>
      </c>
      <c r="C998" s="60" t="s">
        <v>171</v>
      </c>
      <c r="D998" s="68">
        <v>22</v>
      </c>
      <c r="E998" s="73">
        <v>43.54</v>
      </c>
      <c r="F998" s="79">
        <f>IFERROR(D998*E998,0)</f>
        <v>957.88</v>
      </c>
      <c r="G998" s="60" t="s">
        <v>98</v>
      </c>
      <c r="H998" s="60" t="s">
        <v>21</v>
      </c>
    </row>
    <row r="999" spans="1:8" ht="14.25" hidden="1" customHeight="1" x14ac:dyDescent="0.3">
      <c r="A999" s="34" t="s">
        <v>84</v>
      </c>
      <c r="B999" s="61" t="s">
        <v>155</v>
      </c>
      <c r="C999" s="61" t="s">
        <v>170</v>
      </c>
      <c r="D999" s="69">
        <v>22</v>
      </c>
      <c r="E999" s="74">
        <v>29.74</v>
      </c>
      <c r="F999" s="80">
        <f>IFERROR(D999*E999,0)</f>
        <v>654.28</v>
      </c>
      <c r="G999" s="60" t="s">
        <v>98</v>
      </c>
      <c r="H999" s="61" t="s">
        <v>21</v>
      </c>
    </row>
    <row r="1000" spans="1:8" ht="14.25" customHeight="1" x14ac:dyDescent="0.3">
      <c r="A1000" s="34" t="s">
        <v>84</v>
      </c>
      <c r="B1000" s="61" t="s">
        <v>155</v>
      </c>
      <c r="C1000" s="61" t="s">
        <v>169</v>
      </c>
      <c r="D1000" s="69">
        <v>22</v>
      </c>
      <c r="E1000" s="74">
        <v>47.66</v>
      </c>
      <c r="F1000" s="80">
        <f>IFERROR(D1000*E1000,0)</f>
        <v>1048.52</v>
      </c>
      <c r="G1000" s="60" t="s">
        <v>98</v>
      </c>
      <c r="H1000" s="61" t="s">
        <v>21</v>
      </c>
    </row>
    <row r="1001" spans="1:8" ht="14.25" hidden="1" customHeight="1" x14ac:dyDescent="0.3">
      <c r="A1001" s="34" t="s">
        <v>84</v>
      </c>
      <c r="B1001" s="61" t="s">
        <v>162</v>
      </c>
      <c r="C1001" s="61" t="s">
        <v>221</v>
      </c>
      <c r="D1001" s="69">
        <v>1</v>
      </c>
      <c r="E1001" s="74">
        <v>7429.1</v>
      </c>
      <c r="F1001" s="80">
        <f>IFERROR(D1001*E1001,0)</f>
        <v>7429.1</v>
      </c>
      <c r="G1001" s="61" t="str">
        <f>INDEX(SETORES!$B:$B,MATCH(A1001,SETORES!$A:$A,0))</f>
        <v>Clientes</v>
      </c>
      <c r="H1001" s="61" t="s">
        <v>21</v>
      </c>
    </row>
    <row r="1002" spans="1:8" ht="14.25" hidden="1" customHeight="1" x14ac:dyDescent="0.3">
      <c r="A1002" s="34" t="s">
        <v>84</v>
      </c>
      <c r="B1002" s="61" t="s">
        <v>155</v>
      </c>
      <c r="C1002" s="61" t="s">
        <v>161</v>
      </c>
      <c r="D1002" s="69">
        <v>1</v>
      </c>
      <c r="E1002" s="74">
        <v>158087.5</v>
      </c>
      <c r="F1002" s="80">
        <f>IFERROR(E1002,0)</f>
        <v>158087.5</v>
      </c>
      <c r="G1002" s="61" t="str">
        <f>INDEX(SETORES!$B:$B,MATCH(A1002,SETORES!$A:$A,0))</f>
        <v>Clientes</v>
      </c>
      <c r="H1002" s="61" t="s">
        <v>21</v>
      </c>
    </row>
    <row r="1003" spans="1:8" ht="14.25" hidden="1" customHeight="1" x14ac:dyDescent="0.3">
      <c r="A1003" s="2" t="s">
        <v>84</v>
      </c>
      <c r="B1003" s="60" t="s">
        <v>155</v>
      </c>
      <c r="C1003" s="60" t="s">
        <v>167</v>
      </c>
      <c r="D1003" s="68">
        <v>22</v>
      </c>
      <c r="E1003" s="73">
        <v>9.92</v>
      </c>
      <c r="F1003" s="79">
        <f>IFERROR(D1003*E1003,0)</f>
        <v>218.24</v>
      </c>
      <c r="G1003" s="60" t="str">
        <f>INDEX(SETORES!$B:$B,MATCH(A1003,SETORES!$A:$A,0))</f>
        <v>Clientes</v>
      </c>
      <c r="H1003" s="60" t="s">
        <v>21</v>
      </c>
    </row>
    <row r="1004" spans="1:8" ht="14.25" hidden="1" customHeight="1" x14ac:dyDescent="0.3">
      <c r="A1004" s="2" t="s">
        <v>84</v>
      </c>
      <c r="B1004" s="60" t="s">
        <v>155</v>
      </c>
      <c r="C1004" s="60" t="s">
        <v>166</v>
      </c>
      <c r="D1004" s="68">
        <v>1</v>
      </c>
      <c r="E1004" s="73">
        <v>50</v>
      </c>
      <c r="F1004" s="79">
        <f>IFERROR(D1004*E1004,0)</f>
        <v>50</v>
      </c>
      <c r="G1004" s="60" t="str">
        <f>INDEX(SETORES!$B:$B,MATCH(A1004,SETORES!$A:$A,0))</f>
        <v>Clientes</v>
      </c>
      <c r="H1004" s="60" t="s">
        <v>21</v>
      </c>
    </row>
    <row r="1005" spans="1:8" ht="14.25" hidden="1" customHeight="1" x14ac:dyDescent="0.3">
      <c r="A1005" s="34" t="s">
        <v>84</v>
      </c>
      <c r="B1005" s="61" t="s">
        <v>155</v>
      </c>
      <c r="C1005" s="61" t="s">
        <v>168</v>
      </c>
      <c r="D1005" s="69">
        <v>22</v>
      </c>
      <c r="E1005" s="74">
        <v>2.0499999999999998</v>
      </c>
      <c r="F1005" s="80">
        <f>IFERROR(D1005*E1005,0)</f>
        <v>45.099999999999994</v>
      </c>
      <c r="G1005" s="61" t="str">
        <f>INDEX(SETORES!$B:$B,MATCH(A1005,SETORES!$A:$A,0))</f>
        <v>Clientes</v>
      </c>
      <c r="H1005" s="61" t="s">
        <v>21</v>
      </c>
    </row>
    <row r="1006" spans="1:8" ht="14.25" hidden="1" customHeight="1" x14ac:dyDescent="0.3">
      <c r="A1006" s="34" t="s">
        <v>48</v>
      </c>
      <c r="B1006" s="61" t="s">
        <v>155</v>
      </c>
      <c r="C1006" s="61" t="s">
        <v>159</v>
      </c>
      <c r="D1006" s="69">
        <v>14</v>
      </c>
      <c r="E1006" s="74">
        <v>3.3247</v>
      </c>
      <c r="F1006" s="80">
        <v>46.5458</v>
      </c>
      <c r="G1006" s="61" t="str">
        <f>INDEX(SETORES!$B:$B,MATCH(A1006,SETORES!$A:$A,0))</f>
        <v>Clientes</v>
      </c>
      <c r="H1006" s="61" t="s">
        <v>21</v>
      </c>
    </row>
    <row r="1007" spans="1:8" ht="14.25" hidden="1" customHeight="1" x14ac:dyDescent="0.3">
      <c r="A1007" s="2" t="s">
        <v>48</v>
      </c>
      <c r="B1007" s="60" t="s">
        <v>155</v>
      </c>
      <c r="C1007" s="60" t="s">
        <v>212</v>
      </c>
      <c r="D1007" s="68">
        <v>7</v>
      </c>
      <c r="E1007" s="73">
        <v>30</v>
      </c>
      <c r="F1007" s="79">
        <f>IFERROR(D1007*E1007,0)</f>
        <v>210</v>
      </c>
      <c r="G1007" s="60" t="str">
        <f>INDEX(SETORES!$B:$B,MATCH(A1007,SETORES!$A:$A,0))</f>
        <v>Clientes</v>
      </c>
      <c r="H1007" s="60" t="s">
        <v>21</v>
      </c>
    </row>
    <row r="1008" spans="1:8" ht="14.25" hidden="1" customHeight="1" x14ac:dyDescent="0.3">
      <c r="A1008" s="2" t="s">
        <v>48</v>
      </c>
      <c r="B1008" s="60" t="s">
        <v>162</v>
      </c>
      <c r="C1008" s="60" t="s">
        <v>217</v>
      </c>
      <c r="D1008" s="68">
        <v>1</v>
      </c>
      <c r="E1008" s="73">
        <v>37632.61</v>
      </c>
      <c r="F1008" s="79">
        <f>IFERROR(D1008*E1008,0)</f>
        <v>37632.61</v>
      </c>
      <c r="G1008" s="60" t="str">
        <f>INDEX(SETORES!$B:$B,MATCH(A1008,SETORES!$A:$A,0))</f>
        <v>Clientes</v>
      </c>
      <c r="H1008" s="60" t="s">
        <v>21</v>
      </c>
    </row>
    <row r="1009" spans="1:8" ht="14.25" hidden="1" customHeight="1" x14ac:dyDescent="0.3">
      <c r="A1009" s="2" t="s">
        <v>48</v>
      </c>
      <c r="B1009" s="60" t="s">
        <v>162</v>
      </c>
      <c r="C1009" s="60" t="s">
        <v>247</v>
      </c>
      <c r="D1009" s="68">
        <v>1</v>
      </c>
      <c r="E1009" s="73">
        <v>21332.99</v>
      </c>
      <c r="F1009" s="79">
        <f>IFERROR(D1009*E1009,0)</f>
        <v>21332.99</v>
      </c>
      <c r="G1009" s="60" t="str">
        <f>INDEX(SETORES!$B:$B,MATCH(A1009,SETORES!$A:$A,0))</f>
        <v>Clientes</v>
      </c>
      <c r="H1009" s="60" t="s">
        <v>21</v>
      </c>
    </row>
    <row r="1010" spans="1:8" ht="14.25" hidden="1" customHeight="1" x14ac:dyDescent="0.3">
      <c r="A1010" s="2" t="s">
        <v>48</v>
      </c>
      <c r="B1010" s="60" t="s">
        <v>155</v>
      </c>
      <c r="C1010" s="60" t="s">
        <v>256</v>
      </c>
      <c r="D1010" s="68">
        <v>1</v>
      </c>
      <c r="E1010" s="73">
        <v>10847.070632999999</v>
      </c>
      <c r="F1010" s="79">
        <v>10847.070632999999</v>
      </c>
      <c r="G1010" s="60" t="s">
        <v>96</v>
      </c>
      <c r="H1010" s="60" t="s">
        <v>21</v>
      </c>
    </row>
    <row r="1011" spans="1:8" ht="14.25" hidden="1" customHeight="1" x14ac:dyDescent="0.3">
      <c r="A1011" s="34" t="s">
        <v>48</v>
      </c>
      <c r="B1011" s="61" t="s">
        <v>155</v>
      </c>
      <c r="C1011" s="61" t="s">
        <v>171</v>
      </c>
      <c r="D1011" s="69">
        <v>14</v>
      </c>
      <c r="E1011" s="74">
        <v>43.54</v>
      </c>
      <c r="F1011" s="80">
        <v>609.55999999999995</v>
      </c>
      <c r="G1011" s="60" t="s">
        <v>98</v>
      </c>
      <c r="H1011" s="61" t="s">
        <v>21</v>
      </c>
    </row>
    <row r="1012" spans="1:8" ht="14.25" hidden="1" customHeight="1" x14ac:dyDescent="0.3">
      <c r="A1012" s="2" t="s">
        <v>48</v>
      </c>
      <c r="B1012" s="60" t="s">
        <v>155</v>
      </c>
      <c r="C1012" s="60" t="s">
        <v>170</v>
      </c>
      <c r="D1012" s="68">
        <v>14</v>
      </c>
      <c r="E1012" s="73">
        <v>29.74</v>
      </c>
      <c r="F1012" s="79">
        <v>416.36</v>
      </c>
      <c r="G1012" s="60" t="s">
        <v>98</v>
      </c>
      <c r="H1012" s="60" t="s">
        <v>21</v>
      </c>
    </row>
    <row r="1013" spans="1:8" ht="14.25" customHeight="1" x14ac:dyDescent="0.3">
      <c r="A1013" s="2" t="s">
        <v>48</v>
      </c>
      <c r="B1013" s="60" t="s">
        <v>155</v>
      </c>
      <c r="C1013" s="60" t="s">
        <v>169</v>
      </c>
      <c r="D1013" s="68">
        <v>14</v>
      </c>
      <c r="E1013" s="73">
        <v>47.66</v>
      </c>
      <c r="F1013" s="79">
        <v>667.24</v>
      </c>
      <c r="G1013" s="60" t="s">
        <v>98</v>
      </c>
      <c r="H1013" s="60" t="s">
        <v>21</v>
      </c>
    </row>
    <row r="1014" spans="1:8" ht="14.25" hidden="1" customHeight="1" x14ac:dyDescent="0.3">
      <c r="A1014" s="2" t="s">
        <v>48</v>
      </c>
      <c r="B1014" s="60" t="s">
        <v>155</v>
      </c>
      <c r="C1014" s="60" t="s">
        <v>158</v>
      </c>
      <c r="D1014" s="68">
        <v>14</v>
      </c>
      <c r="E1014" s="73">
        <v>21.258199999999999</v>
      </c>
      <c r="F1014" s="79">
        <v>297.6148</v>
      </c>
      <c r="G1014" s="60" t="str">
        <f>INDEX(SETORES!$B:$B,MATCH(A1014,SETORES!$A:$A,0))</f>
        <v>Clientes</v>
      </c>
      <c r="H1014" s="60" t="s">
        <v>21</v>
      </c>
    </row>
    <row r="1015" spans="1:8" ht="14.25" hidden="1" customHeight="1" x14ac:dyDescent="0.3">
      <c r="A1015" s="2" t="s">
        <v>48</v>
      </c>
      <c r="B1015" s="60" t="s">
        <v>162</v>
      </c>
      <c r="C1015" s="60" t="s">
        <v>221</v>
      </c>
      <c r="D1015" s="68"/>
      <c r="E1015" s="73"/>
      <c r="F1015" s="79">
        <f>IFERROR(D1015*E1015,0)</f>
        <v>0</v>
      </c>
      <c r="G1015" s="60" t="str">
        <f>INDEX(SETORES!$B:$B,MATCH(A1015,SETORES!$A:$A,0))</f>
        <v>Clientes</v>
      </c>
      <c r="H1015" s="60" t="s">
        <v>21</v>
      </c>
    </row>
    <row r="1016" spans="1:8" ht="14.25" hidden="1" customHeight="1" x14ac:dyDescent="0.3">
      <c r="A1016" s="2" t="s">
        <v>48</v>
      </c>
      <c r="B1016" s="60" t="s">
        <v>162</v>
      </c>
      <c r="C1016" s="60" t="s">
        <v>165</v>
      </c>
      <c r="D1016" s="68">
        <v>1</v>
      </c>
      <c r="E1016" s="73">
        <v>35</v>
      </c>
      <c r="F1016" s="79">
        <f>IFERROR(D1016*E1016,0)</f>
        <v>35</v>
      </c>
      <c r="G1016" s="60" t="str">
        <f>INDEX(SETORES!$B:$B,MATCH(A1016,SETORES!$A:$A,0))</f>
        <v>Clientes</v>
      </c>
      <c r="H1016" s="60" t="s">
        <v>21</v>
      </c>
    </row>
    <row r="1017" spans="1:8" ht="14.25" hidden="1" customHeight="1" x14ac:dyDescent="0.3">
      <c r="A1017" s="2" t="s">
        <v>48</v>
      </c>
      <c r="B1017" s="60" t="s">
        <v>162</v>
      </c>
      <c r="C1017" s="60" t="s">
        <v>163</v>
      </c>
      <c r="D1017" s="68">
        <v>2</v>
      </c>
      <c r="E1017" s="73">
        <v>68</v>
      </c>
      <c r="F1017" s="79">
        <f>IFERROR(D1017*E1017,0)</f>
        <v>136</v>
      </c>
      <c r="G1017" s="60" t="str">
        <f>INDEX(SETORES!$B:$B,MATCH(A1017,SETORES!$A:$A,0))</f>
        <v>Clientes</v>
      </c>
      <c r="H1017" s="60" t="s">
        <v>21</v>
      </c>
    </row>
    <row r="1018" spans="1:8" ht="14.25" hidden="1" customHeight="1" x14ac:dyDescent="0.3">
      <c r="A1018" s="34" t="s">
        <v>48</v>
      </c>
      <c r="B1018" s="61" t="s">
        <v>162</v>
      </c>
      <c r="C1018" s="61" t="s">
        <v>164</v>
      </c>
      <c r="D1018" s="69"/>
      <c r="E1018" s="74"/>
      <c r="F1018" s="80">
        <f>IFERROR(D1018*E1018,0)</f>
        <v>0</v>
      </c>
      <c r="G1018" s="61" t="str">
        <f>INDEX(SETORES!$B:$B,MATCH(A1018,SETORES!$A:$A,0))</f>
        <v>Clientes</v>
      </c>
      <c r="H1018" s="61" t="s">
        <v>21</v>
      </c>
    </row>
    <row r="1019" spans="1:8" ht="14.25" hidden="1" customHeight="1" x14ac:dyDescent="0.3">
      <c r="A1019" s="34" t="s">
        <v>48</v>
      </c>
      <c r="B1019" s="61" t="s">
        <v>155</v>
      </c>
      <c r="C1019" s="61" t="s">
        <v>161</v>
      </c>
      <c r="D1019" s="69">
        <v>1</v>
      </c>
      <c r="E1019" s="74">
        <v>66787.046329000004</v>
      </c>
      <c r="F1019" s="80">
        <v>66787.046329000004</v>
      </c>
      <c r="G1019" s="61" t="str">
        <f>INDEX(SETORES!$B:$B,MATCH(A1019,SETORES!$A:$A,0))</f>
        <v>Clientes</v>
      </c>
      <c r="H1019" s="61" t="s">
        <v>21</v>
      </c>
    </row>
    <row r="1020" spans="1:8" ht="14.25" hidden="1" customHeight="1" x14ac:dyDescent="0.3">
      <c r="A1020" s="2" t="s">
        <v>48</v>
      </c>
      <c r="B1020" s="60" t="s">
        <v>155</v>
      </c>
      <c r="C1020" s="60" t="s">
        <v>167</v>
      </c>
      <c r="D1020" s="68">
        <v>14</v>
      </c>
      <c r="E1020" s="73">
        <v>9.92</v>
      </c>
      <c r="F1020" s="79">
        <v>138.88</v>
      </c>
      <c r="G1020" s="60" t="str">
        <f>INDEX(SETORES!$B:$B,MATCH(A1020,SETORES!$A:$A,0))</f>
        <v>Clientes</v>
      </c>
      <c r="H1020" s="60" t="s">
        <v>21</v>
      </c>
    </row>
    <row r="1021" spans="1:8" ht="14.25" hidden="1" customHeight="1" x14ac:dyDescent="0.3">
      <c r="A1021" s="34" t="s">
        <v>48</v>
      </c>
      <c r="B1021" s="61" t="s">
        <v>155</v>
      </c>
      <c r="C1021" s="61" t="s">
        <v>238</v>
      </c>
      <c r="D1021" s="69">
        <v>1</v>
      </c>
      <c r="E1021" s="74">
        <v>403.58</v>
      </c>
      <c r="F1021" s="80">
        <f>IFERROR(D1021*E1021,0)</f>
        <v>403.58</v>
      </c>
      <c r="G1021" s="61" t="str">
        <f>INDEX(SETORES!$B:$B,MATCH(A1021,SETORES!$A:$A,0))</f>
        <v>Clientes</v>
      </c>
      <c r="H1021" s="61" t="s">
        <v>21</v>
      </c>
    </row>
    <row r="1022" spans="1:8" ht="14.25" hidden="1" customHeight="1" x14ac:dyDescent="0.3">
      <c r="A1022" s="2" t="s">
        <v>48</v>
      </c>
      <c r="B1022" s="60" t="s">
        <v>155</v>
      </c>
      <c r="C1022" s="60" t="s">
        <v>166</v>
      </c>
      <c r="D1022" s="68">
        <v>3</v>
      </c>
      <c r="E1022" s="73">
        <v>50</v>
      </c>
      <c r="F1022" s="79">
        <f>IFERROR(D1022*E1022,0)</f>
        <v>150</v>
      </c>
      <c r="G1022" s="60" t="str">
        <f>INDEX(SETORES!$B:$B,MATCH(A1022,SETORES!$A:$A,0))</f>
        <v>Clientes</v>
      </c>
      <c r="H1022" s="60" t="s">
        <v>21</v>
      </c>
    </row>
    <row r="1023" spans="1:8" ht="14.25" hidden="1" customHeight="1" x14ac:dyDescent="0.3">
      <c r="A1023" s="34" t="s">
        <v>48</v>
      </c>
      <c r="B1023" s="61" t="s">
        <v>162</v>
      </c>
      <c r="C1023" s="61" t="s">
        <v>220</v>
      </c>
      <c r="D1023" s="69"/>
      <c r="E1023" s="74"/>
      <c r="F1023" s="80">
        <f>IFERROR(D1023*E1023,0)</f>
        <v>0</v>
      </c>
      <c r="G1023" s="61" t="str">
        <f>INDEX(SETORES!$B:$B,MATCH(A1023,SETORES!$A:$A,0))</f>
        <v>Clientes</v>
      </c>
      <c r="H1023" s="61" t="s">
        <v>21</v>
      </c>
    </row>
    <row r="1024" spans="1:8" ht="14.25" hidden="1" customHeight="1" x14ac:dyDescent="0.3">
      <c r="A1024" s="2" t="s">
        <v>48</v>
      </c>
      <c r="B1024" s="60" t="s">
        <v>155</v>
      </c>
      <c r="C1024" s="60" t="s">
        <v>156</v>
      </c>
      <c r="D1024" s="68"/>
      <c r="E1024" s="73"/>
      <c r="F1024" s="79">
        <v>0</v>
      </c>
      <c r="G1024" s="60" t="str">
        <f>INDEX(SETORES!$B:$B,MATCH(A1024,SETORES!$A:$A,0))</f>
        <v>Clientes</v>
      </c>
      <c r="H1024" s="60" t="s">
        <v>21</v>
      </c>
    </row>
    <row r="1025" spans="1:8" ht="14.25" hidden="1" customHeight="1" x14ac:dyDescent="0.3">
      <c r="A1025" s="34" t="s">
        <v>48</v>
      </c>
      <c r="B1025" s="61" t="s">
        <v>155</v>
      </c>
      <c r="C1025" s="61" t="s">
        <v>157</v>
      </c>
      <c r="D1025" s="69"/>
      <c r="E1025" s="74"/>
      <c r="F1025" s="80">
        <v>0</v>
      </c>
      <c r="G1025" s="61" t="str">
        <f>INDEX(SETORES!$B:$B,MATCH(A1025,SETORES!$A:$A,0))</f>
        <v>Clientes</v>
      </c>
      <c r="H1025" s="61" t="s">
        <v>21</v>
      </c>
    </row>
    <row r="1026" spans="1:8" ht="14.25" hidden="1" customHeight="1" x14ac:dyDescent="0.3">
      <c r="A1026" s="34" t="s">
        <v>48</v>
      </c>
      <c r="B1026" s="61" t="s">
        <v>162</v>
      </c>
      <c r="C1026" s="61" t="s">
        <v>209</v>
      </c>
      <c r="D1026" s="69">
        <v>14</v>
      </c>
      <c r="E1026" s="74">
        <v>76.92</v>
      </c>
      <c r="F1026" s="80">
        <v>1076.8800000000001</v>
      </c>
      <c r="G1026" s="61" t="str">
        <f>INDEX(SETORES!$B:$B,MATCH(A1026,SETORES!$A:$A,0))</f>
        <v>Clientes</v>
      </c>
      <c r="H1026" s="61" t="s">
        <v>21</v>
      </c>
    </row>
    <row r="1027" spans="1:8" ht="14.25" hidden="1" customHeight="1" x14ac:dyDescent="0.3">
      <c r="A1027" s="34" t="s">
        <v>48</v>
      </c>
      <c r="B1027" s="61" t="s">
        <v>162</v>
      </c>
      <c r="C1027" s="61" t="s">
        <v>222</v>
      </c>
      <c r="D1027" s="69"/>
      <c r="E1027" s="74"/>
      <c r="F1027" s="80">
        <f>IFERROR(D1027*E1027,0)</f>
        <v>0</v>
      </c>
      <c r="G1027" s="61" t="str">
        <f>INDEX(SETORES!$B:$B,MATCH(A1027,SETORES!$A:$A,0))</f>
        <v>Clientes</v>
      </c>
      <c r="H1027" s="61" t="s">
        <v>21</v>
      </c>
    </row>
    <row r="1028" spans="1:8" ht="14.25" hidden="1" customHeight="1" x14ac:dyDescent="0.3">
      <c r="A1028" s="34" t="s">
        <v>48</v>
      </c>
      <c r="B1028" s="61" t="s">
        <v>155</v>
      </c>
      <c r="C1028" s="61" t="s">
        <v>186</v>
      </c>
      <c r="D1028" s="69">
        <v>1</v>
      </c>
      <c r="E1028" s="74">
        <v>2911</v>
      </c>
      <c r="F1028" s="80">
        <f>IFERROR(D1028*E1028,0)</f>
        <v>2911</v>
      </c>
      <c r="G1028" s="61" t="str">
        <f>INDEX(SETORES!$B:$B,MATCH(A1028,SETORES!$A:$A,0))</f>
        <v>Clientes</v>
      </c>
      <c r="H1028" s="61" t="s">
        <v>21</v>
      </c>
    </row>
    <row r="1029" spans="1:8" ht="14.25" hidden="1" customHeight="1" x14ac:dyDescent="0.3">
      <c r="A1029" s="34" t="s">
        <v>48</v>
      </c>
      <c r="B1029" s="61" t="s">
        <v>155</v>
      </c>
      <c r="C1029" s="61" t="s">
        <v>168</v>
      </c>
      <c r="D1029" s="69">
        <v>14</v>
      </c>
      <c r="E1029" s="74">
        <v>2.0499999999999998</v>
      </c>
      <c r="F1029" s="80">
        <v>28.7</v>
      </c>
      <c r="G1029" s="61" t="str">
        <f>INDEX(SETORES!$B:$B,MATCH(A1029,SETORES!$A:$A,0))</f>
        <v>Clientes</v>
      </c>
      <c r="H1029" s="61" t="s">
        <v>21</v>
      </c>
    </row>
    <row r="1030" spans="1:8" ht="14.25" hidden="1" customHeight="1" x14ac:dyDescent="0.3">
      <c r="A1030" s="2" t="s">
        <v>48</v>
      </c>
      <c r="B1030" s="60" t="s">
        <v>155</v>
      </c>
      <c r="C1030" s="60" t="s">
        <v>160</v>
      </c>
      <c r="D1030" s="68"/>
      <c r="E1030" s="73"/>
      <c r="F1030" s="79">
        <f>IFERROR(D1030*E1030,0)</f>
        <v>0</v>
      </c>
      <c r="G1030" s="60" t="str">
        <f>INDEX(SETORES!$B:$B,MATCH(A1030,SETORES!$A:$A,0))</f>
        <v>Clientes</v>
      </c>
      <c r="H1030" s="60" t="s">
        <v>21</v>
      </c>
    </row>
    <row r="1031" spans="1:8" ht="14.25" hidden="1" customHeight="1" x14ac:dyDescent="0.3">
      <c r="A1031" s="34" t="s">
        <v>47</v>
      </c>
      <c r="B1031" s="61" t="s">
        <v>155</v>
      </c>
      <c r="C1031" s="61" t="s">
        <v>212</v>
      </c>
      <c r="D1031" s="69">
        <v>7</v>
      </c>
      <c r="E1031" s="74">
        <v>30</v>
      </c>
      <c r="F1031" s="80">
        <f>IFERROR(D1031*E1031,0)</f>
        <v>210</v>
      </c>
      <c r="G1031" s="61" t="str">
        <f>INDEX(SETORES!$B:$B,MATCH(A1031,SETORES!$A:$A,0))</f>
        <v>Clientes</v>
      </c>
      <c r="H1031" s="61" t="s">
        <v>21</v>
      </c>
    </row>
    <row r="1032" spans="1:8" ht="14.25" hidden="1" customHeight="1" x14ac:dyDescent="0.3">
      <c r="A1032" s="34" t="s">
        <v>47</v>
      </c>
      <c r="B1032" s="61" t="s">
        <v>162</v>
      </c>
      <c r="C1032" s="61" t="s">
        <v>217</v>
      </c>
      <c r="D1032" s="69">
        <v>1</v>
      </c>
      <c r="E1032" s="74">
        <v>8877.73</v>
      </c>
      <c r="F1032" s="80">
        <f>IFERROR(D1032*E1032,0)</f>
        <v>8877.73</v>
      </c>
      <c r="G1032" s="61" t="str">
        <f>INDEX(SETORES!$B:$B,MATCH(A1032,SETORES!$A:$A,0))</f>
        <v>Clientes</v>
      </c>
      <c r="H1032" s="61" t="s">
        <v>21</v>
      </c>
    </row>
    <row r="1033" spans="1:8" ht="14.25" hidden="1" customHeight="1" x14ac:dyDescent="0.3">
      <c r="A1033" s="34" t="s">
        <v>47</v>
      </c>
      <c r="B1033" s="61" t="s">
        <v>155</v>
      </c>
      <c r="C1033" s="61" t="s">
        <v>250</v>
      </c>
      <c r="D1033" s="69">
        <v>1</v>
      </c>
      <c r="E1033" s="74">
        <v>2303.21</v>
      </c>
      <c r="F1033" s="80">
        <f>IFERROR(D1033*E1033,0)</f>
        <v>2303.21</v>
      </c>
      <c r="G1033" s="61" t="str">
        <f>INDEX(SETORES!$B:$B,MATCH(A1033,SETORES!$A:$A,0))</f>
        <v>Clientes</v>
      </c>
      <c r="H1033" s="61" t="s">
        <v>21</v>
      </c>
    </row>
    <row r="1034" spans="1:8" ht="14.25" hidden="1" customHeight="1" x14ac:dyDescent="0.3">
      <c r="A1034" s="2" t="s">
        <v>47</v>
      </c>
      <c r="B1034" s="60" t="s">
        <v>155</v>
      </c>
      <c r="C1034" s="60" t="s">
        <v>171</v>
      </c>
      <c r="D1034" s="68">
        <v>13</v>
      </c>
      <c r="E1034" s="73">
        <v>43.54</v>
      </c>
      <c r="F1034" s="79">
        <f>IFERROR(D1034*E1034,0)</f>
        <v>566.02</v>
      </c>
      <c r="G1034" s="60" t="s">
        <v>98</v>
      </c>
      <c r="H1034" s="60" t="s">
        <v>21</v>
      </c>
    </row>
    <row r="1035" spans="1:8" ht="14.25" hidden="1" customHeight="1" x14ac:dyDescent="0.3">
      <c r="A1035" s="34" t="s">
        <v>47</v>
      </c>
      <c r="B1035" s="61" t="s">
        <v>155</v>
      </c>
      <c r="C1035" s="61" t="s">
        <v>170</v>
      </c>
      <c r="D1035" s="69">
        <v>13</v>
      </c>
      <c r="E1035" s="74">
        <v>29.74</v>
      </c>
      <c r="F1035" s="80">
        <f>IFERROR(D1035*E1035,0)</f>
        <v>386.62</v>
      </c>
      <c r="G1035" s="60" t="s">
        <v>98</v>
      </c>
      <c r="H1035" s="61" t="s">
        <v>21</v>
      </c>
    </row>
    <row r="1036" spans="1:8" ht="14.25" customHeight="1" x14ac:dyDescent="0.3">
      <c r="A1036" s="34" t="s">
        <v>47</v>
      </c>
      <c r="B1036" s="61" t="s">
        <v>155</v>
      </c>
      <c r="C1036" s="61" t="s">
        <v>169</v>
      </c>
      <c r="D1036" s="69">
        <v>13</v>
      </c>
      <c r="E1036" s="74">
        <v>47.66</v>
      </c>
      <c r="F1036" s="80">
        <f>IFERROR(D1036*E1036,0)</f>
        <v>619.57999999999993</v>
      </c>
      <c r="G1036" s="60" t="s">
        <v>98</v>
      </c>
      <c r="H1036" s="61" t="s">
        <v>21</v>
      </c>
    </row>
    <row r="1037" spans="1:8" ht="14.25" hidden="1" customHeight="1" x14ac:dyDescent="0.3">
      <c r="A1037" s="34" t="s">
        <v>47</v>
      </c>
      <c r="B1037" s="61" t="s">
        <v>162</v>
      </c>
      <c r="C1037" s="61" t="s">
        <v>221</v>
      </c>
      <c r="D1037" s="69">
        <v>1</v>
      </c>
      <c r="E1037" s="74">
        <v>577.53</v>
      </c>
      <c r="F1037" s="80">
        <f>IFERROR(D1037*E1037,0)</f>
        <v>577.53</v>
      </c>
      <c r="G1037" s="61" t="str">
        <f>INDEX(SETORES!$B:$B,MATCH(A1037,SETORES!$A:$A,0))</f>
        <v>Clientes</v>
      </c>
      <c r="H1037" s="61" t="s">
        <v>21</v>
      </c>
    </row>
    <row r="1038" spans="1:8" ht="14.25" hidden="1" customHeight="1" x14ac:dyDescent="0.3">
      <c r="A1038" s="2" t="s">
        <v>47</v>
      </c>
      <c r="B1038" s="60" t="s">
        <v>162</v>
      </c>
      <c r="C1038" s="60" t="s">
        <v>165</v>
      </c>
      <c r="D1038" s="68">
        <v>1</v>
      </c>
      <c r="E1038" s="73">
        <v>735</v>
      </c>
      <c r="F1038" s="79">
        <f>IFERROR(D1038*E1038,0)</f>
        <v>735</v>
      </c>
      <c r="G1038" s="60" t="str">
        <f>INDEX(SETORES!$B:$B,MATCH(A1038,SETORES!$A:$A,0))</f>
        <v>Clientes</v>
      </c>
      <c r="H1038" s="60" t="s">
        <v>21</v>
      </c>
    </row>
    <row r="1039" spans="1:8" ht="14.25" hidden="1" customHeight="1" x14ac:dyDescent="0.3">
      <c r="A1039" s="2" t="s">
        <v>47</v>
      </c>
      <c r="B1039" s="60" t="s">
        <v>162</v>
      </c>
      <c r="C1039" s="60" t="s">
        <v>163</v>
      </c>
      <c r="D1039" s="68">
        <v>3</v>
      </c>
      <c r="E1039" s="73">
        <v>30</v>
      </c>
      <c r="F1039" s="79">
        <f>IFERROR(D1039*E1039,0)</f>
        <v>90</v>
      </c>
      <c r="G1039" s="60" t="str">
        <f>INDEX(SETORES!$B:$B,MATCH(A1039,SETORES!$A:$A,0))</f>
        <v>Clientes</v>
      </c>
      <c r="H1039" s="60" t="s">
        <v>21</v>
      </c>
    </row>
    <row r="1040" spans="1:8" ht="14.25" hidden="1" customHeight="1" x14ac:dyDescent="0.3">
      <c r="A1040" s="34" t="s">
        <v>47</v>
      </c>
      <c r="B1040" s="61" t="s">
        <v>162</v>
      </c>
      <c r="C1040" s="61" t="s">
        <v>164</v>
      </c>
      <c r="D1040" s="69">
        <v>1</v>
      </c>
      <c r="E1040" s="74">
        <v>45</v>
      </c>
      <c r="F1040" s="80">
        <f>IFERROR(D1040*E1040,0)</f>
        <v>45</v>
      </c>
      <c r="G1040" s="61" t="str">
        <f>INDEX(SETORES!$B:$B,MATCH(A1040,SETORES!$A:$A,0))</f>
        <v>Clientes</v>
      </c>
      <c r="H1040" s="61" t="s">
        <v>21</v>
      </c>
    </row>
    <row r="1041" spans="1:8" ht="14.25" hidden="1" customHeight="1" x14ac:dyDescent="0.3">
      <c r="A1041" s="34" t="s">
        <v>47</v>
      </c>
      <c r="B1041" s="61" t="s">
        <v>155</v>
      </c>
      <c r="C1041" s="61" t="s">
        <v>161</v>
      </c>
      <c r="D1041" s="69">
        <v>1</v>
      </c>
      <c r="E1041" s="74">
        <v>105508.61</v>
      </c>
      <c r="F1041" s="80">
        <f>IFERROR(E1041,0)</f>
        <v>105508.61</v>
      </c>
      <c r="G1041" s="61" t="str">
        <f>INDEX(SETORES!$B:$B,MATCH(A1041,SETORES!$A:$A,0))</f>
        <v>Clientes</v>
      </c>
      <c r="H1041" s="61" t="s">
        <v>21</v>
      </c>
    </row>
    <row r="1042" spans="1:8" ht="14.25" hidden="1" customHeight="1" x14ac:dyDescent="0.3">
      <c r="A1042" s="2" t="s">
        <v>47</v>
      </c>
      <c r="B1042" s="60" t="s">
        <v>155</v>
      </c>
      <c r="C1042" s="60" t="s">
        <v>167</v>
      </c>
      <c r="D1042" s="68">
        <v>13</v>
      </c>
      <c r="E1042" s="73">
        <v>9.92</v>
      </c>
      <c r="F1042" s="79">
        <f>IFERROR(D1042*E1042,0)</f>
        <v>128.96</v>
      </c>
      <c r="G1042" s="60" t="str">
        <f>INDEX(SETORES!$B:$B,MATCH(A1042,SETORES!$A:$A,0))</f>
        <v>Clientes</v>
      </c>
      <c r="H1042" s="60" t="s">
        <v>21</v>
      </c>
    </row>
    <row r="1043" spans="1:8" ht="14.25" hidden="1" customHeight="1" x14ac:dyDescent="0.3">
      <c r="A1043" s="2" t="s">
        <v>47</v>
      </c>
      <c r="B1043" s="60" t="s">
        <v>162</v>
      </c>
      <c r="C1043" s="60" t="s">
        <v>218</v>
      </c>
      <c r="D1043" s="68"/>
      <c r="E1043" s="73"/>
      <c r="F1043" s="79">
        <f>IFERROR(D1043*E1043,0)</f>
        <v>0</v>
      </c>
      <c r="G1043" s="60" t="str">
        <f>INDEX(SETORES!$B:$B,MATCH(A1043,SETORES!$A:$A,0))</f>
        <v>Clientes</v>
      </c>
      <c r="H1043" s="60" t="s">
        <v>21</v>
      </c>
    </row>
    <row r="1044" spans="1:8" ht="14.25" hidden="1" customHeight="1" x14ac:dyDescent="0.3">
      <c r="A1044" s="2" t="s">
        <v>47</v>
      </c>
      <c r="B1044" s="60" t="s">
        <v>155</v>
      </c>
      <c r="C1044" s="60" t="s">
        <v>166</v>
      </c>
      <c r="D1044" s="68">
        <v>1</v>
      </c>
      <c r="E1044" s="73">
        <v>50</v>
      </c>
      <c r="F1044" s="79">
        <f>IFERROR(D1044*E1044,0)</f>
        <v>50</v>
      </c>
      <c r="G1044" s="60" t="str">
        <f>INDEX(SETORES!$B:$B,MATCH(A1044,SETORES!$A:$A,0))</f>
        <v>Clientes</v>
      </c>
      <c r="H1044" s="60" t="s">
        <v>21</v>
      </c>
    </row>
    <row r="1045" spans="1:8" ht="14.25" hidden="1" customHeight="1" x14ac:dyDescent="0.3">
      <c r="A1045" s="2" t="s">
        <v>47</v>
      </c>
      <c r="B1045" s="60" t="s">
        <v>155</v>
      </c>
      <c r="C1045" s="60" t="s">
        <v>156</v>
      </c>
      <c r="D1045" s="68"/>
      <c r="E1045" s="73"/>
      <c r="F1045" s="79">
        <v>0</v>
      </c>
      <c r="G1045" s="60" t="str">
        <f>INDEX(SETORES!$B:$B,MATCH(A1045,SETORES!$A:$A,0))</f>
        <v>Clientes</v>
      </c>
      <c r="H1045" s="60" t="s">
        <v>21</v>
      </c>
    </row>
    <row r="1046" spans="1:8" ht="14.25" hidden="1" customHeight="1" x14ac:dyDescent="0.3">
      <c r="A1046" s="34" t="s">
        <v>47</v>
      </c>
      <c r="B1046" s="61" t="s">
        <v>155</v>
      </c>
      <c r="C1046" s="61" t="s">
        <v>157</v>
      </c>
      <c r="D1046" s="69"/>
      <c r="E1046" s="74"/>
      <c r="F1046" s="80">
        <v>0</v>
      </c>
      <c r="G1046" s="61" t="str">
        <f>INDEX(SETORES!$B:$B,MATCH(A1046,SETORES!$A:$A,0))</f>
        <v>Clientes</v>
      </c>
      <c r="H1046" s="61" t="s">
        <v>21</v>
      </c>
    </row>
    <row r="1047" spans="1:8" ht="14.25" hidden="1" customHeight="1" x14ac:dyDescent="0.3">
      <c r="A1047" s="34" t="s">
        <v>47</v>
      </c>
      <c r="B1047" s="61" t="s">
        <v>155</v>
      </c>
      <c r="C1047" s="61" t="s">
        <v>168</v>
      </c>
      <c r="D1047" s="69">
        <v>13</v>
      </c>
      <c r="E1047" s="74">
        <v>2.0499999999999998</v>
      </c>
      <c r="F1047" s="80">
        <f>IFERROR(D1047*E1047,0)</f>
        <v>26.65</v>
      </c>
      <c r="G1047" s="61" t="str">
        <f>INDEX(SETORES!$B:$B,MATCH(A1047,SETORES!$A:$A,0))</f>
        <v>Clientes</v>
      </c>
      <c r="H1047" s="61" t="s">
        <v>21</v>
      </c>
    </row>
    <row r="1048" spans="1:8" ht="14.25" hidden="1" customHeight="1" x14ac:dyDescent="0.3">
      <c r="A1048" s="2" t="s">
        <v>47</v>
      </c>
      <c r="B1048" s="60" t="s">
        <v>155</v>
      </c>
      <c r="C1048" s="60" t="s">
        <v>160</v>
      </c>
      <c r="D1048" s="68"/>
      <c r="E1048" s="73"/>
      <c r="F1048" s="79">
        <f>IFERROR(D1048*E1048,0)</f>
        <v>0</v>
      </c>
      <c r="G1048" s="60" t="str">
        <f>INDEX(SETORES!$B:$B,MATCH(A1048,SETORES!$A:$A,0))</f>
        <v>Clientes</v>
      </c>
      <c r="H1048" s="60" t="s">
        <v>21</v>
      </c>
    </row>
    <row r="1049" spans="1:8" ht="14.25" hidden="1" customHeight="1" x14ac:dyDescent="0.3">
      <c r="A1049" s="34" t="s">
        <v>85</v>
      </c>
      <c r="B1049" s="61" t="s">
        <v>155</v>
      </c>
      <c r="C1049" s="61" t="s">
        <v>159</v>
      </c>
      <c r="D1049" s="69">
        <v>1</v>
      </c>
      <c r="E1049" s="74">
        <v>0.29099999999999998</v>
      </c>
      <c r="F1049" s="80">
        <v>0.29099999999999998</v>
      </c>
      <c r="G1049" s="61" t="s">
        <v>96</v>
      </c>
      <c r="H1049" s="61" t="s">
        <v>21</v>
      </c>
    </row>
    <row r="1050" spans="1:8" ht="14.25" hidden="1" customHeight="1" x14ac:dyDescent="0.3">
      <c r="A1050" s="2" t="s">
        <v>85</v>
      </c>
      <c r="B1050" s="60" t="s">
        <v>155</v>
      </c>
      <c r="C1050" s="60" t="s">
        <v>212</v>
      </c>
      <c r="D1050" s="68">
        <v>10</v>
      </c>
      <c r="E1050" s="73">
        <v>30</v>
      </c>
      <c r="F1050" s="79">
        <f>IFERROR(D1050*E1050,0)</f>
        <v>300</v>
      </c>
      <c r="G1050" s="60" t="str">
        <f>INDEX(SETORES!$B:$B,MATCH(A1050,SETORES!$A:$A,0))</f>
        <v>Clientes</v>
      </c>
      <c r="H1050" s="60" t="s">
        <v>21</v>
      </c>
    </row>
    <row r="1051" spans="1:8" ht="14.25" hidden="1" customHeight="1" x14ac:dyDescent="0.3">
      <c r="A1051" s="34" t="s">
        <v>85</v>
      </c>
      <c r="B1051" s="61" t="s">
        <v>162</v>
      </c>
      <c r="C1051" s="61" t="s">
        <v>217</v>
      </c>
      <c r="D1051" s="69">
        <v>1</v>
      </c>
      <c r="E1051" s="74">
        <v>1223.23</v>
      </c>
      <c r="F1051" s="80">
        <f>IFERROR(D1051*E1051,0)</f>
        <v>1223.23</v>
      </c>
      <c r="G1051" s="61" t="str">
        <f>INDEX(SETORES!$B:$B,MATCH(A1051,SETORES!$A:$A,0))</f>
        <v>Clientes</v>
      </c>
      <c r="H1051" s="61" t="s">
        <v>21</v>
      </c>
    </row>
    <row r="1052" spans="1:8" ht="14.25" hidden="1" customHeight="1" x14ac:dyDescent="0.3">
      <c r="A1052" s="2" t="s">
        <v>85</v>
      </c>
      <c r="B1052" s="60" t="s">
        <v>155</v>
      </c>
      <c r="C1052" s="60" t="s">
        <v>171</v>
      </c>
      <c r="D1052" s="68">
        <v>12</v>
      </c>
      <c r="E1052" s="73">
        <v>43.54</v>
      </c>
      <c r="F1052" s="79">
        <f>IFERROR(D1052*E1052,0)</f>
        <v>522.48</v>
      </c>
      <c r="G1052" s="60" t="s">
        <v>98</v>
      </c>
      <c r="H1052" s="60" t="s">
        <v>21</v>
      </c>
    </row>
    <row r="1053" spans="1:8" ht="14.25" hidden="1" customHeight="1" x14ac:dyDescent="0.3">
      <c r="A1053" s="34" t="s">
        <v>85</v>
      </c>
      <c r="B1053" s="61" t="s">
        <v>155</v>
      </c>
      <c r="C1053" s="61" t="s">
        <v>170</v>
      </c>
      <c r="D1053" s="69">
        <v>12</v>
      </c>
      <c r="E1053" s="74">
        <v>29.74</v>
      </c>
      <c r="F1053" s="80">
        <f>IFERROR(D1053*E1053,0)</f>
        <v>356.88</v>
      </c>
      <c r="G1053" s="60" t="s">
        <v>98</v>
      </c>
      <c r="H1053" s="61" t="s">
        <v>21</v>
      </c>
    </row>
    <row r="1054" spans="1:8" ht="14.25" customHeight="1" x14ac:dyDescent="0.3">
      <c r="A1054" s="34" t="s">
        <v>85</v>
      </c>
      <c r="B1054" s="61" t="s">
        <v>155</v>
      </c>
      <c r="C1054" s="61" t="s">
        <v>169</v>
      </c>
      <c r="D1054" s="69">
        <v>12</v>
      </c>
      <c r="E1054" s="74">
        <v>47.66</v>
      </c>
      <c r="F1054" s="80">
        <f>IFERROR(D1054*E1054,0)</f>
        <v>571.91999999999996</v>
      </c>
      <c r="G1054" s="60" t="s">
        <v>98</v>
      </c>
      <c r="H1054" s="61" t="s">
        <v>21</v>
      </c>
    </row>
    <row r="1055" spans="1:8" ht="14.25" hidden="1" customHeight="1" x14ac:dyDescent="0.3">
      <c r="A1055" s="2" t="s">
        <v>85</v>
      </c>
      <c r="B1055" s="60" t="s">
        <v>155</v>
      </c>
      <c r="C1055" s="60" t="s">
        <v>158</v>
      </c>
      <c r="D1055" s="68">
        <v>1</v>
      </c>
      <c r="E1055" s="73">
        <v>99.275999999999996</v>
      </c>
      <c r="F1055" s="79">
        <v>99.275999999999996</v>
      </c>
      <c r="G1055" s="60" t="s">
        <v>96</v>
      </c>
      <c r="H1055" s="60" t="s">
        <v>21</v>
      </c>
    </row>
    <row r="1056" spans="1:8" ht="14.25" hidden="1" customHeight="1" x14ac:dyDescent="0.3">
      <c r="A1056" s="2" t="s">
        <v>85</v>
      </c>
      <c r="B1056" s="60" t="s">
        <v>162</v>
      </c>
      <c r="C1056" s="60" t="s">
        <v>165</v>
      </c>
      <c r="D1056" s="68">
        <v>1</v>
      </c>
      <c r="E1056" s="73">
        <v>65</v>
      </c>
      <c r="F1056" s="79">
        <f>IFERROR(D1056*E1056,0)</f>
        <v>65</v>
      </c>
      <c r="G1056" s="60" t="str">
        <f>INDEX(SETORES!$B:$B,MATCH(A1056,SETORES!$A:$A,0))</f>
        <v>Clientes</v>
      </c>
      <c r="H1056" s="60" t="s">
        <v>21</v>
      </c>
    </row>
    <row r="1057" spans="1:8" ht="14.25" hidden="1" customHeight="1" x14ac:dyDescent="0.3">
      <c r="A1057" s="2" t="s">
        <v>85</v>
      </c>
      <c r="B1057" s="60" t="s">
        <v>162</v>
      </c>
      <c r="C1057" s="60" t="s">
        <v>163</v>
      </c>
      <c r="D1057" s="68">
        <v>2</v>
      </c>
      <c r="E1057" s="73">
        <v>45</v>
      </c>
      <c r="F1057" s="79">
        <f>IFERROR(D1057*E1057,0)</f>
        <v>90</v>
      </c>
      <c r="G1057" s="60" t="str">
        <f>INDEX(SETORES!$B:$B,MATCH(A1057,SETORES!$A:$A,0))</f>
        <v>Clientes</v>
      </c>
      <c r="H1057" s="60" t="s">
        <v>21</v>
      </c>
    </row>
    <row r="1058" spans="1:8" ht="14.25" hidden="1" customHeight="1" x14ac:dyDescent="0.3">
      <c r="A1058" s="34" t="s">
        <v>85</v>
      </c>
      <c r="B1058" s="61" t="s">
        <v>155</v>
      </c>
      <c r="C1058" s="61" t="s">
        <v>161</v>
      </c>
      <c r="D1058" s="69">
        <v>1</v>
      </c>
      <c r="E1058" s="74">
        <v>55912.74</v>
      </c>
      <c r="F1058" s="80">
        <f>IFERROR(E1058,0)</f>
        <v>55912.74</v>
      </c>
      <c r="G1058" s="61" t="str">
        <f>INDEX(SETORES!$B:$B,MATCH(A1058,SETORES!$A:$A,0))</f>
        <v>Clientes</v>
      </c>
      <c r="H1058" s="61" t="s">
        <v>21</v>
      </c>
    </row>
    <row r="1059" spans="1:8" ht="14.25" hidden="1" customHeight="1" x14ac:dyDescent="0.3">
      <c r="A1059" s="2" t="s">
        <v>85</v>
      </c>
      <c r="B1059" s="60" t="s">
        <v>155</v>
      </c>
      <c r="C1059" s="60" t="s">
        <v>167</v>
      </c>
      <c r="D1059" s="68">
        <v>12</v>
      </c>
      <c r="E1059" s="73">
        <v>9.92</v>
      </c>
      <c r="F1059" s="79">
        <f>IFERROR(D1059*E1059,0)</f>
        <v>119.03999999999999</v>
      </c>
      <c r="G1059" s="60" t="str">
        <f>INDEX(SETORES!$B:$B,MATCH(A1059,SETORES!$A:$A,0))</f>
        <v>Clientes</v>
      </c>
      <c r="H1059" s="60" t="s">
        <v>21</v>
      </c>
    </row>
    <row r="1060" spans="1:8" ht="14.25" hidden="1" customHeight="1" x14ac:dyDescent="0.3">
      <c r="A1060" s="34" t="s">
        <v>85</v>
      </c>
      <c r="B1060" s="61" t="s">
        <v>155</v>
      </c>
      <c r="C1060" s="61" t="s">
        <v>238</v>
      </c>
      <c r="D1060" s="69">
        <v>1</v>
      </c>
      <c r="E1060" s="74">
        <v>128.68</v>
      </c>
      <c r="F1060" s="80">
        <f>IFERROR(D1060*E1060,0)</f>
        <v>128.68</v>
      </c>
      <c r="G1060" s="61" t="str">
        <f>INDEX(SETORES!$B:$B,MATCH(A1060,SETORES!$A:$A,0))</f>
        <v>Clientes</v>
      </c>
      <c r="H1060" s="61" t="s">
        <v>21</v>
      </c>
    </row>
    <row r="1061" spans="1:8" ht="14.25" hidden="1" customHeight="1" x14ac:dyDescent="0.3">
      <c r="A1061" s="2" t="s">
        <v>85</v>
      </c>
      <c r="B1061" s="60" t="s">
        <v>155</v>
      </c>
      <c r="C1061" s="60" t="s">
        <v>166</v>
      </c>
      <c r="D1061" s="68">
        <v>15</v>
      </c>
      <c r="E1061" s="73">
        <v>47.33</v>
      </c>
      <c r="F1061" s="79">
        <f>IFERROR(D1061*E1061,0)</f>
        <v>709.94999999999993</v>
      </c>
      <c r="G1061" s="60" t="str">
        <f>INDEX(SETORES!$B:$B,MATCH(A1061,SETORES!$A:$A,0))</f>
        <v>Clientes</v>
      </c>
      <c r="H1061" s="60" t="s">
        <v>21</v>
      </c>
    </row>
    <row r="1062" spans="1:8" ht="14.25" hidden="1" customHeight="1" x14ac:dyDescent="0.3">
      <c r="A1062" s="2" t="s">
        <v>85</v>
      </c>
      <c r="B1062" s="60" t="s">
        <v>155</v>
      </c>
      <c r="C1062" s="60" t="s">
        <v>157</v>
      </c>
      <c r="D1062" s="68">
        <v>1</v>
      </c>
      <c r="E1062" s="73">
        <v>198.78</v>
      </c>
      <c r="F1062" s="79">
        <v>198.78</v>
      </c>
      <c r="G1062" s="60" t="str">
        <f>INDEX(SETORES!$B:$B,MATCH(A1062,SETORES!$A:$A,0))</f>
        <v>Clientes</v>
      </c>
      <c r="H1062" s="60" t="s">
        <v>21</v>
      </c>
    </row>
    <row r="1063" spans="1:8" ht="14.25" hidden="1" customHeight="1" x14ac:dyDescent="0.3">
      <c r="A1063" s="2" t="s">
        <v>85</v>
      </c>
      <c r="B1063" s="60" t="s">
        <v>162</v>
      </c>
      <c r="C1063" s="60" t="s">
        <v>222</v>
      </c>
      <c r="D1063" s="68"/>
      <c r="E1063" s="73"/>
      <c r="F1063" s="79">
        <f>IFERROR(D1063*E1063,0)</f>
        <v>0</v>
      </c>
      <c r="G1063" s="60" t="str">
        <f>INDEX(SETORES!$B:$B,MATCH(A1063,SETORES!$A:$A,0))</f>
        <v>Clientes</v>
      </c>
      <c r="H1063" s="60" t="s">
        <v>21</v>
      </c>
    </row>
    <row r="1064" spans="1:8" ht="14.25" hidden="1" customHeight="1" x14ac:dyDescent="0.3">
      <c r="A1064" s="35" t="s">
        <v>85</v>
      </c>
      <c r="B1064" s="66" t="s">
        <v>162</v>
      </c>
      <c r="C1064" s="66" t="s">
        <v>222</v>
      </c>
      <c r="D1064" s="66">
        <v>1</v>
      </c>
      <c r="E1064" s="78">
        <v>9553.58</v>
      </c>
      <c r="F1064" s="78">
        <f>D1064*E1064</f>
        <v>9553.58</v>
      </c>
      <c r="G1064" s="66" t="s">
        <v>96</v>
      </c>
      <c r="H1064" s="66" t="s">
        <v>21</v>
      </c>
    </row>
    <row r="1065" spans="1:8" ht="14.25" hidden="1" customHeight="1" x14ac:dyDescent="0.3">
      <c r="A1065" s="34" t="s">
        <v>85</v>
      </c>
      <c r="B1065" s="61" t="s">
        <v>155</v>
      </c>
      <c r="C1065" s="61" t="s">
        <v>168</v>
      </c>
      <c r="D1065" s="69">
        <v>12</v>
      </c>
      <c r="E1065" s="74">
        <v>2.0499999999999998</v>
      </c>
      <c r="F1065" s="80">
        <f>IFERROR(D1065*E1065,0)</f>
        <v>24.599999999999998</v>
      </c>
      <c r="G1065" s="61" t="str">
        <f>INDEX(SETORES!$B:$B,MATCH(A1065,SETORES!$A:$A,0))</f>
        <v>Clientes</v>
      </c>
      <c r="H1065" s="61" t="s">
        <v>21</v>
      </c>
    </row>
    <row r="1066" spans="1:8" ht="14.25" hidden="1" customHeight="1" x14ac:dyDescent="0.3">
      <c r="A1066" s="34" t="s">
        <v>31</v>
      </c>
      <c r="B1066" s="61" t="s">
        <v>155</v>
      </c>
      <c r="C1066" s="61" t="s">
        <v>159</v>
      </c>
      <c r="D1066" s="69">
        <v>1</v>
      </c>
      <c r="E1066" s="74">
        <v>0.1212</v>
      </c>
      <c r="F1066" s="80">
        <v>0.1212</v>
      </c>
      <c r="G1066" s="61" t="str">
        <f>INDEX(SETORES!$B:$B,MATCH(A1066,SETORES!$A:$A,0))</f>
        <v>Clientes</v>
      </c>
      <c r="H1066" s="61" t="s">
        <v>21</v>
      </c>
    </row>
    <row r="1067" spans="1:8" ht="14.25" hidden="1" customHeight="1" x14ac:dyDescent="0.3">
      <c r="A1067" s="34" t="s">
        <v>31</v>
      </c>
      <c r="B1067" s="61" t="s">
        <v>155</v>
      </c>
      <c r="C1067" s="61" t="s">
        <v>212</v>
      </c>
      <c r="D1067" s="69">
        <v>3</v>
      </c>
      <c r="E1067" s="74">
        <v>30</v>
      </c>
      <c r="F1067" s="80">
        <f>IFERROR(D1067*E1067,0)</f>
        <v>90</v>
      </c>
      <c r="G1067" s="61" t="str">
        <f>INDEX(SETORES!$B:$B,MATCH(A1067,SETORES!$A:$A,0))</f>
        <v>Clientes</v>
      </c>
      <c r="H1067" s="61" t="s">
        <v>21</v>
      </c>
    </row>
    <row r="1068" spans="1:8" ht="14.25" hidden="1" customHeight="1" x14ac:dyDescent="0.3">
      <c r="A1068" s="34" t="s">
        <v>31</v>
      </c>
      <c r="B1068" s="61" t="s">
        <v>162</v>
      </c>
      <c r="C1068" s="61" t="s">
        <v>217</v>
      </c>
      <c r="D1068" s="69">
        <v>1</v>
      </c>
      <c r="E1068" s="74">
        <v>1999.61</v>
      </c>
      <c r="F1068" s="80">
        <f>IFERROR(D1068*E1068,0)</f>
        <v>1999.61</v>
      </c>
      <c r="G1068" s="61" t="str">
        <f>INDEX(SETORES!$B:$B,MATCH(A1068,SETORES!$A:$A,0))</f>
        <v>Clientes</v>
      </c>
      <c r="H1068" s="61" t="s">
        <v>21</v>
      </c>
    </row>
    <row r="1069" spans="1:8" ht="14.25" hidden="1" customHeight="1" x14ac:dyDescent="0.3">
      <c r="A1069" s="34" t="s">
        <v>31</v>
      </c>
      <c r="B1069" s="61" t="s">
        <v>155</v>
      </c>
      <c r="C1069" s="61" t="s">
        <v>171</v>
      </c>
      <c r="D1069" s="69">
        <v>5</v>
      </c>
      <c r="E1069" s="74">
        <v>43.54</v>
      </c>
      <c r="F1069" s="80">
        <f>IFERROR(D1069*E1069,0)</f>
        <v>217.7</v>
      </c>
      <c r="G1069" s="60" t="s">
        <v>98</v>
      </c>
      <c r="H1069" s="61" t="s">
        <v>21</v>
      </c>
    </row>
    <row r="1070" spans="1:8" ht="14.25" hidden="1" customHeight="1" x14ac:dyDescent="0.3">
      <c r="A1070" s="2" t="s">
        <v>31</v>
      </c>
      <c r="B1070" s="60" t="s">
        <v>155</v>
      </c>
      <c r="C1070" s="60" t="s">
        <v>170</v>
      </c>
      <c r="D1070" s="68">
        <v>5</v>
      </c>
      <c r="E1070" s="73">
        <v>29.74</v>
      </c>
      <c r="F1070" s="79">
        <f>IFERROR(D1070*E1070,0)</f>
        <v>148.69999999999999</v>
      </c>
      <c r="G1070" s="60" t="s">
        <v>98</v>
      </c>
      <c r="H1070" s="60" t="s">
        <v>21</v>
      </c>
    </row>
    <row r="1071" spans="1:8" ht="14.25" customHeight="1" x14ac:dyDescent="0.3">
      <c r="A1071" s="2" t="s">
        <v>31</v>
      </c>
      <c r="B1071" s="60" t="s">
        <v>155</v>
      </c>
      <c r="C1071" s="60" t="s">
        <v>169</v>
      </c>
      <c r="D1071" s="68">
        <v>5</v>
      </c>
      <c r="E1071" s="73">
        <v>47.66</v>
      </c>
      <c r="F1071" s="79">
        <f>IFERROR(D1071*E1071,0)</f>
        <v>238.29999999999998</v>
      </c>
      <c r="G1071" s="60" t="s">
        <v>98</v>
      </c>
      <c r="H1071" s="60" t="s">
        <v>21</v>
      </c>
    </row>
    <row r="1072" spans="1:8" ht="14.25" hidden="1" customHeight="1" x14ac:dyDescent="0.3">
      <c r="A1072" s="2" t="s">
        <v>31</v>
      </c>
      <c r="B1072" s="60" t="s">
        <v>155</v>
      </c>
      <c r="C1072" s="60" t="s">
        <v>158</v>
      </c>
      <c r="D1072" s="68">
        <v>1</v>
      </c>
      <c r="E1072" s="73">
        <v>41.365000000000002</v>
      </c>
      <c r="F1072" s="79">
        <v>41.365000000000002</v>
      </c>
      <c r="G1072" s="60" t="str">
        <f>INDEX(SETORES!$B:$B,MATCH(A1072,SETORES!$A:$A,0))</f>
        <v>Clientes</v>
      </c>
      <c r="H1072" s="60" t="s">
        <v>21</v>
      </c>
    </row>
    <row r="1073" spans="1:8" ht="14.25" hidden="1" customHeight="1" x14ac:dyDescent="0.3">
      <c r="A1073" s="34" t="s">
        <v>31</v>
      </c>
      <c r="B1073" s="61" t="s">
        <v>155</v>
      </c>
      <c r="C1073" s="61" t="s">
        <v>161</v>
      </c>
      <c r="D1073" s="69">
        <v>1</v>
      </c>
      <c r="E1073" s="74">
        <v>58179.03</v>
      </c>
      <c r="F1073" s="80">
        <f>IFERROR(E1073,0)</f>
        <v>58179.03</v>
      </c>
      <c r="G1073" s="61" t="str">
        <f>INDEX(SETORES!$B:$B,MATCH(A1073,SETORES!$A:$A,0))</f>
        <v>Clientes</v>
      </c>
      <c r="H1073" s="61" t="s">
        <v>21</v>
      </c>
    </row>
    <row r="1074" spans="1:8" ht="14.25" hidden="1" customHeight="1" x14ac:dyDescent="0.3">
      <c r="A1074" s="2" t="s">
        <v>31</v>
      </c>
      <c r="B1074" s="60" t="s">
        <v>155</v>
      </c>
      <c r="C1074" s="60" t="s">
        <v>167</v>
      </c>
      <c r="D1074" s="68">
        <v>5</v>
      </c>
      <c r="E1074" s="73">
        <v>9.92</v>
      </c>
      <c r="F1074" s="79">
        <f>IFERROR(D1074*E1074,0)</f>
        <v>49.6</v>
      </c>
      <c r="G1074" s="60" t="str">
        <f>INDEX(SETORES!$B:$B,MATCH(A1074,SETORES!$A:$A,0))</f>
        <v>Clientes</v>
      </c>
      <c r="H1074" s="60" t="s">
        <v>21</v>
      </c>
    </row>
    <row r="1075" spans="1:8" ht="14.25" hidden="1" customHeight="1" x14ac:dyDescent="0.3">
      <c r="A1075" s="2" t="s">
        <v>31</v>
      </c>
      <c r="B1075" s="60" t="s">
        <v>155</v>
      </c>
      <c r="C1075" s="60" t="s">
        <v>238</v>
      </c>
      <c r="D1075" s="68">
        <v>1</v>
      </c>
      <c r="E1075" s="73">
        <v>200</v>
      </c>
      <c r="F1075" s="79">
        <f>IFERROR(D1075*E1075,0)</f>
        <v>200</v>
      </c>
      <c r="G1075" s="60" t="str">
        <f>INDEX(SETORES!$B:$B,MATCH(A1075,SETORES!$A:$A,0))</f>
        <v>Clientes</v>
      </c>
      <c r="H1075" s="60" t="s">
        <v>21</v>
      </c>
    </row>
    <row r="1076" spans="1:8" ht="14.25" hidden="1" customHeight="1" x14ac:dyDescent="0.3">
      <c r="A1076" s="2" t="s">
        <v>31</v>
      </c>
      <c r="B1076" s="60" t="s">
        <v>155</v>
      </c>
      <c r="C1076" s="60" t="s">
        <v>166</v>
      </c>
      <c r="D1076" s="68">
        <v>6</v>
      </c>
      <c r="E1076" s="73">
        <v>50</v>
      </c>
      <c r="F1076" s="79">
        <f>IFERROR(D1076*E1076,0)</f>
        <v>300</v>
      </c>
      <c r="G1076" s="60" t="str">
        <f>INDEX(SETORES!$B:$B,MATCH(A1076,SETORES!$A:$A,0))</f>
        <v>Clientes</v>
      </c>
      <c r="H1076" s="60" t="s">
        <v>21</v>
      </c>
    </row>
    <row r="1077" spans="1:8" ht="14.25" hidden="1" customHeight="1" x14ac:dyDescent="0.3">
      <c r="A1077" s="2" t="s">
        <v>31</v>
      </c>
      <c r="B1077" s="60" t="s">
        <v>155</v>
      </c>
      <c r="C1077" s="60" t="s">
        <v>156</v>
      </c>
      <c r="D1077" s="68">
        <v>1</v>
      </c>
      <c r="E1077" s="73">
        <v>63.1</v>
      </c>
      <c r="F1077" s="79">
        <v>189.3</v>
      </c>
      <c r="G1077" s="60" t="str">
        <f>INDEX(SETORES!$B:$B,MATCH(A1077,SETORES!$A:$A,0))</f>
        <v>Clientes</v>
      </c>
      <c r="H1077" s="60" t="s">
        <v>21</v>
      </c>
    </row>
    <row r="1078" spans="1:8" ht="14.25" hidden="1" customHeight="1" x14ac:dyDescent="0.3">
      <c r="A1078" s="34" t="s">
        <v>31</v>
      </c>
      <c r="B1078" s="61" t="s">
        <v>155</v>
      </c>
      <c r="C1078" s="61" t="s">
        <v>157</v>
      </c>
      <c r="D1078" s="69">
        <v>1</v>
      </c>
      <c r="E1078" s="74">
        <v>213.49</v>
      </c>
      <c r="F1078" s="80">
        <v>213.49</v>
      </c>
      <c r="G1078" s="61" t="str">
        <f>INDEX(SETORES!$B:$B,MATCH(A1078,SETORES!$A:$A,0))</f>
        <v>Clientes</v>
      </c>
      <c r="H1078" s="61" t="s">
        <v>21</v>
      </c>
    </row>
    <row r="1079" spans="1:8" ht="14.25" hidden="1" customHeight="1" x14ac:dyDescent="0.3">
      <c r="A1079" s="34" t="s">
        <v>31</v>
      </c>
      <c r="B1079" s="61" t="s">
        <v>162</v>
      </c>
      <c r="C1079" s="61" t="s">
        <v>222</v>
      </c>
      <c r="D1079" s="69">
        <v>1</v>
      </c>
      <c r="E1079" s="74">
        <v>13047.79</v>
      </c>
      <c r="F1079" s="80">
        <f>IFERROR(D1079*E1079,0)</f>
        <v>13047.79</v>
      </c>
      <c r="G1079" s="61" t="str">
        <f>INDEX(SETORES!$B:$B,MATCH(A1079,SETORES!$A:$A,0))</f>
        <v>Clientes</v>
      </c>
      <c r="H1079" s="61" t="s">
        <v>21</v>
      </c>
    </row>
    <row r="1080" spans="1:8" ht="14.25" hidden="1" customHeight="1" x14ac:dyDescent="0.3">
      <c r="A1080" s="34" t="s">
        <v>31</v>
      </c>
      <c r="B1080" s="61" t="s">
        <v>155</v>
      </c>
      <c r="C1080" s="61" t="s">
        <v>168</v>
      </c>
      <c r="D1080" s="69">
        <v>5</v>
      </c>
      <c r="E1080" s="74">
        <v>2.0499999999999998</v>
      </c>
      <c r="F1080" s="80">
        <f>IFERROR(D1080*E1080,0)</f>
        <v>10.25</v>
      </c>
      <c r="G1080" s="61" t="str">
        <f>INDEX(SETORES!$B:$B,MATCH(A1080,SETORES!$A:$A,0))</f>
        <v>Clientes</v>
      </c>
      <c r="H1080" s="61" t="s">
        <v>21</v>
      </c>
    </row>
    <row r="1081" spans="1:8" ht="14.25" hidden="1" customHeight="1" x14ac:dyDescent="0.3">
      <c r="A1081" s="2" t="s">
        <v>31</v>
      </c>
      <c r="B1081" s="60" t="s">
        <v>155</v>
      </c>
      <c r="C1081" s="60" t="s">
        <v>160</v>
      </c>
      <c r="D1081" s="68"/>
      <c r="E1081" s="73"/>
      <c r="F1081" s="79">
        <f>IFERROR(D1081*E1081,0)</f>
        <v>0</v>
      </c>
      <c r="G1081" s="60" t="str">
        <f>INDEX(SETORES!$B:$B,MATCH(A1081,SETORES!$A:$A,0))</f>
        <v>Clientes</v>
      </c>
      <c r="H1081" s="60" t="s">
        <v>21</v>
      </c>
    </row>
    <row r="1082" spans="1:8" ht="14.25" hidden="1" customHeight="1" x14ac:dyDescent="0.3">
      <c r="A1082" s="34" t="s">
        <v>37</v>
      </c>
      <c r="B1082" s="61" t="s">
        <v>155</v>
      </c>
      <c r="C1082" s="61" t="s">
        <v>159</v>
      </c>
      <c r="D1082" s="69">
        <v>1</v>
      </c>
      <c r="E1082" s="74">
        <v>1.0427</v>
      </c>
      <c r="F1082" s="80">
        <v>1.0427</v>
      </c>
      <c r="G1082" s="61" t="str">
        <f>INDEX(SETORES!$B:$B,MATCH(A1082,SETORES!$A:$A,0))</f>
        <v>Clientes</v>
      </c>
      <c r="H1082" s="61" t="s">
        <v>21</v>
      </c>
    </row>
    <row r="1083" spans="1:8" ht="14.25" hidden="1" customHeight="1" x14ac:dyDescent="0.3">
      <c r="A1083" s="34" t="s">
        <v>37</v>
      </c>
      <c r="B1083" s="61" t="s">
        <v>155</v>
      </c>
      <c r="C1083" s="61" t="s">
        <v>249</v>
      </c>
      <c r="D1083" s="69">
        <v>1</v>
      </c>
      <c r="E1083" s="74">
        <v>3208.87</v>
      </c>
      <c r="F1083" s="80">
        <f>IFERROR(D1083*E1083,0)</f>
        <v>3208.87</v>
      </c>
      <c r="G1083" s="61" t="str">
        <f>INDEX(SETORES!$B:$B,MATCH(A1083,SETORES!$A:$A,0))</f>
        <v>Clientes</v>
      </c>
      <c r="H1083" s="61" t="s">
        <v>21</v>
      </c>
    </row>
    <row r="1084" spans="1:8" ht="14.25" hidden="1" customHeight="1" x14ac:dyDescent="0.3">
      <c r="A1084" s="2" t="s">
        <v>37</v>
      </c>
      <c r="B1084" s="60" t="s">
        <v>155</v>
      </c>
      <c r="C1084" s="60" t="s">
        <v>171</v>
      </c>
      <c r="D1084" s="68">
        <v>43</v>
      </c>
      <c r="E1084" s="73">
        <v>43.54</v>
      </c>
      <c r="F1084" s="79">
        <f>IFERROR(D1084*E1084,0)</f>
        <v>1872.22</v>
      </c>
      <c r="G1084" s="60" t="s">
        <v>98</v>
      </c>
      <c r="H1084" s="60" t="s">
        <v>21</v>
      </c>
    </row>
    <row r="1085" spans="1:8" ht="14.25" hidden="1" customHeight="1" x14ac:dyDescent="0.3">
      <c r="A1085" s="34" t="s">
        <v>37</v>
      </c>
      <c r="B1085" s="61" t="s">
        <v>155</v>
      </c>
      <c r="C1085" s="61" t="s">
        <v>170</v>
      </c>
      <c r="D1085" s="69">
        <v>43</v>
      </c>
      <c r="E1085" s="74">
        <v>29.74</v>
      </c>
      <c r="F1085" s="80">
        <f>IFERROR(D1085*E1085,0)</f>
        <v>1278.82</v>
      </c>
      <c r="G1085" s="60" t="s">
        <v>98</v>
      </c>
      <c r="H1085" s="61" t="s">
        <v>21</v>
      </c>
    </row>
    <row r="1086" spans="1:8" ht="14.25" customHeight="1" x14ac:dyDescent="0.3">
      <c r="A1086" s="34" t="s">
        <v>37</v>
      </c>
      <c r="B1086" s="61" t="s">
        <v>155</v>
      </c>
      <c r="C1086" s="61" t="s">
        <v>169</v>
      </c>
      <c r="D1086" s="69">
        <v>43</v>
      </c>
      <c r="E1086" s="74">
        <v>47.66</v>
      </c>
      <c r="F1086" s="80">
        <f>IFERROR(D1086*E1086,0)</f>
        <v>2049.3799999999997</v>
      </c>
      <c r="G1086" s="60" t="s">
        <v>98</v>
      </c>
      <c r="H1086" s="61" t="s">
        <v>21</v>
      </c>
    </row>
    <row r="1087" spans="1:8" ht="14.25" hidden="1" customHeight="1" x14ac:dyDescent="0.3">
      <c r="A1087" s="2" t="s">
        <v>37</v>
      </c>
      <c r="B1087" s="60" t="s">
        <v>155</v>
      </c>
      <c r="C1087" s="60" t="s">
        <v>158</v>
      </c>
      <c r="D1087" s="68">
        <v>1</v>
      </c>
      <c r="E1087" s="73">
        <v>355.73899999999998</v>
      </c>
      <c r="F1087" s="79">
        <v>355.73899999999998</v>
      </c>
      <c r="G1087" s="60" t="str">
        <f>INDEX(SETORES!$B:$B,MATCH(A1087,SETORES!$A:$A,0))</f>
        <v>Clientes</v>
      </c>
      <c r="H1087" s="60" t="s">
        <v>21</v>
      </c>
    </row>
    <row r="1088" spans="1:8" ht="14.25" hidden="1" customHeight="1" x14ac:dyDescent="0.3">
      <c r="A1088" s="2" t="s">
        <v>37</v>
      </c>
      <c r="B1088" s="60" t="s">
        <v>162</v>
      </c>
      <c r="C1088" s="60" t="s">
        <v>165</v>
      </c>
      <c r="D1088" s="68">
        <v>1</v>
      </c>
      <c r="E1088" s="73">
        <v>35</v>
      </c>
      <c r="F1088" s="79">
        <f>IFERROR(D1088*E1088,0)</f>
        <v>35</v>
      </c>
      <c r="G1088" s="60" t="str">
        <f>INDEX(SETORES!$B:$B,MATCH(A1088,SETORES!$A:$A,0))</f>
        <v>Clientes</v>
      </c>
      <c r="H1088" s="60" t="s">
        <v>21</v>
      </c>
    </row>
    <row r="1089" spans="1:8" ht="14.25" hidden="1" customHeight="1" x14ac:dyDescent="0.3">
      <c r="A1089" s="34" t="s">
        <v>37</v>
      </c>
      <c r="B1089" s="61" t="s">
        <v>162</v>
      </c>
      <c r="C1089" s="61" t="s">
        <v>163</v>
      </c>
      <c r="D1089" s="69"/>
      <c r="E1089" s="74"/>
      <c r="F1089" s="80">
        <f>IFERROR(D1089*E1089,0)</f>
        <v>0</v>
      </c>
      <c r="G1089" s="61" t="str">
        <f>INDEX(SETORES!$B:$B,MATCH(A1089,SETORES!$A:$A,0))</f>
        <v>Clientes</v>
      </c>
      <c r="H1089" s="61" t="s">
        <v>21</v>
      </c>
    </row>
    <row r="1090" spans="1:8" ht="14.25" hidden="1" customHeight="1" x14ac:dyDescent="0.3">
      <c r="A1090" s="2" t="s">
        <v>37</v>
      </c>
      <c r="B1090" s="60" t="s">
        <v>162</v>
      </c>
      <c r="C1090" s="60" t="s">
        <v>164</v>
      </c>
      <c r="D1090" s="68"/>
      <c r="E1090" s="73"/>
      <c r="F1090" s="79">
        <f>IFERROR(D1090*E1090,0)</f>
        <v>0</v>
      </c>
      <c r="G1090" s="60" t="str">
        <f>INDEX(SETORES!$B:$B,MATCH(A1090,SETORES!$A:$A,0))</f>
        <v>Clientes</v>
      </c>
      <c r="H1090" s="60" t="s">
        <v>21</v>
      </c>
    </row>
    <row r="1091" spans="1:8" ht="14.25" hidden="1" customHeight="1" x14ac:dyDescent="0.3">
      <c r="A1091" s="34" t="s">
        <v>37</v>
      </c>
      <c r="B1091" s="61" t="s">
        <v>155</v>
      </c>
      <c r="C1091" s="61" t="s">
        <v>161</v>
      </c>
      <c r="D1091" s="69">
        <v>1</v>
      </c>
      <c r="E1091" s="74">
        <v>142024.07</v>
      </c>
      <c r="F1091" s="80">
        <f>IFERROR(E1091,0)</f>
        <v>142024.07</v>
      </c>
      <c r="G1091" s="61" t="str">
        <f>INDEX(SETORES!$B:$B,MATCH(A1091,SETORES!$A:$A,0))</f>
        <v>Clientes</v>
      </c>
      <c r="H1091" s="61" t="s">
        <v>21</v>
      </c>
    </row>
    <row r="1092" spans="1:8" ht="14.25" hidden="1" customHeight="1" x14ac:dyDescent="0.3">
      <c r="A1092" s="34" t="s">
        <v>37</v>
      </c>
      <c r="B1092" s="61" t="s">
        <v>155</v>
      </c>
      <c r="C1092" s="61" t="s">
        <v>167</v>
      </c>
      <c r="D1092" s="69">
        <v>43</v>
      </c>
      <c r="E1092" s="74">
        <v>9.92</v>
      </c>
      <c r="F1092" s="80">
        <f>IFERROR(D1092*E1092,0)</f>
        <v>426.56</v>
      </c>
      <c r="G1092" s="61" t="str">
        <f>INDEX(SETORES!$B:$B,MATCH(A1092,SETORES!$A:$A,0))</f>
        <v>Clientes</v>
      </c>
      <c r="H1092" s="61" t="s">
        <v>21</v>
      </c>
    </row>
    <row r="1093" spans="1:8" ht="14.25" hidden="1" customHeight="1" x14ac:dyDescent="0.3">
      <c r="A1093" s="2" t="s">
        <v>37</v>
      </c>
      <c r="B1093" s="60" t="s">
        <v>155</v>
      </c>
      <c r="C1093" s="60" t="s">
        <v>240</v>
      </c>
      <c r="D1093" s="68">
        <v>1</v>
      </c>
      <c r="E1093" s="73">
        <v>9.0229479999999995</v>
      </c>
      <c r="F1093" s="79">
        <f>IFERROR(D1093*E1093,0)</f>
        <v>9.0229479999999995</v>
      </c>
      <c r="G1093" s="60" t="str">
        <f>INDEX(SETORES!$B:$B,MATCH(A1093,SETORES!$A:$A,0))</f>
        <v>Clientes</v>
      </c>
      <c r="H1093" s="60" t="s">
        <v>21</v>
      </c>
    </row>
    <row r="1094" spans="1:8" ht="14.25" hidden="1" customHeight="1" x14ac:dyDescent="0.3">
      <c r="A1094" s="2" t="s">
        <v>37</v>
      </c>
      <c r="B1094" s="60" t="s">
        <v>155</v>
      </c>
      <c r="C1094" s="60" t="s">
        <v>166</v>
      </c>
      <c r="D1094" s="68">
        <v>7</v>
      </c>
      <c r="E1094" s="73">
        <v>50</v>
      </c>
      <c r="F1094" s="79">
        <f>IFERROR(D1094*E1094,0)</f>
        <v>350</v>
      </c>
      <c r="G1094" s="60" t="str">
        <f>INDEX(SETORES!$B:$B,MATCH(A1094,SETORES!$A:$A,0))</f>
        <v>Clientes</v>
      </c>
      <c r="H1094" s="60" t="s">
        <v>21</v>
      </c>
    </row>
    <row r="1095" spans="1:8" ht="14.25" hidden="1" customHeight="1" x14ac:dyDescent="0.3">
      <c r="A1095" s="2" t="s">
        <v>37</v>
      </c>
      <c r="B1095" s="60" t="s">
        <v>155</v>
      </c>
      <c r="C1095" s="60" t="s">
        <v>223</v>
      </c>
      <c r="D1095" s="68"/>
      <c r="E1095" s="73"/>
      <c r="F1095" s="79">
        <f>IFERROR(D1095*E1095,0)</f>
        <v>0</v>
      </c>
      <c r="G1095" s="60" t="str">
        <f>INDEX(SETORES!$B:$B,MATCH(A1095,SETORES!$A:$A,0))</f>
        <v>Clientes</v>
      </c>
      <c r="H1095" s="60" t="s">
        <v>21</v>
      </c>
    </row>
    <row r="1096" spans="1:8" ht="14.25" hidden="1" customHeight="1" x14ac:dyDescent="0.3">
      <c r="A1096" s="2" t="s">
        <v>37</v>
      </c>
      <c r="B1096" s="60" t="s">
        <v>155</v>
      </c>
      <c r="C1096" s="60" t="s">
        <v>156</v>
      </c>
      <c r="D1096" s="68">
        <v>43</v>
      </c>
      <c r="E1096" s="73">
        <v>0.98509999999999998</v>
      </c>
      <c r="F1096" s="79">
        <v>42.359299999999998</v>
      </c>
      <c r="G1096" s="60" t="str">
        <f>INDEX(SETORES!$B:$B,MATCH(A1096,SETORES!$A:$A,0))</f>
        <v>Clientes</v>
      </c>
      <c r="H1096" s="60" t="s">
        <v>21</v>
      </c>
    </row>
    <row r="1097" spans="1:8" ht="14.25" hidden="1" customHeight="1" x14ac:dyDescent="0.3">
      <c r="A1097" s="34" t="s">
        <v>37</v>
      </c>
      <c r="B1097" s="61" t="s">
        <v>155</v>
      </c>
      <c r="C1097" s="61" t="s">
        <v>157</v>
      </c>
      <c r="D1097" s="69">
        <v>1</v>
      </c>
      <c r="E1097" s="74">
        <v>1287.462295</v>
      </c>
      <c r="F1097" s="80">
        <v>1287.462295</v>
      </c>
      <c r="G1097" s="61" t="str">
        <f>INDEX(SETORES!$B:$B,MATCH(A1097,SETORES!$A:$A,0))</f>
        <v>Clientes</v>
      </c>
      <c r="H1097" s="61" t="s">
        <v>21</v>
      </c>
    </row>
    <row r="1098" spans="1:8" ht="14.25" hidden="1" customHeight="1" x14ac:dyDescent="0.3">
      <c r="A1098" s="34" t="s">
        <v>37</v>
      </c>
      <c r="B1098" s="61" t="s">
        <v>162</v>
      </c>
      <c r="C1098" s="61" t="s">
        <v>222</v>
      </c>
      <c r="D1098" s="69">
        <v>1</v>
      </c>
      <c r="E1098" s="74">
        <v>7086.44</v>
      </c>
      <c r="F1098" s="80">
        <f>IFERROR(D1098*E1098,0)</f>
        <v>7086.44</v>
      </c>
      <c r="G1098" s="61" t="str">
        <f>INDEX(SETORES!$B:$B,MATCH(A1098,SETORES!$A:$A,0))</f>
        <v>Clientes</v>
      </c>
      <c r="H1098" s="61" t="s">
        <v>21</v>
      </c>
    </row>
    <row r="1099" spans="1:8" ht="14.25" hidden="1" customHeight="1" x14ac:dyDescent="0.3">
      <c r="A1099" s="34" t="s">
        <v>37</v>
      </c>
      <c r="B1099" s="61" t="s">
        <v>155</v>
      </c>
      <c r="C1099" s="61" t="s">
        <v>187</v>
      </c>
      <c r="D1099" s="69">
        <v>1</v>
      </c>
      <c r="E1099" s="74">
        <v>2379.7398410000001</v>
      </c>
      <c r="F1099" s="80">
        <f>IFERROR(D1099*E1099,0)</f>
        <v>2379.7398410000001</v>
      </c>
      <c r="G1099" s="61" t="str">
        <f>INDEX(SETORES!$B:$B,MATCH(A1099,SETORES!$A:$A,0))</f>
        <v>Clientes</v>
      </c>
      <c r="H1099" s="61" t="s">
        <v>21</v>
      </c>
    </row>
    <row r="1100" spans="1:8" ht="14.25" hidden="1" customHeight="1" x14ac:dyDescent="0.3">
      <c r="A1100" s="2" t="s">
        <v>37</v>
      </c>
      <c r="B1100" s="60" t="s">
        <v>155</v>
      </c>
      <c r="C1100" s="60" t="s">
        <v>168</v>
      </c>
      <c r="D1100" s="68">
        <v>43</v>
      </c>
      <c r="E1100" s="73">
        <v>2.0499999999999998</v>
      </c>
      <c r="F1100" s="79">
        <f>IFERROR(D1100*E1100,0)</f>
        <v>88.149999999999991</v>
      </c>
      <c r="G1100" s="60" t="str">
        <f>INDEX(SETORES!$B:$B,MATCH(A1100,SETORES!$A:$A,0))</f>
        <v>Clientes</v>
      </c>
      <c r="H1100" s="60" t="s">
        <v>21</v>
      </c>
    </row>
    <row r="1101" spans="1:8" ht="14.25" hidden="1" customHeight="1" x14ac:dyDescent="0.3">
      <c r="A1101" s="2" t="s">
        <v>37</v>
      </c>
      <c r="B1101" s="60" t="s">
        <v>155</v>
      </c>
      <c r="C1101" s="60" t="s">
        <v>160</v>
      </c>
      <c r="D1101" s="68"/>
      <c r="E1101" s="73"/>
      <c r="F1101" s="79">
        <f>IFERROR(D1101*E1101,0)</f>
        <v>0</v>
      </c>
      <c r="G1101" s="60" t="str">
        <f>INDEX(SETORES!$B:$B,MATCH(A1101,SETORES!$A:$A,0))</f>
        <v>Clientes</v>
      </c>
      <c r="H1101" s="60" t="s">
        <v>21</v>
      </c>
    </row>
    <row r="1102" spans="1:8" ht="14.25" hidden="1" customHeight="1" x14ac:dyDescent="0.3">
      <c r="A1102" s="2" t="s">
        <v>46</v>
      </c>
      <c r="B1102" s="60" t="s">
        <v>155</v>
      </c>
      <c r="C1102" s="60" t="s">
        <v>212</v>
      </c>
      <c r="D1102" s="68">
        <v>5</v>
      </c>
      <c r="E1102" s="73">
        <v>30</v>
      </c>
      <c r="F1102" s="79">
        <f>IFERROR(D1102*E1102,0)</f>
        <v>150</v>
      </c>
      <c r="G1102" s="60" t="str">
        <f>INDEX(SETORES!$B:$B,MATCH(A1102,SETORES!$A:$A,0))</f>
        <v>Clientes</v>
      </c>
      <c r="H1102" s="60" t="s">
        <v>21</v>
      </c>
    </row>
    <row r="1103" spans="1:8" ht="14.25" hidden="1" customHeight="1" x14ac:dyDescent="0.3">
      <c r="A1103" s="34" t="s">
        <v>46</v>
      </c>
      <c r="B1103" s="61" t="s">
        <v>162</v>
      </c>
      <c r="C1103" s="61" t="s">
        <v>217</v>
      </c>
      <c r="D1103" s="69">
        <v>1</v>
      </c>
      <c r="E1103" s="74">
        <v>11003.74</v>
      </c>
      <c r="F1103" s="80">
        <f>IFERROR(D1103*E1103,0)</f>
        <v>11003.74</v>
      </c>
      <c r="G1103" s="61" t="str">
        <f>INDEX(SETORES!$B:$B,MATCH(A1103,SETORES!$A:$A,0))</f>
        <v>Clientes</v>
      </c>
      <c r="H1103" s="61" t="s">
        <v>21</v>
      </c>
    </row>
    <row r="1104" spans="1:8" ht="14.25" hidden="1" customHeight="1" x14ac:dyDescent="0.3">
      <c r="A1104" s="2" t="s">
        <v>46</v>
      </c>
      <c r="B1104" s="60" t="s">
        <v>155</v>
      </c>
      <c r="C1104" s="60" t="s">
        <v>250</v>
      </c>
      <c r="D1104" s="68">
        <v>1</v>
      </c>
      <c r="E1104" s="73">
        <v>4074.9</v>
      </c>
      <c r="F1104" s="79">
        <f>IFERROR(D1104*E1104,0)</f>
        <v>4074.9</v>
      </c>
      <c r="G1104" s="60" t="str">
        <f>INDEX(SETORES!$B:$B,MATCH(A1104,SETORES!$A:$A,0))</f>
        <v>Clientes</v>
      </c>
      <c r="H1104" s="60" t="s">
        <v>21</v>
      </c>
    </row>
    <row r="1105" spans="1:8" ht="14.25" hidden="1" customHeight="1" x14ac:dyDescent="0.3">
      <c r="A1105" s="34" t="s">
        <v>46</v>
      </c>
      <c r="B1105" s="61" t="s">
        <v>155</v>
      </c>
      <c r="C1105" s="61" t="s">
        <v>171</v>
      </c>
      <c r="D1105" s="69">
        <v>23</v>
      </c>
      <c r="E1105" s="74">
        <v>43.54</v>
      </c>
      <c r="F1105" s="80">
        <f>IFERROR(D1105*E1105,0)</f>
        <v>1001.42</v>
      </c>
      <c r="G1105" s="60" t="s">
        <v>98</v>
      </c>
      <c r="H1105" s="61" t="s">
        <v>21</v>
      </c>
    </row>
    <row r="1106" spans="1:8" ht="14.25" hidden="1" customHeight="1" x14ac:dyDescent="0.3">
      <c r="A1106" s="2" t="s">
        <v>46</v>
      </c>
      <c r="B1106" s="60" t="s">
        <v>155</v>
      </c>
      <c r="C1106" s="60" t="s">
        <v>170</v>
      </c>
      <c r="D1106" s="68">
        <v>23</v>
      </c>
      <c r="E1106" s="73">
        <v>29.74</v>
      </c>
      <c r="F1106" s="79">
        <f>IFERROR(D1106*E1106,0)</f>
        <v>684.02</v>
      </c>
      <c r="G1106" s="60" t="s">
        <v>98</v>
      </c>
      <c r="H1106" s="60" t="s">
        <v>21</v>
      </c>
    </row>
    <row r="1107" spans="1:8" ht="14.25" customHeight="1" x14ac:dyDescent="0.3">
      <c r="A1107" s="2" t="s">
        <v>46</v>
      </c>
      <c r="B1107" s="60" t="s">
        <v>155</v>
      </c>
      <c r="C1107" s="60" t="s">
        <v>169</v>
      </c>
      <c r="D1107" s="68">
        <v>23</v>
      </c>
      <c r="E1107" s="73">
        <v>47.66</v>
      </c>
      <c r="F1107" s="79">
        <f>IFERROR(D1107*E1107,0)</f>
        <v>1096.1799999999998</v>
      </c>
      <c r="G1107" s="60" t="s">
        <v>98</v>
      </c>
      <c r="H1107" s="60" t="s">
        <v>21</v>
      </c>
    </row>
    <row r="1108" spans="1:8" ht="14.25" hidden="1" customHeight="1" x14ac:dyDescent="0.3">
      <c r="A1108" s="2" t="s">
        <v>46</v>
      </c>
      <c r="B1108" s="60" t="s">
        <v>162</v>
      </c>
      <c r="C1108" s="60" t="s">
        <v>221</v>
      </c>
      <c r="D1108" s="68">
        <v>1</v>
      </c>
      <c r="E1108" s="73">
        <v>749.1</v>
      </c>
      <c r="F1108" s="79">
        <f>IFERROR(D1108*E1108,0)</f>
        <v>749.1</v>
      </c>
      <c r="G1108" s="60" t="str">
        <f>INDEX(SETORES!$B:$B,MATCH(A1108,SETORES!$A:$A,0))</f>
        <v>Clientes</v>
      </c>
      <c r="H1108" s="60" t="s">
        <v>21</v>
      </c>
    </row>
    <row r="1109" spans="1:8" ht="14.25" hidden="1" customHeight="1" x14ac:dyDescent="0.3">
      <c r="A1109" s="2" t="s">
        <v>46</v>
      </c>
      <c r="B1109" s="60" t="s">
        <v>155</v>
      </c>
      <c r="C1109" s="60" t="s">
        <v>161</v>
      </c>
      <c r="D1109" s="68">
        <v>1</v>
      </c>
      <c r="E1109" s="73">
        <v>154792.47</v>
      </c>
      <c r="F1109" s="79">
        <f>IFERROR(E1109,0)</f>
        <v>154792.47</v>
      </c>
      <c r="G1109" s="60" t="str">
        <f>INDEX(SETORES!$B:$B,MATCH(A1109,SETORES!$A:$A,0))</f>
        <v>Clientes</v>
      </c>
      <c r="H1109" s="60" t="s">
        <v>21</v>
      </c>
    </row>
    <row r="1110" spans="1:8" ht="14.25" hidden="1" customHeight="1" x14ac:dyDescent="0.3">
      <c r="A1110" s="2" t="s">
        <v>46</v>
      </c>
      <c r="B1110" s="60" t="s">
        <v>155</v>
      </c>
      <c r="C1110" s="60" t="s">
        <v>167</v>
      </c>
      <c r="D1110" s="68">
        <v>23</v>
      </c>
      <c r="E1110" s="73">
        <v>9.92</v>
      </c>
      <c r="F1110" s="79">
        <f>IFERROR(D1110*E1110,0)</f>
        <v>228.16</v>
      </c>
      <c r="G1110" s="60" t="str">
        <f>INDEX(SETORES!$B:$B,MATCH(A1110,SETORES!$A:$A,0))</f>
        <v>Clientes</v>
      </c>
      <c r="H1110" s="60" t="s">
        <v>21</v>
      </c>
    </row>
    <row r="1111" spans="1:8" ht="14.25" hidden="1" customHeight="1" x14ac:dyDescent="0.3">
      <c r="A1111" s="34" t="s">
        <v>46</v>
      </c>
      <c r="B1111" s="61" t="s">
        <v>162</v>
      </c>
      <c r="C1111" s="61" t="s">
        <v>218</v>
      </c>
      <c r="D1111" s="69"/>
      <c r="E1111" s="74"/>
      <c r="F1111" s="80">
        <f>IFERROR(D1111*E1111,0)</f>
        <v>0</v>
      </c>
      <c r="G1111" s="61" t="str">
        <f>INDEX(SETORES!$B:$B,MATCH(A1111,SETORES!$A:$A,0))</f>
        <v>Clientes</v>
      </c>
      <c r="H1111" s="61" t="s">
        <v>21</v>
      </c>
    </row>
    <row r="1112" spans="1:8" ht="14.25" hidden="1" customHeight="1" x14ac:dyDescent="0.3">
      <c r="A1112" s="2" t="s">
        <v>46</v>
      </c>
      <c r="B1112" s="60" t="s">
        <v>155</v>
      </c>
      <c r="C1112" s="60" t="s">
        <v>166</v>
      </c>
      <c r="D1112" s="68"/>
      <c r="E1112" s="73"/>
      <c r="F1112" s="79">
        <f>IFERROR(D1112*E1112,0)</f>
        <v>0</v>
      </c>
      <c r="G1112" s="60" t="str">
        <f>INDEX(SETORES!$B:$B,MATCH(A1112,SETORES!$A:$A,0))</f>
        <v>Clientes</v>
      </c>
      <c r="H1112" s="60" t="s">
        <v>21</v>
      </c>
    </row>
    <row r="1113" spans="1:8" ht="14.25" hidden="1" customHeight="1" x14ac:dyDescent="0.3">
      <c r="A1113" s="34" t="s">
        <v>46</v>
      </c>
      <c r="B1113" s="61" t="s">
        <v>162</v>
      </c>
      <c r="C1113" s="61" t="s">
        <v>222</v>
      </c>
      <c r="D1113" s="69">
        <v>1</v>
      </c>
      <c r="E1113" s="74">
        <v>8704.7999999999993</v>
      </c>
      <c r="F1113" s="80">
        <f>IFERROR(D1113*E1113,0)</f>
        <v>8704.7999999999993</v>
      </c>
      <c r="G1113" s="61" t="str">
        <f>INDEX(SETORES!$B:$B,MATCH(A1113,SETORES!$A:$A,0))</f>
        <v>Clientes</v>
      </c>
      <c r="H1113" s="61" t="s">
        <v>21</v>
      </c>
    </row>
    <row r="1114" spans="1:8" ht="14.25" hidden="1" customHeight="1" x14ac:dyDescent="0.3">
      <c r="A1114" s="34" t="s">
        <v>46</v>
      </c>
      <c r="B1114" s="61" t="s">
        <v>155</v>
      </c>
      <c r="C1114" s="61" t="s">
        <v>168</v>
      </c>
      <c r="D1114" s="69">
        <v>23</v>
      </c>
      <c r="E1114" s="74">
        <v>2.0499999999999998</v>
      </c>
      <c r="F1114" s="80">
        <f>IFERROR(D1114*E1114,0)</f>
        <v>47.15</v>
      </c>
      <c r="G1114" s="61" t="str">
        <f>INDEX(SETORES!$B:$B,MATCH(A1114,SETORES!$A:$A,0))</f>
        <v>Clientes</v>
      </c>
      <c r="H1114" s="61" t="s">
        <v>21</v>
      </c>
    </row>
    <row r="1115" spans="1:8" ht="14.25" hidden="1" customHeight="1" x14ac:dyDescent="0.3">
      <c r="A1115" s="34" t="s">
        <v>46</v>
      </c>
      <c r="B1115" s="61" t="s">
        <v>155</v>
      </c>
      <c r="C1115" s="61" t="s">
        <v>160</v>
      </c>
      <c r="D1115" s="69"/>
      <c r="E1115" s="74"/>
      <c r="F1115" s="80">
        <f>IFERROR(D1115*E1115,0)</f>
        <v>0</v>
      </c>
      <c r="G1115" s="61" t="str">
        <f>INDEX(SETORES!$B:$B,MATCH(A1115,SETORES!$A:$A,0))</f>
        <v>Clientes</v>
      </c>
      <c r="H1115" s="61" t="s">
        <v>21</v>
      </c>
    </row>
    <row r="1116" spans="1:8" ht="14.25" hidden="1" customHeight="1" x14ac:dyDescent="0.3">
      <c r="A1116" s="2" t="s">
        <v>49</v>
      </c>
      <c r="B1116" s="60" t="s">
        <v>155</v>
      </c>
      <c r="C1116" s="60" t="s">
        <v>159</v>
      </c>
      <c r="D1116" s="68">
        <v>4</v>
      </c>
      <c r="E1116" s="73">
        <v>3.3247</v>
      </c>
      <c r="F1116" s="79">
        <v>13.2988</v>
      </c>
      <c r="G1116" s="60" t="str">
        <f>INDEX(SETORES!$B:$B,MATCH(A1116,SETORES!$A:$A,0))</f>
        <v>Clientes</v>
      </c>
      <c r="H1116" s="60" t="s">
        <v>21</v>
      </c>
    </row>
    <row r="1117" spans="1:8" ht="14.25" hidden="1" customHeight="1" x14ac:dyDescent="0.3">
      <c r="A1117" s="34" t="s">
        <v>49</v>
      </c>
      <c r="B1117" s="61" t="s">
        <v>162</v>
      </c>
      <c r="C1117" s="61" t="s">
        <v>217</v>
      </c>
      <c r="D1117" s="69">
        <v>1</v>
      </c>
      <c r="E1117" s="74">
        <v>55.05</v>
      </c>
      <c r="F1117" s="80">
        <f>IFERROR(D1117*E1117,0)</f>
        <v>55.05</v>
      </c>
      <c r="G1117" s="61" t="str">
        <f>INDEX(SETORES!$B:$B,MATCH(A1117,SETORES!$A:$A,0))</f>
        <v>Clientes</v>
      </c>
      <c r="H1117" s="61" t="s">
        <v>21</v>
      </c>
    </row>
    <row r="1118" spans="1:8" ht="14.25" hidden="1" customHeight="1" x14ac:dyDescent="0.3">
      <c r="A1118" s="2" t="s">
        <v>49</v>
      </c>
      <c r="B1118" s="60" t="s">
        <v>155</v>
      </c>
      <c r="C1118" s="60" t="s">
        <v>256</v>
      </c>
      <c r="D1118" s="68">
        <v>1</v>
      </c>
      <c r="E1118" s="73">
        <v>3099.1630380000001</v>
      </c>
      <c r="F1118" s="79">
        <v>3099.1630380000001</v>
      </c>
      <c r="G1118" s="60" t="s">
        <v>96</v>
      </c>
      <c r="H1118" s="60" t="s">
        <v>21</v>
      </c>
    </row>
    <row r="1119" spans="1:8" ht="14.25" hidden="1" customHeight="1" x14ac:dyDescent="0.3">
      <c r="A1119" s="2" t="s">
        <v>49</v>
      </c>
      <c r="B1119" s="60" t="s">
        <v>155</v>
      </c>
      <c r="C1119" s="60" t="s">
        <v>171</v>
      </c>
      <c r="D1119" s="68">
        <v>4</v>
      </c>
      <c r="E1119" s="73">
        <v>43.54</v>
      </c>
      <c r="F1119" s="79">
        <f>IFERROR(D1119*E1119,0)</f>
        <v>174.16</v>
      </c>
      <c r="G1119" s="60" t="s">
        <v>98</v>
      </c>
      <c r="H1119" s="60" t="s">
        <v>21</v>
      </c>
    </row>
    <row r="1120" spans="1:8" ht="14.25" hidden="1" customHeight="1" x14ac:dyDescent="0.3">
      <c r="A1120" s="34" t="s">
        <v>49</v>
      </c>
      <c r="B1120" s="61" t="s">
        <v>155</v>
      </c>
      <c r="C1120" s="61" t="s">
        <v>170</v>
      </c>
      <c r="D1120" s="69">
        <v>4</v>
      </c>
      <c r="E1120" s="74">
        <v>29.74</v>
      </c>
      <c r="F1120" s="80">
        <f>IFERROR(D1120*E1120,0)</f>
        <v>118.96</v>
      </c>
      <c r="G1120" s="60" t="s">
        <v>98</v>
      </c>
      <c r="H1120" s="61" t="s">
        <v>21</v>
      </c>
    </row>
    <row r="1121" spans="1:8" ht="14.25" customHeight="1" x14ac:dyDescent="0.3">
      <c r="A1121" s="34" t="s">
        <v>49</v>
      </c>
      <c r="B1121" s="61" t="s">
        <v>155</v>
      </c>
      <c r="C1121" s="61" t="s">
        <v>169</v>
      </c>
      <c r="D1121" s="69">
        <v>4</v>
      </c>
      <c r="E1121" s="74">
        <v>47.66</v>
      </c>
      <c r="F1121" s="80">
        <f>IFERROR(D1121*E1121,0)</f>
        <v>190.64</v>
      </c>
      <c r="G1121" s="60" t="s">
        <v>98</v>
      </c>
      <c r="H1121" s="61" t="s">
        <v>21</v>
      </c>
    </row>
    <row r="1122" spans="1:8" ht="14.25" hidden="1" customHeight="1" x14ac:dyDescent="0.3">
      <c r="A1122" s="34" t="s">
        <v>49</v>
      </c>
      <c r="B1122" s="61" t="s">
        <v>155</v>
      </c>
      <c r="C1122" s="61" t="s">
        <v>158</v>
      </c>
      <c r="D1122" s="69">
        <v>4</v>
      </c>
      <c r="E1122" s="74">
        <v>21.258199999999999</v>
      </c>
      <c r="F1122" s="80">
        <v>85.032799999999995</v>
      </c>
      <c r="G1122" s="61" t="str">
        <f>INDEX(SETORES!$B:$B,MATCH(A1122,SETORES!$A:$A,0))</f>
        <v>Clientes</v>
      </c>
      <c r="H1122" s="61" t="s">
        <v>21</v>
      </c>
    </row>
    <row r="1123" spans="1:8" ht="14.25" hidden="1" customHeight="1" x14ac:dyDescent="0.3">
      <c r="A1123" s="34" t="s">
        <v>49</v>
      </c>
      <c r="B1123" s="61" t="s">
        <v>162</v>
      </c>
      <c r="C1123" s="61" t="s">
        <v>165</v>
      </c>
      <c r="D1123" s="69">
        <v>1</v>
      </c>
      <c r="E1123" s="74">
        <v>184</v>
      </c>
      <c r="F1123" s="80">
        <f>IFERROR(D1123*E1123,0)</f>
        <v>184</v>
      </c>
      <c r="G1123" s="61" t="str">
        <f>INDEX(SETORES!$B:$B,MATCH(A1123,SETORES!$A:$A,0))</f>
        <v>Clientes</v>
      </c>
      <c r="H1123" s="61" t="s">
        <v>21</v>
      </c>
    </row>
    <row r="1124" spans="1:8" ht="14.25" hidden="1" customHeight="1" x14ac:dyDescent="0.3">
      <c r="A1124" s="2" t="s">
        <v>49</v>
      </c>
      <c r="B1124" s="60" t="s">
        <v>155</v>
      </c>
      <c r="C1124" s="60" t="s">
        <v>161</v>
      </c>
      <c r="D1124" s="68">
        <v>1</v>
      </c>
      <c r="E1124" s="73">
        <v>23068.3</v>
      </c>
      <c r="F1124" s="79">
        <f>IFERROR(E1124,0)</f>
        <v>23068.3</v>
      </c>
      <c r="G1124" s="60" t="str">
        <f>INDEX(SETORES!$B:$B,MATCH(A1124,SETORES!$A:$A,0))</f>
        <v>Clientes</v>
      </c>
      <c r="H1124" s="60" t="s">
        <v>21</v>
      </c>
    </row>
    <row r="1125" spans="1:8" ht="14.25" hidden="1" customHeight="1" x14ac:dyDescent="0.3">
      <c r="A1125" s="2" t="s">
        <v>49</v>
      </c>
      <c r="B1125" s="60" t="s">
        <v>155</v>
      </c>
      <c r="C1125" s="60" t="s">
        <v>167</v>
      </c>
      <c r="D1125" s="68">
        <v>4</v>
      </c>
      <c r="E1125" s="73">
        <v>9.92</v>
      </c>
      <c r="F1125" s="79">
        <f>IFERROR(D1125*E1125,0)</f>
        <v>39.68</v>
      </c>
      <c r="G1125" s="60" t="str">
        <f>INDEX(SETORES!$B:$B,MATCH(A1125,SETORES!$A:$A,0))</f>
        <v>Clientes</v>
      </c>
      <c r="H1125" s="60" t="s">
        <v>21</v>
      </c>
    </row>
    <row r="1126" spans="1:8" ht="14.25" hidden="1" customHeight="1" x14ac:dyDescent="0.3">
      <c r="A1126" s="2" t="s">
        <v>49</v>
      </c>
      <c r="B1126" s="60" t="s">
        <v>155</v>
      </c>
      <c r="C1126" s="60" t="s">
        <v>238</v>
      </c>
      <c r="D1126" s="68">
        <v>1</v>
      </c>
      <c r="E1126" s="73">
        <v>250</v>
      </c>
      <c r="F1126" s="79">
        <f>IFERROR(D1126*E1126,0)</f>
        <v>250</v>
      </c>
      <c r="G1126" s="60" t="str">
        <f>INDEX(SETORES!$B:$B,MATCH(A1126,SETORES!$A:$A,0))</f>
        <v>Clientes</v>
      </c>
      <c r="H1126" s="60" t="s">
        <v>21</v>
      </c>
    </row>
    <row r="1127" spans="1:8" ht="14.25" hidden="1" customHeight="1" x14ac:dyDescent="0.3">
      <c r="A1127" s="2" t="s">
        <v>49</v>
      </c>
      <c r="B1127" s="60" t="s">
        <v>162</v>
      </c>
      <c r="C1127" s="60" t="s">
        <v>220</v>
      </c>
      <c r="D1127" s="68"/>
      <c r="E1127" s="73"/>
      <c r="F1127" s="79">
        <f>IFERROR(D1127*E1127,0)</f>
        <v>0</v>
      </c>
      <c r="G1127" s="60" t="str">
        <f>INDEX(SETORES!$B:$B,MATCH(A1127,SETORES!$A:$A,0))</f>
        <v>Clientes</v>
      </c>
      <c r="H1127" s="60" t="s">
        <v>21</v>
      </c>
    </row>
    <row r="1128" spans="1:8" ht="14.25" hidden="1" customHeight="1" x14ac:dyDescent="0.3">
      <c r="A1128" s="2" t="s">
        <v>49</v>
      </c>
      <c r="B1128" s="60" t="s">
        <v>155</v>
      </c>
      <c r="C1128" s="60" t="s">
        <v>156</v>
      </c>
      <c r="D1128" s="68"/>
      <c r="E1128" s="73"/>
      <c r="F1128" s="79">
        <v>0</v>
      </c>
      <c r="G1128" s="60" t="str">
        <f>INDEX(SETORES!$B:$B,MATCH(A1128,SETORES!$A:$A,0))</f>
        <v>Clientes</v>
      </c>
      <c r="H1128" s="60" t="s">
        <v>21</v>
      </c>
    </row>
    <row r="1129" spans="1:8" ht="14.25" hidden="1" customHeight="1" x14ac:dyDescent="0.3">
      <c r="A1129" s="34" t="s">
        <v>49</v>
      </c>
      <c r="B1129" s="61" t="s">
        <v>155</v>
      </c>
      <c r="C1129" s="61" t="s">
        <v>157</v>
      </c>
      <c r="D1129" s="69"/>
      <c r="E1129" s="74"/>
      <c r="F1129" s="80">
        <v>0</v>
      </c>
      <c r="G1129" s="61" t="str">
        <f>INDEX(SETORES!$B:$B,MATCH(A1129,SETORES!$A:$A,0))</f>
        <v>Clientes</v>
      </c>
      <c r="H1129" s="61" t="s">
        <v>21</v>
      </c>
    </row>
    <row r="1130" spans="1:8" ht="14.25" hidden="1" customHeight="1" x14ac:dyDescent="0.3">
      <c r="A1130" s="34" t="s">
        <v>49</v>
      </c>
      <c r="B1130" s="61" t="s">
        <v>162</v>
      </c>
      <c r="C1130" s="61" t="s">
        <v>209</v>
      </c>
      <c r="D1130" s="69">
        <v>4</v>
      </c>
      <c r="E1130" s="74">
        <v>76.92</v>
      </c>
      <c r="F1130" s="80">
        <f>IFERROR(D1130*E1130,0)</f>
        <v>307.68</v>
      </c>
      <c r="G1130" s="61" t="str">
        <f>INDEX(SETORES!$B:$B,MATCH(A1130,SETORES!$A:$A,0))</f>
        <v>Clientes</v>
      </c>
      <c r="H1130" s="61" t="s">
        <v>21</v>
      </c>
    </row>
    <row r="1131" spans="1:8" ht="14.25" hidden="1" customHeight="1" x14ac:dyDescent="0.3">
      <c r="A1131" s="34" t="s">
        <v>49</v>
      </c>
      <c r="B1131" s="61" t="s">
        <v>162</v>
      </c>
      <c r="C1131" s="61" t="s">
        <v>222</v>
      </c>
      <c r="D1131" s="69"/>
      <c r="E1131" s="74"/>
      <c r="F1131" s="80">
        <f>IFERROR(D1131*E1131,0)</f>
        <v>0</v>
      </c>
      <c r="G1131" s="61" t="str">
        <f>INDEX(SETORES!$B:$B,MATCH(A1131,SETORES!$A:$A,0))</f>
        <v>Clientes</v>
      </c>
      <c r="H1131" s="61" t="s">
        <v>21</v>
      </c>
    </row>
    <row r="1132" spans="1:8" ht="14.25" hidden="1" customHeight="1" x14ac:dyDescent="0.3">
      <c r="A1132" s="2" t="s">
        <v>49</v>
      </c>
      <c r="B1132" s="60" t="s">
        <v>155</v>
      </c>
      <c r="C1132" s="60" t="s">
        <v>224</v>
      </c>
      <c r="D1132" s="68">
        <v>1</v>
      </c>
      <c r="E1132" s="73">
        <v>1800</v>
      </c>
      <c r="F1132" s="79">
        <f>IFERROR(D1132*E1132,0)</f>
        <v>1800</v>
      </c>
      <c r="G1132" s="60" t="str">
        <f>INDEX(SETORES!$B:$B,MATCH(A1132,SETORES!$A:$A,0))</f>
        <v>Clientes</v>
      </c>
      <c r="H1132" s="60" t="s">
        <v>21</v>
      </c>
    </row>
    <row r="1133" spans="1:8" ht="14.25" hidden="1" customHeight="1" x14ac:dyDescent="0.3">
      <c r="A1133" s="34" t="s">
        <v>49</v>
      </c>
      <c r="B1133" s="61" t="s">
        <v>155</v>
      </c>
      <c r="C1133" s="61" t="s">
        <v>168</v>
      </c>
      <c r="D1133" s="69">
        <v>4</v>
      </c>
      <c r="E1133" s="74">
        <v>2.0499999999999998</v>
      </c>
      <c r="F1133" s="80">
        <f>IFERROR(D1133*E1133,0)</f>
        <v>8.1999999999999993</v>
      </c>
      <c r="G1133" s="61" t="str">
        <f>INDEX(SETORES!$B:$B,MATCH(A1133,SETORES!$A:$A,0))</f>
        <v>Clientes</v>
      </c>
      <c r="H1133" s="61" t="s">
        <v>21</v>
      </c>
    </row>
    <row r="1134" spans="1:8" ht="14.25" hidden="1" customHeight="1" x14ac:dyDescent="0.3">
      <c r="A1134" s="34" t="s">
        <v>49</v>
      </c>
      <c r="B1134" s="61" t="s">
        <v>155</v>
      </c>
      <c r="C1134" s="61" t="s">
        <v>160</v>
      </c>
      <c r="D1134" s="69"/>
      <c r="E1134" s="74"/>
      <c r="F1134" s="80">
        <f>IFERROR(D1134*E1134,0)</f>
        <v>0</v>
      </c>
      <c r="G1134" s="61" t="str">
        <f>INDEX(SETORES!$B:$B,MATCH(A1134,SETORES!$A:$A,0))</f>
        <v>Clientes</v>
      </c>
      <c r="H1134" s="61" t="s">
        <v>21</v>
      </c>
    </row>
    <row r="1135" spans="1:8" ht="14.25" hidden="1" customHeight="1" x14ac:dyDescent="0.3">
      <c r="A1135" s="35" t="s">
        <v>146</v>
      </c>
      <c r="B1135" s="66" t="s">
        <v>155</v>
      </c>
      <c r="C1135" s="66" t="s">
        <v>161</v>
      </c>
      <c r="D1135" s="66">
        <v>1</v>
      </c>
      <c r="E1135" s="78">
        <v>23134.52</v>
      </c>
      <c r="F1135" s="78">
        <f>IFERROR(D1135*E1135,0)</f>
        <v>23134.52</v>
      </c>
      <c r="G1135" s="66" t="str">
        <f>INDEX(SETORES!$B:$B,MATCH(A1135,SETORES!$A:$A,0))</f>
        <v>Clientes</v>
      </c>
      <c r="H1135" s="66" t="s">
        <v>21</v>
      </c>
    </row>
    <row r="1136" spans="1:8" ht="14.25" hidden="1" customHeight="1" x14ac:dyDescent="0.3">
      <c r="A1136" s="34" t="s">
        <v>86</v>
      </c>
      <c r="B1136" s="61" t="s">
        <v>155</v>
      </c>
      <c r="C1136" s="61" t="s">
        <v>212</v>
      </c>
      <c r="D1136" s="69">
        <v>4</v>
      </c>
      <c r="E1136" s="74">
        <v>30</v>
      </c>
      <c r="F1136" s="80">
        <f>IFERROR(D1136*E1136,0)</f>
        <v>120</v>
      </c>
      <c r="G1136" s="61" t="str">
        <f>INDEX(SETORES!$B:$B,MATCH(A1136,SETORES!$A:$A,0))</f>
        <v>Clientes</v>
      </c>
      <c r="H1136" s="61" t="s">
        <v>21</v>
      </c>
    </row>
    <row r="1137" spans="1:8" ht="14.25" hidden="1" customHeight="1" x14ac:dyDescent="0.3">
      <c r="A1137" s="2" t="s">
        <v>86</v>
      </c>
      <c r="B1137" s="60" t="s">
        <v>155</v>
      </c>
      <c r="C1137" s="60" t="s">
        <v>171</v>
      </c>
      <c r="D1137" s="68">
        <v>7</v>
      </c>
      <c r="E1137" s="73">
        <v>43.54</v>
      </c>
      <c r="F1137" s="79">
        <f>IFERROR(D1137*E1137,0)</f>
        <v>304.77999999999997</v>
      </c>
      <c r="G1137" s="60" t="s">
        <v>98</v>
      </c>
      <c r="H1137" s="60" t="s">
        <v>21</v>
      </c>
    </row>
    <row r="1138" spans="1:8" ht="14.25" hidden="1" customHeight="1" x14ac:dyDescent="0.3">
      <c r="A1138" s="34" t="s">
        <v>86</v>
      </c>
      <c r="B1138" s="61" t="s">
        <v>155</v>
      </c>
      <c r="C1138" s="61" t="s">
        <v>170</v>
      </c>
      <c r="D1138" s="69">
        <v>7</v>
      </c>
      <c r="E1138" s="74">
        <v>29.74</v>
      </c>
      <c r="F1138" s="80">
        <f>IFERROR(D1138*E1138,0)</f>
        <v>208.17999999999998</v>
      </c>
      <c r="G1138" s="60" t="s">
        <v>98</v>
      </c>
      <c r="H1138" s="61" t="s">
        <v>21</v>
      </c>
    </row>
    <row r="1139" spans="1:8" ht="14.25" customHeight="1" x14ac:dyDescent="0.3">
      <c r="A1139" s="34" t="s">
        <v>86</v>
      </c>
      <c r="B1139" s="61" t="s">
        <v>155</v>
      </c>
      <c r="C1139" s="61" t="s">
        <v>169</v>
      </c>
      <c r="D1139" s="69">
        <v>7</v>
      </c>
      <c r="E1139" s="74">
        <v>47.66</v>
      </c>
      <c r="F1139" s="80">
        <f>IFERROR(D1139*E1139,0)</f>
        <v>333.62</v>
      </c>
      <c r="G1139" s="60" t="s">
        <v>98</v>
      </c>
      <c r="H1139" s="61" t="s">
        <v>21</v>
      </c>
    </row>
    <row r="1140" spans="1:8" ht="14.25" hidden="1" customHeight="1" x14ac:dyDescent="0.3">
      <c r="A1140" s="34" t="s">
        <v>86</v>
      </c>
      <c r="B1140" s="61" t="s">
        <v>162</v>
      </c>
      <c r="C1140" s="61" t="s">
        <v>165</v>
      </c>
      <c r="D1140" s="69">
        <v>1</v>
      </c>
      <c r="E1140" s="74">
        <v>35</v>
      </c>
      <c r="F1140" s="80">
        <f>IFERROR(D1140*E1140,0)</f>
        <v>35</v>
      </c>
      <c r="G1140" s="61" t="str">
        <f>INDEX(SETORES!$B:$B,MATCH(A1140,SETORES!$A:$A,0))</f>
        <v>Clientes</v>
      </c>
      <c r="H1140" s="61" t="s">
        <v>21</v>
      </c>
    </row>
    <row r="1141" spans="1:8" ht="14.25" hidden="1" customHeight="1" x14ac:dyDescent="0.3">
      <c r="A1141" s="34" t="s">
        <v>86</v>
      </c>
      <c r="B1141" s="61" t="s">
        <v>155</v>
      </c>
      <c r="C1141" s="61" t="s">
        <v>161</v>
      </c>
      <c r="D1141" s="69">
        <v>1</v>
      </c>
      <c r="E1141" s="74">
        <v>27856.75</v>
      </c>
      <c r="F1141" s="80">
        <f>IFERROR(E1141,0)</f>
        <v>27856.75</v>
      </c>
      <c r="G1141" s="61" t="str">
        <f>INDEX(SETORES!$B:$B,MATCH(A1141,SETORES!$A:$A,0))</f>
        <v>Clientes</v>
      </c>
      <c r="H1141" s="61" t="s">
        <v>21</v>
      </c>
    </row>
    <row r="1142" spans="1:8" ht="14.25" hidden="1" customHeight="1" x14ac:dyDescent="0.3">
      <c r="A1142" s="2" t="s">
        <v>86</v>
      </c>
      <c r="B1142" s="60" t="s">
        <v>155</v>
      </c>
      <c r="C1142" s="60" t="s">
        <v>167</v>
      </c>
      <c r="D1142" s="68">
        <v>7</v>
      </c>
      <c r="E1142" s="73">
        <v>9.92</v>
      </c>
      <c r="F1142" s="79">
        <f>IFERROR(D1142*E1142,0)</f>
        <v>69.44</v>
      </c>
      <c r="G1142" s="60" t="str">
        <f>INDEX(SETORES!$B:$B,MATCH(A1142,SETORES!$A:$A,0))</f>
        <v>Clientes</v>
      </c>
      <c r="H1142" s="60" t="s">
        <v>21</v>
      </c>
    </row>
    <row r="1143" spans="1:8" ht="14.25" hidden="1" customHeight="1" x14ac:dyDescent="0.3">
      <c r="A1143" s="34" t="s">
        <v>86</v>
      </c>
      <c r="B1143" s="61" t="s">
        <v>155</v>
      </c>
      <c r="C1143" s="61" t="s">
        <v>238</v>
      </c>
      <c r="D1143" s="69">
        <v>1</v>
      </c>
      <c r="E1143" s="74">
        <v>6.8627440000000002</v>
      </c>
      <c r="F1143" s="80">
        <f>IFERROR(D1143*E1143,0)</f>
        <v>6.8627440000000002</v>
      </c>
      <c r="G1143" s="61" t="str">
        <f>INDEX(SETORES!$B:$B,MATCH(A1143,SETORES!$A:$A,0))</f>
        <v>Clientes</v>
      </c>
      <c r="H1143" s="61" t="s">
        <v>21</v>
      </c>
    </row>
    <row r="1144" spans="1:8" ht="14.25" hidden="1" customHeight="1" x14ac:dyDescent="0.3">
      <c r="A1144" s="2" t="s">
        <v>86</v>
      </c>
      <c r="B1144" s="60" t="s">
        <v>155</v>
      </c>
      <c r="C1144" s="60" t="s">
        <v>166</v>
      </c>
      <c r="D1144" s="68">
        <v>7</v>
      </c>
      <c r="E1144" s="73">
        <v>50</v>
      </c>
      <c r="F1144" s="79">
        <f>IFERROR(D1144*E1144,0)</f>
        <v>350</v>
      </c>
      <c r="G1144" s="60" t="str">
        <f>INDEX(SETORES!$B:$B,MATCH(A1144,SETORES!$A:$A,0))</f>
        <v>Clientes</v>
      </c>
      <c r="H1144" s="60" t="s">
        <v>21</v>
      </c>
    </row>
    <row r="1145" spans="1:8" ht="14.25" hidden="1" customHeight="1" x14ac:dyDescent="0.3">
      <c r="A1145" s="2" t="s">
        <v>86</v>
      </c>
      <c r="B1145" s="60" t="s">
        <v>155</v>
      </c>
      <c r="C1145" s="60" t="s">
        <v>157</v>
      </c>
      <c r="D1145" s="68">
        <v>1</v>
      </c>
      <c r="E1145" s="73">
        <v>176.73</v>
      </c>
      <c r="F1145" s="79">
        <v>176.73</v>
      </c>
      <c r="G1145" s="60" t="str">
        <f>INDEX(SETORES!$B:$B,MATCH(A1145,SETORES!$A:$A,0))</f>
        <v>Clientes</v>
      </c>
      <c r="H1145" s="60" t="s">
        <v>21</v>
      </c>
    </row>
    <row r="1146" spans="1:8" ht="14.25" hidden="1" customHeight="1" x14ac:dyDescent="0.3">
      <c r="A1146" s="2" t="s">
        <v>86</v>
      </c>
      <c r="B1146" s="60" t="s">
        <v>162</v>
      </c>
      <c r="C1146" s="60" t="s">
        <v>222</v>
      </c>
      <c r="D1146" s="68"/>
      <c r="E1146" s="73"/>
      <c r="F1146" s="79">
        <f>IFERROR(D1146*E1146,0)</f>
        <v>0</v>
      </c>
      <c r="G1146" s="60" t="str">
        <f>INDEX(SETORES!$B:$B,MATCH(A1146,SETORES!$A:$A,0))</f>
        <v>Clientes</v>
      </c>
      <c r="H1146" s="60" t="s">
        <v>21</v>
      </c>
    </row>
    <row r="1147" spans="1:8" ht="14.25" hidden="1" customHeight="1" x14ac:dyDescent="0.3">
      <c r="A1147" s="34" t="s">
        <v>86</v>
      </c>
      <c r="B1147" s="61" t="s">
        <v>155</v>
      </c>
      <c r="C1147" s="61" t="s">
        <v>168</v>
      </c>
      <c r="D1147" s="69">
        <v>7</v>
      </c>
      <c r="E1147" s="74">
        <v>2.0499999999999998</v>
      </c>
      <c r="F1147" s="80">
        <f>IFERROR(D1147*E1147,0)</f>
        <v>14.349999999999998</v>
      </c>
      <c r="G1147" s="61" t="str">
        <f>INDEX(SETORES!$B:$B,MATCH(A1147,SETORES!$A:$A,0))</f>
        <v>Clientes</v>
      </c>
      <c r="H1147" s="61" t="s">
        <v>21</v>
      </c>
    </row>
    <row r="1148" spans="1:8" ht="14.25" hidden="1" customHeight="1" x14ac:dyDescent="0.3">
      <c r="A1148" s="34" t="s">
        <v>39</v>
      </c>
      <c r="B1148" s="61" t="s">
        <v>155</v>
      </c>
      <c r="C1148" s="61" t="s">
        <v>159</v>
      </c>
      <c r="D1148" s="69">
        <v>1</v>
      </c>
      <c r="E1148" s="74">
        <v>0.29099999999999998</v>
      </c>
      <c r="F1148" s="80">
        <v>0.29099999999999998</v>
      </c>
      <c r="G1148" s="61" t="str">
        <f>INDEX(SETORES!$B:$B,MATCH(A1148,SETORES!$A:$A,0))</f>
        <v>Clientes</v>
      </c>
      <c r="H1148" s="61" t="s">
        <v>21</v>
      </c>
    </row>
    <row r="1149" spans="1:8" ht="14.25" hidden="1" customHeight="1" x14ac:dyDescent="0.3">
      <c r="A1149" s="34" t="s">
        <v>39</v>
      </c>
      <c r="B1149" s="61" t="s">
        <v>155</v>
      </c>
      <c r="C1149" s="61" t="s">
        <v>249</v>
      </c>
      <c r="D1149" s="69">
        <v>1</v>
      </c>
      <c r="E1149" s="74">
        <v>895.5</v>
      </c>
      <c r="F1149" s="80">
        <f>IFERROR(D1149*E1149,0)</f>
        <v>895.5</v>
      </c>
      <c r="G1149" s="61" t="str">
        <f>INDEX(SETORES!$B:$B,MATCH(A1149,SETORES!$A:$A,0))</f>
        <v>Clientes</v>
      </c>
      <c r="H1149" s="61" t="s">
        <v>21</v>
      </c>
    </row>
    <row r="1150" spans="1:8" ht="14.25" hidden="1" customHeight="1" x14ac:dyDescent="0.3">
      <c r="A1150" s="2" t="s">
        <v>39</v>
      </c>
      <c r="B1150" s="60" t="s">
        <v>155</v>
      </c>
      <c r="C1150" s="60" t="s">
        <v>171</v>
      </c>
      <c r="D1150" s="68">
        <v>12</v>
      </c>
      <c r="E1150" s="73">
        <v>43.54</v>
      </c>
      <c r="F1150" s="79">
        <f>IFERROR(D1150*E1150,0)</f>
        <v>522.48</v>
      </c>
      <c r="G1150" s="60" t="s">
        <v>98</v>
      </c>
      <c r="H1150" s="60" t="s">
        <v>21</v>
      </c>
    </row>
    <row r="1151" spans="1:8" ht="14.25" hidden="1" customHeight="1" x14ac:dyDescent="0.3">
      <c r="A1151" s="34" t="s">
        <v>39</v>
      </c>
      <c r="B1151" s="61" t="s">
        <v>155</v>
      </c>
      <c r="C1151" s="61" t="s">
        <v>170</v>
      </c>
      <c r="D1151" s="69">
        <v>12</v>
      </c>
      <c r="E1151" s="74">
        <v>29.74</v>
      </c>
      <c r="F1151" s="80">
        <f>IFERROR(D1151*E1151,0)</f>
        <v>356.88</v>
      </c>
      <c r="G1151" s="60" t="s">
        <v>98</v>
      </c>
      <c r="H1151" s="61" t="s">
        <v>21</v>
      </c>
    </row>
    <row r="1152" spans="1:8" ht="14.25" customHeight="1" x14ac:dyDescent="0.3">
      <c r="A1152" s="34" t="s">
        <v>39</v>
      </c>
      <c r="B1152" s="61" t="s">
        <v>155</v>
      </c>
      <c r="C1152" s="61" t="s">
        <v>169</v>
      </c>
      <c r="D1152" s="69">
        <v>12</v>
      </c>
      <c r="E1152" s="74">
        <v>47.66</v>
      </c>
      <c r="F1152" s="80">
        <f>IFERROR(D1152*E1152,0)</f>
        <v>571.91999999999996</v>
      </c>
      <c r="G1152" s="60" t="s">
        <v>98</v>
      </c>
      <c r="H1152" s="61" t="s">
        <v>21</v>
      </c>
    </row>
    <row r="1153" spans="1:8" ht="14.25" hidden="1" customHeight="1" x14ac:dyDescent="0.3">
      <c r="A1153" s="2" t="s">
        <v>39</v>
      </c>
      <c r="B1153" s="60" t="s">
        <v>155</v>
      </c>
      <c r="C1153" s="60" t="s">
        <v>158</v>
      </c>
      <c r="D1153" s="68">
        <v>1</v>
      </c>
      <c r="E1153" s="73">
        <v>99.275999999999996</v>
      </c>
      <c r="F1153" s="79">
        <v>99.275999999999996</v>
      </c>
      <c r="G1153" s="60" t="str">
        <f>INDEX(SETORES!$B:$B,MATCH(A1153,SETORES!$A:$A,0))</f>
        <v>Clientes</v>
      </c>
      <c r="H1153" s="60" t="s">
        <v>21</v>
      </c>
    </row>
    <row r="1154" spans="1:8" ht="14.25" hidden="1" customHeight="1" x14ac:dyDescent="0.3">
      <c r="A1154" s="2" t="s">
        <v>39</v>
      </c>
      <c r="B1154" s="60" t="s">
        <v>162</v>
      </c>
      <c r="C1154" s="60" t="s">
        <v>163</v>
      </c>
      <c r="D1154" s="68"/>
      <c r="E1154" s="73"/>
      <c r="F1154" s="79">
        <f>IFERROR(D1154*E1154,0)</f>
        <v>0</v>
      </c>
      <c r="G1154" s="60" t="str">
        <f>INDEX(SETORES!$B:$B,MATCH(A1154,SETORES!$A:$A,0))</f>
        <v>Clientes</v>
      </c>
      <c r="H1154" s="60" t="s">
        <v>21</v>
      </c>
    </row>
    <row r="1155" spans="1:8" ht="14.25" hidden="1" customHeight="1" x14ac:dyDescent="0.3">
      <c r="A1155" s="34" t="s">
        <v>39</v>
      </c>
      <c r="B1155" s="61" t="s">
        <v>162</v>
      </c>
      <c r="C1155" s="61" t="s">
        <v>164</v>
      </c>
      <c r="D1155" s="69"/>
      <c r="E1155" s="74"/>
      <c r="F1155" s="80">
        <f>IFERROR(D1155*E1155,0)</f>
        <v>0</v>
      </c>
      <c r="G1155" s="61" t="str">
        <f>INDEX(SETORES!$B:$B,MATCH(A1155,SETORES!$A:$A,0))</f>
        <v>Clientes</v>
      </c>
      <c r="H1155" s="61" t="s">
        <v>21</v>
      </c>
    </row>
    <row r="1156" spans="1:8" ht="14.25" hidden="1" customHeight="1" x14ac:dyDescent="0.3">
      <c r="A1156" s="34" t="s">
        <v>39</v>
      </c>
      <c r="B1156" s="61" t="s">
        <v>155</v>
      </c>
      <c r="C1156" s="61" t="s">
        <v>161</v>
      </c>
      <c r="D1156" s="69">
        <v>1</v>
      </c>
      <c r="E1156" s="74">
        <v>38376.559999999998</v>
      </c>
      <c r="F1156" s="80">
        <f>IFERROR(E1156,0)</f>
        <v>38376.559999999998</v>
      </c>
      <c r="G1156" s="61" t="str">
        <f>INDEX(SETORES!$B:$B,MATCH(A1156,SETORES!$A:$A,0))</f>
        <v>Clientes</v>
      </c>
      <c r="H1156" s="61" t="s">
        <v>21</v>
      </c>
    </row>
    <row r="1157" spans="1:8" ht="14.25" hidden="1" customHeight="1" x14ac:dyDescent="0.3">
      <c r="A1157" s="2" t="s">
        <v>39</v>
      </c>
      <c r="B1157" s="60" t="s">
        <v>155</v>
      </c>
      <c r="C1157" s="60" t="s">
        <v>167</v>
      </c>
      <c r="D1157" s="68">
        <v>12</v>
      </c>
      <c r="E1157" s="73">
        <v>9.92</v>
      </c>
      <c r="F1157" s="79">
        <f>IFERROR(D1157*E1157,0)</f>
        <v>119.03999999999999</v>
      </c>
      <c r="G1157" s="60" t="str">
        <f>INDEX(SETORES!$B:$B,MATCH(A1157,SETORES!$A:$A,0))</f>
        <v>Clientes</v>
      </c>
      <c r="H1157" s="60" t="s">
        <v>21</v>
      </c>
    </row>
    <row r="1158" spans="1:8" ht="14.25" hidden="1" customHeight="1" x14ac:dyDescent="0.3">
      <c r="A1158" s="34" t="s">
        <v>39</v>
      </c>
      <c r="B1158" s="61" t="s">
        <v>155</v>
      </c>
      <c r="C1158" s="61" t="s">
        <v>240</v>
      </c>
      <c r="D1158" s="69">
        <v>1</v>
      </c>
      <c r="E1158" s="74">
        <v>2.5180319999999998</v>
      </c>
      <c r="F1158" s="80">
        <f>IFERROR(D1158*E1158,0)</f>
        <v>2.5180319999999998</v>
      </c>
      <c r="G1158" s="61" t="str">
        <f>INDEX(SETORES!$B:$B,MATCH(A1158,SETORES!$A:$A,0))</f>
        <v>Clientes</v>
      </c>
      <c r="H1158" s="61" t="s">
        <v>21</v>
      </c>
    </row>
    <row r="1159" spans="1:8" ht="14.25" hidden="1" customHeight="1" x14ac:dyDescent="0.3">
      <c r="A1159" s="34" t="s">
        <v>39</v>
      </c>
      <c r="B1159" s="61" t="s">
        <v>155</v>
      </c>
      <c r="C1159" s="61" t="s">
        <v>166</v>
      </c>
      <c r="D1159" s="69">
        <v>2</v>
      </c>
      <c r="E1159" s="74">
        <v>50</v>
      </c>
      <c r="F1159" s="80">
        <f>IFERROR(D1159*E1159,0)</f>
        <v>100</v>
      </c>
      <c r="G1159" s="61" t="str">
        <f>INDEX(SETORES!$B:$B,MATCH(A1159,SETORES!$A:$A,0))</f>
        <v>Clientes</v>
      </c>
      <c r="H1159" s="61" t="s">
        <v>21</v>
      </c>
    </row>
    <row r="1160" spans="1:8" ht="14.25" hidden="1" customHeight="1" x14ac:dyDescent="0.3">
      <c r="A1160" s="2" t="s">
        <v>39</v>
      </c>
      <c r="B1160" s="60" t="s">
        <v>155</v>
      </c>
      <c r="C1160" s="60" t="s">
        <v>156</v>
      </c>
      <c r="D1160" s="68">
        <v>12</v>
      </c>
      <c r="E1160" s="73">
        <v>0.98509999999999998</v>
      </c>
      <c r="F1160" s="79">
        <v>11.821199999999999</v>
      </c>
      <c r="G1160" s="60" t="str">
        <f>INDEX(SETORES!$B:$B,MATCH(A1160,SETORES!$A:$A,0))</f>
        <v>Clientes</v>
      </c>
      <c r="H1160" s="60" t="s">
        <v>21</v>
      </c>
    </row>
    <row r="1161" spans="1:8" ht="14.25" hidden="1" customHeight="1" x14ac:dyDescent="0.3">
      <c r="A1161" s="34" t="s">
        <v>39</v>
      </c>
      <c r="B1161" s="61" t="s">
        <v>155</v>
      </c>
      <c r="C1161" s="61" t="s">
        <v>157</v>
      </c>
      <c r="D1161" s="69">
        <v>1</v>
      </c>
      <c r="E1161" s="74">
        <v>359.29180300000002</v>
      </c>
      <c r="F1161" s="80">
        <v>359.29180300000002</v>
      </c>
      <c r="G1161" s="61" t="str">
        <f>INDEX(SETORES!$B:$B,MATCH(A1161,SETORES!$A:$A,0))</f>
        <v>Clientes</v>
      </c>
      <c r="H1161" s="61" t="s">
        <v>21</v>
      </c>
    </row>
    <row r="1162" spans="1:8" ht="14.25" hidden="1" customHeight="1" x14ac:dyDescent="0.3">
      <c r="A1162" s="2" t="s">
        <v>39</v>
      </c>
      <c r="B1162" s="60" t="s">
        <v>162</v>
      </c>
      <c r="C1162" s="60" t="s">
        <v>222</v>
      </c>
      <c r="D1162" s="68">
        <v>1</v>
      </c>
      <c r="E1162" s="73">
        <v>10389.200000000001</v>
      </c>
      <c r="F1162" s="79">
        <f>IFERROR(D1162*E1162,0)</f>
        <v>10389.200000000001</v>
      </c>
      <c r="G1162" s="60" t="str">
        <f>INDEX(SETORES!$B:$B,MATCH(A1162,SETORES!$A:$A,0))</f>
        <v>Clientes</v>
      </c>
      <c r="H1162" s="60" t="s">
        <v>21</v>
      </c>
    </row>
    <row r="1163" spans="1:8" ht="14.25" hidden="1" customHeight="1" x14ac:dyDescent="0.3">
      <c r="A1163" s="2" t="s">
        <v>39</v>
      </c>
      <c r="B1163" s="60" t="s">
        <v>155</v>
      </c>
      <c r="C1163" s="60" t="s">
        <v>187</v>
      </c>
      <c r="D1163" s="68">
        <v>1</v>
      </c>
      <c r="E1163" s="73">
        <v>664.11344399999996</v>
      </c>
      <c r="F1163" s="79">
        <f>IFERROR(D1163*E1163,0)</f>
        <v>664.11344399999996</v>
      </c>
      <c r="G1163" s="60" t="str">
        <f>INDEX(SETORES!$B:$B,MATCH(A1163,SETORES!$A:$A,0))</f>
        <v>Clientes</v>
      </c>
      <c r="H1163" s="60" t="s">
        <v>21</v>
      </c>
    </row>
    <row r="1164" spans="1:8" ht="14.25" hidden="1" customHeight="1" x14ac:dyDescent="0.3">
      <c r="A1164" s="34" t="s">
        <v>39</v>
      </c>
      <c r="B1164" s="61" t="s">
        <v>155</v>
      </c>
      <c r="C1164" s="61" t="s">
        <v>168</v>
      </c>
      <c r="D1164" s="69">
        <v>12</v>
      </c>
      <c r="E1164" s="74">
        <v>2.0499999999999998</v>
      </c>
      <c r="F1164" s="80">
        <f>IFERROR(D1164*E1164,0)</f>
        <v>24.599999999999998</v>
      </c>
      <c r="G1164" s="61" t="str">
        <f>INDEX(SETORES!$B:$B,MATCH(A1164,SETORES!$A:$A,0))</f>
        <v>Clientes</v>
      </c>
      <c r="H1164" s="61" t="s">
        <v>21</v>
      </c>
    </row>
    <row r="1165" spans="1:8" ht="14.25" hidden="1" customHeight="1" x14ac:dyDescent="0.3">
      <c r="A1165" s="2" t="s">
        <v>39</v>
      </c>
      <c r="B1165" s="60" t="s">
        <v>155</v>
      </c>
      <c r="C1165" s="60" t="s">
        <v>160</v>
      </c>
      <c r="D1165" s="68"/>
      <c r="E1165" s="73"/>
      <c r="F1165" s="79">
        <f>IFERROR(D1165*E1165,0)</f>
        <v>0</v>
      </c>
      <c r="G1165" s="60" t="str">
        <f>INDEX(SETORES!$B:$B,MATCH(A1165,SETORES!$A:$A,0))</f>
        <v>Clientes</v>
      </c>
      <c r="H1165" s="60" t="s">
        <v>21</v>
      </c>
    </row>
    <row r="1166" spans="1:8" ht="14.25" hidden="1" customHeight="1" x14ac:dyDescent="0.3">
      <c r="A1166" s="2" t="s">
        <v>32</v>
      </c>
      <c r="B1166" s="60" t="s">
        <v>155</v>
      </c>
      <c r="C1166" s="60" t="s">
        <v>229</v>
      </c>
      <c r="D1166" s="68"/>
      <c r="E1166" s="73"/>
      <c r="F1166" s="79">
        <f>IFERROR(D1166*E1166,0)</f>
        <v>0</v>
      </c>
      <c r="G1166" s="60" t="str">
        <f>INDEX(SETORES!$B:$B,MATCH(A1166,SETORES!$A:$A,0))</f>
        <v>Funcionários</v>
      </c>
      <c r="H1166" s="60" t="s">
        <v>21</v>
      </c>
    </row>
    <row r="1167" spans="1:8" ht="14.25" hidden="1" customHeight="1" x14ac:dyDescent="0.3">
      <c r="A1167" s="34" t="s">
        <v>32</v>
      </c>
      <c r="B1167" s="61" t="s">
        <v>155</v>
      </c>
      <c r="C1167" s="61" t="s">
        <v>159</v>
      </c>
      <c r="D1167" s="69">
        <v>1</v>
      </c>
      <c r="E1167" s="74">
        <v>0.14549999999999999</v>
      </c>
      <c r="F1167" s="80">
        <v>0.14549999999999999</v>
      </c>
      <c r="G1167" s="61" t="str">
        <f>INDEX(SETORES!$B:$B,MATCH(A1167,SETORES!$A:$A,0))</f>
        <v>Funcionários</v>
      </c>
      <c r="H1167" s="61" t="s">
        <v>21</v>
      </c>
    </row>
    <row r="1168" spans="1:8" ht="14.25" hidden="1" customHeight="1" x14ac:dyDescent="0.3">
      <c r="A1168" s="2" t="s">
        <v>32</v>
      </c>
      <c r="B1168" s="60" t="s">
        <v>155</v>
      </c>
      <c r="C1168" s="60" t="s">
        <v>212</v>
      </c>
      <c r="D1168" s="68">
        <v>3</v>
      </c>
      <c r="E1168" s="73">
        <v>30</v>
      </c>
      <c r="F1168" s="79">
        <f>IFERROR(D1168*E1168,0)</f>
        <v>90</v>
      </c>
      <c r="G1168" s="60" t="str">
        <f>INDEX(SETORES!$B:$B,MATCH(A1168,SETORES!$A:$A,0))</f>
        <v>Funcionários</v>
      </c>
      <c r="H1168" s="60" t="s">
        <v>21</v>
      </c>
    </row>
    <row r="1169" spans="1:8" ht="14.25" hidden="1" customHeight="1" x14ac:dyDescent="0.3">
      <c r="A1169" s="34" t="s">
        <v>32</v>
      </c>
      <c r="B1169" s="61" t="s">
        <v>155</v>
      </c>
      <c r="C1169" s="61" t="s">
        <v>171</v>
      </c>
      <c r="D1169" s="69">
        <v>6</v>
      </c>
      <c r="E1169" s="74">
        <v>43.54</v>
      </c>
      <c r="F1169" s="80">
        <f>IFERROR(D1169*E1169,0)</f>
        <v>261.24</v>
      </c>
      <c r="G1169" s="61" t="str">
        <f>INDEX(SETORES!$B:$B,MATCH(A1169,SETORES!$A:$A,0))</f>
        <v>Funcionários</v>
      </c>
      <c r="H1169" s="61" t="s">
        <v>21</v>
      </c>
    </row>
    <row r="1170" spans="1:8" ht="14.25" hidden="1" customHeight="1" x14ac:dyDescent="0.3">
      <c r="A1170" s="2" t="s">
        <v>32</v>
      </c>
      <c r="B1170" s="60" t="s">
        <v>155</v>
      </c>
      <c r="C1170" s="60" t="s">
        <v>170</v>
      </c>
      <c r="D1170" s="68">
        <v>6</v>
      </c>
      <c r="E1170" s="73">
        <v>29.74</v>
      </c>
      <c r="F1170" s="79">
        <f>IFERROR(D1170*E1170,0)</f>
        <v>178.44</v>
      </c>
      <c r="G1170" s="60" t="str">
        <f>INDEX(SETORES!$B:$B,MATCH(A1170,SETORES!$A:$A,0))</f>
        <v>Funcionários</v>
      </c>
      <c r="H1170" s="60" t="s">
        <v>21</v>
      </c>
    </row>
    <row r="1171" spans="1:8" ht="14.25" customHeight="1" x14ac:dyDescent="0.3">
      <c r="A1171" s="2" t="s">
        <v>32</v>
      </c>
      <c r="B1171" s="60" t="s">
        <v>155</v>
      </c>
      <c r="C1171" s="60" t="s">
        <v>169</v>
      </c>
      <c r="D1171" s="68">
        <v>6</v>
      </c>
      <c r="E1171" s="73">
        <v>47.66</v>
      </c>
      <c r="F1171" s="79">
        <f>IFERROR(D1171*E1171,0)</f>
        <v>285.95999999999998</v>
      </c>
      <c r="G1171" s="60" t="str">
        <f>INDEX(SETORES!$B:$B,MATCH(A1171,SETORES!$A:$A,0))</f>
        <v>Funcionários</v>
      </c>
      <c r="H1171" s="60" t="s">
        <v>21</v>
      </c>
    </row>
    <row r="1172" spans="1:8" ht="14.25" hidden="1" customHeight="1" x14ac:dyDescent="0.3">
      <c r="A1172" s="2" t="s">
        <v>32</v>
      </c>
      <c r="B1172" s="60" t="s">
        <v>155</v>
      </c>
      <c r="C1172" s="60" t="s">
        <v>158</v>
      </c>
      <c r="D1172" s="68">
        <v>1</v>
      </c>
      <c r="E1172" s="73">
        <v>49.637999999999998</v>
      </c>
      <c r="F1172" s="79">
        <v>49.637999999999998</v>
      </c>
      <c r="G1172" s="60" t="str">
        <f>INDEX(SETORES!$B:$B,MATCH(A1172,SETORES!$A:$A,0))</f>
        <v>Funcionários</v>
      </c>
      <c r="H1172" s="60" t="s">
        <v>21</v>
      </c>
    </row>
    <row r="1173" spans="1:8" ht="14.25" hidden="1" customHeight="1" x14ac:dyDescent="0.3">
      <c r="A1173" s="2" t="s">
        <v>32</v>
      </c>
      <c r="B1173" s="60" t="s">
        <v>162</v>
      </c>
      <c r="C1173" s="60" t="s">
        <v>225</v>
      </c>
      <c r="D1173" s="68">
        <v>4</v>
      </c>
      <c r="E1173" s="73">
        <v>45</v>
      </c>
      <c r="F1173" s="79">
        <f>IFERROR(D1173*E1173,0)</f>
        <v>180</v>
      </c>
      <c r="G1173" s="60" t="str">
        <f>INDEX(SETORES!$B:$B,MATCH(A1173,SETORES!$A:$A,0))</f>
        <v>Funcionários</v>
      </c>
      <c r="H1173" s="60" t="s">
        <v>21</v>
      </c>
    </row>
    <row r="1174" spans="1:8" ht="14.25" hidden="1" customHeight="1" x14ac:dyDescent="0.3">
      <c r="A1174" s="34" t="s">
        <v>32</v>
      </c>
      <c r="B1174" s="61" t="s">
        <v>162</v>
      </c>
      <c r="C1174" s="61" t="s">
        <v>226</v>
      </c>
      <c r="D1174" s="69"/>
      <c r="E1174" s="74"/>
      <c r="F1174" s="80">
        <f>IFERROR(D1174*E1174,0)</f>
        <v>0</v>
      </c>
      <c r="G1174" s="61" t="str">
        <f>INDEX(SETORES!$B:$B,MATCH(A1174,SETORES!$A:$A,0))</f>
        <v>Funcionários</v>
      </c>
      <c r="H1174" s="61" t="s">
        <v>21</v>
      </c>
    </row>
    <row r="1175" spans="1:8" ht="14.25" hidden="1" customHeight="1" x14ac:dyDescent="0.3">
      <c r="A1175" s="34" t="s">
        <v>32</v>
      </c>
      <c r="B1175" s="61" t="s">
        <v>155</v>
      </c>
      <c r="C1175" s="61" t="s">
        <v>161</v>
      </c>
      <c r="D1175" s="69">
        <v>1</v>
      </c>
      <c r="E1175" s="74">
        <v>30249.56</v>
      </c>
      <c r="F1175" s="80">
        <f>IFERROR(E1175,0)</f>
        <v>30249.56</v>
      </c>
      <c r="G1175" s="61" t="str">
        <f>INDEX(SETORES!$B:$B,MATCH(A1175,SETORES!$A:$A,0))</f>
        <v>Funcionários</v>
      </c>
      <c r="H1175" s="61" t="s">
        <v>21</v>
      </c>
    </row>
    <row r="1176" spans="1:8" ht="14.25" hidden="1" customHeight="1" x14ac:dyDescent="0.3">
      <c r="A1176" s="2" t="s">
        <v>32</v>
      </c>
      <c r="B1176" s="60" t="s">
        <v>155</v>
      </c>
      <c r="C1176" s="60" t="s">
        <v>167</v>
      </c>
      <c r="D1176" s="68">
        <v>6</v>
      </c>
      <c r="E1176" s="73">
        <v>9.92</v>
      </c>
      <c r="F1176" s="79">
        <f>IFERROR(D1176*E1176,0)</f>
        <v>59.519999999999996</v>
      </c>
      <c r="G1176" s="60" t="str">
        <f>INDEX(SETORES!$B:$B,MATCH(A1176,SETORES!$A:$A,0))</f>
        <v>Funcionários</v>
      </c>
      <c r="H1176" s="60" t="s">
        <v>21</v>
      </c>
    </row>
    <row r="1177" spans="1:8" ht="14.25" hidden="1" customHeight="1" x14ac:dyDescent="0.3">
      <c r="A1177" s="34" t="s">
        <v>32</v>
      </c>
      <c r="B1177" s="61" t="s">
        <v>155</v>
      </c>
      <c r="C1177" s="61" t="s">
        <v>238</v>
      </c>
      <c r="D1177" s="69">
        <v>1</v>
      </c>
      <c r="E1177" s="74">
        <v>5.882352</v>
      </c>
      <c r="F1177" s="80">
        <f>IFERROR(D1177*E1177,0)</f>
        <v>5.882352</v>
      </c>
      <c r="G1177" s="61" t="str">
        <f>INDEX(SETORES!$B:$B,MATCH(A1177,SETORES!$A:$A,0))</f>
        <v>Funcionários</v>
      </c>
      <c r="H1177" s="61" t="s">
        <v>21</v>
      </c>
    </row>
    <row r="1178" spans="1:8" ht="14.25" hidden="1" customHeight="1" x14ac:dyDescent="0.3">
      <c r="A1178" s="2" t="s">
        <v>32</v>
      </c>
      <c r="B1178" s="60" t="s">
        <v>155</v>
      </c>
      <c r="C1178" s="60" t="s">
        <v>166</v>
      </c>
      <c r="D1178" s="68">
        <v>6</v>
      </c>
      <c r="E1178" s="73">
        <v>50</v>
      </c>
      <c r="F1178" s="79">
        <f>IFERROR(D1178*E1178,0)</f>
        <v>300</v>
      </c>
      <c r="G1178" s="60" t="str">
        <f>INDEX(SETORES!$B:$B,MATCH(A1178,SETORES!$A:$A,0))</f>
        <v>Funcionários</v>
      </c>
      <c r="H1178" s="60" t="s">
        <v>21</v>
      </c>
    </row>
    <row r="1179" spans="1:8" ht="14.25" hidden="1" customHeight="1" x14ac:dyDescent="0.3">
      <c r="A1179" s="2" t="s">
        <v>32</v>
      </c>
      <c r="B1179" s="60" t="s">
        <v>155</v>
      </c>
      <c r="C1179" s="60" t="s">
        <v>156</v>
      </c>
      <c r="D1179" s="68"/>
      <c r="E1179" s="73"/>
      <c r="F1179" s="79">
        <v>0</v>
      </c>
      <c r="G1179" s="60" t="str">
        <f>INDEX(SETORES!$B:$B,MATCH(A1179,SETORES!$A:$A,0))</f>
        <v>Funcionários</v>
      </c>
      <c r="H1179" s="60" t="s">
        <v>21</v>
      </c>
    </row>
    <row r="1180" spans="1:8" ht="14.25" hidden="1" customHeight="1" x14ac:dyDescent="0.3">
      <c r="A1180" s="34" t="s">
        <v>32</v>
      </c>
      <c r="B1180" s="61" t="s">
        <v>155</v>
      </c>
      <c r="C1180" s="61" t="s">
        <v>157</v>
      </c>
      <c r="D1180" s="69">
        <v>1</v>
      </c>
      <c r="E1180" s="74">
        <v>59.24</v>
      </c>
      <c r="F1180" s="80">
        <v>59.24</v>
      </c>
      <c r="G1180" s="61" t="str">
        <f>INDEX(SETORES!$B:$B,MATCH(A1180,SETORES!$A:$A,0))</f>
        <v>Funcionários</v>
      </c>
      <c r="H1180" s="61" t="s">
        <v>21</v>
      </c>
    </row>
    <row r="1181" spans="1:8" ht="14.25" hidden="1" customHeight="1" x14ac:dyDescent="0.3">
      <c r="A1181" s="34" t="s">
        <v>32</v>
      </c>
      <c r="B1181" s="61" t="s">
        <v>155</v>
      </c>
      <c r="C1181" s="61" t="s">
        <v>230</v>
      </c>
      <c r="D1181" s="69"/>
      <c r="E1181" s="74"/>
      <c r="F1181" s="80">
        <f>IFERROR(D1181*E1181,0)</f>
        <v>0</v>
      </c>
      <c r="G1181" s="61" t="str">
        <f>INDEX(SETORES!$B:$B,MATCH(A1181,SETORES!$A:$A,0))</f>
        <v>Funcionários</v>
      </c>
      <c r="H1181" s="61" t="s">
        <v>21</v>
      </c>
    </row>
    <row r="1182" spans="1:8" ht="14.25" hidden="1" customHeight="1" x14ac:dyDescent="0.3">
      <c r="A1182" s="34" t="s">
        <v>32</v>
      </c>
      <c r="B1182" s="61" t="s">
        <v>155</v>
      </c>
      <c r="C1182" s="61" t="s">
        <v>174</v>
      </c>
      <c r="D1182" s="69">
        <v>1</v>
      </c>
      <c r="E1182" s="74">
        <v>2000</v>
      </c>
      <c r="F1182" s="80">
        <f>IFERROR(D1182*E1182,0)</f>
        <v>2000</v>
      </c>
      <c r="G1182" s="61" t="str">
        <f>INDEX(SETORES!$B:$B,MATCH(A1182,SETORES!$A:$A,0))</f>
        <v>Funcionários</v>
      </c>
      <c r="H1182" s="61" t="s">
        <v>21</v>
      </c>
    </row>
    <row r="1183" spans="1:8" ht="14.25" hidden="1" customHeight="1" x14ac:dyDescent="0.3">
      <c r="A1183" s="34" t="s">
        <v>32</v>
      </c>
      <c r="B1183" s="61" t="s">
        <v>162</v>
      </c>
      <c r="C1183" s="61" t="s">
        <v>228</v>
      </c>
      <c r="D1183" s="69"/>
      <c r="E1183" s="74"/>
      <c r="F1183" s="80">
        <f>IFERROR(D1183*E1183,0)</f>
        <v>0</v>
      </c>
      <c r="G1183" s="61" t="str">
        <f>INDEX(SETORES!$B:$B,MATCH(A1183,SETORES!$A:$A,0))</f>
        <v>Funcionários</v>
      </c>
      <c r="H1183" s="61" t="s">
        <v>21</v>
      </c>
    </row>
    <row r="1184" spans="1:8" ht="14.25" hidden="1" customHeight="1" x14ac:dyDescent="0.3">
      <c r="A1184" s="34" t="s">
        <v>32</v>
      </c>
      <c r="B1184" s="61" t="s">
        <v>162</v>
      </c>
      <c r="C1184" s="61" t="s">
        <v>222</v>
      </c>
      <c r="D1184" s="69"/>
      <c r="E1184" s="74"/>
      <c r="F1184" s="80">
        <f>IFERROR(D1184*E1184,0)</f>
        <v>0</v>
      </c>
      <c r="G1184" s="61" t="str">
        <f>INDEX(SETORES!$B:$B,MATCH(A1184,SETORES!$A:$A,0))</f>
        <v>Funcionários</v>
      </c>
      <c r="H1184" s="61" t="s">
        <v>21</v>
      </c>
    </row>
    <row r="1185" spans="1:8" ht="14.25" hidden="1" customHeight="1" x14ac:dyDescent="0.3">
      <c r="A1185" s="34" t="s">
        <v>32</v>
      </c>
      <c r="B1185" s="61" t="s">
        <v>155</v>
      </c>
      <c r="C1185" s="61" t="s">
        <v>175</v>
      </c>
      <c r="D1185" s="69">
        <v>1</v>
      </c>
      <c r="E1185" s="74">
        <v>2500</v>
      </c>
      <c r="F1185" s="80">
        <f>IFERROR(D1185*E1185,0)</f>
        <v>2500</v>
      </c>
      <c r="G1185" s="61" t="str">
        <f>INDEX(SETORES!$B:$B,MATCH(A1185,SETORES!$A:$A,0))</f>
        <v>Funcionários</v>
      </c>
      <c r="H1185" s="61" t="s">
        <v>21</v>
      </c>
    </row>
    <row r="1186" spans="1:8" ht="14.25" hidden="1" customHeight="1" x14ac:dyDescent="0.3">
      <c r="A1186" s="2" t="s">
        <v>32</v>
      </c>
      <c r="B1186" s="60" t="s">
        <v>155</v>
      </c>
      <c r="C1186" s="60" t="s">
        <v>176</v>
      </c>
      <c r="D1186" s="68">
        <v>1</v>
      </c>
      <c r="E1186" s="73">
        <v>2612.9</v>
      </c>
      <c r="F1186" s="79">
        <f>IFERROR(D1186*E1186,0)</f>
        <v>2612.9</v>
      </c>
      <c r="G1186" s="60" t="str">
        <f>INDEX(SETORES!$B:$B,MATCH(A1186,SETORES!$A:$A,0))</f>
        <v>Funcionários</v>
      </c>
      <c r="H1186" s="60" t="s">
        <v>21</v>
      </c>
    </row>
    <row r="1187" spans="1:8" ht="14.25" hidden="1" customHeight="1" x14ac:dyDescent="0.3">
      <c r="A1187" s="34" t="s">
        <v>32</v>
      </c>
      <c r="B1187" s="61" t="s">
        <v>155</v>
      </c>
      <c r="C1187" s="61" t="s">
        <v>168</v>
      </c>
      <c r="D1187" s="69">
        <v>6</v>
      </c>
      <c r="E1187" s="74">
        <v>2.0499999999999998</v>
      </c>
      <c r="F1187" s="80">
        <f>IFERROR(D1187*E1187,0)</f>
        <v>12.299999999999999</v>
      </c>
      <c r="G1187" s="61" t="str">
        <f>INDEX(SETORES!$B:$B,MATCH(A1187,SETORES!$A:$A,0))</f>
        <v>Funcionários</v>
      </c>
      <c r="H1187" s="61" t="s">
        <v>21</v>
      </c>
    </row>
    <row r="1188" spans="1:8" ht="14.25" hidden="1" customHeight="1" x14ac:dyDescent="0.3">
      <c r="A1188" s="2" t="s">
        <v>32</v>
      </c>
      <c r="B1188" s="60" t="s">
        <v>155</v>
      </c>
      <c r="C1188" s="60" t="s">
        <v>160</v>
      </c>
      <c r="D1188" s="68"/>
      <c r="E1188" s="73"/>
      <c r="F1188" s="79">
        <f>IFERROR(D1188*E1188,0)</f>
        <v>0</v>
      </c>
      <c r="G1188" s="60" t="str">
        <f>INDEX(SETORES!$B:$B,MATCH(A1188,SETORES!$A:$A,0))</f>
        <v>Funcionários</v>
      </c>
      <c r="H1188" s="60" t="s">
        <v>21</v>
      </c>
    </row>
    <row r="1189" spans="1:8" ht="14.25" hidden="1" customHeight="1" x14ac:dyDescent="0.3">
      <c r="A1189" s="2" t="s">
        <v>32</v>
      </c>
      <c r="B1189" s="60" t="s">
        <v>155</v>
      </c>
      <c r="C1189" s="60" t="s">
        <v>227</v>
      </c>
      <c r="D1189" s="68"/>
      <c r="E1189" s="73"/>
      <c r="F1189" s="79">
        <f>IFERROR(D1189*E1189,0)</f>
        <v>0</v>
      </c>
      <c r="G1189" s="60" t="str">
        <f>INDEX(SETORES!$B:$B,MATCH(A1189,SETORES!$A:$A,0))</f>
        <v>Funcionários</v>
      </c>
      <c r="H1189" s="60" t="s">
        <v>21</v>
      </c>
    </row>
    <row r="1190" spans="1:8" ht="14.25" hidden="1" customHeight="1" x14ac:dyDescent="0.3">
      <c r="A1190" s="34" t="s">
        <v>44</v>
      </c>
      <c r="B1190" s="61" t="s">
        <v>155</v>
      </c>
      <c r="C1190" s="61" t="s">
        <v>159</v>
      </c>
      <c r="D1190" s="69">
        <v>9</v>
      </c>
      <c r="E1190" s="74">
        <v>3.3247</v>
      </c>
      <c r="F1190" s="80">
        <v>29.9223</v>
      </c>
      <c r="G1190" s="61" t="str">
        <f>INDEX(SETORES!$B:$B,MATCH(A1190,SETORES!$A:$A,0))</f>
        <v>Funcionários</v>
      </c>
      <c r="H1190" s="61" t="s">
        <v>21</v>
      </c>
    </row>
    <row r="1191" spans="1:8" ht="14.25" hidden="1" customHeight="1" x14ac:dyDescent="0.3">
      <c r="A1191" s="34" t="s">
        <v>44</v>
      </c>
      <c r="B1191" s="61" t="s">
        <v>155</v>
      </c>
      <c r="C1191" s="61" t="s">
        <v>212</v>
      </c>
      <c r="D1191" s="69">
        <v>4</v>
      </c>
      <c r="E1191" s="74">
        <v>30</v>
      </c>
      <c r="F1191" s="80">
        <v>120</v>
      </c>
      <c r="G1191" s="61" t="str">
        <f>INDEX(SETORES!$B:$B,MATCH(A1191,SETORES!$A:$A,0))</f>
        <v>Funcionários</v>
      </c>
      <c r="H1191" s="61" t="s">
        <v>21</v>
      </c>
    </row>
    <row r="1192" spans="1:8" ht="14.25" hidden="1" customHeight="1" x14ac:dyDescent="0.3">
      <c r="A1192" s="34" t="s">
        <v>44</v>
      </c>
      <c r="B1192" s="61" t="s">
        <v>162</v>
      </c>
      <c r="C1192" s="61" t="s">
        <v>217</v>
      </c>
      <c r="D1192" s="69">
        <v>1</v>
      </c>
      <c r="E1192" s="74">
        <v>2867.75</v>
      </c>
      <c r="F1192" s="80">
        <v>2867.75</v>
      </c>
      <c r="G1192" s="61" t="str">
        <f>INDEX(SETORES!$B:$B,MATCH(A1192,SETORES!$A:$A,0))</f>
        <v>Funcionários</v>
      </c>
      <c r="H1192" s="61" t="s">
        <v>21</v>
      </c>
    </row>
    <row r="1193" spans="1:8" ht="14.25" hidden="1" customHeight="1" x14ac:dyDescent="0.3">
      <c r="A1193" s="34" t="s">
        <v>44</v>
      </c>
      <c r="B1193" s="61" t="s">
        <v>155</v>
      </c>
      <c r="C1193" s="61" t="s">
        <v>171</v>
      </c>
      <c r="D1193" s="69">
        <v>9</v>
      </c>
      <c r="E1193" s="74">
        <v>43.54</v>
      </c>
      <c r="F1193" s="80">
        <f>IFERROR(D1193*E1193,0)</f>
        <v>391.86</v>
      </c>
      <c r="G1193" s="61" t="str">
        <f>INDEX(SETORES!$B:$B,MATCH(A1193,SETORES!$A:$A,0))</f>
        <v>Funcionários</v>
      </c>
      <c r="H1193" s="61" t="s">
        <v>21</v>
      </c>
    </row>
    <row r="1194" spans="1:8" ht="14.25" hidden="1" customHeight="1" x14ac:dyDescent="0.3">
      <c r="A1194" s="2" t="s">
        <v>44</v>
      </c>
      <c r="B1194" s="60" t="s">
        <v>155</v>
      </c>
      <c r="C1194" s="60" t="s">
        <v>170</v>
      </c>
      <c r="D1194" s="68">
        <v>9</v>
      </c>
      <c r="E1194" s="73">
        <v>29.74</v>
      </c>
      <c r="F1194" s="79">
        <f>IFERROR(D1194*E1194,0)</f>
        <v>267.65999999999997</v>
      </c>
      <c r="G1194" s="60" t="str">
        <f>INDEX(SETORES!$B:$B,MATCH(A1194,SETORES!$A:$A,0))</f>
        <v>Funcionários</v>
      </c>
      <c r="H1194" s="60" t="s">
        <v>21</v>
      </c>
    </row>
    <row r="1195" spans="1:8" ht="14.25" customHeight="1" x14ac:dyDescent="0.3">
      <c r="A1195" s="2" t="s">
        <v>44</v>
      </c>
      <c r="B1195" s="60" t="s">
        <v>155</v>
      </c>
      <c r="C1195" s="60" t="s">
        <v>169</v>
      </c>
      <c r="D1195" s="68">
        <v>9</v>
      </c>
      <c r="E1195" s="73">
        <v>47.66</v>
      </c>
      <c r="F1195" s="79">
        <f>IFERROR(D1195*E1195,0)</f>
        <v>428.93999999999994</v>
      </c>
      <c r="G1195" s="60" t="str">
        <f>INDEX(SETORES!$B:$B,MATCH(A1195,SETORES!$A:$A,0))</f>
        <v>Funcionários</v>
      </c>
      <c r="H1195" s="60" t="s">
        <v>21</v>
      </c>
    </row>
    <row r="1196" spans="1:8" ht="14.25" hidden="1" customHeight="1" x14ac:dyDescent="0.3">
      <c r="A1196" s="2" t="s">
        <v>44</v>
      </c>
      <c r="B1196" s="60" t="s">
        <v>155</v>
      </c>
      <c r="C1196" s="60" t="s">
        <v>158</v>
      </c>
      <c r="D1196" s="68">
        <v>9</v>
      </c>
      <c r="E1196" s="73">
        <v>21.258199999999999</v>
      </c>
      <c r="F1196" s="79">
        <v>191.32380000000001</v>
      </c>
      <c r="G1196" s="60" t="str">
        <f>INDEX(SETORES!$B:$B,MATCH(A1196,SETORES!$A:$A,0))</f>
        <v>Funcionários</v>
      </c>
      <c r="H1196" s="60" t="s">
        <v>21</v>
      </c>
    </row>
    <row r="1197" spans="1:8" ht="14.25" hidden="1" customHeight="1" x14ac:dyDescent="0.3">
      <c r="A1197" s="2" t="s">
        <v>44</v>
      </c>
      <c r="B1197" s="60" t="s">
        <v>162</v>
      </c>
      <c r="C1197" s="60" t="s">
        <v>221</v>
      </c>
      <c r="D1197" s="68"/>
      <c r="E1197" s="73"/>
      <c r="F1197" s="79">
        <f>IFERROR(D1197*E1197,0)</f>
        <v>0</v>
      </c>
      <c r="G1197" s="60" t="str">
        <f>INDEX(SETORES!$B:$B,MATCH(A1197,SETORES!$A:$A,0))</f>
        <v>Funcionários</v>
      </c>
      <c r="H1197" s="60" t="s">
        <v>21</v>
      </c>
    </row>
    <row r="1198" spans="1:8" ht="14.25" hidden="1" customHeight="1" x14ac:dyDescent="0.3">
      <c r="A1198" s="34" t="s">
        <v>44</v>
      </c>
      <c r="B1198" s="61" t="s">
        <v>162</v>
      </c>
      <c r="C1198" s="61" t="s">
        <v>165</v>
      </c>
      <c r="D1198" s="69">
        <v>1</v>
      </c>
      <c r="E1198" s="74">
        <v>35</v>
      </c>
      <c r="F1198" s="80">
        <f>IFERROR(D1198*E1198,0)</f>
        <v>35</v>
      </c>
      <c r="G1198" s="61" t="str">
        <f>INDEX(SETORES!$B:$B,MATCH(A1198,SETORES!$A:$A,0))</f>
        <v>Funcionários</v>
      </c>
      <c r="H1198" s="61" t="s">
        <v>21</v>
      </c>
    </row>
    <row r="1199" spans="1:8" ht="14.25" hidden="1" customHeight="1" x14ac:dyDescent="0.3">
      <c r="A1199" s="2" t="s">
        <v>44</v>
      </c>
      <c r="B1199" s="60" t="s">
        <v>162</v>
      </c>
      <c r="C1199" s="60" t="s">
        <v>163</v>
      </c>
      <c r="D1199" s="68">
        <v>4</v>
      </c>
      <c r="E1199" s="73">
        <v>45</v>
      </c>
      <c r="F1199" s="79">
        <f>IFERROR(D1199*E1199,0)</f>
        <v>180</v>
      </c>
      <c r="G1199" s="60" t="str">
        <f>INDEX(SETORES!$B:$B,MATCH(A1199,SETORES!$A:$A,0))</f>
        <v>Funcionários</v>
      </c>
      <c r="H1199" s="60" t="s">
        <v>21</v>
      </c>
    </row>
    <row r="1200" spans="1:8" ht="14.25" hidden="1" customHeight="1" x14ac:dyDescent="0.3">
      <c r="A1200" s="34" t="s">
        <v>44</v>
      </c>
      <c r="B1200" s="61" t="s">
        <v>162</v>
      </c>
      <c r="C1200" s="61" t="s">
        <v>164</v>
      </c>
      <c r="D1200" s="69"/>
      <c r="E1200" s="74"/>
      <c r="F1200" s="80">
        <f>IFERROR(D1200*E1200,0)</f>
        <v>0</v>
      </c>
      <c r="G1200" s="61" t="str">
        <f>INDEX(SETORES!$B:$B,MATCH(A1200,SETORES!$A:$A,0))</f>
        <v>Funcionários</v>
      </c>
      <c r="H1200" s="61" t="s">
        <v>21</v>
      </c>
    </row>
    <row r="1201" spans="1:8" ht="14.25" hidden="1" customHeight="1" x14ac:dyDescent="0.3">
      <c r="A1201" s="34" t="s">
        <v>44</v>
      </c>
      <c r="B1201" s="61" t="s">
        <v>155</v>
      </c>
      <c r="C1201" s="61" t="s">
        <v>161</v>
      </c>
      <c r="D1201" s="69">
        <v>1</v>
      </c>
      <c r="E1201" s="74">
        <v>46380.08</v>
      </c>
      <c r="F1201" s="80">
        <f>IFERROR(E1201,0)</f>
        <v>46380.08</v>
      </c>
      <c r="G1201" s="61" t="str">
        <f>INDEX(SETORES!$B:$B,MATCH(A1201,SETORES!$A:$A,0))</f>
        <v>Funcionários</v>
      </c>
      <c r="H1201" s="61" t="s">
        <v>21</v>
      </c>
    </row>
    <row r="1202" spans="1:8" ht="14.25" hidden="1" customHeight="1" x14ac:dyDescent="0.3">
      <c r="A1202" s="34" t="s">
        <v>44</v>
      </c>
      <c r="B1202" s="61" t="s">
        <v>155</v>
      </c>
      <c r="C1202" s="61" t="s">
        <v>167</v>
      </c>
      <c r="D1202" s="69">
        <v>9</v>
      </c>
      <c r="E1202" s="74">
        <v>9.92</v>
      </c>
      <c r="F1202" s="80">
        <f>IFERROR(D1202*E1202,0)</f>
        <v>89.28</v>
      </c>
      <c r="G1202" s="61" t="str">
        <f>INDEX(SETORES!$B:$B,MATCH(A1202,SETORES!$A:$A,0))</f>
        <v>Funcionários</v>
      </c>
      <c r="H1202" s="61" t="s">
        <v>21</v>
      </c>
    </row>
    <row r="1203" spans="1:8" ht="14.25" hidden="1" customHeight="1" x14ac:dyDescent="0.3">
      <c r="A1203" s="2" t="s">
        <v>44</v>
      </c>
      <c r="B1203" s="60" t="s">
        <v>155</v>
      </c>
      <c r="C1203" s="60" t="s">
        <v>238</v>
      </c>
      <c r="D1203" s="68">
        <v>1</v>
      </c>
      <c r="E1203" s="73">
        <v>570</v>
      </c>
      <c r="F1203" s="79">
        <f>IFERROR(D1203*E1203,0)</f>
        <v>570</v>
      </c>
      <c r="G1203" s="60" t="str">
        <f>INDEX(SETORES!$B:$B,MATCH(A1203,SETORES!$A:$A,0))</f>
        <v>Funcionários</v>
      </c>
      <c r="H1203" s="60" t="s">
        <v>21</v>
      </c>
    </row>
    <row r="1204" spans="1:8" ht="14.25" hidden="1" customHeight="1" x14ac:dyDescent="0.3">
      <c r="A1204" s="2" t="s">
        <v>44</v>
      </c>
      <c r="B1204" s="60" t="s">
        <v>155</v>
      </c>
      <c r="C1204" s="60" t="s">
        <v>166</v>
      </c>
      <c r="D1204" s="68">
        <v>6</v>
      </c>
      <c r="E1204" s="73">
        <v>50</v>
      </c>
      <c r="F1204" s="79">
        <v>300</v>
      </c>
      <c r="G1204" s="60" t="str">
        <f>INDEX(SETORES!$B:$B,MATCH(A1204,SETORES!$A:$A,0))</f>
        <v>Funcionários</v>
      </c>
      <c r="H1204" s="60" t="s">
        <v>21</v>
      </c>
    </row>
    <row r="1205" spans="1:8" ht="14.25" hidden="1" customHeight="1" x14ac:dyDescent="0.3">
      <c r="A1205" s="2" t="s">
        <v>44</v>
      </c>
      <c r="B1205" s="60" t="s">
        <v>155</v>
      </c>
      <c r="C1205" s="60" t="s">
        <v>156</v>
      </c>
      <c r="D1205" s="68"/>
      <c r="E1205" s="73"/>
      <c r="F1205" s="79">
        <v>0</v>
      </c>
      <c r="G1205" s="60" t="str">
        <f>INDEX(SETORES!$B:$B,MATCH(A1205,SETORES!$A:$A,0))</f>
        <v>Funcionários</v>
      </c>
      <c r="H1205" s="60" t="s">
        <v>21</v>
      </c>
    </row>
    <row r="1206" spans="1:8" ht="14.25" hidden="1" customHeight="1" x14ac:dyDescent="0.3">
      <c r="A1206" s="34" t="s">
        <v>44</v>
      </c>
      <c r="B1206" s="61" t="s">
        <v>155</v>
      </c>
      <c r="C1206" s="61" t="s">
        <v>157</v>
      </c>
      <c r="D1206" s="69"/>
      <c r="E1206" s="74"/>
      <c r="F1206" s="80">
        <v>0</v>
      </c>
      <c r="G1206" s="61" t="str">
        <f>INDEX(SETORES!$B:$B,MATCH(A1206,SETORES!$A:$A,0))</f>
        <v>Funcionários</v>
      </c>
      <c r="H1206" s="61" t="s">
        <v>21</v>
      </c>
    </row>
    <row r="1207" spans="1:8" ht="14.25" hidden="1" customHeight="1" x14ac:dyDescent="0.3">
      <c r="A1207" s="34" t="s">
        <v>44</v>
      </c>
      <c r="B1207" s="61" t="s">
        <v>162</v>
      </c>
      <c r="C1207" s="61" t="s">
        <v>232</v>
      </c>
      <c r="D1207" s="69">
        <v>1</v>
      </c>
      <c r="E1207" s="74">
        <v>7689.5</v>
      </c>
      <c r="F1207" s="80">
        <f>IFERROR(D1207*E1207,0)</f>
        <v>7689.5</v>
      </c>
      <c r="G1207" s="61" t="str">
        <f>INDEX(SETORES!$B:$B,MATCH(A1207,SETORES!$A:$A,0))</f>
        <v>Funcionários</v>
      </c>
      <c r="H1207" s="61" t="s">
        <v>21</v>
      </c>
    </row>
    <row r="1208" spans="1:8" ht="14.25" hidden="1" customHeight="1" x14ac:dyDescent="0.3">
      <c r="A1208" s="2" t="s">
        <v>44</v>
      </c>
      <c r="B1208" s="60" t="s">
        <v>162</v>
      </c>
      <c r="C1208" s="60" t="s">
        <v>209</v>
      </c>
      <c r="D1208" s="68">
        <v>9</v>
      </c>
      <c r="E1208" s="73">
        <v>76.92</v>
      </c>
      <c r="F1208" s="79">
        <f>IFERROR(D1208*E1208,0)</f>
        <v>692.28</v>
      </c>
      <c r="G1208" s="60" t="str">
        <f>INDEX(SETORES!$B:$B,MATCH(A1208,SETORES!$A:$A,0))</f>
        <v>Funcionários</v>
      </c>
      <c r="H1208" s="60" t="s">
        <v>21</v>
      </c>
    </row>
    <row r="1209" spans="1:8" ht="14.25" hidden="1" customHeight="1" x14ac:dyDescent="0.3">
      <c r="A1209" s="2" t="s">
        <v>44</v>
      </c>
      <c r="B1209" s="60" t="s">
        <v>162</v>
      </c>
      <c r="C1209" s="60" t="s">
        <v>222</v>
      </c>
      <c r="D1209" s="68">
        <v>1</v>
      </c>
      <c r="E1209" s="73">
        <v>5236.96</v>
      </c>
      <c r="F1209" s="79">
        <f>IFERROR(D1209*E1209,0)</f>
        <v>5236.96</v>
      </c>
      <c r="G1209" s="60" t="str">
        <f>INDEX(SETORES!$B:$B,MATCH(A1209,SETORES!$A:$A,0))</f>
        <v>Funcionários</v>
      </c>
      <c r="H1209" s="60" t="s">
        <v>21</v>
      </c>
    </row>
    <row r="1210" spans="1:8" ht="14.25" hidden="1" customHeight="1" x14ac:dyDescent="0.3">
      <c r="A1210" s="2" t="s">
        <v>44</v>
      </c>
      <c r="B1210" s="60" t="s">
        <v>155</v>
      </c>
      <c r="C1210" s="60" t="s">
        <v>168</v>
      </c>
      <c r="D1210" s="68">
        <v>9</v>
      </c>
      <c r="E1210" s="73">
        <v>2.0499999999999998</v>
      </c>
      <c r="F1210" s="79">
        <f>IFERROR(D1210*E1210,0)</f>
        <v>18.45</v>
      </c>
      <c r="G1210" s="60" t="str">
        <f>INDEX(SETORES!$B:$B,MATCH(A1210,SETORES!$A:$A,0))</f>
        <v>Funcionários</v>
      </c>
      <c r="H1210" s="60" t="s">
        <v>21</v>
      </c>
    </row>
    <row r="1211" spans="1:8" ht="14.25" hidden="1" customHeight="1" x14ac:dyDescent="0.3">
      <c r="A1211" s="2" t="s">
        <v>44</v>
      </c>
      <c r="B1211" s="60" t="s">
        <v>155</v>
      </c>
      <c r="C1211" s="60" t="s">
        <v>160</v>
      </c>
      <c r="D1211" s="68"/>
      <c r="E1211" s="73"/>
      <c r="F1211" s="79">
        <f>IFERROR(D1211*E1211,0)</f>
        <v>0</v>
      </c>
      <c r="G1211" s="60" t="str">
        <f>INDEX(SETORES!$B:$B,MATCH(A1211,SETORES!$A:$A,0))</f>
        <v>Funcionários</v>
      </c>
      <c r="H1211" s="60" t="s">
        <v>21</v>
      </c>
    </row>
    <row r="1212" spans="1:8" ht="14.25" hidden="1" customHeight="1" x14ac:dyDescent="0.3">
      <c r="A1212" s="2" t="s">
        <v>139</v>
      </c>
      <c r="B1212" s="60" t="s">
        <v>155</v>
      </c>
      <c r="C1212" s="60" t="s">
        <v>250</v>
      </c>
      <c r="D1212" s="68">
        <v>1</v>
      </c>
      <c r="E1212" s="73">
        <v>1063.02</v>
      </c>
      <c r="F1212" s="79">
        <f>IFERROR(D1212*E1212,0)</f>
        <v>1063.02</v>
      </c>
      <c r="G1212" s="60" t="str">
        <f>INDEX(SETORES!$B:$B,MATCH(A1212,SETORES!$A:$A,0))</f>
        <v>Funcionários</v>
      </c>
      <c r="H1212" s="60" t="s">
        <v>21</v>
      </c>
    </row>
    <row r="1213" spans="1:8" ht="14.25" hidden="1" customHeight="1" x14ac:dyDescent="0.3">
      <c r="A1213" s="34" t="s">
        <v>139</v>
      </c>
      <c r="B1213" s="61" t="s">
        <v>155</v>
      </c>
      <c r="C1213" s="61" t="s">
        <v>171</v>
      </c>
      <c r="D1213" s="69">
        <v>6</v>
      </c>
      <c r="E1213" s="74">
        <v>43.54</v>
      </c>
      <c r="F1213" s="80">
        <f>IFERROR(D1213*E1213,0)</f>
        <v>261.24</v>
      </c>
      <c r="G1213" s="61" t="str">
        <f>INDEX(SETORES!$B:$B,MATCH(A1213,SETORES!$A:$A,0))</f>
        <v>Funcionários</v>
      </c>
      <c r="H1213" s="61" t="s">
        <v>21</v>
      </c>
    </row>
    <row r="1214" spans="1:8" ht="14.25" hidden="1" customHeight="1" x14ac:dyDescent="0.3">
      <c r="A1214" s="34" t="s">
        <v>139</v>
      </c>
      <c r="B1214" s="61" t="s">
        <v>155</v>
      </c>
      <c r="C1214" s="61" t="s">
        <v>170</v>
      </c>
      <c r="D1214" s="69">
        <v>6</v>
      </c>
      <c r="E1214" s="74">
        <v>29.74</v>
      </c>
      <c r="F1214" s="80">
        <f>IFERROR(D1214*E1214,0)</f>
        <v>178.44</v>
      </c>
      <c r="G1214" s="61" t="str">
        <f>INDEX(SETORES!$B:$B,MATCH(A1214,SETORES!$A:$A,0))</f>
        <v>Funcionários</v>
      </c>
      <c r="H1214" s="61" t="s">
        <v>21</v>
      </c>
    </row>
    <row r="1215" spans="1:8" ht="14.25" customHeight="1" x14ac:dyDescent="0.3">
      <c r="A1215" s="34" t="s">
        <v>139</v>
      </c>
      <c r="B1215" s="61" t="s">
        <v>155</v>
      </c>
      <c r="C1215" s="61" t="s">
        <v>169</v>
      </c>
      <c r="D1215" s="69">
        <v>6</v>
      </c>
      <c r="E1215" s="74">
        <v>47.66</v>
      </c>
      <c r="F1215" s="80">
        <f>IFERROR(D1215*E1215,0)</f>
        <v>285.95999999999998</v>
      </c>
      <c r="G1215" s="61" t="str">
        <f>INDEX(SETORES!$B:$B,MATCH(A1215,SETORES!$A:$A,0))</f>
        <v>Funcionários</v>
      </c>
      <c r="H1215" s="61" t="s">
        <v>21</v>
      </c>
    </row>
    <row r="1216" spans="1:8" ht="14.25" hidden="1" customHeight="1" x14ac:dyDescent="0.3">
      <c r="A1216" s="34" t="s">
        <v>139</v>
      </c>
      <c r="B1216" s="61" t="s">
        <v>162</v>
      </c>
      <c r="C1216" s="61" t="s">
        <v>164</v>
      </c>
      <c r="D1216" s="69">
        <v>4</v>
      </c>
      <c r="E1216" s="74">
        <v>121.25</v>
      </c>
      <c r="F1216" s="80">
        <f>IFERROR(D1216*E1216,0)</f>
        <v>485</v>
      </c>
      <c r="G1216" s="61" t="str">
        <f>INDEX(SETORES!$B:$B,MATCH(A1216,SETORES!$A:$A,0))</f>
        <v>Funcionários</v>
      </c>
      <c r="H1216" s="61" t="s">
        <v>21</v>
      </c>
    </row>
    <row r="1217" spans="1:8" ht="14.25" hidden="1" customHeight="1" x14ac:dyDescent="0.3">
      <c r="A1217" s="34" t="s">
        <v>139</v>
      </c>
      <c r="B1217" s="61" t="s">
        <v>155</v>
      </c>
      <c r="C1217" s="61" t="s">
        <v>161</v>
      </c>
      <c r="D1217" s="69">
        <v>1</v>
      </c>
      <c r="E1217" s="74">
        <v>22919.89</v>
      </c>
      <c r="F1217" s="80">
        <v>22919.89</v>
      </c>
      <c r="G1217" s="61" t="str">
        <f>INDEX(SETORES!$B:$B,MATCH(A1217,SETORES!$A:$A,0))</f>
        <v>Funcionários</v>
      </c>
      <c r="H1217" s="61" t="s">
        <v>21</v>
      </c>
    </row>
    <row r="1218" spans="1:8" ht="14.25" hidden="1" customHeight="1" x14ac:dyDescent="0.3">
      <c r="A1218" s="2" t="s">
        <v>139</v>
      </c>
      <c r="B1218" s="60" t="s">
        <v>155</v>
      </c>
      <c r="C1218" s="60" t="s">
        <v>167</v>
      </c>
      <c r="D1218" s="68">
        <v>6</v>
      </c>
      <c r="E1218" s="73">
        <v>9.92</v>
      </c>
      <c r="F1218" s="79">
        <f>IFERROR(D1218*E1218,0)</f>
        <v>59.519999999999996</v>
      </c>
      <c r="G1218" s="60" t="str">
        <f>INDEX(SETORES!$B:$B,MATCH(A1218,SETORES!$A:$A,0))</f>
        <v>Funcionários</v>
      </c>
      <c r="H1218" s="60" t="s">
        <v>21</v>
      </c>
    </row>
    <row r="1219" spans="1:8" ht="14.25" hidden="1" customHeight="1" x14ac:dyDescent="0.3">
      <c r="A1219" s="34" t="s">
        <v>139</v>
      </c>
      <c r="B1219" s="61" t="s">
        <v>155</v>
      </c>
      <c r="C1219" s="61" t="s">
        <v>168</v>
      </c>
      <c r="D1219" s="69">
        <v>6</v>
      </c>
      <c r="E1219" s="74">
        <v>2.0499999999999998</v>
      </c>
      <c r="F1219" s="80">
        <f>IFERROR(D1219*E1219,0)</f>
        <v>12.299999999999999</v>
      </c>
      <c r="G1219" s="61" t="str">
        <f>INDEX(SETORES!$B:$B,MATCH(A1219,SETORES!$A:$A,0))</f>
        <v>Funcionários</v>
      </c>
      <c r="H1219" s="61" t="s">
        <v>21</v>
      </c>
    </row>
    <row r="1220" spans="1:8" ht="14.25" hidden="1" customHeight="1" x14ac:dyDescent="0.3">
      <c r="A1220" s="34" t="s">
        <v>53</v>
      </c>
      <c r="B1220" s="61" t="s">
        <v>155</v>
      </c>
      <c r="C1220" s="61" t="s">
        <v>159</v>
      </c>
      <c r="D1220" s="69">
        <v>1</v>
      </c>
      <c r="E1220" s="74">
        <v>0.80020000000000002</v>
      </c>
      <c r="F1220" s="80">
        <v>0.80020000000000002</v>
      </c>
      <c r="G1220" s="61" t="str">
        <f>INDEX(SETORES!$B:$B,MATCH(A1220,SETORES!$A:$A,0))</f>
        <v>Clientes</v>
      </c>
      <c r="H1220" s="61" t="s">
        <v>21</v>
      </c>
    </row>
    <row r="1221" spans="1:8" ht="14.25" hidden="1" customHeight="1" x14ac:dyDescent="0.3">
      <c r="A1221" s="34" t="s">
        <v>53</v>
      </c>
      <c r="B1221" s="61" t="s">
        <v>155</v>
      </c>
      <c r="C1221" s="61" t="s">
        <v>249</v>
      </c>
      <c r="D1221" s="69">
        <v>1</v>
      </c>
      <c r="E1221" s="74">
        <v>2462.62</v>
      </c>
      <c r="F1221" s="80">
        <f>IFERROR(D1221*E1221,0)</f>
        <v>2462.62</v>
      </c>
      <c r="G1221" s="61" t="str">
        <f>INDEX(SETORES!$B:$B,MATCH(A1221,SETORES!$A:$A,0))</f>
        <v>Clientes</v>
      </c>
      <c r="H1221" s="61" t="s">
        <v>21</v>
      </c>
    </row>
    <row r="1222" spans="1:8" ht="14.25" hidden="1" customHeight="1" x14ac:dyDescent="0.3">
      <c r="A1222" s="34" t="s">
        <v>53</v>
      </c>
      <c r="B1222" s="61" t="s">
        <v>155</v>
      </c>
      <c r="C1222" s="61" t="s">
        <v>171</v>
      </c>
      <c r="D1222" s="69">
        <v>33</v>
      </c>
      <c r="E1222" s="74">
        <v>43.54</v>
      </c>
      <c r="F1222" s="80">
        <f>IFERROR(D1222*E1222,0)</f>
        <v>1436.82</v>
      </c>
      <c r="G1222" s="61" t="s">
        <v>98</v>
      </c>
      <c r="H1222" s="61" t="s">
        <v>21</v>
      </c>
    </row>
    <row r="1223" spans="1:8" ht="14.25" hidden="1" customHeight="1" x14ac:dyDescent="0.3">
      <c r="A1223" s="2" t="s">
        <v>53</v>
      </c>
      <c r="B1223" s="60" t="s">
        <v>155</v>
      </c>
      <c r="C1223" s="60" t="s">
        <v>170</v>
      </c>
      <c r="D1223" s="68">
        <v>33</v>
      </c>
      <c r="E1223" s="73">
        <v>29.74</v>
      </c>
      <c r="F1223" s="79">
        <f>IFERROR(D1223*E1223,0)</f>
        <v>981.42</v>
      </c>
      <c r="G1223" s="60" t="s">
        <v>98</v>
      </c>
      <c r="H1223" s="60" t="s">
        <v>21</v>
      </c>
    </row>
    <row r="1224" spans="1:8" ht="14.25" customHeight="1" x14ac:dyDescent="0.3">
      <c r="A1224" s="2" t="s">
        <v>53</v>
      </c>
      <c r="B1224" s="60" t="s">
        <v>155</v>
      </c>
      <c r="C1224" s="60" t="s">
        <v>169</v>
      </c>
      <c r="D1224" s="68">
        <v>33</v>
      </c>
      <c r="E1224" s="73">
        <v>47.66</v>
      </c>
      <c r="F1224" s="79">
        <f>IFERROR(D1224*E1224,0)</f>
        <v>1572.78</v>
      </c>
      <c r="G1224" s="60" t="s">
        <v>98</v>
      </c>
      <c r="H1224" s="60" t="s">
        <v>21</v>
      </c>
    </row>
    <row r="1225" spans="1:8" ht="14.25" hidden="1" customHeight="1" x14ac:dyDescent="0.3">
      <c r="A1225" s="2" t="s">
        <v>53</v>
      </c>
      <c r="B1225" s="60" t="s">
        <v>155</v>
      </c>
      <c r="C1225" s="60" t="s">
        <v>158</v>
      </c>
      <c r="D1225" s="68">
        <v>1</v>
      </c>
      <c r="E1225" s="73">
        <v>273.00900000000001</v>
      </c>
      <c r="F1225" s="79">
        <v>273.00900000000001</v>
      </c>
      <c r="G1225" s="60" t="str">
        <f>INDEX(SETORES!$B:$B,MATCH(A1225,SETORES!$A:$A,0))</f>
        <v>Clientes</v>
      </c>
      <c r="H1225" s="60" t="s">
        <v>21</v>
      </c>
    </row>
    <row r="1226" spans="1:8" ht="14.25" hidden="1" customHeight="1" x14ac:dyDescent="0.3">
      <c r="A1226" s="34" t="s">
        <v>53</v>
      </c>
      <c r="B1226" s="61" t="s">
        <v>162</v>
      </c>
      <c r="C1226" s="61" t="s">
        <v>165</v>
      </c>
      <c r="D1226" s="69">
        <v>1</v>
      </c>
      <c r="E1226" s="74">
        <v>10752.6</v>
      </c>
      <c r="F1226" s="80">
        <f>IFERROR(D1226*E1226,0)</f>
        <v>10752.6</v>
      </c>
      <c r="G1226" s="61" t="str">
        <f>INDEX(SETORES!$B:$B,MATCH(A1226,SETORES!$A:$A,0))</f>
        <v>Clientes</v>
      </c>
      <c r="H1226" s="61" t="s">
        <v>21</v>
      </c>
    </row>
    <row r="1227" spans="1:8" ht="14.25" hidden="1" customHeight="1" x14ac:dyDescent="0.3">
      <c r="A1227" s="2" t="s">
        <v>53</v>
      </c>
      <c r="B1227" s="60" t="s">
        <v>162</v>
      </c>
      <c r="C1227" s="60" t="s">
        <v>163</v>
      </c>
      <c r="D1227" s="68">
        <v>2</v>
      </c>
      <c r="E1227" s="73">
        <v>45</v>
      </c>
      <c r="F1227" s="79">
        <f>IFERROR(D1227*E1227,0)</f>
        <v>90</v>
      </c>
      <c r="G1227" s="60" t="str">
        <f>INDEX(SETORES!$B:$B,MATCH(A1227,SETORES!$A:$A,0))</f>
        <v>Clientes</v>
      </c>
      <c r="H1227" s="60" t="s">
        <v>21</v>
      </c>
    </row>
    <row r="1228" spans="1:8" ht="14.25" hidden="1" customHeight="1" x14ac:dyDescent="0.3">
      <c r="A1228" s="34" t="s">
        <v>53</v>
      </c>
      <c r="B1228" s="61" t="s">
        <v>155</v>
      </c>
      <c r="C1228" s="61" t="s">
        <v>161</v>
      </c>
      <c r="D1228" s="69">
        <v>1</v>
      </c>
      <c r="E1228" s="74">
        <v>101811.52</v>
      </c>
      <c r="F1228" s="80">
        <f>IFERROR(E1228,0)</f>
        <v>101811.52</v>
      </c>
      <c r="G1228" s="61" t="str">
        <f>INDEX(SETORES!$B:$B,MATCH(A1228,SETORES!$A:$A,0))</f>
        <v>Clientes</v>
      </c>
      <c r="H1228" s="61" t="s">
        <v>21</v>
      </c>
    </row>
    <row r="1229" spans="1:8" ht="14.25" hidden="1" customHeight="1" x14ac:dyDescent="0.3">
      <c r="A1229" s="34" t="s">
        <v>53</v>
      </c>
      <c r="B1229" s="61" t="s">
        <v>155</v>
      </c>
      <c r="C1229" s="61" t="s">
        <v>167</v>
      </c>
      <c r="D1229" s="69">
        <v>33</v>
      </c>
      <c r="E1229" s="74">
        <v>9.92</v>
      </c>
      <c r="F1229" s="80">
        <f>IFERROR(D1229*E1229,0)</f>
        <v>327.36</v>
      </c>
      <c r="G1229" s="61" t="str">
        <f>INDEX(SETORES!$B:$B,MATCH(A1229,SETORES!$A:$A,0))</f>
        <v>Clientes</v>
      </c>
      <c r="H1229" s="61" t="s">
        <v>21</v>
      </c>
    </row>
    <row r="1230" spans="1:8" ht="14.25" hidden="1" customHeight="1" x14ac:dyDescent="0.3">
      <c r="A1230" s="2" t="s">
        <v>53</v>
      </c>
      <c r="B1230" s="60" t="s">
        <v>155</v>
      </c>
      <c r="C1230" s="60" t="s">
        <v>240</v>
      </c>
      <c r="D1230" s="68">
        <v>1</v>
      </c>
      <c r="E1230" s="73">
        <v>6.924588</v>
      </c>
      <c r="F1230" s="79">
        <f>IFERROR(D1230*E1230,0)</f>
        <v>6.924588</v>
      </c>
      <c r="G1230" s="60" t="str">
        <f>INDEX(SETORES!$B:$B,MATCH(A1230,SETORES!$A:$A,0))</f>
        <v>Clientes</v>
      </c>
      <c r="H1230" s="60" t="s">
        <v>21</v>
      </c>
    </row>
    <row r="1231" spans="1:8" ht="14.25" hidden="1" customHeight="1" x14ac:dyDescent="0.3">
      <c r="A1231" s="2" t="s">
        <v>53</v>
      </c>
      <c r="B1231" s="60" t="s">
        <v>155</v>
      </c>
      <c r="C1231" s="60" t="s">
        <v>166</v>
      </c>
      <c r="D1231" s="68">
        <v>33</v>
      </c>
      <c r="E1231" s="73">
        <v>50</v>
      </c>
      <c r="F1231" s="79">
        <f>IFERROR(D1231*E1231,0)</f>
        <v>1650</v>
      </c>
      <c r="G1231" s="60" t="str">
        <f>INDEX(SETORES!$B:$B,MATCH(A1231,SETORES!$A:$A,0))</f>
        <v>Clientes</v>
      </c>
      <c r="H1231" s="60" t="s">
        <v>21</v>
      </c>
    </row>
    <row r="1232" spans="1:8" ht="14.25" hidden="1" customHeight="1" x14ac:dyDescent="0.3">
      <c r="A1232" s="2" t="s">
        <v>53</v>
      </c>
      <c r="B1232" s="60" t="s">
        <v>155</v>
      </c>
      <c r="C1232" s="60" t="s">
        <v>156</v>
      </c>
      <c r="D1232" s="68">
        <v>33</v>
      </c>
      <c r="E1232" s="73">
        <v>0.98509999999999998</v>
      </c>
      <c r="F1232" s="79">
        <v>32.508299999999998</v>
      </c>
      <c r="G1232" s="60" t="str">
        <f>INDEX(SETORES!$B:$B,MATCH(A1232,SETORES!$A:$A,0))</f>
        <v>Clientes</v>
      </c>
      <c r="H1232" s="60" t="s">
        <v>21</v>
      </c>
    </row>
    <row r="1233" spans="1:8" ht="14.25" hidden="1" customHeight="1" x14ac:dyDescent="0.3">
      <c r="A1233" s="34" t="s">
        <v>53</v>
      </c>
      <c r="B1233" s="61" t="s">
        <v>155</v>
      </c>
      <c r="C1233" s="61" t="s">
        <v>157</v>
      </c>
      <c r="D1233" s="69">
        <v>1</v>
      </c>
      <c r="E1233" s="74">
        <v>988.052459</v>
      </c>
      <c r="F1233" s="80">
        <v>988.052459</v>
      </c>
      <c r="G1233" s="61" t="str">
        <f>INDEX(SETORES!$B:$B,MATCH(A1233,SETORES!$A:$A,0))</f>
        <v>Clientes</v>
      </c>
      <c r="H1233" s="61" t="s">
        <v>21</v>
      </c>
    </row>
    <row r="1234" spans="1:8" ht="14.25" hidden="1" customHeight="1" x14ac:dyDescent="0.3">
      <c r="A1234" s="2" t="s">
        <v>53</v>
      </c>
      <c r="B1234" s="60" t="s">
        <v>162</v>
      </c>
      <c r="C1234" s="60" t="s">
        <v>222</v>
      </c>
      <c r="D1234" s="68">
        <v>1</v>
      </c>
      <c r="E1234" s="73">
        <v>89098.12</v>
      </c>
      <c r="F1234" s="79">
        <f>IFERROR(D1234*E1234,0)</f>
        <v>89098.12</v>
      </c>
      <c r="G1234" s="60" t="str">
        <f>INDEX(SETORES!$B:$B,MATCH(A1234,SETORES!$A:$A,0))</f>
        <v>Clientes</v>
      </c>
      <c r="H1234" s="60" t="s">
        <v>21</v>
      </c>
    </row>
    <row r="1235" spans="1:8" ht="14.25" hidden="1" customHeight="1" x14ac:dyDescent="0.3">
      <c r="A1235" s="34" t="s">
        <v>53</v>
      </c>
      <c r="B1235" s="61" t="s">
        <v>155</v>
      </c>
      <c r="C1235" s="61" t="s">
        <v>187</v>
      </c>
      <c r="D1235" s="69">
        <v>1</v>
      </c>
      <c r="E1235" s="74">
        <v>1826.3119710000001</v>
      </c>
      <c r="F1235" s="80">
        <f>IFERROR(D1235*E1235,0)</f>
        <v>1826.3119710000001</v>
      </c>
      <c r="G1235" s="61" t="str">
        <f>INDEX(SETORES!$B:$B,MATCH(A1235,SETORES!$A:$A,0))</f>
        <v>Clientes</v>
      </c>
      <c r="H1235" s="61" t="s">
        <v>21</v>
      </c>
    </row>
    <row r="1236" spans="1:8" ht="14.25" hidden="1" customHeight="1" x14ac:dyDescent="0.3">
      <c r="A1236" s="2" t="s">
        <v>53</v>
      </c>
      <c r="B1236" s="60" t="s">
        <v>155</v>
      </c>
      <c r="C1236" s="60" t="s">
        <v>168</v>
      </c>
      <c r="D1236" s="68">
        <v>33</v>
      </c>
      <c r="E1236" s="73">
        <v>2.0499999999999998</v>
      </c>
      <c r="F1236" s="79">
        <f>IFERROR(D1236*E1236,0)</f>
        <v>67.649999999999991</v>
      </c>
      <c r="G1236" s="60" t="str">
        <f>INDEX(SETORES!$B:$B,MATCH(A1236,SETORES!$A:$A,0))</f>
        <v>Clientes</v>
      </c>
      <c r="H1236" s="60" t="s">
        <v>21</v>
      </c>
    </row>
    <row r="1237" spans="1:8" ht="14.25" hidden="1" customHeight="1" x14ac:dyDescent="0.3">
      <c r="A1237" s="2" t="s">
        <v>53</v>
      </c>
      <c r="B1237" s="60" t="s">
        <v>155</v>
      </c>
      <c r="C1237" s="60" t="s">
        <v>160</v>
      </c>
      <c r="D1237" s="68"/>
      <c r="E1237" s="73"/>
      <c r="F1237" s="79">
        <f>IFERROR(D1237*E1237,0)</f>
        <v>0</v>
      </c>
      <c r="G1237" s="60" t="str">
        <f>INDEX(SETORES!$B:$B,MATCH(A1237,SETORES!$A:$A,0))</f>
        <v>Clientes</v>
      </c>
      <c r="H1237" s="60" t="s">
        <v>21</v>
      </c>
    </row>
    <row r="1238" spans="1:8" ht="14.25" hidden="1" customHeight="1" x14ac:dyDescent="0.3">
      <c r="A1238" s="2" t="s">
        <v>52</v>
      </c>
      <c r="B1238" s="60" t="s">
        <v>155</v>
      </c>
      <c r="C1238" s="60" t="s">
        <v>159</v>
      </c>
      <c r="D1238" s="68">
        <v>1</v>
      </c>
      <c r="E1238" s="73">
        <v>0.19400000000000001</v>
      </c>
      <c r="F1238" s="79">
        <v>0.19400000000000001</v>
      </c>
      <c r="G1238" s="60" t="str">
        <f>INDEX(SETORES!$B:$B,MATCH(A1238,SETORES!$A:$A,0))</f>
        <v>Clientes</v>
      </c>
      <c r="H1238" s="60" t="s">
        <v>21</v>
      </c>
    </row>
    <row r="1239" spans="1:8" ht="14.25" hidden="1" customHeight="1" x14ac:dyDescent="0.3">
      <c r="A1239" s="2" t="s">
        <v>52</v>
      </c>
      <c r="B1239" s="60" t="s">
        <v>155</v>
      </c>
      <c r="C1239" s="60" t="s">
        <v>249</v>
      </c>
      <c r="D1239" s="68">
        <v>1</v>
      </c>
      <c r="E1239" s="73">
        <v>597</v>
      </c>
      <c r="F1239" s="79">
        <f>IFERROR(D1239*E1239,0)</f>
        <v>597</v>
      </c>
      <c r="G1239" s="60" t="str">
        <f>INDEX(SETORES!$B:$B,MATCH(A1239,SETORES!$A:$A,0))</f>
        <v>Clientes</v>
      </c>
      <c r="H1239" s="60" t="s">
        <v>21</v>
      </c>
    </row>
    <row r="1240" spans="1:8" ht="14.25" hidden="1" customHeight="1" x14ac:dyDescent="0.3">
      <c r="A1240" s="2" t="s">
        <v>52</v>
      </c>
      <c r="B1240" s="60" t="s">
        <v>155</v>
      </c>
      <c r="C1240" s="60" t="s">
        <v>171</v>
      </c>
      <c r="D1240" s="68">
        <v>8</v>
      </c>
      <c r="E1240" s="73">
        <v>43.54</v>
      </c>
      <c r="F1240" s="79">
        <f>IFERROR(D1240*E1240,0)</f>
        <v>348.32</v>
      </c>
      <c r="G1240" s="60" t="s">
        <v>98</v>
      </c>
      <c r="H1240" s="60" t="s">
        <v>21</v>
      </c>
    </row>
    <row r="1241" spans="1:8" ht="14.25" hidden="1" customHeight="1" x14ac:dyDescent="0.3">
      <c r="A1241" s="34" t="s">
        <v>52</v>
      </c>
      <c r="B1241" s="61" t="s">
        <v>155</v>
      </c>
      <c r="C1241" s="61" t="s">
        <v>170</v>
      </c>
      <c r="D1241" s="69">
        <v>8</v>
      </c>
      <c r="E1241" s="74">
        <v>29.74</v>
      </c>
      <c r="F1241" s="80">
        <f>IFERROR(D1241*E1241,0)</f>
        <v>237.92</v>
      </c>
      <c r="G1241" s="60" t="s">
        <v>98</v>
      </c>
      <c r="H1241" s="61" t="s">
        <v>21</v>
      </c>
    </row>
    <row r="1242" spans="1:8" ht="14.25" customHeight="1" x14ac:dyDescent="0.3">
      <c r="A1242" s="34" t="s">
        <v>52</v>
      </c>
      <c r="B1242" s="61" t="s">
        <v>155</v>
      </c>
      <c r="C1242" s="61" t="s">
        <v>169</v>
      </c>
      <c r="D1242" s="69">
        <v>8</v>
      </c>
      <c r="E1242" s="74">
        <v>47.66</v>
      </c>
      <c r="F1242" s="80">
        <f>IFERROR(D1242*E1242,0)</f>
        <v>381.28</v>
      </c>
      <c r="G1242" s="61" t="s">
        <v>98</v>
      </c>
      <c r="H1242" s="61" t="s">
        <v>21</v>
      </c>
    </row>
    <row r="1243" spans="1:8" ht="14.25" hidden="1" customHeight="1" x14ac:dyDescent="0.3">
      <c r="A1243" s="34" t="s">
        <v>52</v>
      </c>
      <c r="B1243" s="61" t="s">
        <v>155</v>
      </c>
      <c r="C1243" s="61" t="s">
        <v>158</v>
      </c>
      <c r="D1243" s="69">
        <v>1</v>
      </c>
      <c r="E1243" s="74">
        <v>66.183999999999997</v>
      </c>
      <c r="F1243" s="80">
        <v>66.183999999999997</v>
      </c>
      <c r="G1243" s="61" t="str">
        <f>INDEX(SETORES!$B:$B,MATCH(A1243,SETORES!$A:$A,0))</f>
        <v>Clientes</v>
      </c>
      <c r="H1243" s="61" t="s">
        <v>21</v>
      </c>
    </row>
    <row r="1244" spans="1:8" ht="14.25" hidden="1" customHeight="1" x14ac:dyDescent="0.3">
      <c r="A1244" s="34" t="s">
        <v>52</v>
      </c>
      <c r="B1244" s="61" t="s">
        <v>162</v>
      </c>
      <c r="C1244" s="61" t="s">
        <v>164</v>
      </c>
      <c r="D1244" s="69">
        <v>1</v>
      </c>
      <c r="E1244" s="74">
        <v>68</v>
      </c>
      <c r="F1244" s="80">
        <f>IFERROR(D1244*E1244,0)</f>
        <v>68</v>
      </c>
      <c r="G1244" s="61" t="str">
        <f>INDEX(SETORES!$B:$B,MATCH(A1244,SETORES!$A:$A,0))</f>
        <v>Clientes</v>
      </c>
      <c r="H1244" s="61" t="s">
        <v>21</v>
      </c>
    </row>
    <row r="1245" spans="1:8" ht="14.25" hidden="1" customHeight="1" x14ac:dyDescent="0.3">
      <c r="A1245" s="2" t="s">
        <v>52</v>
      </c>
      <c r="B1245" s="60" t="s">
        <v>155</v>
      </c>
      <c r="C1245" s="60" t="s">
        <v>161</v>
      </c>
      <c r="D1245" s="68">
        <v>1</v>
      </c>
      <c r="E1245" s="73">
        <v>26304.95</v>
      </c>
      <c r="F1245" s="79">
        <f>IFERROR(E1245,0)</f>
        <v>26304.95</v>
      </c>
      <c r="G1245" s="60" t="str">
        <f>INDEX(SETORES!$B:$B,MATCH(A1245,SETORES!$A:$A,0))</f>
        <v>Clientes</v>
      </c>
      <c r="H1245" s="60" t="s">
        <v>21</v>
      </c>
    </row>
    <row r="1246" spans="1:8" ht="14.25" hidden="1" customHeight="1" x14ac:dyDescent="0.3">
      <c r="A1246" s="2" t="s">
        <v>52</v>
      </c>
      <c r="B1246" s="60" t="s">
        <v>155</v>
      </c>
      <c r="C1246" s="60" t="s">
        <v>167</v>
      </c>
      <c r="D1246" s="68">
        <v>8</v>
      </c>
      <c r="E1246" s="73">
        <v>9.92</v>
      </c>
      <c r="F1246" s="79">
        <f>IFERROR(D1246*E1246,0)</f>
        <v>79.36</v>
      </c>
      <c r="G1246" s="60" t="str">
        <f>INDEX(SETORES!$B:$B,MATCH(A1246,SETORES!$A:$A,0))</f>
        <v>Clientes</v>
      </c>
      <c r="H1246" s="60" t="s">
        <v>21</v>
      </c>
    </row>
    <row r="1247" spans="1:8" ht="14.25" hidden="1" customHeight="1" x14ac:dyDescent="0.3">
      <c r="A1247" s="34" t="s">
        <v>52</v>
      </c>
      <c r="B1247" s="61" t="s">
        <v>155</v>
      </c>
      <c r="C1247" s="61" t="s">
        <v>240</v>
      </c>
      <c r="D1247" s="69">
        <v>1</v>
      </c>
      <c r="E1247" s="74">
        <v>1.678688</v>
      </c>
      <c r="F1247" s="80">
        <f>IFERROR(D1247*E1247,0)</f>
        <v>1.678688</v>
      </c>
      <c r="G1247" s="61" t="str">
        <f>INDEX(SETORES!$B:$B,MATCH(A1247,SETORES!$A:$A,0))</f>
        <v>Clientes</v>
      </c>
      <c r="H1247" s="61" t="s">
        <v>21</v>
      </c>
    </row>
    <row r="1248" spans="1:8" ht="14.25" hidden="1" customHeight="1" x14ac:dyDescent="0.3">
      <c r="A1248" s="34" t="s">
        <v>52</v>
      </c>
      <c r="B1248" s="61" t="s">
        <v>155</v>
      </c>
      <c r="C1248" s="61" t="s">
        <v>166</v>
      </c>
      <c r="D1248" s="69">
        <v>2</v>
      </c>
      <c r="E1248" s="74">
        <v>50</v>
      </c>
      <c r="F1248" s="80">
        <f>IFERROR(D1248*E1248,0)</f>
        <v>100</v>
      </c>
      <c r="G1248" s="61" t="str">
        <f>INDEX(SETORES!$B:$B,MATCH(A1248,SETORES!$A:$A,0))</f>
        <v>Clientes</v>
      </c>
      <c r="H1248" s="61" t="s">
        <v>21</v>
      </c>
    </row>
    <row r="1249" spans="1:8" ht="14.25" hidden="1" customHeight="1" x14ac:dyDescent="0.3">
      <c r="A1249" s="34" t="s">
        <v>52</v>
      </c>
      <c r="B1249" s="61" t="s">
        <v>155</v>
      </c>
      <c r="C1249" s="61" t="s">
        <v>156</v>
      </c>
      <c r="D1249" s="69">
        <v>8</v>
      </c>
      <c r="E1249" s="74">
        <v>0.98509999999999998</v>
      </c>
      <c r="F1249" s="80">
        <v>7.8807999999999998</v>
      </c>
      <c r="G1249" s="61" t="str">
        <f>INDEX(SETORES!$B:$B,MATCH(A1249,SETORES!$A:$A,0))</f>
        <v>Clientes</v>
      </c>
      <c r="H1249" s="61" t="s">
        <v>21</v>
      </c>
    </row>
    <row r="1250" spans="1:8" ht="14.25" hidden="1" customHeight="1" x14ac:dyDescent="0.3">
      <c r="A1250" s="2" t="s">
        <v>52</v>
      </c>
      <c r="B1250" s="60" t="s">
        <v>155</v>
      </c>
      <c r="C1250" s="60" t="s">
        <v>157</v>
      </c>
      <c r="D1250" s="68">
        <v>1</v>
      </c>
      <c r="E1250" s="73">
        <v>239.52786900000001</v>
      </c>
      <c r="F1250" s="79">
        <v>239.52786900000001</v>
      </c>
      <c r="G1250" s="60" t="str">
        <f>INDEX(SETORES!$B:$B,MATCH(A1250,SETORES!$A:$A,0))</f>
        <v>Clientes</v>
      </c>
      <c r="H1250" s="60" t="s">
        <v>21</v>
      </c>
    </row>
    <row r="1251" spans="1:8" ht="14.25" hidden="1" customHeight="1" x14ac:dyDescent="0.3">
      <c r="A1251" s="2" t="s">
        <v>52</v>
      </c>
      <c r="B1251" s="60" t="s">
        <v>162</v>
      </c>
      <c r="C1251" s="60" t="s">
        <v>222</v>
      </c>
      <c r="D1251" s="68"/>
      <c r="E1251" s="73"/>
      <c r="F1251" s="79">
        <f>IFERROR(D1251*E1251,0)</f>
        <v>0</v>
      </c>
      <c r="G1251" s="60" t="str">
        <f>INDEX(SETORES!$B:$B,MATCH(A1251,SETORES!$A:$A,0))</f>
        <v>Clientes</v>
      </c>
      <c r="H1251" s="60" t="s">
        <v>21</v>
      </c>
    </row>
    <row r="1252" spans="1:8" ht="14.25" hidden="1" customHeight="1" x14ac:dyDescent="0.3">
      <c r="A1252" s="2" t="s">
        <v>52</v>
      </c>
      <c r="B1252" s="60" t="s">
        <v>155</v>
      </c>
      <c r="C1252" s="60" t="s">
        <v>187</v>
      </c>
      <c r="D1252" s="68">
        <v>1</v>
      </c>
      <c r="E1252" s="73">
        <v>442.74229600000001</v>
      </c>
      <c r="F1252" s="79">
        <f>IFERROR(D1252*E1252,0)</f>
        <v>442.74229600000001</v>
      </c>
      <c r="G1252" s="60" t="str">
        <f>INDEX(SETORES!$B:$B,MATCH(A1252,SETORES!$A:$A,0))</f>
        <v>Clientes</v>
      </c>
      <c r="H1252" s="60" t="s">
        <v>21</v>
      </c>
    </row>
    <row r="1253" spans="1:8" ht="14.25" hidden="1" customHeight="1" x14ac:dyDescent="0.3">
      <c r="A1253" s="34" t="s">
        <v>52</v>
      </c>
      <c r="B1253" s="61" t="s">
        <v>155</v>
      </c>
      <c r="C1253" s="61" t="s">
        <v>168</v>
      </c>
      <c r="D1253" s="69">
        <v>8</v>
      </c>
      <c r="E1253" s="74">
        <v>2.0499999999999998</v>
      </c>
      <c r="F1253" s="80">
        <f>IFERROR(D1253*E1253,0)</f>
        <v>16.399999999999999</v>
      </c>
      <c r="G1253" s="61" t="str">
        <f>INDEX(SETORES!$B:$B,MATCH(A1253,SETORES!$A:$A,0))</f>
        <v>Clientes</v>
      </c>
      <c r="H1253" s="61" t="s">
        <v>21</v>
      </c>
    </row>
    <row r="1254" spans="1:8" ht="14.25" hidden="1" customHeight="1" x14ac:dyDescent="0.3">
      <c r="A1254" s="34" t="s">
        <v>52</v>
      </c>
      <c r="B1254" s="61" t="s">
        <v>155</v>
      </c>
      <c r="C1254" s="61" t="s">
        <v>160</v>
      </c>
      <c r="D1254" s="69"/>
      <c r="E1254" s="74"/>
      <c r="F1254" s="80">
        <f>IFERROR(D1254*E1254,0)</f>
        <v>0</v>
      </c>
      <c r="G1254" s="61" t="str">
        <f>INDEX(SETORES!$B:$B,MATCH(A1254,SETORES!$A:$A,0))</f>
        <v>Clientes</v>
      </c>
      <c r="H1254" s="61" t="s">
        <v>21</v>
      </c>
    </row>
    <row r="1255" spans="1:8" ht="14.25" hidden="1" customHeight="1" x14ac:dyDescent="0.3">
      <c r="A1255" s="2" t="s">
        <v>51</v>
      </c>
      <c r="B1255" s="60" t="s">
        <v>155</v>
      </c>
      <c r="C1255" s="60" t="s">
        <v>159</v>
      </c>
      <c r="D1255" s="68">
        <v>1</v>
      </c>
      <c r="E1255" s="73">
        <v>0.31519999999999998</v>
      </c>
      <c r="F1255" s="79">
        <v>0.31519999999999998</v>
      </c>
      <c r="G1255" s="60" t="str">
        <f>INDEX(SETORES!$B:$B,MATCH(A1255,SETORES!$A:$A,0))</f>
        <v>Clientes</v>
      </c>
      <c r="H1255" s="60" t="s">
        <v>21</v>
      </c>
    </row>
    <row r="1256" spans="1:8" ht="14.25" hidden="1" customHeight="1" x14ac:dyDescent="0.3">
      <c r="A1256" s="2" t="s">
        <v>51</v>
      </c>
      <c r="B1256" s="60" t="s">
        <v>155</v>
      </c>
      <c r="C1256" s="60" t="s">
        <v>249</v>
      </c>
      <c r="D1256" s="68">
        <v>1</v>
      </c>
      <c r="E1256" s="73">
        <v>746.25</v>
      </c>
      <c r="F1256" s="79">
        <f>IFERROR(D1256*E1256,0)</f>
        <v>746.25</v>
      </c>
      <c r="G1256" s="60" t="str">
        <f>INDEX(SETORES!$B:$B,MATCH(A1256,SETORES!$A:$A,0))</f>
        <v>Clientes</v>
      </c>
      <c r="H1256" s="60" t="s">
        <v>21</v>
      </c>
    </row>
    <row r="1257" spans="1:8" ht="14.25" hidden="1" customHeight="1" x14ac:dyDescent="0.3">
      <c r="A1257" s="2" t="s">
        <v>51</v>
      </c>
      <c r="B1257" s="60" t="s">
        <v>155</v>
      </c>
      <c r="C1257" s="60" t="s">
        <v>171</v>
      </c>
      <c r="D1257" s="68">
        <v>13</v>
      </c>
      <c r="E1257" s="73">
        <v>43.54</v>
      </c>
      <c r="F1257" s="79">
        <v>566.02</v>
      </c>
      <c r="G1257" s="60" t="s">
        <v>98</v>
      </c>
      <c r="H1257" s="60" t="s">
        <v>21</v>
      </c>
    </row>
    <row r="1258" spans="1:8" ht="14.25" hidden="1" customHeight="1" x14ac:dyDescent="0.3">
      <c r="A1258" s="34" t="s">
        <v>51</v>
      </c>
      <c r="B1258" s="61" t="s">
        <v>155</v>
      </c>
      <c r="C1258" s="61" t="s">
        <v>170</v>
      </c>
      <c r="D1258" s="69">
        <v>13</v>
      </c>
      <c r="E1258" s="74">
        <v>29.74</v>
      </c>
      <c r="F1258" s="80">
        <v>386.62</v>
      </c>
      <c r="G1258" s="60" t="s">
        <v>98</v>
      </c>
      <c r="H1258" s="61" t="s">
        <v>21</v>
      </c>
    </row>
    <row r="1259" spans="1:8" ht="14.25" customHeight="1" x14ac:dyDescent="0.3">
      <c r="A1259" s="34" t="s">
        <v>51</v>
      </c>
      <c r="B1259" s="61" t="s">
        <v>155</v>
      </c>
      <c r="C1259" s="61" t="s">
        <v>169</v>
      </c>
      <c r="D1259" s="69">
        <v>13</v>
      </c>
      <c r="E1259" s="74">
        <v>47.66</v>
      </c>
      <c r="F1259" s="80">
        <v>619.58000000000004</v>
      </c>
      <c r="G1259" s="61" t="s">
        <v>98</v>
      </c>
      <c r="H1259" s="61" t="s">
        <v>21</v>
      </c>
    </row>
    <row r="1260" spans="1:8" ht="14.25" hidden="1" customHeight="1" x14ac:dyDescent="0.3">
      <c r="A1260" s="34" t="s">
        <v>51</v>
      </c>
      <c r="B1260" s="61" t="s">
        <v>155</v>
      </c>
      <c r="C1260" s="61" t="s">
        <v>158</v>
      </c>
      <c r="D1260" s="69">
        <v>1</v>
      </c>
      <c r="E1260" s="74">
        <v>107.54900000000001</v>
      </c>
      <c r="F1260" s="80">
        <v>107.54900000000001</v>
      </c>
      <c r="G1260" s="61" t="str">
        <f>INDEX(SETORES!$B:$B,MATCH(A1260,SETORES!$A:$A,0))</f>
        <v>Clientes</v>
      </c>
      <c r="H1260" s="61" t="s">
        <v>21</v>
      </c>
    </row>
    <row r="1261" spans="1:8" ht="14.25" hidden="1" customHeight="1" x14ac:dyDescent="0.3">
      <c r="A1261" s="2" t="s">
        <v>51</v>
      </c>
      <c r="B1261" s="60" t="s">
        <v>162</v>
      </c>
      <c r="C1261" s="60" t="s">
        <v>163</v>
      </c>
      <c r="D1261" s="68">
        <v>2</v>
      </c>
      <c r="E1261" s="73">
        <v>68</v>
      </c>
      <c r="F1261" s="79">
        <f>IFERROR(D1261*E1261,0)</f>
        <v>136</v>
      </c>
      <c r="G1261" s="60" t="str">
        <f>INDEX(SETORES!$B:$B,MATCH(A1261,SETORES!$A:$A,0))</f>
        <v>Clientes</v>
      </c>
      <c r="H1261" s="60" t="s">
        <v>21</v>
      </c>
    </row>
    <row r="1262" spans="1:8" ht="14.25" hidden="1" customHeight="1" x14ac:dyDescent="0.3">
      <c r="A1262" s="2" t="s">
        <v>51</v>
      </c>
      <c r="B1262" s="60" t="s">
        <v>155</v>
      </c>
      <c r="C1262" s="60" t="s">
        <v>161</v>
      </c>
      <c r="D1262" s="68">
        <v>1</v>
      </c>
      <c r="E1262" s="73">
        <v>130589.439786667</v>
      </c>
      <c r="F1262" s="79">
        <v>130589.439786667</v>
      </c>
      <c r="G1262" s="60" t="str">
        <f>INDEX(SETORES!$B:$B,MATCH(A1262,SETORES!$A:$A,0))</f>
        <v>Clientes</v>
      </c>
      <c r="H1262" s="60" t="s">
        <v>21</v>
      </c>
    </row>
    <row r="1263" spans="1:8" ht="14.25" hidden="1" customHeight="1" x14ac:dyDescent="0.3">
      <c r="A1263" s="2" t="s">
        <v>51</v>
      </c>
      <c r="B1263" s="60" t="s">
        <v>155</v>
      </c>
      <c r="C1263" s="60" t="s">
        <v>167</v>
      </c>
      <c r="D1263" s="68">
        <v>13</v>
      </c>
      <c r="E1263" s="73">
        <v>9.92</v>
      </c>
      <c r="F1263" s="79">
        <v>128.96</v>
      </c>
      <c r="G1263" s="60" t="str">
        <f>INDEX(SETORES!$B:$B,MATCH(A1263,SETORES!$A:$A,0))</f>
        <v>Clientes</v>
      </c>
      <c r="H1263" s="60" t="s">
        <v>21</v>
      </c>
    </row>
    <row r="1264" spans="1:8" ht="14.25" hidden="1" customHeight="1" x14ac:dyDescent="0.3">
      <c r="A1264" s="34" t="s">
        <v>51</v>
      </c>
      <c r="B1264" s="61" t="s">
        <v>155</v>
      </c>
      <c r="C1264" s="61" t="s">
        <v>240</v>
      </c>
      <c r="D1264" s="69">
        <v>1</v>
      </c>
      <c r="E1264" s="74">
        <v>2.727868</v>
      </c>
      <c r="F1264" s="80">
        <f>IFERROR(D1264*E1264,0)</f>
        <v>2.727868</v>
      </c>
      <c r="G1264" s="61" t="str">
        <f>INDEX(SETORES!$B:$B,MATCH(A1264,SETORES!$A:$A,0))</f>
        <v>Clientes</v>
      </c>
      <c r="H1264" s="61" t="s">
        <v>21</v>
      </c>
    </row>
    <row r="1265" spans="1:8" ht="14.25" hidden="1" customHeight="1" x14ac:dyDescent="0.3">
      <c r="A1265" s="34" t="s">
        <v>51</v>
      </c>
      <c r="B1265" s="61" t="s">
        <v>155</v>
      </c>
      <c r="C1265" s="61" t="s">
        <v>166</v>
      </c>
      <c r="D1265" s="69">
        <v>14</v>
      </c>
      <c r="E1265" s="74">
        <v>50</v>
      </c>
      <c r="F1265" s="80">
        <f>IFERROR(D1265*E1265,0)</f>
        <v>700</v>
      </c>
      <c r="G1265" s="61" t="str">
        <f>INDEX(SETORES!$B:$B,MATCH(A1265,SETORES!$A:$A,0))</f>
        <v>Clientes</v>
      </c>
      <c r="H1265" s="61" t="s">
        <v>21</v>
      </c>
    </row>
    <row r="1266" spans="1:8" ht="14.25" hidden="1" customHeight="1" x14ac:dyDescent="0.3">
      <c r="A1266" s="34" t="s">
        <v>51</v>
      </c>
      <c r="B1266" s="61" t="s">
        <v>155</v>
      </c>
      <c r="C1266" s="61" t="s">
        <v>156</v>
      </c>
      <c r="D1266" s="69">
        <v>13</v>
      </c>
      <c r="E1266" s="74">
        <v>0.98509999999999998</v>
      </c>
      <c r="F1266" s="80">
        <v>12.8063</v>
      </c>
      <c r="G1266" s="61" t="str">
        <f>INDEX(SETORES!$B:$B,MATCH(A1266,SETORES!$A:$A,0))</f>
        <v>Clientes</v>
      </c>
      <c r="H1266" s="61" t="s">
        <v>21</v>
      </c>
    </row>
    <row r="1267" spans="1:8" ht="14.25" hidden="1" customHeight="1" x14ac:dyDescent="0.3">
      <c r="A1267" s="2" t="s">
        <v>51</v>
      </c>
      <c r="B1267" s="60" t="s">
        <v>155</v>
      </c>
      <c r="C1267" s="60" t="s">
        <v>157</v>
      </c>
      <c r="D1267" s="68">
        <v>1</v>
      </c>
      <c r="E1267" s="73">
        <v>389.23278699999997</v>
      </c>
      <c r="F1267" s="79">
        <v>389.23278699999997</v>
      </c>
      <c r="G1267" s="60" t="str">
        <f>INDEX(SETORES!$B:$B,MATCH(A1267,SETORES!$A:$A,0))</f>
        <v>Clientes</v>
      </c>
      <c r="H1267" s="60" t="s">
        <v>21</v>
      </c>
    </row>
    <row r="1268" spans="1:8" ht="14.25" hidden="1" customHeight="1" x14ac:dyDescent="0.3">
      <c r="A1268" s="34" t="s">
        <v>51</v>
      </c>
      <c r="B1268" s="61" t="s">
        <v>162</v>
      </c>
      <c r="C1268" s="61" t="s">
        <v>222</v>
      </c>
      <c r="D1268" s="69">
        <v>1</v>
      </c>
      <c r="E1268" s="74">
        <v>5737.4</v>
      </c>
      <c r="F1268" s="80">
        <f>IFERROR(D1268*E1268,0)</f>
        <v>5737.4</v>
      </c>
      <c r="G1268" s="61" t="str">
        <f>INDEX(SETORES!$B:$B,MATCH(A1268,SETORES!$A:$A,0))</f>
        <v>Clientes</v>
      </c>
      <c r="H1268" s="61" t="s">
        <v>21</v>
      </c>
    </row>
    <row r="1269" spans="1:8" ht="14.25" hidden="1" customHeight="1" x14ac:dyDescent="0.3">
      <c r="A1269" s="34" t="s">
        <v>51</v>
      </c>
      <c r="B1269" s="61" t="s">
        <v>155</v>
      </c>
      <c r="C1269" s="61" t="s">
        <v>187</v>
      </c>
      <c r="D1269" s="69">
        <v>1</v>
      </c>
      <c r="E1269" s="74">
        <v>719.456231</v>
      </c>
      <c r="F1269" s="80">
        <f>IFERROR(D1269*E1269,0)</f>
        <v>719.456231</v>
      </c>
      <c r="G1269" s="61" t="str">
        <f>INDEX(SETORES!$B:$B,MATCH(A1269,SETORES!$A:$A,0))</f>
        <v>Clientes</v>
      </c>
      <c r="H1269" s="61" t="s">
        <v>21</v>
      </c>
    </row>
    <row r="1270" spans="1:8" ht="14.25" hidden="1" customHeight="1" x14ac:dyDescent="0.3">
      <c r="A1270" s="34" t="s">
        <v>51</v>
      </c>
      <c r="B1270" s="61" t="s">
        <v>155</v>
      </c>
      <c r="C1270" s="61" t="s">
        <v>168</v>
      </c>
      <c r="D1270" s="69">
        <v>13</v>
      </c>
      <c r="E1270" s="74">
        <v>2.0499999999999998</v>
      </c>
      <c r="F1270" s="80">
        <v>26.65</v>
      </c>
      <c r="G1270" s="61" t="str">
        <f>INDEX(SETORES!$B:$B,MATCH(A1270,SETORES!$A:$A,0))</f>
        <v>Clientes</v>
      </c>
      <c r="H1270" s="61" t="s">
        <v>21</v>
      </c>
    </row>
    <row r="1271" spans="1:8" ht="14.25" hidden="1" customHeight="1" x14ac:dyDescent="0.3">
      <c r="A1271" s="34" t="s">
        <v>51</v>
      </c>
      <c r="B1271" s="61" t="s">
        <v>155</v>
      </c>
      <c r="C1271" s="61" t="s">
        <v>160</v>
      </c>
      <c r="D1271" s="69"/>
      <c r="E1271" s="74"/>
      <c r="F1271" s="80">
        <f>IFERROR(D1271*E1271,0)</f>
        <v>0</v>
      </c>
      <c r="G1271" s="61" t="str">
        <f>INDEX(SETORES!$B:$B,MATCH(A1271,SETORES!$A:$A,0))</f>
        <v>Clientes</v>
      </c>
      <c r="H1271" s="61" t="s">
        <v>21</v>
      </c>
    </row>
    <row r="1272" spans="1:8" ht="14.25" hidden="1" customHeight="1" x14ac:dyDescent="0.3">
      <c r="A1272" s="34" t="s">
        <v>87</v>
      </c>
      <c r="B1272" s="61" t="s">
        <v>155</v>
      </c>
      <c r="C1272" s="61" t="s">
        <v>159</v>
      </c>
      <c r="D1272" s="69">
        <v>1</v>
      </c>
      <c r="E1272" s="74">
        <v>0.16969999999999999</v>
      </c>
      <c r="F1272" s="80">
        <v>0.16969999999999999</v>
      </c>
      <c r="G1272" s="61" t="s">
        <v>96</v>
      </c>
      <c r="H1272" s="61" t="s">
        <v>21</v>
      </c>
    </row>
    <row r="1273" spans="1:8" ht="14.25" hidden="1" customHeight="1" x14ac:dyDescent="0.3">
      <c r="A1273" s="2" t="s">
        <v>87</v>
      </c>
      <c r="B1273" s="60" t="s">
        <v>155</v>
      </c>
      <c r="C1273" s="60" t="s">
        <v>212</v>
      </c>
      <c r="D1273" s="68">
        <v>5</v>
      </c>
      <c r="E1273" s="73">
        <v>30</v>
      </c>
      <c r="F1273" s="79">
        <f>IFERROR(D1273*E1273,0)</f>
        <v>150</v>
      </c>
      <c r="G1273" s="60" t="str">
        <f>INDEX(SETORES!$B:$B,MATCH(A1273,SETORES!$A:$A,0))</f>
        <v>Clientes</v>
      </c>
      <c r="H1273" s="60" t="s">
        <v>21</v>
      </c>
    </row>
    <row r="1274" spans="1:8" ht="14.25" hidden="1" customHeight="1" x14ac:dyDescent="0.3">
      <c r="A1274" s="2" t="s">
        <v>87</v>
      </c>
      <c r="B1274" s="60" t="s">
        <v>155</v>
      </c>
      <c r="C1274" s="60" t="s">
        <v>171</v>
      </c>
      <c r="D1274" s="68">
        <v>7</v>
      </c>
      <c r="E1274" s="73">
        <v>43.54</v>
      </c>
      <c r="F1274" s="79">
        <f>IFERROR(D1274*E1274,0)</f>
        <v>304.77999999999997</v>
      </c>
      <c r="G1274" s="60" t="s">
        <v>98</v>
      </c>
      <c r="H1274" s="60" t="s">
        <v>21</v>
      </c>
    </row>
    <row r="1275" spans="1:8" ht="14.25" hidden="1" customHeight="1" x14ac:dyDescent="0.3">
      <c r="A1275" s="34" t="s">
        <v>87</v>
      </c>
      <c r="B1275" s="61" t="s">
        <v>155</v>
      </c>
      <c r="C1275" s="61" t="s">
        <v>170</v>
      </c>
      <c r="D1275" s="69">
        <v>7</v>
      </c>
      <c r="E1275" s="74">
        <v>29.74</v>
      </c>
      <c r="F1275" s="80">
        <f>IFERROR(D1275*E1275,0)</f>
        <v>208.17999999999998</v>
      </c>
      <c r="G1275" s="60" t="s">
        <v>98</v>
      </c>
      <c r="H1275" s="61" t="s">
        <v>21</v>
      </c>
    </row>
    <row r="1276" spans="1:8" ht="14.25" customHeight="1" x14ac:dyDescent="0.3">
      <c r="A1276" s="34" t="s">
        <v>87</v>
      </c>
      <c r="B1276" s="61" t="s">
        <v>155</v>
      </c>
      <c r="C1276" s="61" t="s">
        <v>169</v>
      </c>
      <c r="D1276" s="69">
        <v>7</v>
      </c>
      <c r="E1276" s="74">
        <v>47.66</v>
      </c>
      <c r="F1276" s="80">
        <f>IFERROR(D1276*E1276,0)</f>
        <v>333.62</v>
      </c>
      <c r="G1276" s="61" t="s">
        <v>98</v>
      </c>
      <c r="H1276" s="61" t="s">
        <v>21</v>
      </c>
    </row>
    <row r="1277" spans="1:8" ht="14.25" hidden="1" customHeight="1" x14ac:dyDescent="0.3">
      <c r="A1277" s="2" t="s">
        <v>87</v>
      </c>
      <c r="B1277" s="60" t="s">
        <v>155</v>
      </c>
      <c r="C1277" s="60" t="s">
        <v>158</v>
      </c>
      <c r="D1277" s="68">
        <v>1</v>
      </c>
      <c r="E1277" s="73">
        <v>57.911000000000001</v>
      </c>
      <c r="F1277" s="79">
        <v>57.911000000000001</v>
      </c>
      <c r="G1277" s="60" t="s">
        <v>96</v>
      </c>
      <c r="H1277" s="60" t="s">
        <v>21</v>
      </c>
    </row>
    <row r="1278" spans="1:8" ht="14.25" hidden="1" customHeight="1" x14ac:dyDescent="0.3">
      <c r="A1278" s="34" t="s">
        <v>87</v>
      </c>
      <c r="B1278" s="61" t="s">
        <v>162</v>
      </c>
      <c r="C1278" s="61" t="s">
        <v>163</v>
      </c>
      <c r="D1278" s="69">
        <v>4</v>
      </c>
      <c r="E1278" s="74">
        <v>45</v>
      </c>
      <c r="F1278" s="80">
        <f>IFERROR(D1278*E1278,0)</f>
        <v>180</v>
      </c>
      <c r="G1278" s="61" t="str">
        <f>INDEX(SETORES!$B:$B,MATCH(A1278,SETORES!$A:$A,0))</f>
        <v>Clientes</v>
      </c>
      <c r="H1278" s="61" t="s">
        <v>21</v>
      </c>
    </row>
    <row r="1279" spans="1:8" ht="14.25" hidden="1" customHeight="1" x14ac:dyDescent="0.3">
      <c r="A1279" s="34" t="s">
        <v>87</v>
      </c>
      <c r="B1279" s="61" t="s">
        <v>155</v>
      </c>
      <c r="C1279" s="61" t="s">
        <v>161</v>
      </c>
      <c r="D1279" s="69">
        <v>1</v>
      </c>
      <c r="E1279" s="74">
        <v>32250.43</v>
      </c>
      <c r="F1279" s="80">
        <f>IFERROR(E1279,0)</f>
        <v>32250.43</v>
      </c>
      <c r="G1279" s="61" t="str">
        <f>INDEX(SETORES!$B:$B,MATCH(A1279,SETORES!$A:$A,0))</f>
        <v>Clientes</v>
      </c>
      <c r="H1279" s="61" t="s">
        <v>21</v>
      </c>
    </row>
    <row r="1280" spans="1:8" ht="14.25" hidden="1" customHeight="1" x14ac:dyDescent="0.3">
      <c r="A1280" s="2" t="s">
        <v>87</v>
      </c>
      <c r="B1280" s="60" t="s">
        <v>155</v>
      </c>
      <c r="C1280" s="60" t="s">
        <v>167</v>
      </c>
      <c r="D1280" s="68">
        <v>7</v>
      </c>
      <c r="E1280" s="73">
        <v>9.92</v>
      </c>
      <c r="F1280" s="79">
        <f>IFERROR(D1280*E1280,0)</f>
        <v>69.44</v>
      </c>
      <c r="G1280" s="60" t="str">
        <f>INDEX(SETORES!$B:$B,MATCH(A1280,SETORES!$A:$A,0))</f>
        <v>Clientes</v>
      </c>
      <c r="H1280" s="60" t="s">
        <v>21</v>
      </c>
    </row>
    <row r="1281" spans="1:8" ht="14.25" hidden="1" customHeight="1" x14ac:dyDescent="0.3">
      <c r="A1281" s="2" t="s">
        <v>87</v>
      </c>
      <c r="B1281" s="60" t="s">
        <v>155</v>
      </c>
      <c r="C1281" s="60" t="s">
        <v>238</v>
      </c>
      <c r="D1281" s="68">
        <v>1</v>
      </c>
      <c r="E1281" s="73">
        <v>6.8627440000000002</v>
      </c>
      <c r="F1281" s="79">
        <f>IFERROR(D1281*E1281,0)</f>
        <v>6.8627440000000002</v>
      </c>
      <c r="G1281" s="60" t="str">
        <f>INDEX(SETORES!$B:$B,MATCH(A1281,SETORES!$A:$A,0))</f>
        <v>Clientes</v>
      </c>
      <c r="H1281" s="60" t="s">
        <v>21</v>
      </c>
    </row>
    <row r="1282" spans="1:8" ht="14.25" hidden="1" customHeight="1" x14ac:dyDescent="0.3">
      <c r="A1282" s="2" t="s">
        <v>87</v>
      </c>
      <c r="B1282" s="60" t="s">
        <v>155</v>
      </c>
      <c r="C1282" s="60" t="s">
        <v>166</v>
      </c>
      <c r="D1282" s="68">
        <v>12</v>
      </c>
      <c r="E1282" s="73">
        <v>66.67</v>
      </c>
      <c r="F1282" s="79">
        <f>IFERROR(D1282*E1282,0)</f>
        <v>800.04</v>
      </c>
      <c r="G1282" s="60" t="str">
        <f>INDEX(SETORES!$B:$B,MATCH(A1282,SETORES!$A:$A,0))</f>
        <v>Clientes</v>
      </c>
      <c r="H1282" s="60" t="s">
        <v>21</v>
      </c>
    </row>
    <row r="1283" spans="1:8" ht="14.25" hidden="1" customHeight="1" x14ac:dyDescent="0.3">
      <c r="A1283" s="2" t="s">
        <v>87</v>
      </c>
      <c r="B1283" s="60" t="s">
        <v>155</v>
      </c>
      <c r="C1283" s="60" t="s">
        <v>157</v>
      </c>
      <c r="D1283" s="68">
        <v>1</v>
      </c>
      <c r="E1283" s="73">
        <v>74.08</v>
      </c>
      <c r="F1283" s="79">
        <v>74.08</v>
      </c>
      <c r="G1283" s="60" t="str">
        <f>INDEX(SETORES!$B:$B,MATCH(A1283,SETORES!$A:$A,0))</f>
        <v>Clientes</v>
      </c>
      <c r="H1283" s="60" t="s">
        <v>21</v>
      </c>
    </row>
    <row r="1284" spans="1:8" ht="14.25" hidden="1" customHeight="1" x14ac:dyDescent="0.3">
      <c r="A1284" s="34" t="s">
        <v>87</v>
      </c>
      <c r="B1284" s="61" t="s">
        <v>155</v>
      </c>
      <c r="C1284" s="61" t="s">
        <v>168</v>
      </c>
      <c r="D1284" s="69">
        <v>7</v>
      </c>
      <c r="E1284" s="74">
        <v>2.0499999999999998</v>
      </c>
      <c r="F1284" s="80">
        <f>IFERROR(D1284*E1284,0)</f>
        <v>14.349999999999998</v>
      </c>
      <c r="G1284" s="61" t="str">
        <f>INDEX(SETORES!$B:$B,MATCH(A1284,SETORES!$A:$A,0))</f>
        <v>Clientes</v>
      </c>
      <c r="H1284" s="61" t="s">
        <v>21</v>
      </c>
    </row>
    <row r="1285" spans="1:8" ht="14.25" hidden="1" customHeight="1" x14ac:dyDescent="0.3">
      <c r="A1285" s="2" t="s">
        <v>55</v>
      </c>
      <c r="B1285" s="60" t="s">
        <v>155</v>
      </c>
      <c r="C1285" s="60" t="s">
        <v>236</v>
      </c>
      <c r="D1285" s="68">
        <v>1</v>
      </c>
      <c r="E1285" s="73">
        <v>21454</v>
      </c>
      <c r="F1285" s="79">
        <f>IFERROR(D1285*E1285,0)</f>
        <v>21454</v>
      </c>
      <c r="G1285" s="60" t="str">
        <f>INDEX(SETORES!$B:$B,MATCH(A1285,SETORES!$A:$A,0))</f>
        <v>Funcionários</v>
      </c>
      <c r="H1285" s="60" t="s">
        <v>11</v>
      </c>
    </row>
    <row r="1286" spans="1:8" ht="14.25" hidden="1" customHeight="1" x14ac:dyDescent="0.3">
      <c r="A1286" s="2" t="s">
        <v>55</v>
      </c>
      <c r="B1286" s="60" t="s">
        <v>155</v>
      </c>
      <c r="C1286" s="60" t="s">
        <v>185</v>
      </c>
      <c r="D1286" s="68">
        <v>1</v>
      </c>
      <c r="E1286" s="73">
        <v>99</v>
      </c>
      <c r="F1286" s="79">
        <f>IFERROR(D1286*E1286,0)</f>
        <v>99</v>
      </c>
      <c r="G1286" s="60" t="str">
        <f>INDEX(SETORES!$B:$B,MATCH(A1286,SETORES!$A:$A,0))</f>
        <v>Funcionários</v>
      </c>
      <c r="H1286" s="60" t="s">
        <v>11</v>
      </c>
    </row>
    <row r="1287" spans="1:8" ht="14.25" hidden="1" customHeight="1" x14ac:dyDescent="0.3">
      <c r="A1287" s="35" t="s">
        <v>55</v>
      </c>
      <c r="B1287" s="66" t="s">
        <v>155</v>
      </c>
      <c r="C1287" s="66" t="s">
        <v>257</v>
      </c>
      <c r="D1287" s="66">
        <v>1</v>
      </c>
      <c r="E1287" s="78">
        <v>436</v>
      </c>
      <c r="F1287" s="78">
        <f>D1287*E1287</f>
        <v>436</v>
      </c>
      <c r="G1287" s="66" t="s">
        <v>98</v>
      </c>
      <c r="H1287" s="60" t="s">
        <v>11</v>
      </c>
    </row>
    <row r="1288" spans="1:8" ht="14.25" hidden="1" customHeight="1" x14ac:dyDescent="0.3">
      <c r="A1288" s="34" t="s">
        <v>55</v>
      </c>
      <c r="B1288" s="61" t="s">
        <v>155</v>
      </c>
      <c r="C1288" s="61" t="s">
        <v>243</v>
      </c>
      <c r="D1288" s="69">
        <v>1</v>
      </c>
      <c r="E1288" s="74">
        <v>1787.15</v>
      </c>
      <c r="F1288" s="80">
        <f>IFERROR(D1288*E1288,0)</f>
        <v>1787.15</v>
      </c>
      <c r="G1288" s="61" t="str">
        <f>INDEX(SETORES!$B:$B,MATCH(A1288,SETORES!$A:$A,0))</f>
        <v>Funcionários</v>
      </c>
      <c r="H1288" s="61" t="s">
        <v>11</v>
      </c>
    </row>
    <row r="1289" spans="1:8" ht="14.25" hidden="1" customHeight="1" x14ac:dyDescent="0.3">
      <c r="A1289" s="34" t="s">
        <v>137</v>
      </c>
      <c r="B1289" s="61" t="s">
        <v>155</v>
      </c>
      <c r="C1289" s="61" t="s">
        <v>159</v>
      </c>
      <c r="D1289" s="69">
        <v>1</v>
      </c>
      <c r="E1289" s="74">
        <v>0.05</v>
      </c>
      <c r="F1289" s="80">
        <v>0.05</v>
      </c>
      <c r="G1289" s="61" t="s">
        <v>96</v>
      </c>
      <c r="H1289" s="61" t="s">
        <v>11</v>
      </c>
    </row>
    <row r="1290" spans="1:8" ht="14.25" hidden="1" customHeight="1" x14ac:dyDescent="0.3">
      <c r="A1290" s="2" t="s">
        <v>137</v>
      </c>
      <c r="B1290" s="60" t="s">
        <v>155</v>
      </c>
      <c r="C1290" s="60" t="s">
        <v>212</v>
      </c>
      <c r="D1290" s="68">
        <v>1</v>
      </c>
      <c r="E1290" s="73">
        <v>30</v>
      </c>
      <c r="F1290" s="79">
        <f>IFERROR(D1290*E1290,0)</f>
        <v>30</v>
      </c>
      <c r="G1290" s="60" t="str">
        <f>INDEX(SETORES!$B:$B,MATCH(A1290,SETORES!$A:$A,0))</f>
        <v>Clientes</v>
      </c>
      <c r="H1290" s="60" t="s">
        <v>11</v>
      </c>
    </row>
    <row r="1291" spans="1:8" ht="14.25" hidden="1" customHeight="1" x14ac:dyDescent="0.3">
      <c r="A1291" s="34" t="s">
        <v>137</v>
      </c>
      <c r="B1291" s="61" t="s">
        <v>155</v>
      </c>
      <c r="C1291" s="61" t="s">
        <v>248</v>
      </c>
      <c r="D1291" s="69">
        <v>1</v>
      </c>
      <c r="E1291" s="74">
        <v>1184.8599999999999</v>
      </c>
      <c r="F1291" s="80">
        <f>IFERROR(D1291*E1291,0)</f>
        <v>1184.8599999999999</v>
      </c>
      <c r="G1291" s="61" t="str">
        <f>INDEX(SETORES!$B:$B,MATCH(A1291,SETORES!$A:$A,0))</f>
        <v>Clientes</v>
      </c>
      <c r="H1291" s="61" t="s">
        <v>11</v>
      </c>
    </row>
    <row r="1292" spans="1:8" ht="14.25" hidden="1" customHeight="1" x14ac:dyDescent="0.3">
      <c r="A1292" s="2" t="s">
        <v>137</v>
      </c>
      <c r="B1292" s="60" t="s">
        <v>155</v>
      </c>
      <c r="C1292" s="60" t="s">
        <v>158</v>
      </c>
      <c r="D1292" s="68">
        <v>1</v>
      </c>
      <c r="E1292" s="73">
        <v>17.514399999999998</v>
      </c>
      <c r="F1292" s="79">
        <v>17.514399999999998</v>
      </c>
      <c r="G1292" s="60" t="s">
        <v>96</v>
      </c>
      <c r="H1292" s="60" t="s">
        <v>11</v>
      </c>
    </row>
    <row r="1293" spans="1:8" ht="14.25" hidden="1" customHeight="1" x14ac:dyDescent="0.3">
      <c r="A1293" s="34" t="s">
        <v>137</v>
      </c>
      <c r="B1293" s="61" t="s">
        <v>155</v>
      </c>
      <c r="C1293" s="61" t="s">
        <v>161</v>
      </c>
      <c r="D1293" s="69">
        <v>1</v>
      </c>
      <c r="E1293" s="74">
        <v>7245.47</v>
      </c>
      <c r="F1293" s="80">
        <f>IFERROR(E1293,0)</f>
        <v>7245.47</v>
      </c>
      <c r="G1293" s="61" t="str">
        <f>INDEX(SETORES!$B:$B,MATCH(A1293,SETORES!$A:$A,0))</f>
        <v>Clientes</v>
      </c>
      <c r="H1293" s="61" t="s">
        <v>11</v>
      </c>
    </row>
    <row r="1294" spans="1:8" ht="14.25" hidden="1" customHeight="1" x14ac:dyDescent="0.3">
      <c r="A1294" s="34" t="s">
        <v>137</v>
      </c>
      <c r="B1294" s="61" t="s">
        <v>155</v>
      </c>
      <c r="C1294" s="61" t="s">
        <v>167</v>
      </c>
      <c r="D1294" s="69">
        <v>2</v>
      </c>
      <c r="E1294" s="74">
        <v>9.85</v>
      </c>
      <c r="F1294" s="80">
        <f>IFERROR(D1294*E1294,0)</f>
        <v>19.7</v>
      </c>
      <c r="G1294" s="61" t="str">
        <f>INDEX(SETORES!$B:$B,MATCH(A1294,SETORES!$A:$A,0))</f>
        <v>Clientes</v>
      </c>
      <c r="H1294" s="61" t="s">
        <v>11</v>
      </c>
    </row>
    <row r="1295" spans="1:8" ht="14.25" hidden="1" customHeight="1" x14ac:dyDescent="0.3">
      <c r="A1295" s="2" t="s">
        <v>137</v>
      </c>
      <c r="B1295" s="60" t="s">
        <v>155</v>
      </c>
      <c r="C1295" s="60" t="s">
        <v>168</v>
      </c>
      <c r="D1295" s="68">
        <v>2</v>
      </c>
      <c r="E1295" s="73">
        <v>2.04</v>
      </c>
      <c r="F1295" s="79">
        <f>IFERROR(D1295*E1295,0)</f>
        <v>4.08</v>
      </c>
      <c r="G1295" s="60" t="str">
        <f>INDEX(SETORES!$B:$B,MATCH(A1295,SETORES!$A:$A,0))</f>
        <v>Clientes</v>
      </c>
      <c r="H1295" s="60" t="s">
        <v>11</v>
      </c>
    </row>
    <row r="1296" spans="1:8" ht="14.25" hidden="1" customHeight="1" x14ac:dyDescent="0.3">
      <c r="A1296" s="2" t="s">
        <v>35</v>
      </c>
      <c r="B1296" s="60" t="s">
        <v>155</v>
      </c>
      <c r="C1296" s="60" t="s">
        <v>159</v>
      </c>
      <c r="D1296" s="68">
        <v>1</v>
      </c>
      <c r="E1296" s="73">
        <v>0.1</v>
      </c>
      <c r="F1296" s="79">
        <v>0.1</v>
      </c>
      <c r="G1296" s="60" t="str">
        <f>INDEX(SETORES!$B:$B,MATCH(A1296,SETORES!$A:$A,0))</f>
        <v>Clientes</v>
      </c>
      <c r="H1296" s="60" t="s">
        <v>11</v>
      </c>
    </row>
    <row r="1297" spans="1:8" ht="14.25" hidden="1" customHeight="1" x14ac:dyDescent="0.3">
      <c r="A1297" s="34" t="s">
        <v>35</v>
      </c>
      <c r="B1297" s="61" t="s">
        <v>155</v>
      </c>
      <c r="C1297" s="61" t="s">
        <v>212</v>
      </c>
      <c r="D1297" s="69">
        <v>1</v>
      </c>
      <c r="E1297" s="74">
        <v>30</v>
      </c>
      <c r="F1297" s="80">
        <f>IFERROR(D1297*E1297,0)</f>
        <v>30</v>
      </c>
      <c r="G1297" s="61" t="str">
        <f>INDEX(SETORES!$B:$B,MATCH(A1297,SETORES!$A:$A,0))</f>
        <v>Clientes</v>
      </c>
      <c r="H1297" s="61" t="s">
        <v>11</v>
      </c>
    </row>
    <row r="1298" spans="1:8" ht="14.25" hidden="1" customHeight="1" x14ac:dyDescent="0.3">
      <c r="A1298" s="2" t="s">
        <v>35</v>
      </c>
      <c r="B1298" s="60" t="s">
        <v>155</v>
      </c>
      <c r="C1298" s="60" t="s">
        <v>248</v>
      </c>
      <c r="D1298" s="68">
        <v>1</v>
      </c>
      <c r="E1298" s="73">
        <v>2369.71</v>
      </c>
      <c r="F1298" s="79">
        <f>IFERROR(D1298*E1298,0)</f>
        <v>2369.71</v>
      </c>
      <c r="G1298" s="60" t="str">
        <f>INDEX(SETORES!$B:$B,MATCH(A1298,SETORES!$A:$A,0))</f>
        <v>Clientes</v>
      </c>
      <c r="H1298" s="60" t="s">
        <v>11</v>
      </c>
    </row>
    <row r="1299" spans="1:8" ht="14.25" hidden="1" customHeight="1" x14ac:dyDescent="0.3">
      <c r="A1299" s="2" t="s">
        <v>35</v>
      </c>
      <c r="B1299" s="60" t="s">
        <v>155</v>
      </c>
      <c r="C1299" s="60" t="s">
        <v>171</v>
      </c>
      <c r="D1299" s="68">
        <v>3</v>
      </c>
      <c r="E1299" s="73">
        <v>51.12</v>
      </c>
      <c r="F1299" s="79">
        <f>IFERROR(D1299*E1299,0)</f>
        <v>153.35999999999999</v>
      </c>
      <c r="G1299" s="61" t="s">
        <v>98</v>
      </c>
      <c r="H1299" s="60" t="s">
        <v>11</v>
      </c>
    </row>
    <row r="1300" spans="1:8" ht="14.25" hidden="1" customHeight="1" x14ac:dyDescent="0.3">
      <c r="A1300" s="2" t="s">
        <v>35</v>
      </c>
      <c r="B1300" s="60" t="s">
        <v>155</v>
      </c>
      <c r="C1300" s="60" t="s">
        <v>170</v>
      </c>
      <c r="D1300" s="68">
        <v>3</v>
      </c>
      <c r="E1300" s="73">
        <v>31.33</v>
      </c>
      <c r="F1300" s="79">
        <f>IFERROR(D1300*E1300,0)</f>
        <v>93.99</v>
      </c>
      <c r="G1300" s="61" t="s">
        <v>98</v>
      </c>
      <c r="H1300" s="60" t="s">
        <v>11</v>
      </c>
    </row>
    <row r="1301" spans="1:8" ht="14.25" customHeight="1" x14ac:dyDescent="0.3">
      <c r="A1301" s="2" t="s">
        <v>35</v>
      </c>
      <c r="B1301" s="60" t="s">
        <v>155</v>
      </c>
      <c r="C1301" s="60" t="s">
        <v>169</v>
      </c>
      <c r="D1301" s="68">
        <v>3</v>
      </c>
      <c r="E1301" s="73">
        <v>63.75</v>
      </c>
      <c r="F1301" s="79">
        <f>IFERROR(D1301*E1301,0)</f>
        <v>191.25</v>
      </c>
      <c r="G1301" s="61" t="s">
        <v>98</v>
      </c>
      <c r="H1301" s="60" t="s">
        <v>11</v>
      </c>
    </row>
    <row r="1302" spans="1:8" ht="14.25" hidden="1" customHeight="1" x14ac:dyDescent="0.3">
      <c r="A1302" s="34" t="s">
        <v>35</v>
      </c>
      <c r="B1302" s="61" t="s">
        <v>155</v>
      </c>
      <c r="C1302" s="61" t="s">
        <v>158</v>
      </c>
      <c r="D1302" s="69">
        <v>1</v>
      </c>
      <c r="E1302" s="74">
        <v>35.0289</v>
      </c>
      <c r="F1302" s="80">
        <v>35.0289</v>
      </c>
      <c r="G1302" s="61" t="str">
        <f>INDEX(SETORES!$B:$B,MATCH(A1302,SETORES!$A:$A,0))</f>
        <v>Clientes</v>
      </c>
      <c r="H1302" s="61" t="s">
        <v>11</v>
      </c>
    </row>
    <row r="1303" spans="1:8" ht="14.25" hidden="1" customHeight="1" x14ac:dyDescent="0.3">
      <c r="A1303" s="34" t="s">
        <v>35</v>
      </c>
      <c r="B1303" s="61" t="s">
        <v>162</v>
      </c>
      <c r="C1303" s="61" t="s">
        <v>165</v>
      </c>
      <c r="D1303" s="69"/>
      <c r="E1303" s="74"/>
      <c r="F1303" s="80">
        <f>IFERROR(D1303*E1303,0)</f>
        <v>0</v>
      </c>
      <c r="G1303" s="61" t="str">
        <f>INDEX(SETORES!$B:$B,MATCH(A1303,SETORES!$A:$A,0))</f>
        <v>Clientes</v>
      </c>
      <c r="H1303" s="61" t="s">
        <v>11</v>
      </c>
    </row>
    <row r="1304" spans="1:8" ht="14.25" hidden="1" customHeight="1" x14ac:dyDescent="0.3">
      <c r="A1304" s="34" t="s">
        <v>35</v>
      </c>
      <c r="B1304" s="61" t="s">
        <v>162</v>
      </c>
      <c r="C1304" s="61" t="s">
        <v>163</v>
      </c>
      <c r="D1304" s="69"/>
      <c r="E1304" s="74"/>
      <c r="F1304" s="80">
        <f>IFERROR(D1304*E1304,0)</f>
        <v>0</v>
      </c>
      <c r="G1304" s="61" t="str">
        <f>INDEX(SETORES!$B:$B,MATCH(A1304,SETORES!$A:$A,0))</f>
        <v>Clientes</v>
      </c>
      <c r="H1304" s="61" t="s">
        <v>11</v>
      </c>
    </row>
    <row r="1305" spans="1:8" ht="14.25" hidden="1" customHeight="1" x14ac:dyDescent="0.3">
      <c r="A1305" s="2" t="s">
        <v>35</v>
      </c>
      <c r="B1305" s="60" t="s">
        <v>162</v>
      </c>
      <c r="C1305" s="60" t="s">
        <v>164</v>
      </c>
      <c r="D1305" s="68">
        <v>1</v>
      </c>
      <c r="E1305" s="73">
        <v>38</v>
      </c>
      <c r="F1305" s="79">
        <f>IFERROR(D1305*E1305,0)</f>
        <v>38</v>
      </c>
      <c r="G1305" s="60" t="str">
        <f>INDEX(SETORES!$B:$B,MATCH(A1305,SETORES!$A:$A,0))</f>
        <v>Clientes</v>
      </c>
      <c r="H1305" s="60" t="s">
        <v>11</v>
      </c>
    </row>
    <row r="1306" spans="1:8" ht="14.25" hidden="1" customHeight="1" x14ac:dyDescent="0.3">
      <c r="A1306" s="2" t="s">
        <v>35</v>
      </c>
      <c r="B1306" s="60" t="s">
        <v>155</v>
      </c>
      <c r="C1306" s="60" t="s">
        <v>161</v>
      </c>
      <c r="D1306" s="68">
        <v>1</v>
      </c>
      <c r="E1306" s="73">
        <v>14018.17</v>
      </c>
      <c r="F1306" s="79">
        <f>IFERROR(E1306,0)</f>
        <v>14018.17</v>
      </c>
      <c r="G1306" s="60" t="str">
        <f>INDEX(SETORES!$B:$B,MATCH(A1306,SETORES!$A:$A,0))</f>
        <v>Clientes</v>
      </c>
      <c r="H1306" s="60" t="s">
        <v>11</v>
      </c>
    </row>
    <row r="1307" spans="1:8" ht="14.25" hidden="1" customHeight="1" x14ac:dyDescent="0.3">
      <c r="A1307" s="34" t="s">
        <v>35</v>
      </c>
      <c r="B1307" s="61" t="s">
        <v>155</v>
      </c>
      <c r="C1307" s="61" t="s">
        <v>167</v>
      </c>
      <c r="D1307" s="69">
        <v>4</v>
      </c>
      <c r="E1307" s="74">
        <v>9.85</v>
      </c>
      <c r="F1307" s="79">
        <f>IFERROR(D1307*E1307,0)</f>
        <v>39.4</v>
      </c>
      <c r="G1307" s="61" t="str">
        <f>INDEX(SETORES!$B:$B,MATCH(A1307,SETORES!$A:$A,0))</f>
        <v>Clientes</v>
      </c>
      <c r="H1307" s="61" t="s">
        <v>11</v>
      </c>
    </row>
    <row r="1308" spans="1:8" ht="14.25" hidden="1" customHeight="1" x14ac:dyDescent="0.3">
      <c r="A1308" s="2" t="s">
        <v>35</v>
      </c>
      <c r="B1308" s="60" t="s">
        <v>155</v>
      </c>
      <c r="C1308" s="60" t="s">
        <v>166</v>
      </c>
      <c r="D1308" s="68">
        <v>3</v>
      </c>
      <c r="E1308" s="73">
        <v>50</v>
      </c>
      <c r="F1308" s="79">
        <f>IFERROR(D1308*E1308,0)</f>
        <v>150</v>
      </c>
      <c r="G1308" s="60" t="str">
        <f>INDEX(SETORES!$B:$B,MATCH(A1308,SETORES!$A:$A,0))</f>
        <v>Clientes</v>
      </c>
      <c r="H1308" s="60" t="s">
        <v>11</v>
      </c>
    </row>
    <row r="1309" spans="1:8" ht="14.25" hidden="1" customHeight="1" x14ac:dyDescent="0.3">
      <c r="A1309" s="34" t="s">
        <v>35</v>
      </c>
      <c r="B1309" s="61" t="s">
        <v>155</v>
      </c>
      <c r="C1309" s="61" t="s">
        <v>156</v>
      </c>
      <c r="D1309" s="69">
        <v>4</v>
      </c>
      <c r="E1309" s="74">
        <v>4.375</v>
      </c>
      <c r="F1309" s="80">
        <v>17.5</v>
      </c>
      <c r="G1309" s="61" t="str">
        <f>INDEX(SETORES!$B:$B,MATCH(A1309,SETORES!$A:$A,0))</f>
        <v>Clientes</v>
      </c>
      <c r="H1309" s="61" t="s">
        <v>11</v>
      </c>
    </row>
    <row r="1310" spans="1:8" ht="14.25" hidden="1" customHeight="1" x14ac:dyDescent="0.3">
      <c r="A1310" s="2" t="s">
        <v>35</v>
      </c>
      <c r="B1310" s="60" t="s">
        <v>155</v>
      </c>
      <c r="C1310" s="60" t="s">
        <v>157</v>
      </c>
      <c r="D1310" s="68">
        <v>1</v>
      </c>
      <c r="E1310" s="73">
        <v>74.8</v>
      </c>
      <c r="F1310" s="79">
        <v>74.8</v>
      </c>
      <c r="G1310" s="60" t="str">
        <f>INDEX(SETORES!$B:$B,MATCH(A1310,SETORES!$A:$A,0))</f>
        <v>Clientes</v>
      </c>
      <c r="H1310" s="60" t="s">
        <v>11</v>
      </c>
    </row>
    <row r="1311" spans="1:8" ht="14.25" hidden="1" customHeight="1" x14ac:dyDescent="0.3">
      <c r="A1311" s="2" t="s">
        <v>35</v>
      </c>
      <c r="B1311" s="60" t="s">
        <v>162</v>
      </c>
      <c r="C1311" s="60" t="s">
        <v>222</v>
      </c>
      <c r="D1311" s="68"/>
      <c r="E1311" s="73"/>
      <c r="F1311" s="79">
        <f>IFERROR(D1311*E1311,0)</f>
        <v>0</v>
      </c>
      <c r="G1311" s="60" t="str">
        <f>INDEX(SETORES!$B:$B,MATCH(A1311,SETORES!$A:$A,0))</f>
        <v>Clientes</v>
      </c>
      <c r="H1311" s="60" t="s">
        <v>11</v>
      </c>
    </row>
    <row r="1312" spans="1:8" ht="14.25" hidden="1" customHeight="1" x14ac:dyDescent="0.3">
      <c r="A1312" s="2" t="s">
        <v>35</v>
      </c>
      <c r="B1312" s="60" t="s">
        <v>155</v>
      </c>
      <c r="C1312" s="60" t="s">
        <v>168</v>
      </c>
      <c r="D1312" s="68">
        <v>4</v>
      </c>
      <c r="E1312" s="73">
        <v>2.04</v>
      </c>
      <c r="F1312" s="79">
        <f>IFERROR(D1312*E1312,0)</f>
        <v>8.16</v>
      </c>
      <c r="G1312" s="60" t="str">
        <f>INDEX(SETORES!$B:$B,MATCH(A1312,SETORES!$A:$A,0))</f>
        <v>Clientes</v>
      </c>
      <c r="H1312" s="60" t="s">
        <v>11</v>
      </c>
    </row>
    <row r="1313" spans="1:8" ht="14.25" hidden="1" customHeight="1" x14ac:dyDescent="0.3">
      <c r="A1313" s="34" t="s">
        <v>35</v>
      </c>
      <c r="B1313" s="61" t="s">
        <v>155</v>
      </c>
      <c r="C1313" s="61" t="s">
        <v>160</v>
      </c>
      <c r="D1313" s="69"/>
      <c r="E1313" s="74"/>
      <c r="F1313" s="80">
        <f>IFERROR(D1313*E1313,0)</f>
        <v>0</v>
      </c>
      <c r="G1313" s="61" t="str">
        <f>INDEX(SETORES!$B:$B,MATCH(A1313,SETORES!$A:$A,0))</f>
        <v>Clientes</v>
      </c>
      <c r="H1313" s="61" t="s">
        <v>11</v>
      </c>
    </row>
    <row r="1314" spans="1:8" ht="14.25" hidden="1" customHeight="1" x14ac:dyDescent="0.3">
      <c r="A1314" s="2" t="s">
        <v>38</v>
      </c>
      <c r="B1314" s="60" t="s">
        <v>155</v>
      </c>
      <c r="C1314" s="60" t="s">
        <v>159</v>
      </c>
      <c r="D1314" s="68">
        <v>1</v>
      </c>
      <c r="E1314" s="73">
        <v>0.27500000000000002</v>
      </c>
      <c r="F1314" s="79">
        <v>0.27500000000000002</v>
      </c>
      <c r="G1314" s="60" t="str">
        <f>INDEX(SETORES!$B:$B,MATCH(A1314,SETORES!$A:$A,0))</f>
        <v>Clientes</v>
      </c>
      <c r="H1314" s="60" t="s">
        <v>11</v>
      </c>
    </row>
    <row r="1315" spans="1:8" ht="14.25" hidden="1" customHeight="1" x14ac:dyDescent="0.3">
      <c r="A1315" s="34" t="s">
        <v>38</v>
      </c>
      <c r="B1315" s="61" t="s">
        <v>155</v>
      </c>
      <c r="C1315" s="61" t="s">
        <v>249</v>
      </c>
      <c r="D1315" s="69">
        <v>1</v>
      </c>
      <c r="E1315" s="74">
        <v>766.15</v>
      </c>
      <c r="F1315" s="80">
        <f>IFERROR(D1315*E1315,0)</f>
        <v>766.15</v>
      </c>
      <c r="G1315" s="61" t="str">
        <f>INDEX(SETORES!$B:$B,MATCH(A1315,SETORES!$A:$A,0))</f>
        <v>Clientes</v>
      </c>
      <c r="H1315" s="61" t="s">
        <v>11</v>
      </c>
    </row>
    <row r="1316" spans="1:8" ht="14.25" hidden="1" customHeight="1" x14ac:dyDescent="0.3">
      <c r="A1316" s="34" t="s">
        <v>38</v>
      </c>
      <c r="B1316" s="61" t="s">
        <v>155</v>
      </c>
      <c r="C1316" s="61" t="s">
        <v>158</v>
      </c>
      <c r="D1316" s="69">
        <v>1</v>
      </c>
      <c r="E1316" s="74">
        <v>96.329400000000007</v>
      </c>
      <c r="F1316" s="80">
        <v>96.329400000000007</v>
      </c>
      <c r="G1316" s="61" t="str">
        <f>INDEX(SETORES!$B:$B,MATCH(A1316,SETORES!$A:$A,0))</f>
        <v>Clientes</v>
      </c>
      <c r="H1316" s="61" t="s">
        <v>11</v>
      </c>
    </row>
    <row r="1317" spans="1:8" ht="14.25" hidden="1" customHeight="1" x14ac:dyDescent="0.3">
      <c r="A1317" s="34" t="s">
        <v>38</v>
      </c>
      <c r="B1317" s="61" t="s">
        <v>162</v>
      </c>
      <c r="C1317" s="61" t="s">
        <v>163</v>
      </c>
      <c r="D1317" s="69">
        <v>1</v>
      </c>
      <c r="E1317" s="74">
        <v>496</v>
      </c>
      <c r="F1317" s="80">
        <f>IFERROR(D1317*E1317,0)</f>
        <v>496</v>
      </c>
      <c r="G1317" s="61" t="str">
        <f>INDEX(SETORES!$B:$B,MATCH(A1317,SETORES!$A:$A,0))</f>
        <v>Clientes</v>
      </c>
      <c r="H1317" s="61" t="s">
        <v>11</v>
      </c>
    </row>
    <row r="1318" spans="1:8" ht="14.25" hidden="1" customHeight="1" x14ac:dyDescent="0.3">
      <c r="A1318" s="2" t="s">
        <v>38</v>
      </c>
      <c r="B1318" s="60" t="s">
        <v>162</v>
      </c>
      <c r="C1318" s="60" t="s">
        <v>164</v>
      </c>
      <c r="D1318" s="68">
        <v>1</v>
      </c>
      <c r="E1318" s="73">
        <v>65.33</v>
      </c>
      <c r="F1318" s="79">
        <f>IFERROR(D1318*E1318,0)</f>
        <v>65.33</v>
      </c>
      <c r="G1318" s="60" t="str">
        <f>INDEX(SETORES!$B:$B,MATCH(A1318,SETORES!$A:$A,0))</f>
        <v>Clientes</v>
      </c>
      <c r="H1318" s="60" t="s">
        <v>11</v>
      </c>
    </row>
    <row r="1319" spans="1:8" ht="14.25" hidden="1" customHeight="1" x14ac:dyDescent="0.3">
      <c r="A1319" s="2" t="s">
        <v>38</v>
      </c>
      <c r="B1319" s="60" t="s">
        <v>155</v>
      </c>
      <c r="C1319" s="60" t="s">
        <v>161</v>
      </c>
      <c r="D1319" s="68">
        <v>1</v>
      </c>
      <c r="E1319" s="73">
        <v>35079.61</v>
      </c>
      <c r="F1319" s="79">
        <f>IFERROR(E1319,0)</f>
        <v>35079.61</v>
      </c>
      <c r="G1319" s="60" t="str">
        <f>INDEX(SETORES!$B:$B,MATCH(A1319,SETORES!$A:$A,0))</f>
        <v>Clientes</v>
      </c>
      <c r="H1319" s="60" t="s">
        <v>11</v>
      </c>
    </row>
    <row r="1320" spans="1:8" ht="14.25" hidden="1" customHeight="1" x14ac:dyDescent="0.3">
      <c r="A1320" s="34" t="s">
        <v>38</v>
      </c>
      <c r="B1320" s="61" t="s">
        <v>155</v>
      </c>
      <c r="C1320" s="61" t="s">
        <v>167</v>
      </c>
      <c r="D1320" s="69">
        <v>11</v>
      </c>
      <c r="E1320" s="74">
        <v>9.85</v>
      </c>
      <c r="F1320" s="80">
        <f>IFERROR(D1320*E1320,0)</f>
        <v>108.35</v>
      </c>
      <c r="G1320" s="61" t="str">
        <f>INDEX(SETORES!$B:$B,MATCH(A1320,SETORES!$A:$A,0))</f>
        <v>Clientes</v>
      </c>
      <c r="H1320" s="61" t="s">
        <v>11</v>
      </c>
    </row>
    <row r="1321" spans="1:8" ht="14.25" hidden="1" customHeight="1" x14ac:dyDescent="0.3">
      <c r="A1321" s="2" t="s">
        <v>38</v>
      </c>
      <c r="B1321" s="60" t="s">
        <v>155</v>
      </c>
      <c r="C1321" s="60" t="s">
        <v>240</v>
      </c>
      <c r="D1321" s="68">
        <v>1</v>
      </c>
      <c r="E1321" s="73">
        <v>2.3081960000000001</v>
      </c>
      <c r="F1321" s="79">
        <f>IFERROR(D1321*E1321,0)</f>
        <v>2.3081960000000001</v>
      </c>
      <c r="G1321" s="60" t="str">
        <f>INDEX(SETORES!$B:$B,MATCH(A1321,SETORES!$A:$A,0))</f>
        <v>Clientes</v>
      </c>
      <c r="H1321" s="60" t="s">
        <v>11</v>
      </c>
    </row>
    <row r="1322" spans="1:8" ht="14.25" hidden="1" customHeight="1" x14ac:dyDescent="0.3">
      <c r="A1322" s="2" t="s">
        <v>38</v>
      </c>
      <c r="B1322" s="60" t="s">
        <v>155</v>
      </c>
      <c r="C1322" s="60" t="s">
        <v>166</v>
      </c>
      <c r="D1322" s="68">
        <v>13</v>
      </c>
      <c r="E1322" s="73">
        <v>50</v>
      </c>
      <c r="F1322" s="79">
        <f>IFERROR(D1322*E1322,0)</f>
        <v>650</v>
      </c>
      <c r="G1322" s="60" t="str">
        <f>INDEX(SETORES!$B:$B,MATCH(A1322,SETORES!$A:$A,0))</f>
        <v>Clientes</v>
      </c>
      <c r="H1322" s="60" t="s">
        <v>11</v>
      </c>
    </row>
    <row r="1323" spans="1:8" ht="14.25" hidden="1" customHeight="1" x14ac:dyDescent="0.3">
      <c r="A1323" s="34" t="s">
        <v>38</v>
      </c>
      <c r="B1323" s="61" t="s">
        <v>155</v>
      </c>
      <c r="C1323" s="61" t="s">
        <v>156</v>
      </c>
      <c r="D1323" s="69">
        <v>11</v>
      </c>
      <c r="E1323" s="74">
        <v>0.2641</v>
      </c>
      <c r="F1323" s="80">
        <v>2.9051</v>
      </c>
      <c r="G1323" s="61" t="str">
        <f>INDEX(SETORES!$B:$B,MATCH(A1323,SETORES!$A:$A,0))</f>
        <v>Clientes</v>
      </c>
      <c r="H1323" s="61" t="s">
        <v>11</v>
      </c>
    </row>
    <row r="1324" spans="1:8" ht="14.25" hidden="1" customHeight="1" x14ac:dyDescent="0.3">
      <c r="A1324" s="2" t="s">
        <v>38</v>
      </c>
      <c r="B1324" s="60" t="s">
        <v>155</v>
      </c>
      <c r="C1324" s="60" t="s">
        <v>157</v>
      </c>
      <c r="D1324" s="68">
        <v>1</v>
      </c>
      <c r="E1324" s="73">
        <v>677.23393399999998</v>
      </c>
      <c r="F1324" s="79">
        <v>677.23393399999998</v>
      </c>
      <c r="G1324" s="60" t="str">
        <f>INDEX(SETORES!$B:$B,MATCH(A1324,SETORES!$A:$A,0))</f>
        <v>Clientes</v>
      </c>
      <c r="H1324" s="60" t="s">
        <v>11</v>
      </c>
    </row>
    <row r="1325" spans="1:8" ht="14.25" hidden="1" customHeight="1" x14ac:dyDescent="0.3">
      <c r="A1325" s="34" t="s">
        <v>38</v>
      </c>
      <c r="B1325" s="61" t="s">
        <v>162</v>
      </c>
      <c r="C1325" s="61" t="s">
        <v>222</v>
      </c>
      <c r="D1325" s="69">
        <v>1</v>
      </c>
      <c r="E1325" s="74">
        <v>2340.7600000000002</v>
      </c>
      <c r="F1325" s="80">
        <f>IFERROR(D1325*E1325,0)</f>
        <v>2340.7600000000002</v>
      </c>
      <c r="G1325" s="61" t="str">
        <f>INDEX(SETORES!$B:$B,MATCH(A1325,SETORES!$A:$A,0))</f>
        <v>Clientes</v>
      </c>
      <c r="H1325" s="61" t="s">
        <v>11</v>
      </c>
    </row>
    <row r="1326" spans="1:8" ht="14.25" hidden="1" customHeight="1" x14ac:dyDescent="0.3">
      <c r="A1326" s="2" t="s">
        <v>38</v>
      </c>
      <c r="B1326" s="60" t="s">
        <v>155</v>
      </c>
      <c r="C1326" s="60" t="s">
        <v>189</v>
      </c>
      <c r="D1326" s="68">
        <v>1</v>
      </c>
      <c r="E1326" s="73">
        <v>1262.2950780000001</v>
      </c>
      <c r="F1326" s="79">
        <f>IFERROR(D1326*E1326,0)</f>
        <v>1262.2950780000001</v>
      </c>
      <c r="G1326" s="60" t="str">
        <f>INDEX(SETORES!$B:$B,MATCH(A1326,SETORES!$A:$A,0))</f>
        <v>Clientes</v>
      </c>
      <c r="H1326" s="60" t="s">
        <v>11</v>
      </c>
    </row>
    <row r="1327" spans="1:8" ht="14.25" hidden="1" customHeight="1" x14ac:dyDescent="0.3">
      <c r="A1327" s="2" t="s">
        <v>38</v>
      </c>
      <c r="B1327" s="60" t="s">
        <v>155</v>
      </c>
      <c r="C1327" s="60" t="s">
        <v>191</v>
      </c>
      <c r="D1327" s="68">
        <v>1</v>
      </c>
      <c r="E1327" s="73">
        <v>499.77868599999999</v>
      </c>
      <c r="F1327" s="79">
        <f>IFERROR(D1327*E1327,0)</f>
        <v>499.77868599999999</v>
      </c>
      <c r="G1327" s="60" t="str">
        <f>INDEX(SETORES!$B:$B,MATCH(A1327,SETORES!$A:$A,0))</f>
        <v>Clientes</v>
      </c>
      <c r="H1327" s="60" t="s">
        <v>11</v>
      </c>
    </row>
    <row r="1328" spans="1:8" ht="14.25" hidden="1" customHeight="1" x14ac:dyDescent="0.3">
      <c r="A1328" s="34" t="s">
        <v>38</v>
      </c>
      <c r="B1328" s="61" t="s">
        <v>155</v>
      </c>
      <c r="C1328" s="61" t="s">
        <v>187</v>
      </c>
      <c r="D1328" s="69">
        <v>1</v>
      </c>
      <c r="E1328" s="74">
        <v>608.77065700000003</v>
      </c>
      <c r="F1328" s="80">
        <f>IFERROR(D1328*E1328,0)</f>
        <v>608.77065700000003</v>
      </c>
      <c r="G1328" s="61" t="str">
        <f>INDEX(SETORES!$B:$B,MATCH(A1328,SETORES!$A:$A,0))</f>
        <v>Clientes</v>
      </c>
      <c r="H1328" s="61" t="s">
        <v>11</v>
      </c>
    </row>
    <row r="1329" spans="1:8" ht="14.25" hidden="1" customHeight="1" x14ac:dyDescent="0.3">
      <c r="A1329" s="2" t="s">
        <v>38</v>
      </c>
      <c r="B1329" s="60" t="s">
        <v>155</v>
      </c>
      <c r="C1329" s="60" t="s">
        <v>168</v>
      </c>
      <c r="D1329" s="68">
        <v>11</v>
      </c>
      <c r="E1329" s="73">
        <v>2.04</v>
      </c>
      <c r="F1329" s="79">
        <f>IFERROR(D1329*E1329,0)</f>
        <v>22.44</v>
      </c>
      <c r="G1329" s="60" t="str">
        <f>INDEX(SETORES!$B:$B,MATCH(A1329,SETORES!$A:$A,0))</f>
        <v>Clientes</v>
      </c>
      <c r="H1329" s="60" t="s">
        <v>11</v>
      </c>
    </row>
    <row r="1330" spans="1:8" ht="14.25" hidden="1" customHeight="1" x14ac:dyDescent="0.3">
      <c r="A1330" s="34" t="s">
        <v>38</v>
      </c>
      <c r="B1330" s="61" t="s">
        <v>155</v>
      </c>
      <c r="C1330" s="61" t="s">
        <v>160</v>
      </c>
      <c r="D1330" s="69"/>
      <c r="E1330" s="74"/>
      <c r="F1330" s="80">
        <f>IFERROR(D1330*E1330,0)</f>
        <v>0</v>
      </c>
      <c r="G1330" s="61" t="str">
        <f>INDEX(SETORES!$B:$B,MATCH(A1330,SETORES!$A:$A,0))</f>
        <v>Clientes</v>
      </c>
      <c r="H1330" s="61" t="s">
        <v>11</v>
      </c>
    </row>
    <row r="1331" spans="1:8" ht="14.25" hidden="1" customHeight="1" x14ac:dyDescent="0.3">
      <c r="A1331" s="34" t="s">
        <v>78</v>
      </c>
      <c r="B1331" s="61" t="s">
        <v>155</v>
      </c>
      <c r="C1331" s="61" t="s">
        <v>159</v>
      </c>
      <c r="D1331" s="69">
        <v>15</v>
      </c>
      <c r="E1331" s="74">
        <v>0.31240000000000001</v>
      </c>
      <c r="F1331" s="80">
        <v>4.6859999999999999</v>
      </c>
      <c r="G1331" s="61" t="str">
        <f>INDEX(SETORES!$B:$B,MATCH(A1331,SETORES!$A:$A,0))</f>
        <v>Clientes</v>
      </c>
      <c r="H1331" s="61" t="s">
        <v>11</v>
      </c>
    </row>
    <row r="1332" spans="1:8" ht="14.25" hidden="1" customHeight="1" x14ac:dyDescent="0.3">
      <c r="A1332" s="2" t="s">
        <v>78</v>
      </c>
      <c r="B1332" s="60" t="s">
        <v>155</v>
      </c>
      <c r="C1332" s="60" t="s">
        <v>212</v>
      </c>
      <c r="D1332" s="68">
        <v>13</v>
      </c>
      <c r="E1332" s="73">
        <v>30</v>
      </c>
      <c r="F1332" s="79">
        <f>IFERROR(D1332*E1332,0)</f>
        <v>390</v>
      </c>
      <c r="G1332" s="60" t="str">
        <f>INDEX(SETORES!$B:$B,MATCH(A1332,SETORES!$A:$A,0))</f>
        <v>Clientes</v>
      </c>
      <c r="H1332" s="60" t="s">
        <v>11</v>
      </c>
    </row>
    <row r="1333" spans="1:8" ht="14.25" hidden="1" customHeight="1" x14ac:dyDescent="0.3">
      <c r="A1333" s="34" t="s">
        <v>78</v>
      </c>
      <c r="B1333" s="61" t="s">
        <v>155</v>
      </c>
      <c r="C1333" s="61" t="s">
        <v>171</v>
      </c>
      <c r="D1333" s="69">
        <v>15</v>
      </c>
      <c r="E1333" s="73">
        <v>51.12</v>
      </c>
      <c r="F1333" s="80">
        <f>IFERROR(D1333*E1333,0)</f>
        <v>766.8</v>
      </c>
      <c r="G1333" s="61" t="s">
        <v>98</v>
      </c>
      <c r="H1333" s="61" t="s">
        <v>11</v>
      </c>
    </row>
    <row r="1334" spans="1:8" ht="14.25" hidden="1" customHeight="1" x14ac:dyDescent="0.3">
      <c r="A1334" s="2" t="s">
        <v>78</v>
      </c>
      <c r="B1334" s="60" t="s">
        <v>155</v>
      </c>
      <c r="C1334" s="60" t="s">
        <v>170</v>
      </c>
      <c r="D1334" s="68">
        <v>15</v>
      </c>
      <c r="E1334" s="73">
        <v>31.33</v>
      </c>
      <c r="F1334" s="79">
        <f>IFERROR(D1334*E1334,0)</f>
        <v>469.95</v>
      </c>
      <c r="G1334" s="61" t="s">
        <v>98</v>
      </c>
      <c r="H1334" s="60" t="s">
        <v>11</v>
      </c>
    </row>
    <row r="1335" spans="1:8" ht="14.25" customHeight="1" x14ac:dyDescent="0.3">
      <c r="A1335" s="2" t="s">
        <v>78</v>
      </c>
      <c r="B1335" s="60" t="s">
        <v>155</v>
      </c>
      <c r="C1335" s="60" t="s">
        <v>169</v>
      </c>
      <c r="D1335" s="68">
        <v>15</v>
      </c>
      <c r="E1335" s="73">
        <v>63.75</v>
      </c>
      <c r="F1335" s="79">
        <f>IFERROR(D1335*E1335,0)</f>
        <v>956.25</v>
      </c>
      <c r="G1335" s="61" t="s">
        <v>98</v>
      </c>
      <c r="H1335" s="60" t="s">
        <v>11</v>
      </c>
    </row>
    <row r="1336" spans="1:8" ht="14.25" hidden="1" customHeight="1" x14ac:dyDescent="0.3">
      <c r="A1336" s="2" t="s">
        <v>78</v>
      </c>
      <c r="B1336" s="60" t="s">
        <v>155</v>
      </c>
      <c r="C1336" s="60" t="s">
        <v>158</v>
      </c>
      <c r="D1336" s="68">
        <v>15</v>
      </c>
      <c r="E1336" s="73">
        <v>23.6877</v>
      </c>
      <c r="F1336" s="79">
        <v>355.31549999999999</v>
      </c>
      <c r="G1336" s="60" t="str">
        <f>INDEX(SETORES!$B:$B,MATCH(A1336,SETORES!$A:$A,0))</f>
        <v>Clientes</v>
      </c>
      <c r="H1336" s="60" t="s">
        <v>11</v>
      </c>
    </row>
    <row r="1337" spans="1:8" ht="14.25" hidden="1" customHeight="1" x14ac:dyDescent="0.3">
      <c r="A1337" s="34" t="s">
        <v>78</v>
      </c>
      <c r="B1337" s="61" t="s">
        <v>155</v>
      </c>
      <c r="C1337" s="61" t="s">
        <v>161</v>
      </c>
      <c r="D1337" s="69">
        <v>1</v>
      </c>
      <c r="E1337" s="74">
        <v>89682.63</v>
      </c>
      <c r="F1337" s="80">
        <f>IFERROR(E1337,0)</f>
        <v>89682.63</v>
      </c>
      <c r="G1337" s="61" t="str">
        <f>INDEX(SETORES!$B:$B,MATCH(A1337,SETORES!$A:$A,0))</f>
        <v>Clientes</v>
      </c>
      <c r="H1337" s="61" t="s">
        <v>11</v>
      </c>
    </row>
    <row r="1338" spans="1:8" ht="14.25" hidden="1" customHeight="1" x14ac:dyDescent="0.3">
      <c r="A1338" s="34" t="s">
        <v>78</v>
      </c>
      <c r="B1338" s="61" t="s">
        <v>155</v>
      </c>
      <c r="C1338" s="61" t="s">
        <v>167</v>
      </c>
      <c r="D1338" s="69">
        <v>15</v>
      </c>
      <c r="E1338" s="74">
        <v>9.85</v>
      </c>
      <c r="F1338" s="80">
        <f>IFERROR(D1338*E1338,0)</f>
        <v>147.75</v>
      </c>
      <c r="G1338" s="61" t="str">
        <f>INDEX(SETORES!$B:$B,MATCH(A1338,SETORES!$A:$A,0))</f>
        <v>Clientes</v>
      </c>
      <c r="H1338" s="61" t="s">
        <v>11</v>
      </c>
    </row>
    <row r="1339" spans="1:8" ht="14.25" hidden="1" customHeight="1" x14ac:dyDescent="0.3">
      <c r="A1339" s="34" t="s">
        <v>78</v>
      </c>
      <c r="B1339" s="61" t="s">
        <v>155</v>
      </c>
      <c r="C1339" s="61" t="s">
        <v>166</v>
      </c>
      <c r="D1339" s="69">
        <v>15</v>
      </c>
      <c r="E1339" s="74">
        <v>50</v>
      </c>
      <c r="F1339" s="80">
        <f>IFERROR(D1339*E1339,0)</f>
        <v>750</v>
      </c>
      <c r="G1339" s="61" t="str">
        <f>INDEX(SETORES!$B:$B,MATCH(A1339,SETORES!$A:$A,0))</f>
        <v>Clientes</v>
      </c>
      <c r="H1339" s="61" t="s">
        <v>11</v>
      </c>
    </row>
    <row r="1340" spans="1:8" ht="14.25" hidden="1" customHeight="1" x14ac:dyDescent="0.3">
      <c r="A1340" s="2" t="s">
        <v>78</v>
      </c>
      <c r="B1340" s="60" t="s">
        <v>162</v>
      </c>
      <c r="C1340" s="60" t="s">
        <v>209</v>
      </c>
      <c r="D1340" s="68">
        <v>15</v>
      </c>
      <c r="E1340" s="73">
        <v>85.71</v>
      </c>
      <c r="F1340" s="79">
        <f>IFERROR(D1340*E1340,0)</f>
        <v>1285.6499999999999</v>
      </c>
      <c r="G1340" s="60" t="str">
        <f>INDEX(SETORES!$B:$B,MATCH(A1340,SETORES!$A:$A,0))</f>
        <v>Clientes</v>
      </c>
      <c r="H1340" s="60" t="s">
        <v>11</v>
      </c>
    </row>
    <row r="1341" spans="1:8" ht="14.25" hidden="1" customHeight="1" x14ac:dyDescent="0.3">
      <c r="A1341" s="2" t="s">
        <v>78</v>
      </c>
      <c r="B1341" s="60" t="s">
        <v>162</v>
      </c>
      <c r="C1341" s="60" t="s">
        <v>222</v>
      </c>
      <c r="D1341" s="68"/>
      <c r="E1341" s="73"/>
      <c r="F1341" s="79">
        <f>IFERROR(D1341*E1341,0)</f>
        <v>0</v>
      </c>
      <c r="G1341" s="60" t="str">
        <f>INDEX(SETORES!$B:$B,MATCH(A1341,SETORES!$A:$A,0))</f>
        <v>Clientes</v>
      </c>
      <c r="H1341" s="60" t="s">
        <v>11</v>
      </c>
    </row>
    <row r="1342" spans="1:8" ht="14.25" hidden="1" customHeight="1" x14ac:dyDescent="0.3">
      <c r="A1342" s="2" t="s">
        <v>78</v>
      </c>
      <c r="B1342" s="60" t="s">
        <v>155</v>
      </c>
      <c r="C1342" s="60" t="s">
        <v>168</v>
      </c>
      <c r="D1342" s="68">
        <v>15</v>
      </c>
      <c r="E1342" s="73">
        <v>2.04</v>
      </c>
      <c r="F1342" s="79">
        <f>IFERROR(D1342*E1342,0)</f>
        <v>30.6</v>
      </c>
      <c r="G1342" s="60" t="str">
        <f>INDEX(SETORES!$B:$B,MATCH(A1342,SETORES!$A:$A,0))</f>
        <v>Clientes</v>
      </c>
      <c r="H1342" s="60" t="s">
        <v>11</v>
      </c>
    </row>
    <row r="1343" spans="1:8" ht="14.25" hidden="1" customHeight="1" x14ac:dyDescent="0.3">
      <c r="A1343" s="2" t="s">
        <v>54</v>
      </c>
      <c r="B1343" s="60" t="s">
        <v>155</v>
      </c>
      <c r="C1343" s="60" t="s">
        <v>206</v>
      </c>
      <c r="D1343" s="68">
        <v>1</v>
      </c>
      <c r="E1343" s="73">
        <v>545.99</v>
      </c>
      <c r="F1343" s="79">
        <f>IFERROR(D1343*E1343,0)</f>
        <v>545.99</v>
      </c>
      <c r="G1343" s="60" t="str">
        <f>INDEX(SETORES!$B:$B,MATCH(A1343,SETORES!$A:$A,0))</f>
        <v>Clientes</v>
      </c>
      <c r="H1343" s="60" t="s">
        <v>11</v>
      </c>
    </row>
    <row r="1344" spans="1:8" ht="14.25" hidden="1" customHeight="1" x14ac:dyDescent="0.3">
      <c r="A1344" s="34" t="s">
        <v>54</v>
      </c>
      <c r="B1344" s="61" t="s">
        <v>155</v>
      </c>
      <c r="C1344" s="61" t="s">
        <v>159</v>
      </c>
      <c r="D1344" s="69">
        <v>1</v>
      </c>
      <c r="E1344" s="74">
        <v>0.27500000000000002</v>
      </c>
      <c r="F1344" s="80">
        <v>0.27500000000000002</v>
      </c>
      <c r="G1344" s="61" t="s">
        <v>96</v>
      </c>
      <c r="H1344" s="61" t="s">
        <v>11</v>
      </c>
    </row>
    <row r="1345" spans="1:8" ht="14.25" hidden="1" customHeight="1" x14ac:dyDescent="0.3">
      <c r="A1345" s="34" t="s">
        <v>54</v>
      </c>
      <c r="B1345" s="61" t="s">
        <v>162</v>
      </c>
      <c r="C1345" s="61" t="s">
        <v>217</v>
      </c>
      <c r="D1345" s="69"/>
      <c r="E1345" s="74"/>
      <c r="F1345" s="80">
        <f>IFERROR(D1345*E1345,0)</f>
        <v>0</v>
      </c>
      <c r="G1345" s="61" t="str">
        <f>INDEX(SETORES!$B:$B,MATCH(A1345,SETORES!$A:$A,0))</f>
        <v>Clientes</v>
      </c>
      <c r="H1345" s="61" t="s">
        <v>11</v>
      </c>
    </row>
    <row r="1346" spans="1:8" ht="14.25" hidden="1" customHeight="1" x14ac:dyDescent="0.3">
      <c r="A1346" s="34" t="s">
        <v>54</v>
      </c>
      <c r="B1346" s="61" t="s">
        <v>162</v>
      </c>
      <c r="C1346" s="61" t="s">
        <v>203</v>
      </c>
      <c r="D1346" s="69">
        <v>1</v>
      </c>
      <c r="E1346" s="74">
        <v>2950.58</v>
      </c>
      <c r="F1346" s="80">
        <f>IFERROR(D1346*E1346,0)</f>
        <v>2950.58</v>
      </c>
      <c r="G1346" s="61" t="str">
        <f>INDEX(SETORES!$B:$B,MATCH(A1346,SETORES!$A:$A,0))</f>
        <v>Clientes</v>
      </c>
      <c r="H1346" s="61" t="s">
        <v>11</v>
      </c>
    </row>
    <row r="1347" spans="1:8" ht="14.25" hidden="1" customHeight="1" x14ac:dyDescent="0.3">
      <c r="A1347" s="34" t="s">
        <v>54</v>
      </c>
      <c r="B1347" s="61" t="s">
        <v>155</v>
      </c>
      <c r="C1347" s="61" t="s">
        <v>205</v>
      </c>
      <c r="D1347" s="69">
        <v>1</v>
      </c>
      <c r="E1347" s="74">
        <v>2997</v>
      </c>
      <c r="F1347" s="80">
        <f>IFERROR(D1347*E1347,0)</f>
        <v>2997</v>
      </c>
      <c r="G1347" s="61" t="str">
        <f>INDEX(SETORES!$B:$B,MATCH(A1347,SETORES!$A:$A,0))</f>
        <v>Clientes</v>
      </c>
      <c r="H1347" s="61" t="s">
        <v>11</v>
      </c>
    </row>
    <row r="1348" spans="1:8" ht="14.25" hidden="1" customHeight="1" x14ac:dyDescent="0.3">
      <c r="A1348" s="34" t="s">
        <v>54</v>
      </c>
      <c r="B1348" s="61" t="s">
        <v>155</v>
      </c>
      <c r="C1348" s="61" t="s">
        <v>171</v>
      </c>
      <c r="D1348" s="69">
        <v>10</v>
      </c>
      <c r="E1348" s="73">
        <v>51.12</v>
      </c>
      <c r="F1348" s="80">
        <f>IFERROR(D1348*E1348,0)</f>
        <v>511.2</v>
      </c>
      <c r="G1348" s="61" t="s">
        <v>98</v>
      </c>
      <c r="H1348" s="61" t="s">
        <v>11</v>
      </c>
    </row>
    <row r="1349" spans="1:8" ht="14.25" hidden="1" customHeight="1" x14ac:dyDescent="0.3">
      <c r="A1349" s="2" t="s">
        <v>54</v>
      </c>
      <c r="B1349" s="60" t="s">
        <v>155</v>
      </c>
      <c r="C1349" s="60" t="s">
        <v>170</v>
      </c>
      <c r="D1349" s="68">
        <v>10</v>
      </c>
      <c r="E1349" s="73">
        <v>31.33</v>
      </c>
      <c r="F1349" s="79">
        <f>IFERROR(D1349*E1349,0)</f>
        <v>313.29999999999995</v>
      </c>
      <c r="G1349" s="61" t="s">
        <v>98</v>
      </c>
      <c r="H1349" s="60" t="s">
        <v>11</v>
      </c>
    </row>
    <row r="1350" spans="1:8" ht="14.25" customHeight="1" x14ac:dyDescent="0.3">
      <c r="A1350" s="2" t="s">
        <v>54</v>
      </c>
      <c r="B1350" s="60" t="s">
        <v>155</v>
      </c>
      <c r="C1350" s="60" t="s">
        <v>169</v>
      </c>
      <c r="D1350" s="68">
        <v>11</v>
      </c>
      <c r="E1350" s="73">
        <v>63.75</v>
      </c>
      <c r="F1350" s="79">
        <f>IFERROR(D1350*E1350,0)</f>
        <v>701.25</v>
      </c>
      <c r="G1350" s="61" t="s">
        <v>98</v>
      </c>
      <c r="H1350" s="60" t="s">
        <v>11</v>
      </c>
    </row>
    <row r="1351" spans="1:8" ht="14.25" customHeight="1" x14ac:dyDescent="0.3">
      <c r="A1351" s="34" t="s">
        <v>54</v>
      </c>
      <c r="B1351" s="61" t="s">
        <v>162</v>
      </c>
      <c r="C1351" s="61" t="s">
        <v>199</v>
      </c>
      <c r="D1351" s="69"/>
      <c r="E1351" s="74"/>
      <c r="F1351" s="79">
        <f>IFERROR(D1351*E1351,0)</f>
        <v>0</v>
      </c>
      <c r="G1351" s="61" t="s">
        <v>98</v>
      </c>
      <c r="H1351" s="61" t="s">
        <v>11</v>
      </c>
    </row>
    <row r="1352" spans="1:8" ht="14.25" hidden="1" customHeight="1" x14ac:dyDescent="0.3">
      <c r="A1352" s="34" t="s">
        <v>54</v>
      </c>
      <c r="B1352" s="61" t="s">
        <v>162</v>
      </c>
      <c r="C1352" s="61" t="s">
        <v>201</v>
      </c>
      <c r="D1352" s="69"/>
      <c r="E1352" s="74"/>
      <c r="F1352" s="80">
        <f>IFERROR(D1352*E1352,0)</f>
        <v>0</v>
      </c>
      <c r="G1352" s="61" t="str">
        <f>INDEX(SETORES!$B:$B,MATCH(A1352,SETORES!$A:$A,0))</f>
        <v>Clientes</v>
      </c>
      <c r="H1352" s="61" t="s">
        <v>11</v>
      </c>
    </row>
    <row r="1353" spans="1:8" ht="14.25" hidden="1" customHeight="1" x14ac:dyDescent="0.3">
      <c r="A1353" s="34" t="s">
        <v>54</v>
      </c>
      <c r="B1353" s="61" t="s">
        <v>155</v>
      </c>
      <c r="C1353" s="61" t="s">
        <v>207</v>
      </c>
      <c r="D1353" s="69"/>
      <c r="E1353" s="74"/>
      <c r="F1353" s="80">
        <f>IFERROR(D1353*E1353,0)</f>
        <v>0</v>
      </c>
      <c r="G1353" s="61" t="str">
        <f>INDEX(SETORES!$B:$B,MATCH(A1353,SETORES!$A:$A,0))</f>
        <v>Clientes</v>
      </c>
      <c r="H1353" s="61" t="s">
        <v>11</v>
      </c>
    </row>
    <row r="1354" spans="1:8" ht="14.25" hidden="1" customHeight="1" x14ac:dyDescent="0.3">
      <c r="A1354" s="34" t="s">
        <v>54</v>
      </c>
      <c r="B1354" s="61" t="s">
        <v>155</v>
      </c>
      <c r="C1354" s="61" t="s">
        <v>196</v>
      </c>
      <c r="D1354" s="69">
        <v>10</v>
      </c>
      <c r="E1354" s="74">
        <v>50</v>
      </c>
      <c r="F1354" s="80">
        <f>IFERROR(D1354*E1354,0)</f>
        <v>500</v>
      </c>
      <c r="G1354" s="61" t="str">
        <f>INDEX(SETORES!$B:$B,MATCH(A1354,SETORES!$A:$A,0))</f>
        <v>Clientes</v>
      </c>
      <c r="H1354" s="61" t="s">
        <v>11</v>
      </c>
    </row>
    <row r="1355" spans="1:8" ht="14.25" hidden="1" customHeight="1" x14ac:dyDescent="0.3">
      <c r="A1355" s="34" t="s">
        <v>54</v>
      </c>
      <c r="B1355" s="61" t="s">
        <v>162</v>
      </c>
      <c r="C1355" s="61" t="s">
        <v>194</v>
      </c>
      <c r="D1355" s="69"/>
      <c r="E1355" s="74"/>
      <c r="F1355" s="80">
        <f>IFERROR(D1355*E1355,0)</f>
        <v>0</v>
      </c>
      <c r="G1355" s="61" t="str">
        <f>INDEX(SETORES!$B:$B,MATCH(A1355,SETORES!$A:$A,0))</f>
        <v>Clientes</v>
      </c>
      <c r="H1355" s="61" t="s">
        <v>11</v>
      </c>
    </row>
    <row r="1356" spans="1:8" ht="14.25" hidden="1" customHeight="1" x14ac:dyDescent="0.3">
      <c r="A1356" s="2" t="s">
        <v>54</v>
      </c>
      <c r="B1356" s="60" t="s">
        <v>155</v>
      </c>
      <c r="C1356" s="60" t="s">
        <v>158</v>
      </c>
      <c r="D1356" s="68">
        <v>1</v>
      </c>
      <c r="E1356" s="73">
        <v>96.329400000000007</v>
      </c>
      <c r="F1356" s="79">
        <v>96.329400000000007</v>
      </c>
      <c r="G1356" s="60" t="s">
        <v>96</v>
      </c>
      <c r="H1356" s="60" t="s">
        <v>11</v>
      </c>
    </row>
    <row r="1357" spans="1:8" ht="14.25" hidden="1" customHeight="1" x14ac:dyDescent="0.3">
      <c r="A1357" s="2" t="s">
        <v>54</v>
      </c>
      <c r="B1357" s="60" t="s">
        <v>155</v>
      </c>
      <c r="C1357" s="60" t="s">
        <v>197</v>
      </c>
      <c r="D1357" s="68">
        <v>10</v>
      </c>
      <c r="E1357" s="73">
        <v>128551.32</v>
      </c>
      <c r="F1357" s="79">
        <f>IFERROR(E1357,0)</f>
        <v>128551.32</v>
      </c>
      <c r="G1357" s="60" t="str">
        <f>INDEX(SETORES!$B:$B,MATCH(A1357,SETORES!$A:$A,0))</f>
        <v>Clientes</v>
      </c>
      <c r="H1357" s="60" t="s">
        <v>11</v>
      </c>
    </row>
    <row r="1358" spans="1:8" ht="14.25" hidden="1" customHeight="1" x14ac:dyDescent="0.3">
      <c r="A1358" s="2" t="s">
        <v>54</v>
      </c>
      <c r="B1358" s="60" t="s">
        <v>155</v>
      </c>
      <c r="C1358" s="60" t="s">
        <v>167</v>
      </c>
      <c r="D1358" s="68">
        <v>10</v>
      </c>
      <c r="E1358" s="73">
        <v>9.85</v>
      </c>
      <c r="F1358" s="79">
        <f>IFERROR(D1358*E1358,0)</f>
        <v>98.5</v>
      </c>
      <c r="G1358" s="60" t="str">
        <f>INDEX(SETORES!$B:$B,MATCH(A1358,SETORES!$A:$A,0))</f>
        <v>Clientes</v>
      </c>
      <c r="H1358" s="60" t="s">
        <v>11</v>
      </c>
    </row>
    <row r="1359" spans="1:8" ht="14.25" hidden="1" customHeight="1" x14ac:dyDescent="0.3">
      <c r="A1359" s="2" t="s">
        <v>54</v>
      </c>
      <c r="B1359" s="60" t="s">
        <v>155</v>
      </c>
      <c r="C1359" s="60" t="s">
        <v>238</v>
      </c>
      <c r="D1359" s="68">
        <v>1</v>
      </c>
      <c r="E1359" s="73">
        <v>11.36364</v>
      </c>
      <c r="F1359" s="79">
        <f>IFERROR(D1359*E1359,0)</f>
        <v>11.36364</v>
      </c>
      <c r="G1359" s="60" t="str">
        <f>INDEX(SETORES!$B:$B,MATCH(A1359,SETORES!$A:$A,0))</f>
        <v>Clientes</v>
      </c>
      <c r="H1359" s="60" t="s">
        <v>11</v>
      </c>
    </row>
    <row r="1360" spans="1:8" ht="14.25" hidden="1" customHeight="1" x14ac:dyDescent="0.3">
      <c r="A1360" s="34" t="s">
        <v>54</v>
      </c>
      <c r="B1360" s="61" t="s">
        <v>155</v>
      </c>
      <c r="C1360" s="61" t="s">
        <v>198</v>
      </c>
      <c r="D1360" s="69">
        <v>7</v>
      </c>
      <c r="E1360" s="74">
        <v>30</v>
      </c>
      <c r="F1360" s="80">
        <f>IFERROR(D1360*E1360,0)</f>
        <v>210</v>
      </c>
      <c r="G1360" s="61" t="str">
        <f>INDEX(SETORES!$B:$B,MATCH(A1360,SETORES!$A:$A,0))</f>
        <v>Clientes</v>
      </c>
      <c r="H1360" s="61" t="s">
        <v>11</v>
      </c>
    </row>
    <row r="1361" spans="1:8" ht="14.25" hidden="1" customHeight="1" x14ac:dyDescent="0.3">
      <c r="A1361" s="2" t="s">
        <v>54</v>
      </c>
      <c r="B1361" s="60" t="s">
        <v>162</v>
      </c>
      <c r="C1361" s="60" t="s">
        <v>195</v>
      </c>
      <c r="D1361" s="68"/>
      <c r="E1361" s="73"/>
      <c r="F1361" s="79">
        <f>IFERROR(D1361*E1361,0)</f>
        <v>0</v>
      </c>
      <c r="G1361" s="60" t="str">
        <f>INDEX(SETORES!$B:$B,MATCH(A1361,SETORES!$A:$A,0))</f>
        <v>Clientes</v>
      </c>
      <c r="H1361" s="60" t="s">
        <v>11</v>
      </c>
    </row>
    <row r="1362" spans="1:8" ht="14.25" hidden="1" customHeight="1" x14ac:dyDescent="0.3">
      <c r="A1362" s="34" t="s">
        <v>54</v>
      </c>
      <c r="B1362" s="61" t="s">
        <v>155</v>
      </c>
      <c r="C1362" s="61" t="s">
        <v>157</v>
      </c>
      <c r="D1362" s="69">
        <v>1</v>
      </c>
      <c r="E1362" s="74">
        <v>97.45</v>
      </c>
      <c r="F1362" s="80">
        <v>97.45</v>
      </c>
      <c r="G1362" s="61" t="str">
        <f>INDEX(SETORES!$B:$B,MATCH(A1362,SETORES!$A:$A,0))</f>
        <v>Clientes</v>
      </c>
      <c r="H1362" s="61" t="s">
        <v>11</v>
      </c>
    </row>
    <row r="1363" spans="1:8" ht="14.25" hidden="1" customHeight="1" x14ac:dyDescent="0.3">
      <c r="A1363" s="2" t="s">
        <v>54</v>
      </c>
      <c r="B1363" s="60" t="s">
        <v>162</v>
      </c>
      <c r="C1363" s="60" t="s">
        <v>200</v>
      </c>
      <c r="D1363" s="68"/>
      <c r="E1363" s="73"/>
      <c r="F1363" s="79">
        <f>IFERROR(D1363*E1363,0)</f>
        <v>0</v>
      </c>
      <c r="G1363" s="60" t="str">
        <f>INDEX(SETORES!$B:$B,MATCH(A1363,SETORES!$A:$A,0))</f>
        <v>Clientes</v>
      </c>
      <c r="H1363" s="60" t="s">
        <v>11</v>
      </c>
    </row>
    <row r="1364" spans="1:8" ht="14.25" hidden="1" customHeight="1" x14ac:dyDescent="0.3">
      <c r="A1364" s="34" t="s">
        <v>54</v>
      </c>
      <c r="B1364" s="61" t="s">
        <v>162</v>
      </c>
      <c r="C1364" s="61" t="s">
        <v>222</v>
      </c>
      <c r="D1364" s="69"/>
      <c r="E1364" s="74"/>
      <c r="F1364" s="80">
        <f>IFERROR(D1364*E1364,0)</f>
        <v>0</v>
      </c>
      <c r="G1364" s="61" t="str">
        <f>INDEX(SETORES!$B:$B,MATCH(A1364,SETORES!$A:$A,0))</f>
        <v>Clientes</v>
      </c>
      <c r="H1364" s="61" t="s">
        <v>11</v>
      </c>
    </row>
    <row r="1365" spans="1:8" ht="14.25" hidden="1" customHeight="1" x14ac:dyDescent="0.3">
      <c r="A1365" s="2" t="s">
        <v>54</v>
      </c>
      <c r="B1365" s="60" t="s">
        <v>162</v>
      </c>
      <c r="C1365" s="60" t="s">
        <v>204</v>
      </c>
      <c r="D1365" s="68">
        <v>1</v>
      </c>
      <c r="E1365" s="73">
        <v>3022.47</v>
      </c>
      <c r="F1365" s="79">
        <f>IFERROR(D1365*E1365,0)</f>
        <v>3022.47</v>
      </c>
      <c r="G1365" s="60" t="str">
        <f>INDEX(SETORES!$B:$B,MATCH(A1365,SETORES!$A:$A,0))</f>
        <v>Clientes</v>
      </c>
      <c r="H1365" s="60" t="s">
        <v>11</v>
      </c>
    </row>
    <row r="1366" spans="1:8" ht="14.25" hidden="1" customHeight="1" x14ac:dyDescent="0.3">
      <c r="A1366" s="2" t="s">
        <v>54</v>
      </c>
      <c r="B1366" s="60" t="s">
        <v>155</v>
      </c>
      <c r="C1366" s="60" t="s">
        <v>208</v>
      </c>
      <c r="D1366" s="68">
        <v>1</v>
      </c>
      <c r="E1366" s="73">
        <v>3042.34</v>
      </c>
      <c r="F1366" s="79">
        <f>IFERROR(D1366*E1366,0)</f>
        <v>3042.34</v>
      </c>
      <c r="G1366" s="60" t="str">
        <f>INDEX(SETORES!$B:$B,MATCH(A1366,SETORES!$A:$A,0))</f>
        <v>Clientes</v>
      </c>
      <c r="H1366" s="60" t="s">
        <v>11</v>
      </c>
    </row>
    <row r="1367" spans="1:8" ht="14.25" hidden="1" customHeight="1" x14ac:dyDescent="0.3">
      <c r="A1367" s="34" t="s">
        <v>54</v>
      </c>
      <c r="B1367" s="61" t="s">
        <v>155</v>
      </c>
      <c r="C1367" s="61" t="s">
        <v>168</v>
      </c>
      <c r="D1367" s="69">
        <v>10</v>
      </c>
      <c r="E1367" s="74">
        <v>2.04</v>
      </c>
      <c r="F1367" s="80">
        <f>IFERROR(D1367*E1367,0)</f>
        <v>20.399999999999999</v>
      </c>
      <c r="G1367" s="61" t="str">
        <f>INDEX(SETORES!$B:$B,MATCH(A1367,SETORES!$A:$A,0))</f>
        <v>Clientes</v>
      </c>
      <c r="H1367" s="61" t="s">
        <v>11</v>
      </c>
    </row>
    <row r="1368" spans="1:8" ht="14.25" hidden="1" customHeight="1" x14ac:dyDescent="0.3">
      <c r="A1368" s="2" t="s">
        <v>54</v>
      </c>
      <c r="B1368" s="60" t="s">
        <v>162</v>
      </c>
      <c r="C1368" s="60" t="s">
        <v>202</v>
      </c>
      <c r="D1368" s="68"/>
      <c r="E1368" s="73"/>
      <c r="F1368" s="79">
        <f>IFERROR(D1368*E1368,0)</f>
        <v>0</v>
      </c>
      <c r="G1368" s="60" t="str">
        <f>INDEX(SETORES!$B:$B,MATCH(A1368,SETORES!$A:$A,0))</f>
        <v>Clientes</v>
      </c>
      <c r="H1368" s="60" t="s">
        <v>11</v>
      </c>
    </row>
    <row r="1369" spans="1:8" ht="14.25" hidden="1" customHeight="1" x14ac:dyDescent="0.3">
      <c r="A1369" s="2" t="s">
        <v>43</v>
      </c>
      <c r="B1369" s="60" t="s">
        <v>155</v>
      </c>
      <c r="C1369" s="60" t="s">
        <v>159</v>
      </c>
      <c r="D1369" s="68">
        <v>4</v>
      </c>
      <c r="E1369" s="73">
        <v>0.31240000000000001</v>
      </c>
      <c r="F1369" s="79">
        <v>1.2496</v>
      </c>
      <c r="G1369" s="60" t="str">
        <f>INDEX(SETORES!$B:$B,MATCH(A1369,SETORES!$A:$A,0))</f>
        <v>Clientes</v>
      </c>
      <c r="H1369" s="60" t="s">
        <v>11</v>
      </c>
    </row>
    <row r="1370" spans="1:8" ht="14.25" hidden="1" customHeight="1" x14ac:dyDescent="0.3">
      <c r="A1370" s="34" t="s">
        <v>43</v>
      </c>
      <c r="B1370" s="61" t="s">
        <v>155</v>
      </c>
      <c r="C1370" s="61" t="s">
        <v>212</v>
      </c>
      <c r="D1370" s="69">
        <v>2</v>
      </c>
      <c r="E1370" s="74">
        <v>30</v>
      </c>
      <c r="F1370" s="80">
        <f>IFERROR(D1370*E1370,0)</f>
        <v>60</v>
      </c>
      <c r="G1370" s="61" t="str">
        <f>INDEX(SETORES!$B:$B,MATCH(A1370,SETORES!$A:$A,0))</f>
        <v>Clientes</v>
      </c>
      <c r="H1370" s="61" t="s">
        <v>11</v>
      </c>
    </row>
    <row r="1371" spans="1:8" ht="14.25" hidden="1" customHeight="1" x14ac:dyDescent="0.3">
      <c r="A1371" s="34" t="s">
        <v>43</v>
      </c>
      <c r="B1371" s="61" t="s">
        <v>155</v>
      </c>
      <c r="C1371" s="61" t="s">
        <v>158</v>
      </c>
      <c r="D1371" s="69">
        <v>4</v>
      </c>
      <c r="E1371" s="74">
        <v>23.6877</v>
      </c>
      <c r="F1371" s="80">
        <v>94.750799999999998</v>
      </c>
      <c r="G1371" s="61" t="str">
        <f>INDEX(SETORES!$B:$B,MATCH(A1371,SETORES!$A:$A,0))</f>
        <v>Clientes</v>
      </c>
      <c r="H1371" s="61" t="s">
        <v>11</v>
      </c>
    </row>
    <row r="1372" spans="1:8" ht="14.25" hidden="1" customHeight="1" x14ac:dyDescent="0.3">
      <c r="A1372" s="2" t="s">
        <v>43</v>
      </c>
      <c r="B1372" s="60" t="s">
        <v>155</v>
      </c>
      <c r="C1372" s="60" t="s">
        <v>161</v>
      </c>
      <c r="D1372" s="68">
        <v>1</v>
      </c>
      <c r="E1372" s="73">
        <v>23138.39</v>
      </c>
      <c r="F1372" s="79">
        <f>IFERROR(E1372,0)</f>
        <v>23138.39</v>
      </c>
      <c r="G1372" s="60" t="str">
        <f>INDEX(SETORES!$B:$B,MATCH(A1372,SETORES!$A:$A,0))</f>
        <v>Clientes</v>
      </c>
      <c r="H1372" s="60" t="s">
        <v>11</v>
      </c>
    </row>
    <row r="1373" spans="1:8" ht="14.25" hidden="1" customHeight="1" x14ac:dyDescent="0.3">
      <c r="A1373" s="2" t="s">
        <v>43</v>
      </c>
      <c r="B1373" s="60" t="s">
        <v>155</v>
      </c>
      <c r="C1373" s="60" t="s">
        <v>167</v>
      </c>
      <c r="D1373" s="68">
        <v>4</v>
      </c>
      <c r="E1373" s="73">
        <v>9.85</v>
      </c>
      <c r="F1373" s="79">
        <f>IFERROR(D1373*E1373,0)</f>
        <v>39.4</v>
      </c>
      <c r="G1373" s="60" t="str">
        <f>INDEX(SETORES!$B:$B,MATCH(A1373,SETORES!$A:$A,0))</f>
        <v>Clientes</v>
      </c>
      <c r="H1373" s="60" t="s">
        <v>11</v>
      </c>
    </row>
    <row r="1374" spans="1:8" ht="14.25" hidden="1" customHeight="1" x14ac:dyDescent="0.3">
      <c r="A1374" s="34" t="s">
        <v>43</v>
      </c>
      <c r="B1374" s="61" t="s">
        <v>155</v>
      </c>
      <c r="C1374" s="61" t="s">
        <v>238</v>
      </c>
      <c r="D1374" s="69">
        <v>1</v>
      </c>
      <c r="E1374" s="74">
        <v>25.6</v>
      </c>
      <c r="F1374" s="80">
        <f>IFERROR(D1374*E1374,0)</f>
        <v>25.6</v>
      </c>
      <c r="G1374" s="61" t="str">
        <f>INDEX(SETORES!$B:$B,MATCH(A1374,SETORES!$A:$A,0))</f>
        <v>Clientes</v>
      </c>
      <c r="H1374" s="61" t="s">
        <v>11</v>
      </c>
    </row>
    <row r="1375" spans="1:8" ht="14.25" hidden="1" customHeight="1" x14ac:dyDescent="0.3">
      <c r="A1375" s="2" t="s">
        <v>43</v>
      </c>
      <c r="B1375" s="60" t="s">
        <v>155</v>
      </c>
      <c r="C1375" s="60" t="s">
        <v>166</v>
      </c>
      <c r="D1375" s="68">
        <v>4</v>
      </c>
      <c r="E1375" s="73">
        <v>50</v>
      </c>
      <c r="F1375" s="79">
        <f>IFERROR(D1375*E1375,0)</f>
        <v>200</v>
      </c>
      <c r="G1375" s="60" t="str">
        <f>INDEX(SETORES!$B:$B,MATCH(A1375,SETORES!$A:$A,0))</f>
        <v>Clientes</v>
      </c>
      <c r="H1375" s="60" t="s">
        <v>11</v>
      </c>
    </row>
    <row r="1376" spans="1:8" ht="14.25" hidden="1" customHeight="1" x14ac:dyDescent="0.3">
      <c r="A1376" s="34" t="s">
        <v>43</v>
      </c>
      <c r="B1376" s="61" t="s">
        <v>155</v>
      </c>
      <c r="C1376" s="61" t="s">
        <v>156</v>
      </c>
      <c r="D1376" s="69"/>
      <c r="E1376" s="74"/>
      <c r="F1376" s="80">
        <v>0</v>
      </c>
      <c r="G1376" s="61" t="str">
        <f>INDEX(SETORES!$B:$B,MATCH(A1376,SETORES!$A:$A,0))</f>
        <v>Clientes</v>
      </c>
      <c r="H1376" s="61" t="s">
        <v>11</v>
      </c>
    </row>
    <row r="1377" spans="1:8" ht="14.25" hidden="1" customHeight="1" x14ac:dyDescent="0.3">
      <c r="A1377" s="2" t="s">
        <v>43</v>
      </c>
      <c r="B1377" s="60" t="s">
        <v>155</v>
      </c>
      <c r="C1377" s="60" t="s">
        <v>157</v>
      </c>
      <c r="D1377" s="68"/>
      <c r="E1377" s="73"/>
      <c r="F1377" s="79">
        <v>0</v>
      </c>
      <c r="G1377" s="60" t="str">
        <f>INDEX(SETORES!$B:$B,MATCH(A1377,SETORES!$A:$A,0))</f>
        <v>Clientes</v>
      </c>
      <c r="H1377" s="60" t="s">
        <v>11</v>
      </c>
    </row>
    <row r="1378" spans="1:8" ht="14.25" hidden="1" customHeight="1" x14ac:dyDescent="0.3">
      <c r="A1378" s="34" t="s">
        <v>43</v>
      </c>
      <c r="B1378" s="61" t="s">
        <v>162</v>
      </c>
      <c r="C1378" s="61" t="s">
        <v>209</v>
      </c>
      <c r="D1378" s="69">
        <v>4</v>
      </c>
      <c r="E1378" s="74">
        <v>85.71</v>
      </c>
      <c r="F1378" s="80">
        <f>IFERROR(D1378*E1378,0)</f>
        <v>342.84</v>
      </c>
      <c r="G1378" s="61" t="str">
        <f>INDEX(SETORES!$B:$B,MATCH(A1378,SETORES!$A:$A,0))</f>
        <v>Clientes</v>
      </c>
      <c r="H1378" s="61" t="s">
        <v>11</v>
      </c>
    </row>
    <row r="1379" spans="1:8" ht="14.25" hidden="1" customHeight="1" x14ac:dyDescent="0.3">
      <c r="A1379" s="34" t="s">
        <v>43</v>
      </c>
      <c r="B1379" s="61" t="s">
        <v>162</v>
      </c>
      <c r="C1379" s="61" t="s">
        <v>222</v>
      </c>
      <c r="D1379" s="69"/>
      <c r="E1379" s="74"/>
      <c r="F1379" s="80">
        <f>IFERROR(D1379*E1379,0)</f>
        <v>0</v>
      </c>
      <c r="G1379" s="61" t="str">
        <f>INDEX(SETORES!$B:$B,MATCH(A1379,SETORES!$A:$A,0))</f>
        <v>Clientes</v>
      </c>
      <c r="H1379" s="61" t="s">
        <v>11</v>
      </c>
    </row>
    <row r="1380" spans="1:8" ht="14.25" hidden="1" customHeight="1" x14ac:dyDescent="0.3">
      <c r="A1380" s="34" t="s">
        <v>43</v>
      </c>
      <c r="B1380" s="61" t="s">
        <v>155</v>
      </c>
      <c r="C1380" s="61" t="s">
        <v>168</v>
      </c>
      <c r="D1380" s="69">
        <v>4</v>
      </c>
      <c r="E1380" s="74">
        <v>2.04</v>
      </c>
      <c r="F1380" s="80">
        <f>IFERROR(D1380*E1380,0)</f>
        <v>8.16</v>
      </c>
      <c r="G1380" s="61" t="str">
        <f>INDEX(SETORES!$B:$B,MATCH(A1380,SETORES!$A:$A,0))</f>
        <v>Clientes</v>
      </c>
      <c r="H1380" s="61" t="s">
        <v>11</v>
      </c>
    </row>
    <row r="1381" spans="1:8" ht="14.25" hidden="1" customHeight="1" x14ac:dyDescent="0.3">
      <c r="A1381" s="34" t="s">
        <v>43</v>
      </c>
      <c r="B1381" s="61" t="s">
        <v>155</v>
      </c>
      <c r="C1381" s="61" t="s">
        <v>160</v>
      </c>
      <c r="D1381" s="69"/>
      <c r="E1381" s="74"/>
      <c r="F1381" s="80">
        <f>IFERROR(D1381*E1381,0)</f>
        <v>0</v>
      </c>
      <c r="G1381" s="61" t="str">
        <f>INDEX(SETORES!$B:$B,MATCH(A1381,SETORES!$A:$A,0))</f>
        <v>Clientes</v>
      </c>
      <c r="H1381" s="61" t="s">
        <v>11</v>
      </c>
    </row>
    <row r="1382" spans="1:8" ht="14.25" hidden="1" customHeight="1" x14ac:dyDescent="0.3">
      <c r="A1382" s="35" t="s">
        <v>143</v>
      </c>
      <c r="B1382" s="66" t="s">
        <v>155</v>
      </c>
      <c r="C1382" s="66" t="s">
        <v>161</v>
      </c>
      <c r="D1382" s="66">
        <v>1</v>
      </c>
      <c r="E1382" s="78">
        <v>45450.81</v>
      </c>
      <c r="F1382" s="78">
        <f>D1382*E1382</f>
        <v>45450.81</v>
      </c>
      <c r="G1382" s="66" t="s">
        <v>96</v>
      </c>
      <c r="H1382" s="60" t="s">
        <v>11</v>
      </c>
    </row>
    <row r="1383" spans="1:8" ht="14.25" hidden="1" customHeight="1" x14ac:dyDescent="0.3">
      <c r="A1383" s="2" t="s">
        <v>40</v>
      </c>
      <c r="B1383" s="60" t="s">
        <v>155</v>
      </c>
      <c r="C1383" s="60" t="s">
        <v>159</v>
      </c>
      <c r="D1383" s="68">
        <v>1</v>
      </c>
      <c r="E1383" s="73">
        <v>0.1</v>
      </c>
      <c r="F1383" s="79">
        <v>0.1</v>
      </c>
      <c r="G1383" s="60" t="str">
        <f>INDEX(SETORES!$B:$B,MATCH(A1383,SETORES!$A:$A,0))</f>
        <v>Clientes</v>
      </c>
      <c r="H1383" s="60" t="s">
        <v>11</v>
      </c>
    </row>
    <row r="1384" spans="1:8" ht="14.25" hidden="1" customHeight="1" x14ac:dyDescent="0.3">
      <c r="A1384" s="34" t="s">
        <v>40</v>
      </c>
      <c r="B1384" s="61" t="s">
        <v>162</v>
      </c>
      <c r="C1384" s="61" t="s">
        <v>241</v>
      </c>
      <c r="D1384" s="69">
        <v>1</v>
      </c>
      <c r="E1384" s="74">
        <v>6000</v>
      </c>
      <c r="F1384" s="80">
        <f>IFERROR(D1384*E1384,0)</f>
        <v>6000</v>
      </c>
      <c r="G1384" s="61" t="str">
        <f>INDEX(SETORES!$B:$B,MATCH(A1384,SETORES!$A:$A,0))</f>
        <v>Clientes</v>
      </c>
      <c r="H1384" s="61" t="s">
        <v>11</v>
      </c>
    </row>
    <row r="1385" spans="1:8" ht="14.25" hidden="1" customHeight="1" x14ac:dyDescent="0.3">
      <c r="A1385" s="2" t="s">
        <v>40</v>
      </c>
      <c r="B1385" s="60" t="s">
        <v>155</v>
      </c>
      <c r="C1385" s="60" t="s">
        <v>212</v>
      </c>
      <c r="D1385" s="68">
        <v>2</v>
      </c>
      <c r="E1385" s="73">
        <v>30</v>
      </c>
      <c r="F1385" s="79">
        <f>IFERROR(D1385*E1385,0)</f>
        <v>60</v>
      </c>
      <c r="G1385" s="60" t="str">
        <f>INDEX(SETORES!$B:$B,MATCH(A1385,SETORES!$A:$A,0))</f>
        <v>Clientes</v>
      </c>
      <c r="H1385" s="60" t="s">
        <v>11</v>
      </c>
    </row>
    <row r="1386" spans="1:8" ht="14.25" hidden="1" customHeight="1" x14ac:dyDescent="0.3">
      <c r="A1386" s="2" t="s">
        <v>40</v>
      </c>
      <c r="B1386" s="60" t="s">
        <v>162</v>
      </c>
      <c r="C1386" s="60" t="s">
        <v>211</v>
      </c>
      <c r="D1386" s="68">
        <v>1</v>
      </c>
      <c r="E1386" s="73">
        <v>12000</v>
      </c>
      <c r="F1386" s="79">
        <f>IFERROR(D1386*E1386,0)</f>
        <v>12000</v>
      </c>
      <c r="G1386" s="60" t="str">
        <f>INDEX(SETORES!$B:$B,MATCH(A1386,SETORES!$A:$A,0))</f>
        <v>Clientes</v>
      </c>
      <c r="H1386" s="60" t="s">
        <v>11</v>
      </c>
    </row>
    <row r="1387" spans="1:8" ht="14.25" hidden="1" customHeight="1" x14ac:dyDescent="0.3">
      <c r="A1387" s="2" t="s">
        <v>40</v>
      </c>
      <c r="B1387" s="60" t="s">
        <v>155</v>
      </c>
      <c r="C1387" s="60" t="s">
        <v>171</v>
      </c>
      <c r="D1387" s="68">
        <v>4</v>
      </c>
      <c r="E1387" s="73">
        <v>51.12</v>
      </c>
      <c r="F1387" s="79">
        <v>0.1</v>
      </c>
      <c r="G1387" s="61" t="s">
        <v>98</v>
      </c>
      <c r="H1387" s="60" t="s">
        <v>11</v>
      </c>
    </row>
    <row r="1388" spans="1:8" ht="14.25" hidden="1" customHeight="1" x14ac:dyDescent="0.3">
      <c r="A1388" s="2" t="s">
        <v>40</v>
      </c>
      <c r="B1388" s="60" t="s">
        <v>155</v>
      </c>
      <c r="C1388" s="60" t="s">
        <v>170</v>
      </c>
      <c r="D1388" s="68">
        <v>4</v>
      </c>
      <c r="E1388" s="73">
        <v>31.33</v>
      </c>
      <c r="F1388" s="79">
        <f>IFERROR(D1388*E1388,0)</f>
        <v>125.32</v>
      </c>
      <c r="G1388" s="61" t="s">
        <v>98</v>
      </c>
      <c r="H1388" s="60" t="s">
        <v>11</v>
      </c>
    </row>
    <row r="1389" spans="1:8" ht="14.25" customHeight="1" x14ac:dyDescent="0.3">
      <c r="A1389" s="2" t="s">
        <v>40</v>
      </c>
      <c r="B1389" s="60" t="s">
        <v>155</v>
      </c>
      <c r="C1389" s="60" t="s">
        <v>169</v>
      </c>
      <c r="D1389" s="68">
        <v>4</v>
      </c>
      <c r="E1389" s="73">
        <v>63.75</v>
      </c>
      <c r="F1389" s="79">
        <f>IFERROR(D1389*E1389,0)</f>
        <v>255</v>
      </c>
      <c r="G1389" s="61" t="s">
        <v>98</v>
      </c>
      <c r="H1389" s="60" t="s">
        <v>11</v>
      </c>
    </row>
    <row r="1390" spans="1:8" ht="14.25" hidden="1" customHeight="1" x14ac:dyDescent="0.3">
      <c r="A1390" s="34" t="s">
        <v>40</v>
      </c>
      <c r="B1390" s="61" t="s">
        <v>155</v>
      </c>
      <c r="C1390" s="61" t="s">
        <v>158</v>
      </c>
      <c r="D1390" s="69">
        <v>1</v>
      </c>
      <c r="E1390" s="74">
        <v>35.0289</v>
      </c>
      <c r="F1390" s="80">
        <v>35.0289</v>
      </c>
      <c r="G1390" s="61" t="str">
        <f>INDEX(SETORES!$B:$B,MATCH(A1390,SETORES!$A:$A,0))</f>
        <v>Clientes</v>
      </c>
      <c r="H1390" s="61" t="s">
        <v>11</v>
      </c>
    </row>
    <row r="1391" spans="1:8" ht="14.25" hidden="1" customHeight="1" x14ac:dyDescent="0.3">
      <c r="A1391" s="2" t="s">
        <v>40</v>
      </c>
      <c r="B1391" s="60" t="s">
        <v>162</v>
      </c>
      <c r="C1391" s="60" t="s">
        <v>163</v>
      </c>
      <c r="D1391" s="68">
        <v>1</v>
      </c>
      <c r="E1391" s="73">
        <v>136</v>
      </c>
      <c r="F1391" s="79">
        <f>IFERROR(D1391*E1391,0)</f>
        <v>136</v>
      </c>
      <c r="G1391" s="60" t="str">
        <f>INDEX(SETORES!$B:$B,MATCH(A1391,SETORES!$A:$A,0))</f>
        <v>Clientes</v>
      </c>
      <c r="H1391" s="60" t="s">
        <v>11</v>
      </c>
    </row>
    <row r="1392" spans="1:8" ht="14.25" hidden="1" customHeight="1" x14ac:dyDescent="0.3">
      <c r="A1392" s="34" t="s">
        <v>40</v>
      </c>
      <c r="B1392" s="61" t="s">
        <v>162</v>
      </c>
      <c r="C1392" s="61" t="s">
        <v>164</v>
      </c>
      <c r="D1392" s="69">
        <v>1</v>
      </c>
      <c r="E1392" s="74">
        <v>68</v>
      </c>
      <c r="F1392" s="80">
        <f>IFERROR(D1392*E1392,0)</f>
        <v>68</v>
      </c>
      <c r="G1392" s="61" t="str">
        <f>INDEX(SETORES!$B:$B,MATCH(A1392,SETORES!$A:$A,0))</f>
        <v>Clientes</v>
      </c>
      <c r="H1392" s="61" t="s">
        <v>11</v>
      </c>
    </row>
    <row r="1393" spans="1:8" ht="14.25" hidden="1" customHeight="1" x14ac:dyDescent="0.3">
      <c r="A1393" s="2" t="s">
        <v>40</v>
      </c>
      <c r="B1393" s="60" t="s">
        <v>155</v>
      </c>
      <c r="C1393" s="60" t="s">
        <v>161</v>
      </c>
      <c r="D1393" s="68">
        <v>1</v>
      </c>
      <c r="E1393" s="73">
        <v>13442.74</v>
      </c>
      <c r="F1393" s="79">
        <f>IFERROR(E1393,0)</f>
        <v>13442.74</v>
      </c>
      <c r="G1393" s="60" t="str">
        <f>INDEX(SETORES!$B:$B,MATCH(A1393,SETORES!$A:$A,0))</f>
        <v>Clientes</v>
      </c>
      <c r="H1393" s="60" t="s">
        <v>11</v>
      </c>
    </row>
    <row r="1394" spans="1:8" ht="14.25" hidden="1" customHeight="1" x14ac:dyDescent="0.3">
      <c r="A1394" s="2" t="s">
        <v>40</v>
      </c>
      <c r="B1394" s="60" t="s">
        <v>155</v>
      </c>
      <c r="C1394" s="60" t="s">
        <v>167</v>
      </c>
      <c r="D1394" s="68">
        <v>4</v>
      </c>
      <c r="E1394" s="73">
        <v>9.85</v>
      </c>
      <c r="F1394" s="79">
        <f>IFERROR(D1394*E1394,0)</f>
        <v>39.4</v>
      </c>
      <c r="G1394" s="60" t="str">
        <f>INDEX(SETORES!$B:$B,MATCH(A1394,SETORES!$A:$A,0))</f>
        <v>Clientes</v>
      </c>
      <c r="H1394" s="60" t="s">
        <v>11</v>
      </c>
    </row>
    <row r="1395" spans="1:8" ht="14.25" hidden="1" customHeight="1" x14ac:dyDescent="0.3">
      <c r="A1395" s="34" t="s">
        <v>40</v>
      </c>
      <c r="B1395" s="61" t="s">
        <v>155</v>
      </c>
      <c r="C1395" s="61" t="s">
        <v>238</v>
      </c>
      <c r="D1395" s="69">
        <v>1</v>
      </c>
      <c r="E1395" s="74">
        <v>4.5454559999999997</v>
      </c>
      <c r="F1395" s="80">
        <f>IFERROR(D1395*E1395,0)</f>
        <v>4.5454559999999997</v>
      </c>
      <c r="G1395" s="61" t="str">
        <f>INDEX(SETORES!$B:$B,MATCH(A1395,SETORES!$A:$A,0))</f>
        <v>Clientes</v>
      </c>
      <c r="H1395" s="61" t="s">
        <v>11</v>
      </c>
    </row>
    <row r="1396" spans="1:8" ht="14.25" hidden="1" customHeight="1" x14ac:dyDescent="0.3">
      <c r="A1396" s="34" t="s">
        <v>40</v>
      </c>
      <c r="B1396" s="61" t="s">
        <v>155</v>
      </c>
      <c r="C1396" s="61" t="s">
        <v>166</v>
      </c>
      <c r="D1396" s="69">
        <v>4</v>
      </c>
      <c r="E1396" s="74">
        <v>50</v>
      </c>
      <c r="F1396" s="80">
        <f>IFERROR(D1396*E1396,0)</f>
        <v>200</v>
      </c>
      <c r="G1396" s="61" t="str">
        <f>INDEX(SETORES!$B:$B,MATCH(A1396,SETORES!$A:$A,0))</f>
        <v>Clientes</v>
      </c>
      <c r="H1396" s="61" t="s">
        <v>11</v>
      </c>
    </row>
    <row r="1397" spans="1:8" ht="14.25" hidden="1" customHeight="1" x14ac:dyDescent="0.3">
      <c r="A1397" s="34" t="s">
        <v>40</v>
      </c>
      <c r="B1397" s="61" t="s">
        <v>155</v>
      </c>
      <c r="C1397" s="61" t="s">
        <v>181</v>
      </c>
      <c r="D1397" s="69">
        <v>1</v>
      </c>
      <c r="E1397" s="74">
        <v>2559.4499999999998</v>
      </c>
      <c r="F1397" s="80">
        <f>IFERROR(D1397*E1397,0)</f>
        <v>2559.4499999999998</v>
      </c>
      <c r="G1397" s="61" t="str">
        <f>INDEX(SETORES!$B:$B,MATCH(A1397,SETORES!$A:$A,0))</f>
        <v>Clientes</v>
      </c>
      <c r="H1397" s="61" t="s">
        <v>11</v>
      </c>
    </row>
    <row r="1398" spans="1:8" ht="14.25" hidden="1" customHeight="1" x14ac:dyDescent="0.3">
      <c r="A1398" s="34" t="s">
        <v>40</v>
      </c>
      <c r="B1398" s="61" t="s">
        <v>155</v>
      </c>
      <c r="C1398" s="61" t="s">
        <v>156</v>
      </c>
      <c r="D1398" s="69"/>
      <c r="E1398" s="74"/>
      <c r="F1398" s="80">
        <v>0</v>
      </c>
      <c r="G1398" s="61" t="str">
        <f>INDEX(SETORES!$B:$B,MATCH(A1398,SETORES!$A:$A,0))</f>
        <v>Clientes</v>
      </c>
      <c r="H1398" s="61" t="s">
        <v>11</v>
      </c>
    </row>
    <row r="1399" spans="1:8" ht="14.25" hidden="1" customHeight="1" x14ac:dyDescent="0.3">
      <c r="A1399" s="2" t="s">
        <v>40</v>
      </c>
      <c r="B1399" s="60" t="s">
        <v>155</v>
      </c>
      <c r="C1399" s="60" t="s">
        <v>157</v>
      </c>
      <c r="D1399" s="68">
        <v>1</v>
      </c>
      <c r="E1399" s="73">
        <v>63.95</v>
      </c>
      <c r="F1399" s="79">
        <v>63.95</v>
      </c>
      <c r="G1399" s="60" t="str">
        <f>INDEX(SETORES!$B:$B,MATCH(A1399,SETORES!$A:$A,0))</f>
        <v>Clientes</v>
      </c>
      <c r="H1399" s="60" t="s">
        <v>11</v>
      </c>
    </row>
    <row r="1400" spans="1:8" ht="14.25" hidden="1" customHeight="1" x14ac:dyDescent="0.3">
      <c r="A1400" s="2" t="s">
        <v>40</v>
      </c>
      <c r="B1400" s="60" t="s">
        <v>162</v>
      </c>
      <c r="C1400" s="60" t="s">
        <v>222</v>
      </c>
      <c r="D1400" s="68">
        <v>1</v>
      </c>
      <c r="E1400" s="73">
        <v>3112.37</v>
      </c>
      <c r="F1400" s="79">
        <f>IFERROR(D1400*E1400,0)</f>
        <v>3112.37</v>
      </c>
      <c r="G1400" s="60" t="str">
        <f>INDEX(SETORES!$B:$B,MATCH(A1400,SETORES!$A:$A,0))</f>
        <v>Clientes</v>
      </c>
      <c r="H1400" s="60" t="s">
        <v>11</v>
      </c>
    </row>
    <row r="1401" spans="1:8" ht="14.25" hidden="1" customHeight="1" x14ac:dyDescent="0.3">
      <c r="A1401" s="2" t="s">
        <v>40</v>
      </c>
      <c r="B1401" s="60" t="s">
        <v>155</v>
      </c>
      <c r="C1401" s="60" t="s">
        <v>182</v>
      </c>
      <c r="D1401" s="68"/>
      <c r="E1401" s="73"/>
      <c r="F1401" s="79">
        <f>IFERROR(D1401*E1401,0)</f>
        <v>0</v>
      </c>
      <c r="G1401" s="60" t="str">
        <f>INDEX(SETORES!$B:$B,MATCH(A1401,SETORES!$A:$A,0))</f>
        <v>Clientes</v>
      </c>
      <c r="H1401" s="60" t="s">
        <v>11</v>
      </c>
    </row>
    <row r="1402" spans="1:8" ht="14.25" hidden="1" customHeight="1" x14ac:dyDescent="0.3">
      <c r="A1402" s="34" t="s">
        <v>40</v>
      </c>
      <c r="B1402" s="61" t="s">
        <v>155</v>
      </c>
      <c r="C1402" s="61" t="s">
        <v>168</v>
      </c>
      <c r="D1402" s="69">
        <v>4</v>
      </c>
      <c r="E1402" s="74">
        <v>2.04</v>
      </c>
      <c r="F1402" s="80">
        <f>IFERROR(D1402*E1402,0)</f>
        <v>8.16</v>
      </c>
      <c r="G1402" s="61" t="str">
        <f>INDEX(SETORES!$B:$B,MATCH(A1402,SETORES!$A:$A,0))</f>
        <v>Clientes</v>
      </c>
      <c r="H1402" s="61" t="s">
        <v>11</v>
      </c>
    </row>
    <row r="1403" spans="1:8" ht="14.25" hidden="1" customHeight="1" x14ac:dyDescent="0.3">
      <c r="A1403" s="2" t="s">
        <v>41</v>
      </c>
      <c r="B1403" s="60" t="s">
        <v>155</v>
      </c>
      <c r="C1403" s="60" t="s">
        <v>159</v>
      </c>
      <c r="D1403" s="68">
        <v>1</v>
      </c>
      <c r="E1403" s="73">
        <v>2.5000000000000001E-2</v>
      </c>
      <c r="F1403" s="79">
        <v>2.5000000000000001E-2</v>
      </c>
      <c r="G1403" s="60" t="str">
        <f>INDEX(SETORES!$B:$B,MATCH(A1403,SETORES!$A:$A,0))</f>
        <v>Clientes</v>
      </c>
      <c r="H1403" s="60" t="s">
        <v>11</v>
      </c>
    </row>
    <row r="1404" spans="1:8" ht="14.25" hidden="1" customHeight="1" x14ac:dyDescent="0.3">
      <c r="A1404" s="34" t="s">
        <v>41</v>
      </c>
      <c r="B1404" s="61" t="s">
        <v>155</v>
      </c>
      <c r="C1404" s="61" t="s">
        <v>212</v>
      </c>
      <c r="D1404" s="69">
        <v>1</v>
      </c>
      <c r="E1404" s="74">
        <v>30</v>
      </c>
      <c r="F1404" s="80">
        <f>IFERROR(D1404*E1404,0)</f>
        <v>30</v>
      </c>
      <c r="G1404" s="61" t="str">
        <f>INDEX(SETORES!$B:$B,MATCH(A1404,SETORES!$A:$A,0))</f>
        <v>Clientes</v>
      </c>
      <c r="H1404" s="61" t="s">
        <v>11</v>
      </c>
    </row>
    <row r="1405" spans="1:8" ht="14.25" hidden="1" customHeight="1" x14ac:dyDescent="0.3">
      <c r="A1405" s="34" t="s">
        <v>41</v>
      </c>
      <c r="B1405" s="61" t="s">
        <v>155</v>
      </c>
      <c r="C1405" s="61" t="s">
        <v>171</v>
      </c>
      <c r="D1405" s="69">
        <v>1</v>
      </c>
      <c r="E1405" s="73">
        <v>51.12</v>
      </c>
      <c r="F1405" s="80">
        <f>IFERROR(D1405*E1405,0)</f>
        <v>51.12</v>
      </c>
      <c r="G1405" s="61" t="s">
        <v>98</v>
      </c>
      <c r="H1405" s="61" t="s">
        <v>11</v>
      </c>
    </row>
    <row r="1406" spans="1:8" ht="14.25" hidden="1" customHeight="1" x14ac:dyDescent="0.3">
      <c r="A1406" s="34" t="s">
        <v>41</v>
      </c>
      <c r="B1406" s="61" t="s">
        <v>155</v>
      </c>
      <c r="C1406" s="61" t="s">
        <v>170</v>
      </c>
      <c r="D1406" s="69">
        <v>1</v>
      </c>
      <c r="E1406" s="73">
        <v>31.33</v>
      </c>
      <c r="F1406" s="79">
        <f>IFERROR(D1406*E1406,0)</f>
        <v>31.33</v>
      </c>
      <c r="G1406" s="61" t="s">
        <v>98</v>
      </c>
      <c r="H1406" s="61" t="s">
        <v>11</v>
      </c>
    </row>
    <row r="1407" spans="1:8" ht="14.25" customHeight="1" x14ac:dyDescent="0.3">
      <c r="A1407" s="34" t="s">
        <v>41</v>
      </c>
      <c r="B1407" s="61" t="s">
        <v>155</v>
      </c>
      <c r="C1407" s="61" t="s">
        <v>169</v>
      </c>
      <c r="D1407" s="69">
        <v>1</v>
      </c>
      <c r="E1407" s="73">
        <v>63.75</v>
      </c>
      <c r="F1407" s="79">
        <f>IFERROR(D1407*E1407,0)</f>
        <v>63.75</v>
      </c>
      <c r="G1407" s="61" t="s">
        <v>98</v>
      </c>
      <c r="H1407" s="61" t="s">
        <v>11</v>
      </c>
    </row>
    <row r="1408" spans="1:8" ht="14.25" hidden="1" customHeight="1" x14ac:dyDescent="0.3">
      <c r="A1408" s="34" t="s">
        <v>41</v>
      </c>
      <c r="B1408" s="61" t="s">
        <v>155</v>
      </c>
      <c r="C1408" s="61" t="s">
        <v>158</v>
      </c>
      <c r="D1408" s="69">
        <v>1</v>
      </c>
      <c r="E1408" s="74">
        <v>8.7571999999999992</v>
      </c>
      <c r="F1408" s="80">
        <v>8.7571999999999992</v>
      </c>
      <c r="G1408" s="61" t="str">
        <f>INDEX(SETORES!$B:$B,MATCH(A1408,SETORES!$A:$A,0))</f>
        <v>Clientes</v>
      </c>
      <c r="H1408" s="61" t="s">
        <v>11</v>
      </c>
    </row>
    <row r="1409" spans="1:8" ht="14.25" hidden="1" customHeight="1" x14ac:dyDescent="0.3">
      <c r="A1409" s="2" t="s">
        <v>41</v>
      </c>
      <c r="B1409" s="60" t="s">
        <v>155</v>
      </c>
      <c r="C1409" s="60" t="s">
        <v>161</v>
      </c>
      <c r="D1409" s="68">
        <v>1</v>
      </c>
      <c r="E1409" s="73">
        <v>18000</v>
      </c>
      <c r="F1409" s="79">
        <f>IFERROR(E1409,0)</f>
        <v>18000</v>
      </c>
      <c r="G1409" s="60" t="str">
        <f>INDEX(SETORES!$B:$B,MATCH(A1409,SETORES!$A:$A,0))</f>
        <v>Clientes</v>
      </c>
      <c r="H1409" s="61" t="s">
        <v>11</v>
      </c>
    </row>
    <row r="1410" spans="1:8" ht="14.25" hidden="1" customHeight="1" x14ac:dyDescent="0.3">
      <c r="A1410" s="34" t="s">
        <v>41</v>
      </c>
      <c r="B1410" s="61" t="s">
        <v>155</v>
      </c>
      <c r="C1410" s="61" t="s">
        <v>167</v>
      </c>
      <c r="D1410" s="69">
        <v>1</v>
      </c>
      <c r="E1410" s="74">
        <v>9.85</v>
      </c>
      <c r="F1410" s="80">
        <f>IFERROR(D1410*E1410,0)</f>
        <v>9.85</v>
      </c>
      <c r="G1410" s="61" t="str">
        <f>INDEX(SETORES!$B:$B,MATCH(A1410,SETORES!$A:$A,0))</f>
        <v>Clientes</v>
      </c>
      <c r="H1410" s="61" t="s">
        <v>11</v>
      </c>
    </row>
    <row r="1411" spans="1:8" ht="14.25" hidden="1" customHeight="1" x14ac:dyDescent="0.3">
      <c r="A1411" s="2" t="s">
        <v>41</v>
      </c>
      <c r="B1411" s="60" t="s">
        <v>155</v>
      </c>
      <c r="C1411" s="60" t="s">
        <v>238</v>
      </c>
      <c r="D1411" s="68">
        <v>1</v>
      </c>
      <c r="E1411" s="73">
        <v>1.1363639999999999</v>
      </c>
      <c r="F1411" s="79">
        <f>IFERROR(D1411*E1411,0)</f>
        <v>1.1363639999999999</v>
      </c>
      <c r="G1411" s="60" t="str">
        <f>INDEX(SETORES!$B:$B,MATCH(A1411,SETORES!$A:$A,0))</f>
        <v>Clientes</v>
      </c>
      <c r="H1411" s="60" t="s">
        <v>11</v>
      </c>
    </row>
    <row r="1412" spans="1:8" ht="14.25" hidden="1" customHeight="1" x14ac:dyDescent="0.3">
      <c r="A1412" s="34" t="s">
        <v>41</v>
      </c>
      <c r="B1412" s="61" t="s">
        <v>155</v>
      </c>
      <c r="C1412" s="61" t="s">
        <v>156</v>
      </c>
      <c r="D1412" s="69"/>
      <c r="E1412" s="74"/>
      <c r="F1412" s="80">
        <v>0</v>
      </c>
      <c r="G1412" s="61" t="str">
        <f>INDEX(SETORES!$B:$B,MATCH(A1412,SETORES!$A:$A,0))</f>
        <v>Clientes</v>
      </c>
      <c r="H1412" s="61" t="s">
        <v>11</v>
      </c>
    </row>
    <row r="1413" spans="1:8" ht="14.25" hidden="1" customHeight="1" x14ac:dyDescent="0.3">
      <c r="A1413" s="2" t="s">
        <v>41</v>
      </c>
      <c r="B1413" s="60" t="s">
        <v>155</v>
      </c>
      <c r="C1413" s="60" t="s">
        <v>157</v>
      </c>
      <c r="D1413" s="68"/>
      <c r="E1413" s="73"/>
      <c r="F1413" s="79">
        <v>0</v>
      </c>
      <c r="G1413" s="60" t="str">
        <f>INDEX(SETORES!$B:$B,MATCH(A1413,SETORES!$A:$A,0))</f>
        <v>Clientes</v>
      </c>
      <c r="H1413" s="60" t="s">
        <v>11</v>
      </c>
    </row>
    <row r="1414" spans="1:8" ht="14.25" hidden="1" customHeight="1" x14ac:dyDescent="0.3">
      <c r="A1414" s="2" t="s">
        <v>41</v>
      </c>
      <c r="B1414" s="60" t="s">
        <v>162</v>
      </c>
      <c r="C1414" s="60" t="s">
        <v>222</v>
      </c>
      <c r="D1414" s="68"/>
      <c r="E1414" s="73"/>
      <c r="F1414" s="79">
        <f>IFERROR(D1414*E1414,0)</f>
        <v>0</v>
      </c>
      <c r="G1414" s="60" t="str">
        <f>INDEX(SETORES!$B:$B,MATCH(A1414,SETORES!$A:$A,0))</f>
        <v>Clientes</v>
      </c>
      <c r="H1414" s="60" t="s">
        <v>11</v>
      </c>
    </row>
    <row r="1415" spans="1:8" ht="14.25" hidden="1" customHeight="1" x14ac:dyDescent="0.3">
      <c r="A1415" s="2" t="s">
        <v>41</v>
      </c>
      <c r="B1415" s="60" t="s">
        <v>155</v>
      </c>
      <c r="C1415" s="60" t="s">
        <v>168</v>
      </c>
      <c r="D1415" s="68">
        <v>1</v>
      </c>
      <c r="E1415" s="73">
        <v>2.04</v>
      </c>
      <c r="F1415" s="79">
        <f>IFERROR(D1415*E1415,0)</f>
        <v>2.04</v>
      </c>
      <c r="G1415" s="60" t="str">
        <f>INDEX(SETORES!$B:$B,MATCH(A1415,SETORES!$A:$A,0))</f>
        <v>Clientes</v>
      </c>
      <c r="H1415" s="60" t="s">
        <v>11</v>
      </c>
    </row>
    <row r="1416" spans="1:8" ht="14.25" hidden="1" customHeight="1" x14ac:dyDescent="0.3">
      <c r="A1416" s="34" t="s">
        <v>79</v>
      </c>
      <c r="B1416" s="61" t="s">
        <v>155</v>
      </c>
      <c r="C1416" s="61" t="s">
        <v>159</v>
      </c>
      <c r="D1416" s="69">
        <v>7</v>
      </c>
      <c r="E1416" s="74">
        <v>0.31240000000000001</v>
      </c>
      <c r="F1416" s="80">
        <v>2.1867999999999999</v>
      </c>
      <c r="G1416" s="61" t="str">
        <f>INDEX(SETORES!$B:$B,MATCH(A1416,SETORES!$A:$A,0))</f>
        <v>Funcionários</v>
      </c>
      <c r="H1416" s="61" t="s">
        <v>11</v>
      </c>
    </row>
    <row r="1417" spans="1:8" ht="14.25" hidden="1" customHeight="1" x14ac:dyDescent="0.3">
      <c r="A1417" s="34" t="s">
        <v>79</v>
      </c>
      <c r="B1417" s="61" t="s">
        <v>155</v>
      </c>
      <c r="C1417" s="61" t="s">
        <v>250</v>
      </c>
      <c r="D1417" s="69">
        <v>1</v>
      </c>
      <c r="E1417" s="74">
        <v>1254.6099999999999</v>
      </c>
      <c r="F1417" s="80">
        <f>IFERROR(D1417*E1417,0)</f>
        <v>1254.6099999999999</v>
      </c>
      <c r="G1417" s="61" t="s">
        <v>98</v>
      </c>
      <c r="H1417" s="61" t="s">
        <v>11</v>
      </c>
    </row>
    <row r="1418" spans="1:8" ht="14.25" hidden="1" customHeight="1" x14ac:dyDescent="0.3">
      <c r="A1418" s="34" t="s">
        <v>79</v>
      </c>
      <c r="B1418" s="61" t="s">
        <v>155</v>
      </c>
      <c r="C1418" s="61" t="s">
        <v>171</v>
      </c>
      <c r="D1418" s="68">
        <v>7</v>
      </c>
      <c r="E1418" s="73">
        <v>51.12</v>
      </c>
      <c r="F1418" s="79">
        <f>IFERROR(D1418*E1418,0)</f>
        <v>357.84</v>
      </c>
      <c r="G1418" s="61" t="s">
        <v>98</v>
      </c>
      <c r="H1418" s="60" t="s">
        <v>11</v>
      </c>
    </row>
    <row r="1419" spans="1:8" ht="14.25" hidden="1" customHeight="1" x14ac:dyDescent="0.3">
      <c r="A1419" s="2" t="s">
        <v>79</v>
      </c>
      <c r="B1419" s="60" t="s">
        <v>155</v>
      </c>
      <c r="C1419" s="60" t="s">
        <v>170</v>
      </c>
      <c r="D1419" s="68">
        <v>7</v>
      </c>
      <c r="E1419" s="73">
        <v>31.33</v>
      </c>
      <c r="F1419" s="79">
        <f>IFERROR(D1419*E1419,0)</f>
        <v>219.31</v>
      </c>
      <c r="G1419" s="61" t="s">
        <v>98</v>
      </c>
      <c r="H1419" s="60" t="s">
        <v>11</v>
      </c>
    </row>
    <row r="1420" spans="1:8" ht="14.25" customHeight="1" x14ac:dyDescent="0.3">
      <c r="A1420" s="2" t="s">
        <v>79</v>
      </c>
      <c r="B1420" s="60" t="s">
        <v>155</v>
      </c>
      <c r="C1420" s="60" t="s">
        <v>169</v>
      </c>
      <c r="D1420" s="68">
        <v>7</v>
      </c>
      <c r="E1420" s="73">
        <v>63.75</v>
      </c>
      <c r="F1420" s="79">
        <f>IFERROR(D1420*E1420,0)</f>
        <v>446.25</v>
      </c>
      <c r="G1420" s="61" t="s">
        <v>98</v>
      </c>
      <c r="H1420" s="60" t="s">
        <v>11</v>
      </c>
    </row>
    <row r="1421" spans="1:8" ht="14.25" hidden="1" customHeight="1" x14ac:dyDescent="0.3">
      <c r="A1421" s="2" t="s">
        <v>79</v>
      </c>
      <c r="B1421" s="60" t="s">
        <v>155</v>
      </c>
      <c r="C1421" s="60" t="s">
        <v>158</v>
      </c>
      <c r="D1421" s="68">
        <v>7</v>
      </c>
      <c r="E1421" s="73">
        <v>23.6877</v>
      </c>
      <c r="F1421" s="79">
        <v>165.81389999999999</v>
      </c>
      <c r="G1421" s="60" t="str">
        <f>INDEX(SETORES!$B:$B,MATCH(A1421,SETORES!$A:$A,0))</f>
        <v>Funcionários</v>
      </c>
      <c r="H1421" s="60" t="s">
        <v>11</v>
      </c>
    </row>
    <row r="1422" spans="1:8" ht="14.25" hidden="1" customHeight="1" x14ac:dyDescent="0.3">
      <c r="A1422" s="34" t="s">
        <v>79</v>
      </c>
      <c r="B1422" s="61" t="s">
        <v>155</v>
      </c>
      <c r="C1422" s="61" t="s">
        <v>161</v>
      </c>
      <c r="D1422" s="69">
        <v>1</v>
      </c>
      <c r="E1422" s="74">
        <v>43834.77</v>
      </c>
      <c r="F1422" s="80">
        <v>43834.77</v>
      </c>
      <c r="G1422" s="61" t="str">
        <f>INDEX(SETORES!$B:$B,MATCH(A1422,SETORES!$A:$A,0))</f>
        <v>Funcionários</v>
      </c>
      <c r="H1422" s="61" t="s">
        <v>11</v>
      </c>
    </row>
    <row r="1423" spans="1:8" ht="14.25" hidden="1" customHeight="1" x14ac:dyDescent="0.3">
      <c r="A1423" s="34" t="s">
        <v>79</v>
      </c>
      <c r="B1423" s="61" t="s">
        <v>155</v>
      </c>
      <c r="C1423" s="61" t="s">
        <v>167</v>
      </c>
      <c r="D1423" s="69">
        <v>7</v>
      </c>
      <c r="E1423" s="74">
        <v>9.85</v>
      </c>
      <c r="F1423" s="80">
        <f>IFERROR(D1423*E1423,0)</f>
        <v>68.95</v>
      </c>
      <c r="G1423" s="61" t="s">
        <v>98</v>
      </c>
      <c r="H1423" s="61" t="s">
        <v>11</v>
      </c>
    </row>
    <row r="1424" spans="1:8" ht="14.25" hidden="1" customHeight="1" x14ac:dyDescent="0.3">
      <c r="A1424" s="34" t="s">
        <v>79</v>
      </c>
      <c r="B1424" s="61" t="s">
        <v>155</v>
      </c>
      <c r="C1424" s="61" t="s">
        <v>166</v>
      </c>
      <c r="D1424" s="69">
        <v>2</v>
      </c>
      <c r="E1424" s="73">
        <v>50</v>
      </c>
      <c r="F1424" s="80">
        <f>IFERROR(D1424*E1424,0)</f>
        <v>100</v>
      </c>
      <c r="G1424" s="61" t="str">
        <f>INDEX(SETORES!$B:$B,MATCH(A1424,SETORES!$A:$A,0))</f>
        <v>Funcionários</v>
      </c>
      <c r="H1424" s="61" t="s">
        <v>11</v>
      </c>
    </row>
    <row r="1425" spans="1:8" ht="14.25" hidden="1" customHeight="1" x14ac:dyDescent="0.3">
      <c r="A1425" s="34" t="s">
        <v>79</v>
      </c>
      <c r="B1425" s="61" t="s">
        <v>162</v>
      </c>
      <c r="C1425" s="61" t="s">
        <v>209</v>
      </c>
      <c r="D1425" s="69">
        <v>7</v>
      </c>
      <c r="E1425" s="74">
        <v>85.71</v>
      </c>
      <c r="F1425" s="80">
        <f>IFERROR(D1425*E1425,0)</f>
        <v>599.96999999999991</v>
      </c>
      <c r="G1425" s="61" t="str">
        <f>INDEX(SETORES!$B:$B,MATCH(A1425,SETORES!$A:$A,0))</f>
        <v>Funcionários</v>
      </c>
      <c r="H1425" s="61" t="s">
        <v>11</v>
      </c>
    </row>
    <row r="1426" spans="1:8" ht="14.25" hidden="1" customHeight="1" x14ac:dyDescent="0.3">
      <c r="A1426" s="34" t="s">
        <v>79</v>
      </c>
      <c r="B1426" s="61" t="s">
        <v>162</v>
      </c>
      <c r="C1426" s="61" t="s">
        <v>222</v>
      </c>
      <c r="D1426" s="69"/>
      <c r="E1426" s="74"/>
      <c r="F1426" s="80">
        <f>IFERROR(D1426*E1426,0)</f>
        <v>0</v>
      </c>
      <c r="G1426" s="61" t="str">
        <f>INDEX(SETORES!$B:$B,MATCH(A1426,SETORES!$A:$A,0))</f>
        <v>Funcionários</v>
      </c>
      <c r="H1426" s="61" t="s">
        <v>11</v>
      </c>
    </row>
    <row r="1427" spans="1:8" ht="14.25" hidden="1" customHeight="1" x14ac:dyDescent="0.3">
      <c r="A1427" s="2" t="s">
        <v>79</v>
      </c>
      <c r="B1427" s="60" t="s">
        <v>155</v>
      </c>
      <c r="C1427" s="60" t="s">
        <v>168</v>
      </c>
      <c r="D1427" s="68">
        <v>7</v>
      </c>
      <c r="E1427" s="73">
        <v>2.04</v>
      </c>
      <c r="F1427" s="79">
        <f>IFERROR(D1427*E1427,0)</f>
        <v>14.280000000000001</v>
      </c>
      <c r="G1427" s="60" t="s">
        <v>98</v>
      </c>
      <c r="H1427" s="60" t="s">
        <v>11</v>
      </c>
    </row>
    <row r="1428" spans="1:8" ht="14.25" hidden="1" customHeight="1" x14ac:dyDescent="0.3">
      <c r="A1428" s="34" t="s">
        <v>141</v>
      </c>
      <c r="B1428" s="61" t="s">
        <v>155</v>
      </c>
      <c r="C1428" s="61" t="s">
        <v>161</v>
      </c>
      <c r="D1428" s="69">
        <v>1</v>
      </c>
      <c r="E1428" s="74">
        <v>20632.939999999999</v>
      </c>
      <c r="F1428" s="80">
        <f>D1428*E1428</f>
        <v>20632.939999999999</v>
      </c>
      <c r="G1428" s="61"/>
      <c r="H1428" s="60" t="s">
        <v>11</v>
      </c>
    </row>
    <row r="1429" spans="1:8" ht="14.25" hidden="1" customHeight="1" x14ac:dyDescent="0.3">
      <c r="A1429" s="34" t="s">
        <v>80</v>
      </c>
      <c r="B1429" s="61" t="s">
        <v>155</v>
      </c>
      <c r="C1429" s="61" t="s">
        <v>159</v>
      </c>
      <c r="D1429" s="69">
        <v>1</v>
      </c>
      <c r="E1429" s="74">
        <v>7.4999999999999997E-2</v>
      </c>
      <c r="F1429" s="80">
        <v>7.4999999999999997E-2</v>
      </c>
      <c r="G1429" s="61" t="s">
        <v>96</v>
      </c>
      <c r="H1429" s="61" t="s">
        <v>11</v>
      </c>
    </row>
    <row r="1430" spans="1:8" ht="14.25" hidden="1" customHeight="1" x14ac:dyDescent="0.3">
      <c r="A1430" s="34" t="s">
        <v>80</v>
      </c>
      <c r="B1430" s="61" t="s">
        <v>155</v>
      </c>
      <c r="C1430" s="61" t="s">
        <v>171</v>
      </c>
      <c r="D1430" s="69">
        <v>3</v>
      </c>
      <c r="E1430" s="73">
        <v>51.12</v>
      </c>
      <c r="F1430" s="80">
        <f>IFERROR(D1430*E1430,0)</f>
        <v>153.35999999999999</v>
      </c>
      <c r="G1430" s="61" t="s">
        <v>98</v>
      </c>
      <c r="H1430" s="61" t="s">
        <v>11</v>
      </c>
    </row>
    <row r="1431" spans="1:8" ht="14.25" hidden="1" customHeight="1" x14ac:dyDescent="0.3">
      <c r="A1431" s="2" t="s">
        <v>80</v>
      </c>
      <c r="B1431" s="60" t="s">
        <v>155</v>
      </c>
      <c r="C1431" s="60" t="s">
        <v>170</v>
      </c>
      <c r="D1431" s="68">
        <v>3</v>
      </c>
      <c r="E1431" s="73">
        <v>31.33</v>
      </c>
      <c r="F1431" s="79">
        <f>IFERROR(D1431*E1431,0)</f>
        <v>93.99</v>
      </c>
      <c r="G1431" s="61" t="s">
        <v>98</v>
      </c>
      <c r="H1431" s="60" t="s">
        <v>11</v>
      </c>
    </row>
    <row r="1432" spans="1:8" ht="14.25" customHeight="1" x14ac:dyDescent="0.3">
      <c r="A1432" s="2" t="s">
        <v>80</v>
      </c>
      <c r="B1432" s="60" t="s">
        <v>155</v>
      </c>
      <c r="C1432" s="60" t="s">
        <v>169</v>
      </c>
      <c r="D1432" s="68">
        <v>3</v>
      </c>
      <c r="E1432" s="73">
        <v>63.75</v>
      </c>
      <c r="F1432" s="79">
        <f>IFERROR(D1432*E1432,0)</f>
        <v>191.25</v>
      </c>
      <c r="G1432" s="61" t="s">
        <v>98</v>
      </c>
      <c r="H1432" s="60" t="s">
        <v>11</v>
      </c>
    </row>
    <row r="1433" spans="1:8" ht="14.25" hidden="1" customHeight="1" x14ac:dyDescent="0.3">
      <c r="A1433" s="2" t="s">
        <v>80</v>
      </c>
      <c r="B1433" s="60" t="s">
        <v>155</v>
      </c>
      <c r="C1433" s="60" t="s">
        <v>158</v>
      </c>
      <c r="D1433" s="68">
        <v>1</v>
      </c>
      <c r="E1433" s="73">
        <v>26.271599999999999</v>
      </c>
      <c r="F1433" s="79">
        <v>26.271599999999999</v>
      </c>
      <c r="G1433" s="60" t="s">
        <v>96</v>
      </c>
      <c r="H1433" s="60" t="s">
        <v>11</v>
      </c>
    </row>
    <row r="1434" spans="1:8" ht="14.25" hidden="1" customHeight="1" x14ac:dyDescent="0.3">
      <c r="A1434" s="34" t="s">
        <v>80</v>
      </c>
      <c r="B1434" s="61" t="s">
        <v>155</v>
      </c>
      <c r="C1434" s="61" t="s">
        <v>161</v>
      </c>
      <c r="D1434" s="69">
        <v>1</v>
      </c>
      <c r="E1434" s="74">
        <v>28674.49</v>
      </c>
      <c r="F1434" s="80">
        <f>IFERROR(E1434,0)</f>
        <v>28674.49</v>
      </c>
      <c r="G1434" s="61" t="str">
        <f>INDEX(SETORES!$B:$B,MATCH(A1434,SETORES!$A:$A,0))</f>
        <v>Clientes</v>
      </c>
      <c r="H1434" s="61" t="s">
        <v>11</v>
      </c>
    </row>
    <row r="1435" spans="1:8" ht="14.25" hidden="1" customHeight="1" x14ac:dyDescent="0.3">
      <c r="A1435" s="34" t="s">
        <v>80</v>
      </c>
      <c r="B1435" s="61" t="s">
        <v>155</v>
      </c>
      <c r="C1435" s="61" t="s">
        <v>167</v>
      </c>
      <c r="D1435" s="69">
        <v>3</v>
      </c>
      <c r="E1435" s="74">
        <v>9.85</v>
      </c>
      <c r="F1435" s="80">
        <f>IFERROR(D1435*E1435,0)</f>
        <v>29.549999999999997</v>
      </c>
      <c r="G1435" s="61" t="str">
        <f>INDEX(SETORES!$B:$B,MATCH(A1435,SETORES!$A:$A,0))</f>
        <v>Clientes</v>
      </c>
      <c r="H1435" s="61" t="s">
        <v>11</v>
      </c>
    </row>
    <row r="1436" spans="1:8" ht="14.25" hidden="1" customHeight="1" x14ac:dyDescent="0.3">
      <c r="A1436" s="34" t="s">
        <v>80</v>
      </c>
      <c r="B1436" s="61" t="s">
        <v>155</v>
      </c>
      <c r="C1436" s="61" t="s">
        <v>238</v>
      </c>
      <c r="D1436" s="69">
        <v>1</v>
      </c>
      <c r="E1436" s="74">
        <v>3.4090919999999998</v>
      </c>
      <c r="F1436" s="80">
        <f>IFERROR(D1436*E1436,0)</f>
        <v>3.4090919999999998</v>
      </c>
      <c r="G1436" s="61" t="str">
        <f>INDEX(SETORES!$B:$B,MATCH(A1436,SETORES!$A:$A,0))</f>
        <v>Clientes</v>
      </c>
      <c r="H1436" s="61" t="s">
        <v>11</v>
      </c>
    </row>
    <row r="1437" spans="1:8" ht="14.25" hidden="1" customHeight="1" x14ac:dyDescent="0.3">
      <c r="A1437" s="34" t="s">
        <v>80</v>
      </c>
      <c r="B1437" s="61" t="s">
        <v>155</v>
      </c>
      <c r="C1437" s="61" t="s">
        <v>166</v>
      </c>
      <c r="D1437" s="69">
        <v>3</v>
      </c>
      <c r="E1437" s="74">
        <v>50</v>
      </c>
      <c r="F1437" s="80">
        <f>IFERROR(D1437*E1437,0)</f>
        <v>150</v>
      </c>
      <c r="G1437" s="61" t="str">
        <f>INDEX(SETORES!$B:$B,MATCH(A1437,SETORES!$A:$A,0))</f>
        <v>Clientes</v>
      </c>
      <c r="H1437" s="61" t="s">
        <v>11</v>
      </c>
    </row>
    <row r="1438" spans="1:8" ht="14.25" hidden="1" customHeight="1" x14ac:dyDescent="0.3">
      <c r="A1438" s="2" t="s">
        <v>80</v>
      </c>
      <c r="B1438" s="60" t="s">
        <v>155</v>
      </c>
      <c r="C1438" s="60" t="s">
        <v>157</v>
      </c>
      <c r="D1438" s="68">
        <v>1</v>
      </c>
      <c r="E1438" s="73">
        <v>46.45</v>
      </c>
      <c r="F1438" s="79">
        <v>46.45</v>
      </c>
      <c r="G1438" s="60" t="str">
        <f>INDEX(SETORES!$B:$B,MATCH(A1438,SETORES!$A:$A,0))</f>
        <v>Clientes</v>
      </c>
      <c r="H1438" s="60" t="s">
        <v>11</v>
      </c>
    </row>
    <row r="1439" spans="1:8" ht="14.25" hidden="1" customHeight="1" x14ac:dyDescent="0.3">
      <c r="A1439" s="2" t="s">
        <v>80</v>
      </c>
      <c r="B1439" s="60" t="s">
        <v>162</v>
      </c>
      <c r="C1439" s="60" t="s">
        <v>222</v>
      </c>
      <c r="D1439" s="68"/>
      <c r="E1439" s="73"/>
      <c r="F1439" s="79">
        <f>IFERROR(D1439*E1439,0)</f>
        <v>0</v>
      </c>
      <c r="G1439" s="60" t="str">
        <f>INDEX(SETORES!$B:$B,MATCH(A1439,SETORES!$A:$A,0))</f>
        <v>Clientes</v>
      </c>
      <c r="H1439" s="60" t="s">
        <v>11</v>
      </c>
    </row>
    <row r="1440" spans="1:8" ht="14.25" hidden="1" customHeight="1" x14ac:dyDescent="0.3">
      <c r="A1440" s="2" t="s">
        <v>80</v>
      </c>
      <c r="B1440" s="60" t="s">
        <v>155</v>
      </c>
      <c r="C1440" s="60" t="s">
        <v>168</v>
      </c>
      <c r="D1440" s="68">
        <v>3</v>
      </c>
      <c r="E1440" s="73">
        <v>2.04</v>
      </c>
      <c r="F1440" s="79">
        <f>IFERROR(D1440*E1440,0)</f>
        <v>6.12</v>
      </c>
      <c r="G1440" s="60" t="str">
        <f>INDEX(SETORES!$B:$B,MATCH(A1440,SETORES!$A:$A,0))</f>
        <v>Clientes</v>
      </c>
      <c r="H1440" s="60" t="s">
        <v>11</v>
      </c>
    </row>
    <row r="1441" spans="1:8" ht="14.25" hidden="1" customHeight="1" x14ac:dyDescent="0.3">
      <c r="A1441" s="2" t="s">
        <v>42</v>
      </c>
      <c r="B1441" s="60" t="s">
        <v>155</v>
      </c>
      <c r="C1441" s="60" t="s">
        <v>159</v>
      </c>
      <c r="D1441" s="68">
        <v>1</v>
      </c>
      <c r="E1441" s="73">
        <v>0.05</v>
      </c>
      <c r="F1441" s="79">
        <v>0.05</v>
      </c>
      <c r="G1441" s="60" t="str">
        <f>INDEX(SETORES!$B:$B,MATCH(A1441,SETORES!$A:$A,0))</f>
        <v>Clientes</v>
      </c>
      <c r="H1441" s="60" t="s">
        <v>11</v>
      </c>
    </row>
    <row r="1442" spans="1:8" ht="14.25" hidden="1" customHeight="1" x14ac:dyDescent="0.3">
      <c r="A1442" s="34" t="s">
        <v>42</v>
      </c>
      <c r="B1442" s="61" t="s">
        <v>155</v>
      </c>
      <c r="C1442" s="61" t="s">
        <v>158</v>
      </c>
      <c r="D1442" s="69">
        <v>1</v>
      </c>
      <c r="E1442" s="74">
        <v>17.514399999999998</v>
      </c>
      <c r="F1442" s="80">
        <v>17.514399999999998</v>
      </c>
      <c r="G1442" s="61" t="str">
        <f>INDEX(SETORES!$B:$B,MATCH(A1442,SETORES!$A:$A,0))</f>
        <v>Clientes</v>
      </c>
      <c r="H1442" s="61" t="s">
        <v>11</v>
      </c>
    </row>
    <row r="1443" spans="1:8" ht="14.25" hidden="1" customHeight="1" x14ac:dyDescent="0.3">
      <c r="A1443" s="2" t="s">
        <v>42</v>
      </c>
      <c r="B1443" s="60" t="s">
        <v>162</v>
      </c>
      <c r="C1443" s="60" t="s">
        <v>163</v>
      </c>
      <c r="D1443" s="68"/>
      <c r="E1443" s="73"/>
      <c r="F1443" s="79">
        <f>IFERROR(D1443*E1443,0)</f>
        <v>0</v>
      </c>
      <c r="G1443" s="60" t="str">
        <f>INDEX(SETORES!$B:$B,MATCH(A1443,SETORES!$A:$A,0))</f>
        <v>Clientes</v>
      </c>
      <c r="H1443" s="60" t="s">
        <v>11</v>
      </c>
    </row>
    <row r="1444" spans="1:8" ht="14.25" hidden="1" customHeight="1" x14ac:dyDescent="0.3">
      <c r="A1444" s="34" t="s">
        <v>42</v>
      </c>
      <c r="B1444" s="61" t="s">
        <v>162</v>
      </c>
      <c r="C1444" s="61" t="s">
        <v>164</v>
      </c>
      <c r="D1444" s="69"/>
      <c r="E1444" s="74"/>
      <c r="F1444" s="80">
        <f>IFERROR(D1444*E1444,0)</f>
        <v>0</v>
      </c>
      <c r="G1444" s="61" t="str">
        <f>INDEX(SETORES!$B:$B,MATCH(A1444,SETORES!$A:$A,0))</f>
        <v>Clientes</v>
      </c>
      <c r="H1444" s="61" t="s">
        <v>11</v>
      </c>
    </row>
    <row r="1445" spans="1:8" ht="14.25" hidden="1" customHeight="1" x14ac:dyDescent="0.3">
      <c r="A1445" s="2" t="s">
        <v>42</v>
      </c>
      <c r="B1445" s="60" t="s">
        <v>155</v>
      </c>
      <c r="C1445" s="60" t="s">
        <v>161</v>
      </c>
      <c r="D1445" s="68">
        <v>1</v>
      </c>
      <c r="E1445" s="73">
        <v>28225.1106607408</v>
      </c>
      <c r="F1445" s="79">
        <f>IFERROR(E1445,0)</f>
        <v>28225.1106607408</v>
      </c>
      <c r="G1445" s="60" t="str">
        <f>INDEX(SETORES!$B:$B,MATCH(A1445,SETORES!$A:$A,0))</f>
        <v>Clientes</v>
      </c>
      <c r="H1445" s="60" t="s">
        <v>11</v>
      </c>
    </row>
    <row r="1446" spans="1:8" ht="14.25" hidden="1" customHeight="1" x14ac:dyDescent="0.3">
      <c r="A1446" s="34" t="s">
        <v>42</v>
      </c>
      <c r="B1446" s="61" t="s">
        <v>155</v>
      </c>
      <c r="C1446" s="61" t="s">
        <v>167</v>
      </c>
      <c r="D1446" s="69">
        <v>2</v>
      </c>
      <c r="E1446" s="74">
        <v>9.85</v>
      </c>
      <c r="F1446" s="80">
        <f>IFERROR(D1446*E1446,0)</f>
        <v>19.7</v>
      </c>
      <c r="G1446" s="61" t="str">
        <f>INDEX(SETORES!$B:$B,MATCH(A1446,SETORES!$A:$A,0))</f>
        <v>Clientes</v>
      </c>
      <c r="H1446" s="61" t="s">
        <v>11</v>
      </c>
    </row>
    <row r="1447" spans="1:8" ht="14.25" hidden="1" customHeight="1" x14ac:dyDescent="0.3">
      <c r="A1447" s="2" t="s">
        <v>42</v>
      </c>
      <c r="B1447" s="60" t="s">
        <v>155</v>
      </c>
      <c r="C1447" s="60" t="s">
        <v>238</v>
      </c>
      <c r="D1447" s="68">
        <v>1</v>
      </c>
      <c r="E1447" s="73">
        <v>2.2727279999999999</v>
      </c>
      <c r="F1447" s="79">
        <f>IFERROR(D1447*E1447,0)</f>
        <v>2.2727279999999999</v>
      </c>
      <c r="G1447" s="60" t="str">
        <f>INDEX(SETORES!$B:$B,MATCH(A1447,SETORES!$A:$A,0))</f>
        <v>Clientes</v>
      </c>
      <c r="H1447" s="60" t="s">
        <v>11</v>
      </c>
    </row>
    <row r="1448" spans="1:8" ht="14.25" hidden="1" customHeight="1" x14ac:dyDescent="0.3">
      <c r="A1448" s="2" t="s">
        <v>42</v>
      </c>
      <c r="B1448" s="60" t="s">
        <v>155</v>
      </c>
      <c r="C1448" s="60" t="s">
        <v>166</v>
      </c>
      <c r="D1448" s="68">
        <v>5</v>
      </c>
      <c r="E1448" s="73">
        <v>50</v>
      </c>
      <c r="F1448" s="79">
        <f>IFERROR(D1448*E1448,0)</f>
        <v>250</v>
      </c>
      <c r="G1448" s="60" t="str">
        <f>INDEX(SETORES!$B:$B,MATCH(A1448,SETORES!$A:$A,0))</f>
        <v>Clientes</v>
      </c>
      <c r="H1448" s="60" t="s">
        <v>11</v>
      </c>
    </row>
    <row r="1449" spans="1:8" ht="14.25" hidden="1" customHeight="1" x14ac:dyDescent="0.3">
      <c r="A1449" s="34" t="s">
        <v>42</v>
      </c>
      <c r="B1449" s="61" t="s">
        <v>155</v>
      </c>
      <c r="C1449" s="61" t="s">
        <v>156</v>
      </c>
      <c r="D1449" s="69">
        <v>2</v>
      </c>
      <c r="E1449" s="74">
        <v>5</v>
      </c>
      <c r="F1449" s="80">
        <v>10</v>
      </c>
      <c r="G1449" s="61" t="str">
        <f>INDEX(SETORES!$B:$B,MATCH(A1449,SETORES!$A:$A,0))</f>
        <v>Clientes</v>
      </c>
      <c r="H1449" s="61" t="s">
        <v>11</v>
      </c>
    </row>
    <row r="1450" spans="1:8" ht="14.25" hidden="1" customHeight="1" x14ac:dyDescent="0.3">
      <c r="A1450" s="2" t="s">
        <v>42</v>
      </c>
      <c r="B1450" s="60" t="s">
        <v>155</v>
      </c>
      <c r="C1450" s="60" t="s">
        <v>157</v>
      </c>
      <c r="D1450" s="68">
        <v>1</v>
      </c>
      <c r="E1450" s="73">
        <v>70.8</v>
      </c>
      <c r="F1450" s="79">
        <v>70.8</v>
      </c>
      <c r="G1450" s="60" t="str">
        <f>INDEX(SETORES!$B:$B,MATCH(A1450,SETORES!$A:$A,0))</f>
        <v>Clientes</v>
      </c>
      <c r="H1450" s="60" t="s">
        <v>11</v>
      </c>
    </row>
    <row r="1451" spans="1:8" ht="14.25" hidden="1" customHeight="1" x14ac:dyDescent="0.3">
      <c r="A1451" s="34" t="s">
        <v>42</v>
      </c>
      <c r="B1451" s="61" t="s">
        <v>162</v>
      </c>
      <c r="C1451" s="61" t="s">
        <v>222</v>
      </c>
      <c r="D1451" s="69"/>
      <c r="E1451" s="74"/>
      <c r="F1451" s="80">
        <f>IFERROR(D1451*E1451,0)</f>
        <v>0</v>
      </c>
      <c r="G1451" s="61" t="str">
        <f>INDEX(SETORES!$B:$B,MATCH(A1451,SETORES!$A:$A,0))</f>
        <v>Clientes</v>
      </c>
      <c r="H1451" s="61" t="s">
        <v>11</v>
      </c>
    </row>
    <row r="1452" spans="1:8" ht="14.25" hidden="1" customHeight="1" x14ac:dyDescent="0.3">
      <c r="A1452" s="2" t="s">
        <v>42</v>
      </c>
      <c r="B1452" s="60" t="s">
        <v>155</v>
      </c>
      <c r="C1452" s="60" t="s">
        <v>168</v>
      </c>
      <c r="D1452" s="68">
        <v>2</v>
      </c>
      <c r="E1452" s="73">
        <v>2.04</v>
      </c>
      <c r="F1452" s="79">
        <f>IFERROR(D1452*E1452,0)</f>
        <v>4.08</v>
      </c>
      <c r="G1452" s="60" t="str">
        <f>INDEX(SETORES!$B:$B,MATCH(A1452,SETORES!$A:$A,0))</f>
        <v>Clientes</v>
      </c>
      <c r="H1452" s="60" t="s">
        <v>11</v>
      </c>
    </row>
    <row r="1453" spans="1:8" ht="14.25" hidden="1" customHeight="1" x14ac:dyDescent="0.3">
      <c r="A1453" s="34" t="s">
        <v>42</v>
      </c>
      <c r="B1453" s="61" t="s">
        <v>155</v>
      </c>
      <c r="C1453" s="61" t="s">
        <v>160</v>
      </c>
      <c r="D1453" s="69"/>
      <c r="E1453" s="74"/>
      <c r="F1453" s="80">
        <f>IFERROR(D1453*E1453,0)</f>
        <v>0</v>
      </c>
      <c r="G1453" s="61" t="str">
        <f>INDEX(SETORES!$B:$B,MATCH(A1453,SETORES!$A:$A,0))</f>
        <v>Clientes</v>
      </c>
      <c r="H1453" s="61" t="s">
        <v>11</v>
      </c>
    </row>
    <row r="1454" spans="1:8" ht="14.25" hidden="1" customHeight="1" x14ac:dyDescent="0.3">
      <c r="A1454" s="34" t="s">
        <v>42</v>
      </c>
      <c r="B1454" s="61" t="s">
        <v>162</v>
      </c>
      <c r="C1454" s="61" t="s">
        <v>215</v>
      </c>
      <c r="D1454" s="69"/>
      <c r="E1454" s="74"/>
      <c r="F1454" s="80">
        <f>IFERROR(D1454*E1454,0)</f>
        <v>0</v>
      </c>
      <c r="G1454" s="61" t="str">
        <f>INDEX(SETORES!$B:$B,MATCH(A1454,SETORES!$A:$A,0))</f>
        <v>Clientes</v>
      </c>
      <c r="H1454" s="61" t="s">
        <v>11</v>
      </c>
    </row>
    <row r="1455" spans="1:8" ht="14.25" hidden="1" customHeight="1" x14ac:dyDescent="0.3">
      <c r="A1455" s="2" t="s">
        <v>33</v>
      </c>
      <c r="B1455" s="60" t="s">
        <v>155</v>
      </c>
      <c r="C1455" s="60" t="s">
        <v>159</v>
      </c>
      <c r="D1455" s="68">
        <v>1</v>
      </c>
      <c r="E1455" s="73">
        <v>0.17499999999999999</v>
      </c>
      <c r="F1455" s="79">
        <v>0.17499999999999999</v>
      </c>
      <c r="G1455" s="60" t="str">
        <f>INDEX(SETORES!$B:$B,MATCH(A1455,SETORES!$A:$A,0))</f>
        <v>Funcionários</v>
      </c>
      <c r="H1455" s="60" t="s">
        <v>11</v>
      </c>
    </row>
    <row r="1456" spans="1:8" ht="14.25" hidden="1" customHeight="1" x14ac:dyDescent="0.3">
      <c r="A1456" s="34" t="s">
        <v>33</v>
      </c>
      <c r="B1456" s="61" t="s">
        <v>155</v>
      </c>
      <c r="C1456" s="61" t="s">
        <v>212</v>
      </c>
      <c r="D1456" s="69">
        <v>2</v>
      </c>
      <c r="E1456" s="74">
        <v>30</v>
      </c>
      <c r="F1456" s="80">
        <f>IFERROR(D1456*E1456,0)</f>
        <v>60</v>
      </c>
      <c r="G1456" s="61" t="str">
        <f>INDEX(SETORES!$B:$B,MATCH(A1456,SETORES!$A:$A,0))</f>
        <v>Funcionários</v>
      </c>
      <c r="H1456" s="61" t="s">
        <v>11</v>
      </c>
    </row>
    <row r="1457" spans="1:8" ht="14.25" hidden="1" customHeight="1" x14ac:dyDescent="0.3">
      <c r="A1457" s="34" t="s">
        <v>33</v>
      </c>
      <c r="B1457" s="61" t="s">
        <v>155</v>
      </c>
      <c r="C1457" s="61" t="s">
        <v>158</v>
      </c>
      <c r="D1457" s="69">
        <v>1</v>
      </c>
      <c r="E1457" s="74">
        <v>61.3005</v>
      </c>
      <c r="F1457" s="80">
        <v>61.3005</v>
      </c>
      <c r="G1457" s="61" t="str">
        <f>INDEX(SETORES!$B:$B,MATCH(A1457,SETORES!$A:$A,0))</f>
        <v>Funcionários</v>
      </c>
      <c r="H1457" s="61" t="s">
        <v>11</v>
      </c>
    </row>
    <row r="1458" spans="1:8" ht="14.25" hidden="1" customHeight="1" x14ac:dyDescent="0.3">
      <c r="A1458" s="34" t="s">
        <v>33</v>
      </c>
      <c r="B1458" s="61" t="s">
        <v>162</v>
      </c>
      <c r="C1458" s="61" t="s">
        <v>213</v>
      </c>
      <c r="D1458" s="69"/>
      <c r="E1458" s="74"/>
      <c r="F1458" s="80">
        <f>IFERROR(D1458*E1458,0)</f>
        <v>0</v>
      </c>
      <c r="G1458" s="61" t="str">
        <f>INDEX(SETORES!$B:$B,MATCH(A1458,SETORES!$A:$A,0))</f>
        <v>Funcionários</v>
      </c>
      <c r="H1458" s="61" t="s">
        <v>11</v>
      </c>
    </row>
    <row r="1459" spans="1:8" ht="14.25" hidden="1" customHeight="1" x14ac:dyDescent="0.3">
      <c r="A1459" s="34" t="s">
        <v>33</v>
      </c>
      <c r="B1459" s="61" t="s">
        <v>162</v>
      </c>
      <c r="C1459" s="61" t="s">
        <v>163</v>
      </c>
      <c r="D1459" s="69">
        <v>1</v>
      </c>
      <c r="E1459" s="74">
        <v>272</v>
      </c>
      <c r="F1459" s="80">
        <f>IFERROR(D1459*E1459,0)</f>
        <v>272</v>
      </c>
      <c r="G1459" s="61" t="str">
        <f>INDEX(SETORES!$B:$B,MATCH(A1459,SETORES!$A:$A,0))</f>
        <v>Funcionários</v>
      </c>
      <c r="H1459" s="61" t="s">
        <v>11</v>
      </c>
    </row>
    <row r="1460" spans="1:8" ht="14.25" hidden="1" customHeight="1" x14ac:dyDescent="0.3">
      <c r="A1460" s="2" t="s">
        <v>33</v>
      </c>
      <c r="B1460" s="60" t="s">
        <v>162</v>
      </c>
      <c r="C1460" s="60" t="s">
        <v>164</v>
      </c>
      <c r="D1460" s="68"/>
      <c r="E1460" s="73"/>
      <c r="F1460" s="79">
        <f>IFERROR(D1460*E1460,0)</f>
        <v>0</v>
      </c>
      <c r="G1460" s="60" t="str">
        <f>INDEX(SETORES!$B:$B,MATCH(A1460,SETORES!$A:$A,0))</f>
        <v>Funcionários</v>
      </c>
      <c r="H1460" s="60" t="s">
        <v>11</v>
      </c>
    </row>
    <row r="1461" spans="1:8" ht="14.25" hidden="1" customHeight="1" x14ac:dyDescent="0.3">
      <c r="A1461" s="2" t="s">
        <v>33</v>
      </c>
      <c r="B1461" s="60" t="s">
        <v>155</v>
      </c>
      <c r="C1461" s="60" t="s">
        <v>161</v>
      </c>
      <c r="D1461" s="68">
        <v>1</v>
      </c>
      <c r="E1461" s="73">
        <v>41967.61</v>
      </c>
      <c r="F1461" s="79">
        <f>IFERROR(E1461,0)</f>
        <v>41967.61</v>
      </c>
      <c r="G1461" s="60" t="str">
        <f>INDEX(SETORES!$B:$B,MATCH(A1461,SETORES!$A:$A,0))</f>
        <v>Funcionários</v>
      </c>
      <c r="H1461" s="60" t="s">
        <v>11</v>
      </c>
    </row>
    <row r="1462" spans="1:8" ht="14.25" hidden="1" customHeight="1" x14ac:dyDescent="0.3">
      <c r="A1462" s="34" t="s">
        <v>33</v>
      </c>
      <c r="B1462" s="61" t="s">
        <v>155</v>
      </c>
      <c r="C1462" s="61" t="s">
        <v>167</v>
      </c>
      <c r="D1462" s="69">
        <v>7</v>
      </c>
      <c r="E1462" s="74">
        <v>9.85</v>
      </c>
      <c r="F1462" s="80">
        <f>IFERROR(D1462*E1462,0)</f>
        <v>68.95</v>
      </c>
      <c r="G1462" s="61" t="str">
        <f>INDEX(SETORES!$B:$B,MATCH(A1462,SETORES!$A:$A,0))</f>
        <v>Funcionários</v>
      </c>
      <c r="H1462" s="61" t="s">
        <v>11</v>
      </c>
    </row>
    <row r="1463" spans="1:8" ht="14.25" hidden="1" customHeight="1" x14ac:dyDescent="0.3">
      <c r="A1463" s="2" t="s">
        <v>33</v>
      </c>
      <c r="B1463" s="60" t="s">
        <v>162</v>
      </c>
      <c r="C1463" s="60" t="s">
        <v>214</v>
      </c>
      <c r="D1463" s="68"/>
      <c r="E1463" s="73"/>
      <c r="F1463" s="79">
        <f>IFERROR(D1463*E1463,0)</f>
        <v>0</v>
      </c>
      <c r="G1463" s="60" t="str">
        <f>INDEX(SETORES!$B:$B,MATCH(A1463,SETORES!$A:$A,0))</f>
        <v>Funcionários</v>
      </c>
      <c r="H1463" s="60" t="s">
        <v>11</v>
      </c>
    </row>
    <row r="1464" spans="1:8" ht="14.25" hidden="1" customHeight="1" x14ac:dyDescent="0.3">
      <c r="A1464" s="2" t="s">
        <v>33</v>
      </c>
      <c r="B1464" s="60" t="s">
        <v>155</v>
      </c>
      <c r="C1464" s="60" t="s">
        <v>238</v>
      </c>
      <c r="D1464" s="68">
        <v>1</v>
      </c>
      <c r="E1464" s="73">
        <v>153.58000000000001</v>
      </c>
      <c r="F1464" s="79">
        <f>IFERROR(D1464*E1464,0)</f>
        <v>153.58000000000001</v>
      </c>
      <c r="G1464" s="60" t="str">
        <f>INDEX(SETORES!$B:$B,MATCH(A1464,SETORES!$A:$A,0))</f>
        <v>Funcionários</v>
      </c>
      <c r="H1464" s="60" t="s">
        <v>11</v>
      </c>
    </row>
    <row r="1465" spans="1:8" ht="14.25" hidden="1" customHeight="1" x14ac:dyDescent="0.3">
      <c r="A1465" s="34" t="s">
        <v>33</v>
      </c>
      <c r="B1465" s="61" t="s">
        <v>155</v>
      </c>
      <c r="C1465" s="61" t="s">
        <v>166</v>
      </c>
      <c r="D1465" s="69">
        <v>7</v>
      </c>
      <c r="E1465" s="74">
        <v>50</v>
      </c>
      <c r="F1465" s="80">
        <f>IFERROR(D1465*E1465,0)</f>
        <v>350</v>
      </c>
      <c r="G1465" s="61" t="str">
        <f>INDEX(SETORES!$B:$B,MATCH(A1465,SETORES!$A:$A,0))</f>
        <v>Funcionários</v>
      </c>
      <c r="H1465" s="61" t="s">
        <v>11</v>
      </c>
    </row>
    <row r="1466" spans="1:8" ht="14.25" hidden="1" customHeight="1" x14ac:dyDescent="0.3">
      <c r="A1466" s="2" t="s">
        <v>33</v>
      </c>
      <c r="B1466" s="60" t="s">
        <v>155</v>
      </c>
      <c r="C1466" s="60" t="s">
        <v>177</v>
      </c>
      <c r="D1466" s="68">
        <v>1</v>
      </c>
      <c r="E1466" s="73">
        <v>2559.44</v>
      </c>
      <c r="F1466" s="79">
        <f>IFERROR(D1466*E1466,0)</f>
        <v>2559.44</v>
      </c>
      <c r="G1466" s="61" t="s">
        <v>98</v>
      </c>
      <c r="H1466" s="60" t="s">
        <v>11</v>
      </c>
    </row>
    <row r="1467" spans="1:8" ht="14.25" hidden="1" customHeight="1" x14ac:dyDescent="0.3">
      <c r="A1467" s="34" t="s">
        <v>33</v>
      </c>
      <c r="B1467" s="61" t="s">
        <v>155</v>
      </c>
      <c r="C1467" s="61" t="s">
        <v>156</v>
      </c>
      <c r="D1467" s="69">
        <v>7</v>
      </c>
      <c r="E1467" s="74">
        <v>1</v>
      </c>
      <c r="F1467" s="80">
        <v>7</v>
      </c>
      <c r="G1467" s="61" t="str">
        <f>INDEX(SETORES!$B:$B,MATCH(A1467,SETORES!$A:$A,0))</f>
        <v>Funcionários</v>
      </c>
      <c r="H1467" s="61" t="s">
        <v>11</v>
      </c>
    </row>
    <row r="1468" spans="1:8" ht="14.25" hidden="1" customHeight="1" x14ac:dyDescent="0.3">
      <c r="A1468" s="2" t="s">
        <v>33</v>
      </c>
      <c r="B1468" s="60" t="s">
        <v>155</v>
      </c>
      <c r="C1468" s="60" t="s">
        <v>157</v>
      </c>
      <c r="D1468" s="68">
        <v>1</v>
      </c>
      <c r="E1468" s="73">
        <v>60.8</v>
      </c>
      <c r="F1468" s="79">
        <v>60.8</v>
      </c>
      <c r="G1468" s="60" t="str">
        <f>INDEX(SETORES!$B:$B,MATCH(A1468,SETORES!$A:$A,0))</f>
        <v>Funcionários</v>
      </c>
      <c r="H1468" s="60" t="s">
        <v>11</v>
      </c>
    </row>
    <row r="1469" spans="1:8" ht="14.25" hidden="1" customHeight="1" x14ac:dyDescent="0.3">
      <c r="A1469" s="34" t="s">
        <v>33</v>
      </c>
      <c r="B1469" s="61" t="s">
        <v>155</v>
      </c>
      <c r="C1469" s="61" t="s">
        <v>239</v>
      </c>
      <c r="D1469" s="69">
        <v>1</v>
      </c>
      <c r="E1469" s="74">
        <v>4226.8</v>
      </c>
      <c r="F1469" s="80">
        <f>IFERROR(D1469*E1469,0)</f>
        <v>4226.8</v>
      </c>
      <c r="G1469" s="61" t="s">
        <v>98</v>
      </c>
      <c r="H1469" s="61" t="s">
        <v>11</v>
      </c>
    </row>
    <row r="1470" spans="1:8" ht="14.25" hidden="1" customHeight="1" x14ac:dyDescent="0.3">
      <c r="A1470" s="2" t="s">
        <v>33</v>
      </c>
      <c r="B1470" s="60" t="s">
        <v>155</v>
      </c>
      <c r="C1470" s="60" t="s">
        <v>180</v>
      </c>
      <c r="D1470" s="68">
        <v>1</v>
      </c>
      <c r="E1470" s="73">
        <v>3714.01</v>
      </c>
      <c r="F1470" s="79">
        <f>IFERROR(D1470*E1470,0)</f>
        <v>3714.01</v>
      </c>
      <c r="G1470" s="61" t="s">
        <v>98</v>
      </c>
      <c r="H1470" s="60" t="s">
        <v>11</v>
      </c>
    </row>
    <row r="1471" spans="1:8" ht="14.25" hidden="1" customHeight="1" x14ac:dyDescent="0.3">
      <c r="A1471" s="34" t="s">
        <v>33</v>
      </c>
      <c r="B1471" s="61" t="s">
        <v>155</v>
      </c>
      <c r="C1471" s="61" t="s">
        <v>179</v>
      </c>
      <c r="D1471" s="69">
        <v>1</v>
      </c>
      <c r="E1471" s="74">
        <v>1099.93</v>
      </c>
      <c r="F1471" s="80">
        <f>IFERROR(D1471*E1471,0)</f>
        <v>1099.93</v>
      </c>
      <c r="G1471" s="61" t="s">
        <v>98</v>
      </c>
      <c r="H1471" s="61" t="s">
        <v>11</v>
      </c>
    </row>
    <row r="1472" spans="1:8" ht="14.25" hidden="1" customHeight="1" x14ac:dyDescent="0.3">
      <c r="A1472" s="2" t="s">
        <v>33</v>
      </c>
      <c r="B1472" s="60" t="s">
        <v>155</v>
      </c>
      <c r="C1472" s="60" t="s">
        <v>168</v>
      </c>
      <c r="D1472" s="68">
        <v>7</v>
      </c>
      <c r="E1472" s="73">
        <v>2.04</v>
      </c>
      <c r="F1472" s="79">
        <f>IFERROR(D1472*E1472,0)</f>
        <v>14.280000000000001</v>
      </c>
      <c r="G1472" s="60" t="str">
        <f>INDEX(SETORES!$B:$B,MATCH(A1472,SETORES!$A:$A,0))</f>
        <v>Funcionários</v>
      </c>
      <c r="H1472" s="60" t="s">
        <v>11</v>
      </c>
    </row>
    <row r="1473" spans="1:8" ht="14.25" hidden="1" customHeight="1" x14ac:dyDescent="0.3">
      <c r="A1473" s="34" t="s">
        <v>33</v>
      </c>
      <c r="B1473" s="61" t="s">
        <v>155</v>
      </c>
      <c r="C1473" s="61" t="s">
        <v>160</v>
      </c>
      <c r="D1473" s="69"/>
      <c r="E1473" s="74"/>
      <c r="F1473" s="80">
        <f>IFERROR(D1473*E1473,0)</f>
        <v>0</v>
      </c>
      <c r="G1473" s="61" t="str">
        <f>INDEX(SETORES!$B:$B,MATCH(A1473,SETORES!$A:$A,0))</f>
        <v>Funcionários</v>
      </c>
      <c r="H1473" s="61" t="s">
        <v>11</v>
      </c>
    </row>
    <row r="1474" spans="1:8" ht="14.25" hidden="1" customHeight="1" x14ac:dyDescent="0.3">
      <c r="A1474" s="2" t="s">
        <v>45</v>
      </c>
      <c r="B1474" s="60" t="s">
        <v>155</v>
      </c>
      <c r="C1474" s="60" t="s">
        <v>159</v>
      </c>
      <c r="D1474" s="68">
        <v>7</v>
      </c>
      <c r="E1474" s="73">
        <v>0.31240000000000001</v>
      </c>
      <c r="F1474" s="79">
        <v>2.1867999999999999</v>
      </c>
      <c r="G1474" s="60" t="str">
        <f>INDEX(SETORES!$B:$B,MATCH(A1474,SETORES!$A:$A,0))</f>
        <v>Clientes</v>
      </c>
      <c r="H1474" s="60" t="s">
        <v>11</v>
      </c>
    </row>
    <row r="1475" spans="1:8" ht="14.25" hidden="1" customHeight="1" x14ac:dyDescent="0.3">
      <c r="A1475" s="2" t="s">
        <v>45</v>
      </c>
      <c r="B1475" s="60" t="s">
        <v>155</v>
      </c>
      <c r="C1475" s="60" t="s">
        <v>212</v>
      </c>
      <c r="D1475" s="68">
        <v>8</v>
      </c>
      <c r="E1475" s="73">
        <v>30</v>
      </c>
      <c r="F1475" s="79">
        <f>IFERROR(D1475*E1475,0)</f>
        <v>240</v>
      </c>
      <c r="G1475" s="60" t="str">
        <f>INDEX(SETORES!$B:$B,MATCH(A1475,SETORES!$A:$A,0))</f>
        <v>Clientes</v>
      </c>
      <c r="H1475" s="60" t="s">
        <v>11</v>
      </c>
    </row>
    <row r="1476" spans="1:8" ht="14.25" hidden="1" customHeight="1" x14ac:dyDescent="0.3">
      <c r="A1476" s="34" t="s">
        <v>45</v>
      </c>
      <c r="B1476" s="61" t="s">
        <v>162</v>
      </c>
      <c r="C1476" s="61" t="s">
        <v>217</v>
      </c>
      <c r="D1476" s="69">
        <v>1</v>
      </c>
      <c r="E1476" s="74">
        <v>5735.95</v>
      </c>
      <c r="F1476" s="80">
        <f>IFERROR(D1476*E1476,0)</f>
        <v>5735.95</v>
      </c>
      <c r="G1476" s="61" t="str">
        <f>INDEX(SETORES!$B:$B,MATCH(A1476,SETORES!$A:$A,0))</f>
        <v>Clientes</v>
      </c>
      <c r="H1476" s="61" t="s">
        <v>11</v>
      </c>
    </row>
    <row r="1477" spans="1:8" ht="14.25" hidden="1" customHeight="1" x14ac:dyDescent="0.3">
      <c r="A1477" s="2" t="s">
        <v>45</v>
      </c>
      <c r="B1477" s="60" t="s">
        <v>155</v>
      </c>
      <c r="C1477" s="60" t="s">
        <v>250</v>
      </c>
      <c r="D1477" s="68">
        <v>1</v>
      </c>
      <c r="E1477" s="73">
        <v>1254.6099999999999</v>
      </c>
      <c r="F1477" s="79">
        <f>IFERROR(D1477*E1477,0)</f>
        <v>1254.6099999999999</v>
      </c>
      <c r="G1477" s="60" t="str">
        <f>INDEX(SETORES!$B:$B,MATCH(A1477,SETORES!$A:$A,0))</f>
        <v>Clientes</v>
      </c>
      <c r="H1477" s="60" t="s">
        <v>11</v>
      </c>
    </row>
    <row r="1478" spans="1:8" ht="14.25" hidden="1" customHeight="1" x14ac:dyDescent="0.3">
      <c r="A1478" s="34" t="s">
        <v>45</v>
      </c>
      <c r="B1478" s="61" t="s">
        <v>162</v>
      </c>
      <c r="C1478" s="61" t="s">
        <v>194</v>
      </c>
      <c r="D1478" s="69">
        <v>1</v>
      </c>
      <c r="E1478" s="74">
        <v>700</v>
      </c>
      <c r="F1478" s="80">
        <f>IFERROR(D1478*E1478,0)</f>
        <v>700</v>
      </c>
      <c r="G1478" s="61" t="str">
        <f>INDEX(SETORES!$B:$B,MATCH(A1478,SETORES!$A:$A,0))</f>
        <v>Clientes</v>
      </c>
      <c r="H1478" s="61" t="s">
        <v>11</v>
      </c>
    </row>
    <row r="1479" spans="1:8" ht="14.25" hidden="1" customHeight="1" x14ac:dyDescent="0.3">
      <c r="A1479" s="2" t="s">
        <v>45</v>
      </c>
      <c r="B1479" s="60" t="s">
        <v>155</v>
      </c>
      <c r="C1479" s="60" t="s">
        <v>158</v>
      </c>
      <c r="D1479" s="68">
        <v>7</v>
      </c>
      <c r="E1479" s="73">
        <v>23.6877</v>
      </c>
      <c r="F1479" s="79">
        <v>165.81389999999999</v>
      </c>
      <c r="G1479" s="60" t="str">
        <f>INDEX(SETORES!$B:$B,MATCH(A1479,SETORES!$A:$A,0))</f>
        <v>Clientes</v>
      </c>
      <c r="H1479" s="60" t="s">
        <v>11</v>
      </c>
    </row>
    <row r="1480" spans="1:8" ht="14.25" hidden="1" customHeight="1" x14ac:dyDescent="0.3">
      <c r="A1480" s="2" t="s">
        <v>45</v>
      </c>
      <c r="B1480" s="60" t="s">
        <v>162</v>
      </c>
      <c r="C1480" s="60" t="s">
        <v>163</v>
      </c>
      <c r="D1480" s="68"/>
      <c r="E1480" s="73"/>
      <c r="F1480" s="79">
        <f>IFERROR(D1480*E1480,0)</f>
        <v>0</v>
      </c>
      <c r="G1480" s="60" t="str">
        <f>INDEX(SETORES!$B:$B,MATCH(A1480,SETORES!$A:$A,0))</f>
        <v>Clientes</v>
      </c>
      <c r="H1480" s="60" t="s">
        <v>11</v>
      </c>
    </row>
    <row r="1481" spans="1:8" ht="14.25" hidden="1" customHeight="1" x14ac:dyDescent="0.3">
      <c r="A1481" s="34" t="s">
        <v>45</v>
      </c>
      <c r="B1481" s="61" t="s">
        <v>162</v>
      </c>
      <c r="C1481" s="61" t="s">
        <v>164</v>
      </c>
      <c r="D1481" s="69"/>
      <c r="E1481" s="74"/>
      <c r="F1481" s="80">
        <f>IFERROR(D1481*E1481,0)</f>
        <v>0</v>
      </c>
      <c r="G1481" s="61" t="str">
        <f>INDEX(SETORES!$B:$B,MATCH(A1481,SETORES!$A:$A,0))</f>
        <v>Clientes</v>
      </c>
      <c r="H1481" s="61" t="s">
        <v>11</v>
      </c>
    </row>
    <row r="1482" spans="1:8" ht="14.25" hidden="1" customHeight="1" x14ac:dyDescent="0.3">
      <c r="A1482" s="34" t="s">
        <v>45</v>
      </c>
      <c r="B1482" s="61" t="s">
        <v>155</v>
      </c>
      <c r="C1482" s="61" t="s">
        <v>161</v>
      </c>
      <c r="D1482" s="69">
        <v>1</v>
      </c>
      <c r="E1482" s="74">
        <v>60198.19</v>
      </c>
      <c r="F1482" s="80">
        <f>IFERROR(E1482,0)</f>
        <v>60198.19</v>
      </c>
      <c r="G1482" s="61" t="str">
        <f>INDEX(SETORES!$B:$B,MATCH(A1482,SETORES!$A:$A,0))</f>
        <v>Clientes</v>
      </c>
      <c r="H1482" s="61" t="s">
        <v>11</v>
      </c>
    </row>
    <row r="1483" spans="1:8" ht="14.25" hidden="1" customHeight="1" x14ac:dyDescent="0.3">
      <c r="A1483" s="34" t="s">
        <v>45</v>
      </c>
      <c r="B1483" s="61" t="s">
        <v>155</v>
      </c>
      <c r="C1483" s="61" t="s">
        <v>167</v>
      </c>
      <c r="D1483" s="69">
        <v>7</v>
      </c>
      <c r="E1483" s="74">
        <v>9.85</v>
      </c>
      <c r="F1483" s="80">
        <f>IFERROR(D1483*E1483,0)</f>
        <v>68.95</v>
      </c>
      <c r="G1483" s="61" t="str">
        <f>INDEX(SETORES!$B:$B,MATCH(A1483,SETORES!$A:$A,0))</f>
        <v>Clientes</v>
      </c>
      <c r="H1483" s="61" t="s">
        <v>11</v>
      </c>
    </row>
    <row r="1484" spans="1:8" ht="14.25" hidden="1" customHeight="1" x14ac:dyDescent="0.3">
      <c r="A1484" s="2" t="s">
        <v>45</v>
      </c>
      <c r="B1484" s="60" t="s">
        <v>155</v>
      </c>
      <c r="C1484" s="60" t="s">
        <v>238</v>
      </c>
      <c r="D1484" s="68">
        <v>1</v>
      </c>
      <c r="E1484" s="73">
        <v>128.68</v>
      </c>
      <c r="F1484" s="79">
        <f>IFERROR(D1484*E1484,0)</f>
        <v>128.68</v>
      </c>
      <c r="G1484" s="60" t="str">
        <f>INDEX(SETORES!$B:$B,MATCH(A1484,SETORES!$A:$A,0))</f>
        <v>Clientes</v>
      </c>
      <c r="H1484" s="60" t="s">
        <v>11</v>
      </c>
    </row>
    <row r="1485" spans="1:8" ht="14.25" hidden="1" customHeight="1" x14ac:dyDescent="0.3">
      <c r="A1485" s="2" t="s">
        <v>45</v>
      </c>
      <c r="B1485" s="60" t="s">
        <v>155</v>
      </c>
      <c r="C1485" s="60" t="s">
        <v>166</v>
      </c>
      <c r="D1485" s="68">
        <v>10</v>
      </c>
      <c r="E1485" s="73">
        <v>50</v>
      </c>
      <c r="F1485" s="79">
        <f>IFERROR(D1485*E1485,0)</f>
        <v>500</v>
      </c>
      <c r="G1485" s="60" t="str">
        <f>INDEX(SETORES!$B:$B,MATCH(A1485,SETORES!$A:$A,0))</f>
        <v>Clientes</v>
      </c>
      <c r="H1485" s="60" t="s">
        <v>11</v>
      </c>
    </row>
    <row r="1486" spans="1:8" ht="14.25" hidden="1" customHeight="1" x14ac:dyDescent="0.3">
      <c r="A1486" s="34" t="s">
        <v>45</v>
      </c>
      <c r="B1486" s="61" t="s">
        <v>155</v>
      </c>
      <c r="C1486" s="61" t="s">
        <v>183</v>
      </c>
      <c r="D1486" s="69">
        <v>1</v>
      </c>
      <c r="E1486" s="74">
        <v>666.2</v>
      </c>
      <c r="F1486" s="80">
        <f>IFERROR(D1486*E1486,0)</f>
        <v>666.2</v>
      </c>
      <c r="G1486" s="61" t="str">
        <f>INDEX(SETORES!$B:$B,MATCH(A1486,SETORES!$A:$A,0))</f>
        <v>Clientes</v>
      </c>
      <c r="H1486" s="61" t="s">
        <v>11</v>
      </c>
    </row>
    <row r="1487" spans="1:8" ht="14.25" hidden="1" customHeight="1" x14ac:dyDescent="0.3">
      <c r="A1487" s="34" t="s">
        <v>45</v>
      </c>
      <c r="B1487" s="61" t="s">
        <v>155</v>
      </c>
      <c r="C1487" s="61" t="s">
        <v>156</v>
      </c>
      <c r="D1487" s="69">
        <v>1</v>
      </c>
      <c r="E1487" s="74">
        <v>22.5</v>
      </c>
      <c r="F1487" s="80">
        <v>45</v>
      </c>
      <c r="G1487" s="61" t="str">
        <f>INDEX(SETORES!$B:$B,MATCH(A1487,SETORES!$A:$A,0))</f>
        <v>Clientes</v>
      </c>
      <c r="H1487" s="61" t="s">
        <v>11</v>
      </c>
    </row>
    <row r="1488" spans="1:8" ht="14.25" hidden="1" customHeight="1" x14ac:dyDescent="0.3">
      <c r="A1488" s="2" t="s">
        <v>45</v>
      </c>
      <c r="B1488" s="60" t="s">
        <v>155</v>
      </c>
      <c r="C1488" s="60" t="s">
        <v>157</v>
      </c>
      <c r="D1488" s="68">
        <v>1</v>
      </c>
      <c r="E1488" s="73">
        <v>22.5</v>
      </c>
      <c r="F1488" s="79">
        <v>22.5</v>
      </c>
      <c r="G1488" s="60" t="str">
        <f>INDEX(SETORES!$B:$B,MATCH(A1488,SETORES!$A:$A,0))</f>
        <v>Clientes</v>
      </c>
      <c r="H1488" s="60" t="s">
        <v>11</v>
      </c>
    </row>
    <row r="1489" spans="1:8" ht="14.25" hidden="1" customHeight="1" x14ac:dyDescent="0.3">
      <c r="A1489" s="2" t="s">
        <v>45</v>
      </c>
      <c r="B1489" s="60" t="s">
        <v>162</v>
      </c>
      <c r="C1489" s="60" t="s">
        <v>209</v>
      </c>
      <c r="D1489" s="68">
        <v>7</v>
      </c>
      <c r="E1489" s="73">
        <v>85.71</v>
      </c>
      <c r="F1489" s="79">
        <f>IFERROR(D1489*E1489,0)</f>
        <v>599.96999999999991</v>
      </c>
      <c r="G1489" s="60" t="str">
        <f>INDEX(SETORES!$B:$B,MATCH(A1489,SETORES!$A:$A,0))</f>
        <v>Clientes</v>
      </c>
      <c r="H1489" s="60" t="s">
        <v>11</v>
      </c>
    </row>
    <row r="1490" spans="1:8" ht="14.25" hidden="1" customHeight="1" x14ac:dyDescent="0.3">
      <c r="A1490" s="34" t="s">
        <v>45</v>
      </c>
      <c r="B1490" s="61" t="s">
        <v>162</v>
      </c>
      <c r="C1490" s="61" t="s">
        <v>222</v>
      </c>
      <c r="D1490" s="69">
        <v>1</v>
      </c>
      <c r="E1490" s="74">
        <v>3121.37</v>
      </c>
      <c r="F1490" s="80">
        <f>IFERROR(D1490*E1490,0)</f>
        <v>3121.37</v>
      </c>
      <c r="G1490" s="61" t="str">
        <f>INDEX(SETORES!$B:$B,MATCH(A1490,SETORES!$A:$A,0))</f>
        <v>Clientes</v>
      </c>
      <c r="H1490" s="61" t="s">
        <v>11</v>
      </c>
    </row>
    <row r="1491" spans="1:8" ht="14.25" hidden="1" customHeight="1" x14ac:dyDescent="0.3">
      <c r="A1491" s="2" t="s">
        <v>45</v>
      </c>
      <c r="B1491" s="60" t="s">
        <v>155</v>
      </c>
      <c r="C1491" s="60" t="s">
        <v>168</v>
      </c>
      <c r="D1491" s="68">
        <v>7</v>
      </c>
      <c r="E1491" s="73">
        <v>2.04</v>
      </c>
      <c r="F1491" s="79">
        <f>IFERROR(D1491*E1491,0)</f>
        <v>14.280000000000001</v>
      </c>
      <c r="G1491" s="60" t="str">
        <f>INDEX(SETORES!$B:$B,MATCH(A1491,SETORES!$A:$A,0))</f>
        <v>Clientes</v>
      </c>
      <c r="H1491" s="60" t="s">
        <v>11</v>
      </c>
    </row>
    <row r="1492" spans="1:8" ht="14.25" hidden="1" customHeight="1" x14ac:dyDescent="0.3">
      <c r="A1492" s="2" t="s">
        <v>45</v>
      </c>
      <c r="B1492" s="60" t="s">
        <v>155</v>
      </c>
      <c r="C1492" s="60" t="s">
        <v>160</v>
      </c>
      <c r="D1492" s="68"/>
      <c r="E1492" s="73"/>
      <c r="F1492" s="79">
        <f>IFERROR(D1492*E1492,0)</f>
        <v>0</v>
      </c>
      <c r="G1492" s="60" t="str">
        <f>INDEX(SETORES!$B:$B,MATCH(A1492,SETORES!$A:$A,0))</f>
        <v>Clientes</v>
      </c>
      <c r="H1492" s="60" t="s">
        <v>11</v>
      </c>
    </row>
    <row r="1493" spans="1:8" ht="14.25" hidden="1" customHeight="1" x14ac:dyDescent="0.3">
      <c r="A1493" s="34" t="s">
        <v>50</v>
      </c>
      <c r="B1493" s="61" t="s">
        <v>155</v>
      </c>
      <c r="C1493" s="61" t="s">
        <v>159</v>
      </c>
      <c r="D1493" s="69">
        <v>12</v>
      </c>
      <c r="E1493" s="74">
        <v>0.31240000000000001</v>
      </c>
      <c r="F1493" s="80">
        <v>3.7488000000000001</v>
      </c>
      <c r="G1493" s="61" t="str">
        <f>INDEX(SETORES!$B:$B,MATCH(A1493,SETORES!$A:$A,0))</f>
        <v>Clientes</v>
      </c>
      <c r="H1493" s="61" t="s">
        <v>11</v>
      </c>
    </row>
    <row r="1494" spans="1:8" ht="14.25" hidden="1" customHeight="1" x14ac:dyDescent="0.3">
      <c r="A1494" s="2" t="s">
        <v>50</v>
      </c>
      <c r="B1494" s="60" t="s">
        <v>155</v>
      </c>
      <c r="C1494" s="60" t="s">
        <v>158</v>
      </c>
      <c r="D1494" s="68">
        <v>12</v>
      </c>
      <c r="E1494" s="73">
        <v>23.6877</v>
      </c>
      <c r="F1494" s="79">
        <v>284.25240000000002</v>
      </c>
      <c r="G1494" s="60" t="str">
        <f>INDEX(SETORES!$B:$B,MATCH(A1494,SETORES!$A:$A,0))</f>
        <v>Clientes</v>
      </c>
      <c r="H1494" s="60" t="s">
        <v>11</v>
      </c>
    </row>
    <row r="1495" spans="1:8" ht="14.25" hidden="1" customHeight="1" x14ac:dyDescent="0.3">
      <c r="A1495" s="34" t="s">
        <v>50</v>
      </c>
      <c r="B1495" s="61" t="s">
        <v>162</v>
      </c>
      <c r="C1495" s="61" t="s">
        <v>165</v>
      </c>
      <c r="D1495" s="69">
        <v>1</v>
      </c>
      <c r="E1495" s="74">
        <v>50</v>
      </c>
      <c r="F1495" s="80">
        <f>IFERROR(D1495*E1495,0)</f>
        <v>50</v>
      </c>
      <c r="G1495" s="61" t="str">
        <f>INDEX(SETORES!$B:$B,MATCH(A1495,SETORES!$A:$A,0))</f>
        <v>Clientes</v>
      </c>
      <c r="H1495" s="61" t="s">
        <v>11</v>
      </c>
    </row>
    <row r="1496" spans="1:8" ht="14.25" hidden="1" customHeight="1" x14ac:dyDescent="0.3">
      <c r="A1496" s="34" t="s">
        <v>50</v>
      </c>
      <c r="B1496" s="61" t="s">
        <v>162</v>
      </c>
      <c r="C1496" s="61" t="s">
        <v>163</v>
      </c>
      <c r="D1496" s="69"/>
      <c r="E1496" s="74"/>
      <c r="F1496" s="80">
        <f>IFERROR(D1496*E1496,0)</f>
        <v>0</v>
      </c>
      <c r="G1496" s="61" t="str">
        <f>INDEX(SETORES!$B:$B,MATCH(A1496,SETORES!$A:$A,0))</f>
        <v>Clientes</v>
      </c>
      <c r="H1496" s="61" t="s">
        <v>11</v>
      </c>
    </row>
    <row r="1497" spans="1:8" ht="14.25" hidden="1" customHeight="1" x14ac:dyDescent="0.3">
      <c r="A1497" s="2" t="s">
        <v>50</v>
      </c>
      <c r="B1497" s="60" t="s">
        <v>162</v>
      </c>
      <c r="C1497" s="60" t="s">
        <v>164</v>
      </c>
      <c r="D1497" s="68"/>
      <c r="E1497" s="73"/>
      <c r="F1497" s="79">
        <f>IFERROR(D1497*E1497,0)</f>
        <v>0</v>
      </c>
      <c r="G1497" s="60" t="str">
        <f>INDEX(SETORES!$B:$B,MATCH(A1497,SETORES!$A:$A,0))</f>
        <v>Clientes</v>
      </c>
      <c r="H1497" s="60" t="s">
        <v>11</v>
      </c>
    </row>
    <row r="1498" spans="1:8" ht="14.25" hidden="1" customHeight="1" x14ac:dyDescent="0.3">
      <c r="A1498" s="34" t="s">
        <v>50</v>
      </c>
      <c r="B1498" s="61" t="s">
        <v>155</v>
      </c>
      <c r="C1498" s="61" t="s">
        <v>161</v>
      </c>
      <c r="D1498" s="69">
        <v>1</v>
      </c>
      <c r="E1498" s="74">
        <v>60103.48</v>
      </c>
      <c r="F1498" s="80">
        <f>IFERROR(E1498,0)</f>
        <v>60103.48</v>
      </c>
      <c r="G1498" s="61" t="str">
        <f>INDEX(SETORES!$B:$B,MATCH(A1498,SETORES!$A:$A,0))</f>
        <v>Clientes</v>
      </c>
      <c r="H1498" s="61" t="s">
        <v>11</v>
      </c>
    </row>
    <row r="1499" spans="1:8" ht="14.25" hidden="1" customHeight="1" x14ac:dyDescent="0.3">
      <c r="A1499" s="2" t="s">
        <v>50</v>
      </c>
      <c r="B1499" s="60" t="s">
        <v>155</v>
      </c>
      <c r="C1499" s="60" t="s">
        <v>167</v>
      </c>
      <c r="D1499" s="68">
        <v>12</v>
      </c>
      <c r="E1499" s="73">
        <v>9.85</v>
      </c>
      <c r="F1499" s="79">
        <f>IFERROR(D1499*E1499,0)</f>
        <v>118.19999999999999</v>
      </c>
      <c r="G1499" s="60" t="str">
        <f>INDEX(SETORES!$B:$B,MATCH(A1499,SETORES!$A:$A,0))</f>
        <v>Clientes</v>
      </c>
      <c r="H1499" s="60" t="s">
        <v>11</v>
      </c>
    </row>
    <row r="1500" spans="1:8" ht="14.25" hidden="1" customHeight="1" x14ac:dyDescent="0.3">
      <c r="A1500" s="34" t="s">
        <v>50</v>
      </c>
      <c r="B1500" s="61" t="s">
        <v>155</v>
      </c>
      <c r="C1500" s="61" t="s">
        <v>238</v>
      </c>
      <c r="D1500" s="69">
        <v>1</v>
      </c>
      <c r="E1500" s="74">
        <v>153.58000000000001</v>
      </c>
      <c r="F1500" s="80">
        <f>IFERROR(D1500*E1500,0)</f>
        <v>153.58000000000001</v>
      </c>
      <c r="G1500" s="61" t="str">
        <f>INDEX(SETORES!$B:$B,MATCH(A1500,SETORES!$A:$A,0))</f>
        <v>Clientes</v>
      </c>
      <c r="H1500" s="61" t="s">
        <v>11</v>
      </c>
    </row>
    <row r="1501" spans="1:8" ht="14.25" hidden="1" customHeight="1" x14ac:dyDescent="0.3">
      <c r="A1501" s="2" t="s">
        <v>50</v>
      </c>
      <c r="B1501" s="60" t="s">
        <v>162</v>
      </c>
      <c r="C1501" s="60" t="s">
        <v>218</v>
      </c>
      <c r="D1501" s="68"/>
      <c r="E1501" s="73"/>
      <c r="F1501" s="79">
        <f>IFERROR(D1501*E1501,0)</f>
        <v>0</v>
      </c>
      <c r="G1501" s="60" t="str">
        <f>INDEX(SETORES!$B:$B,MATCH(A1501,SETORES!$A:$A,0))</f>
        <v>Clientes</v>
      </c>
      <c r="H1501" s="60" t="s">
        <v>11</v>
      </c>
    </row>
    <row r="1502" spans="1:8" ht="14.25" hidden="1" customHeight="1" x14ac:dyDescent="0.3">
      <c r="A1502" s="2" t="s">
        <v>50</v>
      </c>
      <c r="B1502" s="60" t="s">
        <v>155</v>
      </c>
      <c r="C1502" s="60" t="s">
        <v>166</v>
      </c>
      <c r="D1502" s="68">
        <v>16</v>
      </c>
      <c r="E1502" s="73">
        <v>50</v>
      </c>
      <c r="F1502" s="79">
        <f>IFERROR(D1502*E1502,0)</f>
        <v>800</v>
      </c>
      <c r="G1502" s="60" t="str">
        <f>INDEX(SETORES!$B:$B,MATCH(A1502,SETORES!$A:$A,0))</f>
        <v>Clientes</v>
      </c>
      <c r="H1502" s="60" t="s">
        <v>11</v>
      </c>
    </row>
    <row r="1503" spans="1:8" ht="14.25" hidden="1" customHeight="1" x14ac:dyDescent="0.3">
      <c r="A1503" s="2" t="s">
        <v>50</v>
      </c>
      <c r="B1503" s="60" t="s">
        <v>155</v>
      </c>
      <c r="C1503" s="60" t="s">
        <v>156</v>
      </c>
      <c r="D1503" s="68"/>
      <c r="E1503" s="73"/>
      <c r="F1503" s="79">
        <v>0</v>
      </c>
      <c r="G1503" s="60" t="str">
        <f>INDEX(SETORES!$B:$B,MATCH(A1503,SETORES!$A:$A,0))</f>
        <v>Clientes</v>
      </c>
      <c r="H1503" s="60" t="s">
        <v>11</v>
      </c>
    </row>
    <row r="1504" spans="1:8" ht="14.25" hidden="1" customHeight="1" x14ac:dyDescent="0.3">
      <c r="A1504" s="34" t="s">
        <v>50</v>
      </c>
      <c r="B1504" s="61" t="s">
        <v>155</v>
      </c>
      <c r="C1504" s="61" t="s">
        <v>157</v>
      </c>
      <c r="D1504" s="69">
        <v>1</v>
      </c>
      <c r="E1504" s="74">
        <v>624.39</v>
      </c>
      <c r="F1504" s="80">
        <v>624.39</v>
      </c>
      <c r="G1504" s="61" t="str">
        <f>INDEX(SETORES!$B:$B,MATCH(A1504,SETORES!$A:$A,0))</f>
        <v>Clientes</v>
      </c>
      <c r="H1504" s="61" t="s">
        <v>11</v>
      </c>
    </row>
    <row r="1505" spans="1:8" ht="14.25" hidden="1" customHeight="1" x14ac:dyDescent="0.3">
      <c r="A1505" s="34" t="s">
        <v>50</v>
      </c>
      <c r="B1505" s="61" t="s">
        <v>162</v>
      </c>
      <c r="C1505" s="61" t="s">
        <v>209</v>
      </c>
      <c r="D1505" s="69">
        <v>12</v>
      </c>
      <c r="E1505" s="74">
        <v>85.71</v>
      </c>
      <c r="F1505" s="80">
        <f>IFERROR(D1505*E1505,0)</f>
        <v>1028.52</v>
      </c>
      <c r="G1505" s="61" t="str">
        <f>INDEX(SETORES!$B:$B,MATCH(A1505,SETORES!$A:$A,0))</f>
        <v>Clientes</v>
      </c>
      <c r="H1505" s="61" t="s">
        <v>11</v>
      </c>
    </row>
    <row r="1506" spans="1:8" ht="14.25" hidden="1" customHeight="1" x14ac:dyDescent="0.3">
      <c r="A1506" s="2" t="s">
        <v>50</v>
      </c>
      <c r="B1506" s="60" t="s">
        <v>162</v>
      </c>
      <c r="C1506" s="60" t="s">
        <v>222</v>
      </c>
      <c r="D1506" s="68">
        <v>1</v>
      </c>
      <c r="E1506" s="73">
        <v>3112.37</v>
      </c>
      <c r="F1506" s="79">
        <f>IFERROR(D1506*E1506,0)</f>
        <v>3112.37</v>
      </c>
      <c r="G1506" s="60" t="str">
        <f>INDEX(SETORES!$B:$B,MATCH(A1506,SETORES!$A:$A,0))</f>
        <v>Clientes</v>
      </c>
      <c r="H1506" s="60" t="s">
        <v>11</v>
      </c>
    </row>
    <row r="1507" spans="1:8" ht="14.25" hidden="1" customHeight="1" x14ac:dyDescent="0.3">
      <c r="A1507" s="34" t="s">
        <v>50</v>
      </c>
      <c r="B1507" s="61" t="s">
        <v>155</v>
      </c>
      <c r="C1507" s="61" t="s">
        <v>168</v>
      </c>
      <c r="D1507" s="69">
        <v>12</v>
      </c>
      <c r="E1507" s="74">
        <v>2.04</v>
      </c>
      <c r="F1507" s="80">
        <f>IFERROR(D1507*E1507,0)</f>
        <v>24.48</v>
      </c>
      <c r="G1507" s="61" t="str">
        <f>INDEX(SETORES!$B:$B,MATCH(A1507,SETORES!$A:$A,0))</f>
        <v>Clientes</v>
      </c>
      <c r="H1507" s="61" t="s">
        <v>11</v>
      </c>
    </row>
    <row r="1508" spans="1:8" ht="14.25" hidden="1" customHeight="1" x14ac:dyDescent="0.3">
      <c r="A1508" s="2" t="s">
        <v>50</v>
      </c>
      <c r="B1508" s="60" t="s">
        <v>155</v>
      </c>
      <c r="C1508" s="60" t="s">
        <v>160</v>
      </c>
      <c r="D1508" s="68"/>
      <c r="E1508" s="73"/>
      <c r="F1508" s="79">
        <f>IFERROR(D1508*E1508,0)</f>
        <v>0</v>
      </c>
      <c r="G1508" s="60" t="str">
        <f>INDEX(SETORES!$B:$B,MATCH(A1508,SETORES!$A:$A,0))</f>
        <v>Clientes</v>
      </c>
      <c r="H1508" s="60" t="s">
        <v>11</v>
      </c>
    </row>
    <row r="1509" spans="1:8" ht="14.25" hidden="1" customHeight="1" x14ac:dyDescent="0.3">
      <c r="A1509" s="2" t="s">
        <v>36</v>
      </c>
      <c r="B1509" s="60" t="s">
        <v>155</v>
      </c>
      <c r="C1509" s="60" t="s">
        <v>159</v>
      </c>
      <c r="D1509" s="68">
        <v>1</v>
      </c>
      <c r="E1509" s="73">
        <v>0.17499999999999999</v>
      </c>
      <c r="F1509" s="79">
        <v>0.17499999999999999</v>
      </c>
      <c r="G1509" s="60" t="str">
        <f>INDEX(SETORES!$B:$B,MATCH(A1509,SETORES!$A:$A,0))</f>
        <v>Clientes</v>
      </c>
      <c r="H1509" s="60" t="s">
        <v>11</v>
      </c>
    </row>
    <row r="1510" spans="1:8" ht="14.25" hidden="1" customHeight="1" x14ac:dyDescent="0.3">
      <c r="A1510" s="34" t="s">
        <v>36</v>
      </c>
      <c r="B1510" s="61" t="s">
        <v>155</v>
      </c>
      <c r="C1510" s="61" t="s">
        <v>212</v>
      </c>
      <c r="D1510" s="69">
        <v>2</v>
      </c>
      <c r="E1510" s="74">
        <v>30</v>
      </c>
      <c r="F1510" s="80">
        <f>IFERROR(D1510*E1510,0)</f>
        <v>60</v>
      </c>
      <c r="G1510" s="61" t="str">
        <f>INDEX(SETORES!$B:$B,MATCH(A1510,SETORES!$A:$A,0))</f>
        <v>Clientes</v>
      </c>
      <c r="H1510" s="61" t="s">
        <v>11</v>
      </c>
    </row>
    <row r="1511" spans="1:8" ht="14.25" hidden="1" customHeight="1" x14ac:dyDescent="0.3">
      <c r="A1511" s="34" t="s">
        <v>36</v>
      </c>
      <c r="B1511" s="61" t="s">
        <v>155</v>
      </c>
      <c r="C1511" s="61" t="s">
        <v>158</v>
      </c>
      <c r="D1511" s="69">
        <v>1</v>
      </c>
      <c r="E1511" s="74">
        <v>61.3005</v>
      </c>
      <c r="F1511" s="80">
        <v>61.3005</v>
      </c>
      <c r="G1511" s="61" t="str">
        <f>INDEX(SETORES!$B:$B,MATCH(A1511,SETORES!$A:$A,0))</f>
        <v>Clientes</v>
      </c>
      <c r="H1511" s="61" t="s">
        <v>11</v>
      </c>
    </row>
    <row r="1512" spans="1:8" ht="14.25" hidden="1" customHeight="1" x14ac:dyDescent="0.3">
      <c r="A1512" s="2" t="s">
        <v>36</v>
      </c>
      <c r="B1512" s="60" t="s">
        <v>162</v>
      </c>
      <c r="C1512" s="60" t="s">
        <v>163</v>
      </c>
      <c r="D1512" s="68"/>
      <c r="E1512" s="73"/>
      <c r="F1512" s="79">
        <f>IFERROR(D1512*E1512,0)</f>
        <v>0</v>
      </c>
      <c r="G1512" s="60" t="str">
        <f>INDEX(SETORES!$B:$B,MATCH(A1512,SETORES!$A:$A,0))</f>
        <v>Clientes</v>
      </c>
      <c r="H1512" s="60" t="s">
        <v>11</v>
      </c>
    </row>
    <row r="1513" spans="1:8" ht="14.25" hidden="1" customHeight="1" x14ac:dyDescent="0.3">
      <c r="A1513" s="34" t="s">
        <v>36</v>
      </c>
      <c r="B1513" s="61" t="s">
        <v>162</v>
      </c>
      <c r="C1513" s="61" t="s">
        <v>164</v>
      </c>
      <c r="D1513" s="69"/>
      <c r="E1513" s="74"/>
      <c r="F1513" s="80">
        <f>IFERROR(D1513*E1513,0)</f>
        <v>0</v>
      </c>
      <c r="G1513" s="61" t="str">
        <f>INDEX(SETORES!$B:$B,MATCH(A1513,SETORES!$A:$A,0))</f>
        <v>Clientes</v>
      </c>
      <c r="H1513" s="61" t="s">
        <v>11</v>
      </c>
    </row>
    <row r="1514" spans="1:8" ht="14.25" hidden="1" customHeight="1" x14ac:dyDescent="0.3">
      <c r="A1514" s="2" t="s">
        <v>36</v>
      </c>
      <c r="B1514" s="60" t="s">
        <v>155</v>
      </c>
      <c r="C1514" s="60" t="s">
        <v>161</v>
      </c>
      <c r="D1514" s="68">
        <v>1</v>
      </c>
      <c r="E1514" s="73">
        <v>38865.14</v>
      </c>
      <c r="F1514" s="79">
        <f>IFERROR(E1514,0)</f>
        <v>38865.14</v>
      </c>
      <c r="G1514" s="60" t="str">
        <f>INDEX(SETORES!$B:$B,MATCH(A1514,SETORES!$A:$A,0))</f>
        <v>Clientes</v>
      </c>
      <c r="H1514" s="60" t="s">
        <v>11</v>
      </c>
    </row>
    <row r="1515" spans="1:8" ht="14.25" hidden="1" customHeight="1" x14ac:dyDescent="0.3">
      <c r="A1515" s="2" t="s">
        <v>36</v>
      </c>
      <c r="B1515" s="60" t="s">
        <v>155</v>
      </c>
      <c r="C1515" s="60" t="s">
        <v>167</v>
      </c>
      <c r="D1515" s="68">
        <v>8</v>
      </c>
      <c r="E1515" s="73">
        <v>9.85</v>
      </c>
      <c r="F1515" s="79">
        <f>IFERROR(D1515*E1515,0)</f>
        <v>78.8</v>
      </c>
      <c r="G1515" s="60" t="str">
        <f>INDEX(SETORES!$B:$B,MATCH(A1515,SETORES!$A:$A,0))</f>
        <v>Clientes</v>
      </c>
      <c r="H1515" s="60" t="s">
        <v>11</v>
      </c>
    </row>
    <row r="1516" spans="1:8" ht="14.25" hidden="1" customHeight="1" x14ac:dyDescent="0.3">
      <c r="A1516" s="34" t="s">
        <v>36</v>
      </c>
      <c r="B1516" s="61" t="s">
        <v>155</v>
      </c>
      <c r="C1516" s="61" t="s">
        <v>238</v>
      </c>
      <c r="D1516" s="69">
        <v>1</v>
      </c>
      <c r="E1516" s="74">
        <v>153.58000000000001</v>
      </c>
      <c r="F1516" s="80">
        <f>IFERROR(D1516*E1516,0)</f>
        <v>153.58000000000001</v>
      </c>
      <c r="G1516" s="61" t="str">
        <f>INDEX(SETORES!$B:$B,MATCH(A1516,SETORES!$A:$A,0))</f>
        <v>Clientes</v>
      </c>
      <c r="H1516" s="61" t="s">
        <v>11</v>
      </c>
    </row>
    <row r="1517" spans="1:8" ht="14.25" hidden="1" customHeight="1" x14ac:dyDescent="0.3">
      <c r="A1517" s="2" t="s">
        <v>36</v>
      </c>
      <c r="B1517" s="60" t="s">
        <v>155</v>
      </c>
      <c r="C1517" s="60" t="s">
        <v>166</v>
      </c>
      <c r="D1517" s="68">
        <v>8</v>
      </c>
      <c r="E1517" s="73">
        <v>50</v>
      </c>
      <c r="F1517" s="79">
        <f>IFERROR(D1517*E1517,0)</f>
        <v>400</v>
      </c>
      <c r="G1517" s="60" t="str">
        <f>INDEX(SETORES!$B:$B,MATCH(A1517,SETORES!$A:$A,0))</f>
        <v>Clientes</v>
      </c>
      <c r="H1517" s="60" t="s">
        <v>11</v>
      </c>
    </row>
    <row r="1518" spans="1:8" ht="14.25" hidden="1" customHeight="1" x14ac:dyDescent="0.3">
      <c r="A1518" s="34" t="s">
        <v>36</v>
      </c>
      <c r="B1518" s="61" t="s">
        <v>155</v>
      </c>
      <c r="C1518" s="61" t="s">
        <v>219</v>
      </c>
      <c r="D1518" s="69">
        <v>1</v>
      </c>
      <c r="E1518" s="74">
        <v>29185.01</v>
      </c>
      <c r="F1518" s="80">
        <f>IFERROR(D1518*E1518,0)</f>
        <v>29185.01</v>
      </c>
      <c r="G1518" s="61" t="str">
        <f>INDEX(SETORES!$B:$B,MATCH(A1518,SETORES!$A:$A,0))</f>
        <v>Clientes</v>
      </c>
      <c r="H1518" s="61" t="s">
        <v>11</v>
      </c>
    </row>
    <row r="1519" spans="1:8" ht="14.25" hidden="1" customHeight="1" x14ac:dyDescent="0.3">
      <c r="A1519" s="34" t="s">
        <v>36</v>
      </c>
      <c r="B1519" s="61" t="s">
        <v>155</v>
      </c>
      <c r="C1519" s="61" t="s">
        <v>156</v>
      </c>
      <c r="D1519" s="69">
        <v>8</v>
      </c>
      <c r="E1519" s="74">
        <v>2.75</v>
      </c>
      <c r="F1519" s="80">
        <v>22</v>
      </c>
      <c r="G1519" s="61" t="str">
        <f>INDEX(SETORES!$B:$B,MATCH(A1519,SETORES!$A:$A,0))</f>
        <v>Clientes</v>
      </c>
      <c r="H1519" s="61" t="s">
        <v>11</v>
      </c>
    </row>
    <row r="1520" spans="1:8" ht="14.25" hidden="1" customHeight="1" x14ac:dyDescent="0.3">
      <c r="A1520" s="2" t="s">
        <v>36</v>
      </c>
      <c r="B1520" s="60" t="s">
        <v>155</v>
      </c>
      <c r="C1520" s="60" t="s">
        <v>157</v>
      </c>
      <c r="D1520" s="68">
        <v>1</v>
      </c>
      <c r="E1520" s="73">
        <v>138.53</v>
      </c>
      <c r="F1520" s="79">
        <v>138.53</v>
      </c>
      <c r="G1520" s="60" t="str">
        <f>INDEX(SETORES!$B:$B,MATCH(A1520,SETORES!$A:$A,0))</f>
        <v>Clientes</v>
      </c>
      <c r="H1520" s="60" t="s">
        <v>11</v>
      </c>
    </row>
    <row r="1521" spans="1:8" ht="14.25" hidden="1" customHeight="1" x14ac:dyDescent="0.3">
      <c r="A1521" s="34" t="s">
        <v>36</v>
      </c>
      <c r="B1521" s="61" t="s">
        <v>155</v>
      </c>
      <c r="C1521" s="61" t="s">
        <v>173</v>
      </c>
      <c r="D1521" s="69">
        <v>1</v>
      </c>
      <c r="E1521" s="74">
        <v>1649.77</v>
      </c>
      <c r="F1521" s="80">
        <f>IFERROR(D1521*E1521,0)</f>
        <v>1649.77</v>
      </c>
      <c r="G1521" s="61" t="str">
        <f>INDEX(SETORES!$B:$B,MATCH(A1521,SETORES!$A:$A,0))</f>
        <v>Clientes</v>
      </c>
      <c r="H1521" s="61" t="s">
        <v>11</v>
      </c>
    </row>
    <row r="1522" spans="1:8" ht="14.25" hidden="1" customHeight="1" x14ac:dyDescent="0.3">
      <c r="A1522" s="2" t="s">
        <v>36</v>
      </c>
      <c r="B1522" s="60" t="s">
        <v>162</v>
      </c>
      <c r="C1522" s="60" t="s">
        <v>222</v>
      </c>
      <c r="D1522" s="68"/>
      <c r="E1522" s="73"/>
      <c r="F1522" s="79">
        <f>IFERROR(D1522*E1522,0)</f>
        <v>0</v>
      </c>
      <c r="G1522" s="60" t="str">
        <f>INDEX(SETORES!$B:$B,MATCH(A1522,SETORES!$A:$A,0))</f>
        <v>Clientes</v>
      </c>
      <c r="H1522" s="60" t="s">
        <v>11</v>
      </c>
    </row>
    <row r="1523" spans="1:8" ht="14.25" hidden="1" customHeight="1" x14ac:dyDescent="0.3">
      <c r="A1523" s="34" t="s">
        <v>36</v>
      </c>
      <c r="B1523" s="61" t="s">
        <v>155</v>
      </c>
      <c r="C1523" s="61" t="s">
        <v>168</v>
      </c>
      <c r="D1523" s="69">
        <v>8</v>
      </c>
      <c r="E1523" s="74">
        <v>2.04</v>
      </c>
      <c r="F1523" s="80">
        <f>IFERROR(D1523*E1523,0)</f>
        <v>16.32</v>
      </c>
      <c r="G1523" s="61" t="str">
        <f>INDEX(SETORES!$B:$B,MATCH(A1523,SETORES!$A:$A,0))</f>
        <v>Clientes</v>
      </c>
      <c r="H1523" s="61" t="s">
        <v>11</v>
      </c>
    </row>
    <row r="1524" spans="1:8" ht="14.25" hidden="1" customHeight="1" x14ac:dyDescent="0.3">
      <c r="A1524" s="34" t="s">
        <v>36</v>
      </c>
      <c r="B1524" s="61" t="s">
        <v>155</v>
      </c>
      <c r="C1524" s="61" t="s">
        <v>160</v>
      </c>
      <c r="D1524" s="69"/>
      <c r="E1524" s="74"/>
      <c r="F1524" s="80">
        <f>IFERROR(D1524*E1524,0)</f>
        <v>0</v>
      </c>
      <c r="G1524" s="61" t="str">
        <f>INDEX(SETORES!$B:$B,MATCH(A1524,SETORES!$A:$A,0))</f>
        <v>Clientes</v>
      </c>
      <c r="H1524" s="61" t="s">
        <v>11</v>
      </c>
    </row>
    <row r="1525" spans="1:8" ht="14.25" hidden="1" customHeight="1" x14ac:dyDescent="0.3">
      <c r="A1525" s="2" t="s">
        <v>81</v>
      </c>
      <c r="B1525" s="60" t="s">
        <v>155</v>
      </c>
      <c r="C1525" s="60" t="s">
        <v>212</v>
      </c>
      <c r="D1525" s="68">
        <v>2</v>
      </c>
      <c r="E1525" s="73">
        <v>30</v>
      </c>
      <c r="F1525" s="79">
        <f>IFERROR(D1525*E1525,0)</f>
        <v>60</v>
      </c>
      <c r="G1525" s="60" t="str">
        <f>INDEX(SETORES!$B:$B,MATCH(A1525,SETORES!$A:$A,0))</f>
        <v>Clientes</v>
      </c>
      <c r="H1525" s="60" t="s">
        <v>11</v>
      </c>
    </row>
    <row r="1526" spans="1:8" ht="14.25" hidden="1" customHeight="1" x14ac:dyDescent="0.3">
      <c r="A1526" s="34" t="s">
        <v>81</v>
      </c>
      <c r="B1526" s="61" t="s">
        <v>155</v>
      </c>
      <c r="C1526" s="61" t="s">
        <v>171</v>
      </c>
      <c r="D1526" s="69">
        <v>2</v>
      </c>
      <c r="E1526" s="73">
        <v>51.12</v>
      </c>
      <c r="F1526" s="80">
        <f>IFERROR(D1526*E1526,0)</f>
        <v>102.24</v>
      </c>
      <c r="G1526" s="61" t="s">
        <v>98</v>
      </c>
      <c r="H1526" s="61" t="s">
        <v>11</v>
      </c>
    </row>
    <row r="1527" spans="1:8" ht="14.25" hidden="1" customHeight="1" x14ac:dyDescent="0.3">
      <c r="A1527" s="2" t="s">
        <v>81</v>
      </c>
      <c r="B1527" s="60" t="s">
        <v>155</v>
      </c>
      <c r="C1527" s="60" t="s">
        <v>170</v>
      </c>
      <c r="D1527" s="68">
        <v>2</v>
      </c>
      <c r="E1527" s="73">
        <v>31.33</v>
      </c>
      <c r="F1527" s="79">
        <f>IFERROR(D1527*E1527,0)</f>
        <v>62.66</v>
      </c>
      <c r="G1527" s="61" t="s">
        <v>98</v>
      </c>
      <c r="H1527" s="60" t="s">
        <v>11</v>
      </c>
    </row>
    <row r="1528" spans="1:8" ht="14.25" customHeight="1" x14ac:dyDescent="0.3">
      <c r="A1528" s="2" t="s">
        <v>81</v>
      </c>
      <c r="B1528" s="60" t="s">
        <v>155</v>
      </c>
      <c r="C1528" s="60" t="s">
        <v>169</v>
      </c>
      <c r="D1528" s="68">
        <v>2</v>
      </c>
      <c r="E1528" s="73">
        <v>63.75</v>
      </c>
      <c r="F1528" s="79">
        <f>IFERROR(D1528*E1528,0)</f>
        <v>127.5</v>
      </c>
      <c r="G1528" s="61" t="s">
        <v>98</v>
      </c>
      <c r="H1528" s="60" t="s">
        <v>11</v>
      </c>
    </row>
    <row r="1529" spans="1:8" ht="14.25" hidden="1" customHeight="1" x14ac:dyDescent="0.3">
      <c r="A1529" s="2" t="s">
        <v>81</v>
      </c>
      <c r="B1529" s="60" t="s">
        <v>155</v>
      </c>
      <c r="C1529" s="60" t="s">
        <v>161</v>
      </c>
      <c r="D1529" s="68">
        <v>1</v>
      </c>
      <c r="E1529" s="73">
        <v>12859.26</v>
      </c>
      <c r="F1529" s="79">
        <f>IFERROR(E1529,0)</f>
        <v>12859.26</v>
      </c>
      <c r="G1529" s="60" t="str">
        <f>INDEX(SETORES!$B:$B,MATCH(A1529,SETORES!$A:$A,0))</f>
        <v>Clientes</v>
      </c>
      <c r="H1529" s="60" t="s">
        <v>11</v>
      </c>
    </row>
    <row r="1530" spans="1:8" ht="14.25" hidden="1" customHeight="1" x14ac:dyDescent="0.3">
      <c r="A1530" s="34" t="s">
        <v>81</v>
      </c>
      <c r="B1530" s="61" t="s">
        <v>155</v>
      </c>
      <c r="C1530" s="61" t="s">
        <v>167</v>
      </c>
      <c r="D1530" s="69">
        <v>2</v>
      </c>
      <c r="E1530" s="74">
        <v>9.85</v>
      </c>
      <c r="F1530" s="80">
        <f>IFERROR(D1530*E1530,0)</f>
        <v>19.7</v>
      </c>
      <c r="G1530" s="61" t="str">
        <f>INDEX(SETORES!$B:$B,MATCH(A1530,SETORES!$A:$A,0))</f>
        <v>Clientes</v>
      </c>
      <c r="H1530" s="61" t="s">
        <v>11</v>
      </c>
    </row>
    <row r="1531" spans="1:8" ht="14.25" hidden="1" customHeight="1" x14ac:dyDescent="0.3">
      <c r="A1531" s="2" t="s">
        <v>81</v>
      </c>
      <c r="B1531" s="60" t="s">
        <v>155</v>
      </c>
      <c r="C1531" s="60" t="s">
        <v>238</v>
      </c>
      <c r="D1531" s="68">
        <v>1</v>
      </c>
      <c r="E1531" s="73">
        <v>2.2727279999999999</v>
      </c>
      <c r="F1531" s="79">
        <f>IFERROR(D1531*E1531,0)</f>
        <v>2.2727279999999999</v>
      </c>
      <c r="G1531" s="60" t="str">
        <f>INDEX(SETORES!$B:$B,MATCH(A1531,SETORES!$A:$A,0))</f>
        <v>Clientes</v>
      </c>
      <c r="H1531" s="60" t="s">
        <v>11</v>
      </c>
    </row>
    <row r="1532" spans="1:8" ht="14.25" hidden="1" customHeight="1" x14ac:dyDescent="0.3">
      <c r="A1532" s="34" t="s">
        <v>81</v>
      </c>
      <c r="B1532" s="61" t="s">
        <v>155</v>
      </c>
      <c r="C1532" s="61" t="s">
        <v>166</v>
      </c>
      <c r="D1532" s="69">
        <v>2</v>
      </c>
      <c r="E1532" s="74">
        <v>50</v>
      </c>
      <c r="F1532" s="80">
        <f>IFERROR(D1532*E1532,0)</f>
        <v>100</v>
      </c>
      <c r="G1532" s="61" t="str">
        <f>INDEX(SETORES!$B:$B,MATCH(A1532,SETORES!$A:$A,0))</f>
        <v>Clientes</v>
      </c>
      <c r="H1532" s="61" t="s">
        <v>11</v>
      </c>
    </row>
    <row r="1533" spans="1:8" ht="14.25" hidden="1" customHeight="1" x14ac:dyDescent="0.3">
      <c r="A1533" s="2" t="s">
        <v>81</v>
      </c>
      <c r="B1533" s="60" t="s">
        <v>155</v>
      </c>
      <c r="C1533" s="60" t="s">
        <v>157</v>
      </c>
      <c r="D1533" s="68">
        <v>1</v>
      </c>
      <c r="E1533" s="73">
        <v>50.68</v>
      </c>
      <c r="F1533" s="79">
        <v>50.68</v>
      </c>
      <c r="G1533" s="60" t="str">
        <f>INDEX(SETORES!$B:$B,MATCH(A1533,SETORES!$A:$A,0))</f>
        <v>Clientes</v>
      </c>
      <c r="H1533" s="60" t="s">
        <v>11</v>
      </c>
    </row>
    <row r="1534" spans="1:8" ht="14.25" hidden="1" customHeight="1" x14ac:dyDescent="0.3">
      <c r="A1534" s="34" t="s">
        <v>81</v>
      </c>
      <c r="B1534" s="61" t="s">
        <v>162</v>
      </c>
      <c r="C1534" s="61" t="s">
        <v>222</v>
      </c>
      <c r="D1534" s="69"/>
      <c r="E1534" s="74"/>
      <c r="F1534" s="80">
        <f>IFERROR(D1534*E1534,0)</f>
        <v>0</v>
      </c>
      <c r="G1534" s="61" t="str">
        <f>INDEX(SETORES!$B:$B,MATCH(A1534,SETORES!$A:$A,0))</f>
        <v>Clientes</v>
      </c>
      <c r="H1534" s="61" t="s">
        <v>11</v>
      </c>
    </row>
    <row r="1535" spans="1:8" ht="14.25" hidden="1" customHeight="1" x14ac:dyDescent="0.3">
      <c r="A1535" s="2" t="s">
        <v>81</v>
      </c>
      <c r="B1535" s="60" t="s">
        <v>155</v>
      </c>
      <c r="C1535" s="60" t="s">
        <v>168</v>
      </c>
      <c r="D1535" s="68">
        <v>2</v>
      </c>
      <c r="E1535" s="73">
        <v>2.04</v>
      </c>
      <c r="F1535" s="79">
        <f>IFERROR(D1535*E1535,0)</f>
        <v>4.08</v>
      </c>
      <c r="G1535" s="60" t="str">
        <f>INDEX(SETORES!$B:$B,MATCH(A1535,SETORES!$A:$A,0))</f>
        <v>Clientes</v>
      </c>
      <c r="H1535" s="60" t="s">
        <v>11</v>
      </c>
    </row>
    <row r="1536" spans="1:8" ht="14.25" hidden="1" customHeight="1" x14ac:dyDescent="0.3">
      <c r="A1536" s="34" t="s">
        <v>82</v>
      </c>
      <c r="B1536" s="61" t="s">
        <v>162</v>
      </c>
      <c r="C1536" s="61" t="s">
        <v>217</v>
      </c>
      <c r="D1536" s="69">
        <v>1</v>
      </c>
      <c r="E1536" s="74">
        <v>10705.67</v>
      </c>
      <c r="F1536" s="80">
        <f>IFERROR(D1536*E1536,0)</f>
        <v>10705.67</v>
      </c>
      <c r="G1536" s="61" t="str">
        <f>INDEX(SETORES!$B:$B,MATCH(A1536,SETORES!$A:$A,0))</f>
        <v>Clientes</v>
      </c>
      <c r="H1536" s="61" t="s">
        <v>11</v>
      </c>
    </row>
    <row r="1537" spans="1:8" ht="14.25" hidden="1" customHeight="1" x14ac:dyDescent="0.3">
      <c r="A1537" s="2" t="s">
        <v>82</v>
      </c>
      <c r="B1537" s="60" t="s">
        <v>155</v>
      </c>
      <c r="C1537" s="60" t="s">
        <v>250</v>
      </c>
      <c r="D1537" s="68">
        <v>1</v>
      </c>
      <c r="E1537" s="73">
        <v>1613.07</v>
      </c>
      <c r="F1537" s="79">
        <f>IFERROR(D1537*E1537,0)</f>
        <v>1613.07</v>
      </c>
      <c r="G1537" s="60" t="str">
        <f>INDEX(SETORES!$B:$B,MATCH(A1537,SETORES!$A:$A,0))</f>
        <v>Clientes</v>
      </c>
      <c r="H1537" s="60" t="s">
        <v>11</v>
      </c>
    </row>
    <row r="1538" spans="1:8" ht="14.25" hidden="1" customHeight="1" x14ac:dyDescent="0.3">
      <c r="A1538" s="34" t="s">
        <v>82</v>
      </c>
      <c r="B1538" s="61" t="s">
        <v>155</v>
      </c>
      <c r="C1538" s="61" t="s">
        <v>251</v>
      </c>
      <c r="D1538" s="69">
        <v>1</v>
      </c>
      <c r="E1538" s="74">
        <v>3357.2</v>
      </c>
      <c r="F1538" s="80">
        <f>IFERROR(D1538*E1538,0)</f>
        <v>3357.2</v>
      </c>
      <c r="G1538" s="61" t="str">
        <f>INDEX(SETORES!$B:$B,MATCH(A1538,SETORES!$A:$A,0))</f>
        <v>Clientes</v>
      </c>
      <c r="H1538" s="61" t="s">
        <v>11</v>
      </c>
    </row>
    <row r="1539" spans="1:8" ht="14.25" hidden="1" customHeight="1" x14ac:dyDescent="0.3">
      <c r="A1539" s="34" t="s">
        <v>82</v>
      </c>
      <c r="B1539" s="61" t="s">
        <v>155</v>
      </c>
      <c r="C1539" s="61" t="s">
        <v>171</v>
      </c>
      <c r="D1539" s="69">
        <v>9</v>
      </c>
      <c r="E1539" s="73">
        <v>51.12</v>
      </c>
      <c r="F1539" s="80">
        <f>IFERROR(D1539*E1539,0)</f>
        <v>460.08</v>
      </c>
      <c r="G1539" s="61" t="s">
        <v>98</v>
      </c>
      <c r="H1539" s="61" t="s">
        <v>11</v>
      </c>
    </row>
    <row r="1540" spans="1:8" ht="14.25" hidden="1" customHeight="1" x14ac:dyDescent="0.3">
      <c r="A1540" s="2" t="s">
        <v>82</v>
      </c>
      <c r="B1540" s="60" t="s">
        <v>155</v>
      </c>
      <c r="C1540" s="60" t="s">
        <v>170</v>
      </c>
      <c r="D1540" s="68">
        <v>9</v>
      </c>
      <c r="E1540" s="73">
        <v>31.33</v>
      </c>
      <c r="F1540" s="79">
        <f>IFERROR(D1540*E1540,0)</f>
        <v>281.96999999999997</v>
      </c>
      <c r="G1540" s="61" t="s">
        <v>98</v>
      </c>
      <c r="H1540" s="60" t="s">
        <v>11</v>
      </c>
    </row>
    <row r="1541" spans="1:8" ht="14.25" customHeight="1" x14ac:dyDescent="0.3">
      <c r="A1541" s="2" t="s">
        <v>82</v>
      </c>
      <c r="B1541" s="60" t="s">
        <v>155</v>
      </c>
      <c r="C1541" s="60" t="s">
        <v>169</v>
      </c>
      <c r="D1541" s="68">
        <v>9</v>
      </c>
      <c r="E1541" s="73">
        <v>63.75</v>
      </c>
      <c r="F1541" s="79">
        <f>IFERROR(D1541*E1541,0)</f>
        <v>573.75</v>
      </c>
      <c r="G1541" s="61" t="s">
        <v>98</v>
      </c>
      <c r="H1541" s="60" t="s">
        <v>11</v>
      </c>
    </row>
    <row r="1542" spans="1:8" ht="14.25" hidden="1" customHeight="1" x14ac:dyDescent="0.3">
      <c r="A1542" s="2" t="s">
        <v>82</v>
      </c>
      <c r="B1542" s="60" t="s">
        <v>162</v>
      </c>
      <c r="C1542" s="60" t="s">
        <v>221</v>
      </c>
      <c r="D1542" s="68">
        <v>1</v>
      </c>
      <c r="E1542" s="73">
        <v>2848.49</v>
      </c>
      <c r="F1542" s="79">
        <f>IFERROR(D1542*E1542,0)</f>
        <v>2848.49</v>
      </c>
      <c r="G1542" s="60" t="str">
        <f>INDEX(SETORES!$B:$B,MATCH(A1542,SETORES!$A:$A,0))</f>
        <v>Clientes</v>
      </c>
      <c r="H1542" s="60" t="s">
        <v>11</v>
      </c>
    </row>
    <row r="1543" spans="1:8" ht="14.25" hidden="1" customHeight="1" x14ac:dyDescent="0.3">
      <c r="A1543" s="2" t="s">
        <v>82</v>
      </c>
      <c r="B1543" s="60" t="s">
        <v>155</v>
      </c>
      <c r="C1543" s="60" t="s">
        <v>161</v>
      </c>
      <c r="D1543" s="68">
        <v>1</v>
      </c>
      <c r="E1543" s="73">
        <v>86186.53</v>
      </c>
      <c r="F1543" s="79">
        <f>IFERROR(E1543,0)</f>
        <v>86186.53</v>
      </c>
      <c r="G1543" s="60" t="str">
        <f>INDEX(SETORES!$B:$B,MATCH(A1543,SETORES!$A:$A,0))</f>
        <v>Clientes</v>
      </c>
      <c r="H1543" s="60" t="s">
        <v>11</v>
      </c>
    </row>
    <row r="1544" spans="1:8" ht="14.25" hidden="1" customHeight="1" x14ac:dyDescent="0.3">
      <c r="A1544" s="34" t="s">
        <v>82</v>
      </c>
      <c r="B1544" s="61" t="s">
        <v>155</v>
      </c>
      <c r="C1544" s="61" t="s">
        <v>167</v>
      </c>
      <c r="D1544" s="69">
        <v>9</v>
      </c>
      <c r="E1544" s="74">
        <v>9.85</v>
      </c>
      <c r="F1544" s="80">
        <f>IFERROR(D1544*E1544,0)</f>
        <v>88.649999999999991</v>
      </c>
      <c r="G1544" s="61" t="str">
        <f>INDEX(SETORES!$B:$B,MATCH(A1544,SETORES!$A:$A,0))</f>
        <v>Clientes</v>
      </c>
      <c r="H1544" s="61" t="s">
        <v>11</v>
      </c>
    </row>
    <row r="1545" spans="1:8" ht="14.25" hidden="1" customHeight="1" x14ac:dyDescent="0.3">
      <c r="A1545" s="34" t="s">
        <v>82</v>
      </c>
      <c r="B1545" s="61" t="s">
        <v>155</v>
      </c>
      <c r="C1545" s="61" t="s">
        <v>166</v>
      </c>
      <c r="D1545" s="69">
        <v>10</v>
      </c>
      <c r="E1545" s="74">
        <v>50</v>
      </c>
      <c r="F1545" s="80">
        <f>IFERROR(D1545*E1545,0)</f>
        <v>500</v>
      </c>
      <c r="G1545" s="61" t="str">
        <f>INDEX(SETORES!$B:$B,MATCH(A1545,SETORES!$A:$A,0))</f>
        <v>Clientes</v>
      </c>
      <c r="H1545" s="61" t="s">
        <v>11</v>
      </c>
    </row>
    <row r="1546" spans="1:8" ht="14.25" hidden="1" customHeight="1" x14ac:dyDescent="0.3">
      <c r="A1546" s="2" t="s">
        <v>82</v>
      </c>
      <c r="B1546" s="60" t="s">
        <v>162</v>
      </c>
      <c r="C1546" s="60" t="s">
        <v>222</v>
      </c>
      <c r="D1546" s="68"/>
      <c r="E1546" s="73"/>
      <c r="F1546" s="79">
        <f>IFERROR(D1546*E1546,0)</f>
        <v>0</v>
      </c>
      <c r="G1546" s="60" t="str">
        <f>INDEX(SETORES!$B:$B,MATCH(A1546,SETORES!$A:$A,0))</f>
        <v>Clientes</v>
      </c>
      <c r="H1546" s="60" t="s">
        <v>11</v>
      </c>
    </row>
    <row r="1547" spans="1:8" ht="14.25" hidden="1" customHeight="1" x14ac:dyDescent="0.3">
      <c r="A1547" s="2" t="s">
        <v>82</v>
      </c>
      <c r="B1547" s="60" t="s">
        <v>155</v>
      </c>
      <c r="C1547" s="60" t="s">
        <v>168</v>
      </c>
      <c r="D1547" s="68">
        <v>9</v>
      </c>
      <c r="E1547" s="73">
        <v>2.04</v>
      </c>
      <c r="F1547" s="79">
        <f>IFERROR(D1547*E1547,0)</f>
        <v>18.36</v>
      </c>
      <c r="G1547" s="60" t="str">
        <f>INDEX(SETORES!$B:$B,MATCH(A1547,SETORES!$A:$A,0))</f>
        <v>Clientes</v>
      </c>
      <c r="H1547" s="60" t="s">
        <v>11</v>
      </c>
    </row>
    <row r="1548" spans="1:8" ht="14.25" hidden="1" customHeight="1" x14ac:dyDescent="0.3">
      <c r="A1548" s="2" t="s">
        <v>34</v>
      </c>
      <c r="B1548" s="60" t="s">
        <v>155</v>
      </c>
      <c r="C1548" s="60" t="s">
        <v>159</v>
      </c>
      <c r="D1548" s="68">
        <v>1</v>
      </c>
      <c r="E1548" s="73">
        <v>0.125</v>
      </c>
      <c r="F1548" s="79">
        <v>0.125</v>
      </c>
      <c r="G1548" s="60" t="str">
        <f>INDEX(SETORES!$B:$B,MATCH(A1548,SETORES!$A:$A,0))</f>
        <v>Clientes</v>
      </c>
      <c r="H1548" s="60" t="s">
        <v>11</v>
      </c>
    </row>
    <row r="1549" spans="1:8" ht="14.25" hidden="1" customHeight="1" x14ac:dyDescent="0.3">
      <c r="A1549" s="34" t="s">
        <v>34</v>
      </c>
      <c r="B1549" s="61" t="s">
        <v>155</v>
      </c>
      <c r="C1549" s="61" t="s">
        <v>212</v>
      </c>
      <c r="D1549" s="69">
        <v>2</v>
      </c>
      <c r="E1549" s="74">
        <v>30</v>
      </c>
      <c r="F1549" s="80">
        <f>IFERROR(D1549*E1549,0)</f>
        <v>60</v>
      </c>
      <c r="G1549" s="61" t="str">
        <f>INDEX(SETORES!$B:$B,MATCH(A1549,SETORES!$A:$A,0))</f>
        <v>Clientes</v>
      </c>
      <c r="H1549" s="61" t="s">
        <v>11</v>
      </c>
    </row>
    <row r="1550" spans="1:8" ht="14.25" hidden="1" customHeight="1" x14ac:dyDescent="0.3">
      <c r="A1550" s="34" t="s">
        <v>34</v>
      </c>
      <c r="B1550" s="61" t="s">
        <v>155</v>
      </c>
      <c r="C1550" s="61" t="s">
        <v>248</v>
      </c>
      <c r="D1550" s="69">
        <v>1</v>
      </c>
      <c r="E1550" s="74">
        <v>2962.14</v>
      </c>
      <c r="F1550" s="80">
        <f>IFERROR(D1550*E1550,0)</f>
        <v>2962.14</v>
      </c>
      <c r="G1550" s="61" t="str">
        <f>INDEX(SETORES!$B:$B,MATCH(A1550,SETORES!$A:$A,0))</f>
        <v>Clientes</v>
      </c>
      <c r="H1550" s="61" t="s">
        <v>11</v>
      </c>
    </row>
    <row r="1551" spans="1:8" ht="14.25" hidden="1" customHeight="1" x14ac:dyDescent="0.3">
      <c r="A1551" s="34" t="s">
        <v>34</v>
      </c>
      <c r="B1551" s="61" t="s">
        <v>155</v>
      </c>
      <c r="C1551" s="61" t="s">
        <v>158</v>
      </c>
      <c r="D1551" s="69">
        <v>1</v>
      </c>
      <c r="E1551" s="74">
        <v>43.786099999999998</v>
      </c>
      <c r="F1551" s="80">
        <v>43.786099999999998</v>
      </c>
      <c r="G1551" s="61" t="str">
        <f>INDEX(SETORES!$B:$B,MATCH(A1551,SETORES!$A:$A,0))</f>
        <v>Clientes</v>
      </c>
      <c r="H1551" s="61" t="s">
        <v>11</v>
      </c>
    </row>
    <row r="1552" spans="1:8" ht="14.25" hidden="1" customHeight="1" x14ac:dyDescent="0.3">
      <c r="A1552" s="34" t="s">
        <v>34</v>
      </c>
      <c r="B1552" s="61" t="s">
        <v>162</v>
      </c>
      <c r="C1552" s="61" t="s">
        <v>165</v>
      </c>
      <c r="D1552" s="69"/>
      <c r="E1552" s="74"/>
      <c r="F1552" s="80">
        <f>IFERROR(D1552*E1552,0)</f>
        <v>0</v>
      </c>
      <c r="G1552" s="61" t="str">
        <f>INDEX(SETORES!$B:$B,MATCH(A1552,SETORES!$A:$A,0))</f>
        <v>Clientes</v>
      </c>
      <c r="H1552" s="61" t="s">
        <v>11</v>
      </c>
    </row>
    <row r="1553" spans="1:8" ht="14.25" hidden="1" customHeight="1" x14ac:dyDescent="0.3">
      <c r="A1553" s="34" t="s">
        <v>34</v>
      </c>
      <c r="B1553" s="61" t="s">
        <v>162</v>
      </c>
      <c r="C1553" s="61" t="s">
        <v>163</v>
      </c>
      <c r="D1553" s="69"/>
      <c r="E1553" s="74"/>
      <c r="F1553" s="80">
        <f>IFERROR(D1553*E1553,0)</f>
        <v>0</v>
      </c>
      <c r="G1553" s="61" t="str">
        <f>INDEX(SETORES!$B:$B,MATCH(A1553,SETORES!$A:$A,0))</f>
        <v>Clientes</v>
      </c>
      <c r="H1553" s="61" t="s">
        <v>11</v>
      </c>
    </row>
    <row r="1554" spans="1:8" ht="14.25" hidden="1" customHeight="1" x14ac:dyDescent="0.3">
      <c r="A1554" s="2" t="s">
        <v>34</v>
      </c>
      <c r="B1554" s="60" t="s">
        <v>162</v>
      </c>
      <c r="C1554" s="60" t="s">
        <v>164</v>
      </c>
      <c r="D1554" s="68">
        <v>1</v>
      </c>
      <c r="E1554" s="73">
        <v>38</v>
      </c>
      <c r="F1554" s="79">
        <f>IFERROR(D1554*E1554,0)</f>
        <v>38</v>
      </c>
      <c r="G1554" s="60" t="str">
        <f>INDEX(SETORES!$B:$B,MATCH(A1554,SETORES!$A:$A,0))</f>
        <v>Clientes</v>
      </c>
      <c r="H1554" s="60" t="s">
        <v>11</v>
      </c>
    </row>
    <row r="1555" spans="1:8" ht="14.25" hidden="1" customHeight="1" x14ac:dyDescent="0.3">
      <c r="A1555" s="2" t="s">
        <v>34</v>
      </c>
      <c r="B1555" s="60" t="s">
        <v>155</v>
      </c>
      <c r="C1555" s="60" t="s">
        <v>161</v>
      </c>
      <c r="D1555" s="68">
        <v>1</v>
      </c>
      <c r="E1555" s="73">
        <v>19835.21</v>
      </c>
      <c r="F1555" s="79">
        <f>IFERROR(E1555,0)</f>
        <v>19835.21</v>
      </c>
      <c r="G1555" s="60" t="str">
        <f>INDEX(SETORES!$B:$B,MATCH(A1555,SETORES!$A:$A,0))</f>
        <v>Clientes</v>
      </c>
      <c r="H1555" s="60" t="s">
        <v>11</v>
      </c>
    </row>
    <row r="1556" spans="1:8" ht="14.25" hidden="1" customHeight="1" x14ac:dyDescent="0.3">
      <c r="A1556" s="34" t="s">
        <v>34</v>
      </c>
      <c r="B1556" s="61" t="s">
        <v>155</v>
      </c>
      <c r="C1556" s="61" t="s">
        <v>167</v>
      </c>
      <c r="D1556" s="69">
        <v>5</v>
      </c>
      <c r="E1556" s="74">
        <v>9.85</v>
      </c>
      <c r="F1556" s="80">
        <f>IFERROR(D1556*E1556,0)</f>
        <v>49.25</v>
      </c>
      <c r="G1556" s="61" t="str">
        <f>INDEX(SETORES!$B:$B,MATCH(A1556,SETORES!$A:$A,0))</f>
        <v>Clientes</v>
      </c>
      <c r="H1556" s="61" t="s">
        <v>11</v>
      </c>
    </row>
    <row r="1557" spans="1:8" ht="14.25" hidden="1" customHeight="1" x14ac:dyDescent="0.3">
      <c r="A1557" s="34" t="s">
        <v>34</v>
      </c>
      <c r="B1557" s="61" t="s">
        <v>155</v>
      </c>
      <c r="C1557" s="61" t="s">
        <v>238</v>
      </c>
      <c r="D1557" s="69">
        <v>1</v>
      </c>
      <c r="E1557" s="74">
        <v>5.6818200000000001</v>
      </c>
      <c r="F1557" s="80">
        <f>IFERROR(D1557*E1557,0)</f>
        <v>5.6818200000000001</v>
      </c>
      <c r="G1557" s="61" t="str">
        <f>INDEX(SETORES!$B:$B,MATCH(A1557,SETORES!$A:$A,0))</f>
        <v>Clientes</v>
      </c>
      <c r="H1557" s="61" t="s">
        <v>11</v>
      </c>
    </row>
    <row r="1558" spans="1:8" ht="14.25" hidden="1" customHeight="1" x14ac:dyDescent="0.3">
      <c r="A1558" s="2" t="s">
        <v>34</v>
      </c>
      <c r="B1558" s="60" t="s">
        <v>155</v>
      </c>
      <c r="C1558" s="60" t="s">
        <v>166</v>
      </c>
      <c r="D1558" s="68">
        <v>8</v>
      </c>
      <c r="E1558" s="73">
        <v>50</v>
      </c>
      <c r="F1558" s="79">
        <f>IFERROR(D1558*E1558,0)</f>
        <v>400</v>
      </c>
      <c r="G1558" s="60" t="str">
        <f>INDEX(SETORES!$B:$B,MATCH(A1558,SETORES!$A:$A,0))</f>
        <v>Clientes</v>
      </c>
      <c r="H1558" s="60" t="s">
        <v>11</v>
      </c>
    </row>
    <row r="1559" spans="1:8" ht="14.25" hidden="1" customHeight="1" x14ac:dyDescent="0.3">
      <c r="A1559" s="34" t="s">
        <v>34</v>
      </c>
      <c r="B1559" s="61" t="s">
        <v>155</v>
      </c>
      <c r="C1559" s="61" t="s">
        <v>156</v>
      </c>
      <c r="D1559" s="69">
        <v>5</v>
      </c>
      <c r="E1559" s="74">
        <v>28</v>
      </c>
      <c r="F1559" s="80">
        <v>140</v>
      </c>
      <c r="G1559" s="61" t="str">
        <f>INDEX(SETORES!$B:$B,MATCH(A1559,SETORES!$A:$A,0))</f>
        <v>Clientes</v>
      </c>
      <c r="H1559" s="61" t="s">
        <v>11</v>
      </c>
    </row>
    <row r="1560" spans="1:8" ht="14.25" hidden="1" customHeight="1" x14ac:dyDescent="0.3">
      <c r="A1560" s="2" t="s">
        <v>34</v>
      </c>
      <c r="B1560" s="60" t="s">
        <v>155</v>
      </c>
      <c r="C1560" s="60" t="s">
        <v>157</v>
      </c>
      <c r="D1560" s="68">
        <v>1</v>
      </c>
      <c r="E1560" s="73">
        <v>184.6</v>
      </c>
      <c r="F1560" s="79">
        <v>184.6</v>
      </c>
      <c r="G1560" s="60" t="str">
        <f>INDEX(SETORES!$B:$B,MATCH(A1560,SETORES!$A:$A,0))</f>
        <v>Clientes</v>
      </c>
      <c r="H1560" s="60" t="s">
        <v>11</v>
      </c>
    </row>
    <row r="1561" spans="1:8" ht="14.25" hidden="1" customHeight="1" x14ac:dyDescent="0.3">
      <c r="A1561" s="34" t="s">
        <v>34</v>
      </c>
      <c r="B1561" s="61" t="s">
        <v>162</v>
      </c>
      <c r="C1561" s="61" t="s">
        <v>222</v>
      </c>
      <c r="D1561" s="69"/>
      <c r="E1561" s="74"/>
      <c r="F1561" s="80">
        <f>IFERROR(D1561*E1561,0)</f>
        <v>0</v>
      </c>
      <c r="G1561" s="61" t="str">
        <f>INDEX(SETORES!$B:$B,MATCH(A1561,SETORES!$A:$A,0))</f>
        <v>Clientes</v>
      </c>
      <c r="H1561" s="61" t="s">
        <v>11</v>
      </c>
    </row>
    <row r="1562" spans="1:8" ht="14.25" hidden="1" customHeight="1" x14ac:dyDescent="0.3">
      <c r="A1562" s="2" t="s">
        <v>34</v>
      </c>
      <c r="B1562" s="60" t="s">
        <v>155</v>
      </c>
      <c r="C1562" s="60" t="s">
        <v>168</v>
      </c>
      <c r="D1562" s="68">
        <v>5</v>
      </c>
      <c r="E1562" s="73">
        <v>2.04</v>
      </c>
      <c r="F1562" s="79">
        <f>IFERROR(D1562*E1562,0)</f>
        <v>10.199999999999999</v>
      </c>
      <c r="G1562" s="60" t="str">
        <f>INDEX(SETORES!$B:$B,MATCH(A1562,SETORES!$A:$A,0))</f>
        <v>Clientes</v>
      </c>
      <c r="H1562" s="60" t="s">
        <v>11</v>
      </c>
    </row>
    <row r="1563" spans="1:8" ht="14.25" hidden="1" customHeight="1" x14ac:dyDescent="0.3">
      <c r="A1563" s="34" t="s">
        <v>34</v>
      </c>
      <c r="B1563" s="61" t="s">
        <v>155</v>
      </c>
      <c r="C1563" s="61" t="s">
        <v>160</v>
      </c>
      <c r="D1563" s="69"/>
      <c r="E1563" s="74"/>
      <c r="F1563" s="80">
        <f>IFERROR(D1563*E1563,0)</f>
        <v>0</v>
      </c>
      <c r="G1563" s="61" t="str">
        <f>INDEX(SETORES!$B:$B,MATCH(A1563,SETORES!$A:$A,0))</f>
        <v>Clientes</v>
      </c>
      <c r="H1563" s="61" t="s">
        <v>11</v>
      </c>
    </row>
    <row r="1564" spans="1:8" ht="14.25" hidden="1" customHeight="1" x14ac:dyDescent="0.3">
      <c r="A1564" s="2" t="s">
        <v>83</v>
      </c>
      <c r="B1564" s="60" t="s">
        <v>155</v>
      </c>
      <c r="C1564" s="60" t="s">
        <v>212</v>
      </c>
      <c r="D1564" s="68">
        <v>2</v>
      </c>
      <c r="E1564" s="73">
        <v>30</v>
      </c>
      <c r="F1564" s="79">
        <f>IFERROR(D1564*E1564,0)</f>
        <v>60</v>
      </c>
      <c r="G1564" s="60" t="str">
        <f>INDEX(SETORES!$B:$B,MATCH(A1564,SETORES!$A:$A,0))</f>
        <v>Clientes</v>
      </c>
      <c r="H1564" s="60" t="s">
        <v>11</v>
      </c>
    </row>
    <row r="1565" spans="1:8" ht="14.25" hidden="1" customHeight="1" x14ac:dyDescent="0.3">
      <c r="A1565" s="2" t="s">
        <v>83</v>
      </c>
      <c r="B1565" s="60" t="s">
        <v>162</v>
      </c>
      <c r="C1565" s="60" t="s">
        <v>217</v>
      </c>
      <c r="D1565" s="68">
        <v>1</v>
      </c>
      <c r="E1565" s="73">
        <v>1362.25</v>
      </c>
      <c r="F1565" s="79">
        <f>IFERROR(D1565*E1565,0)</f>
        <v>1362.25</v>
      </c>
      <c r="G1565" s="60" t="str">
        <f>INDEX(SETORES!$B:$B,MATCH(A1565,SETORES!$A:$A,0))</f>
        <v>Clientes</v>
      </c>
      <c r="H1565" s="60" t="s">
        <v>11</v>
      </c>
    </row>
    <row r="1566" spans="1:8" ht="14.25" hidden="1" customHeight="1" x14ac:dyDescent="0.3">
      <c r="A1566" s="2" t="s">
        <v>83</v>
      </c>
      <c r="B1566" s="60" t="s">
        <v>155</v>
      </c>
      <c r="C1566" s="60" t="s">
        <v>237</v>
      </c>
      <c r="D1566" s="68">
        <v>1</v>
      </c>
      <c r="E1566" s="73">
        <v>7500</v>
      </c>
      <c r="F1566" s="79">
        <f>IFERROR(D1566*E1566,0)</f>
        <v>7500</v>
      </c>
      <c r="G1566" s="60" t="str">
        <f>INDEX(SETORES!$B:$B,MATCH(A1566,SETORES!$A:$A,0))</f>
        <v>Clientes</v>
      </c>
      <c r="H1566" s="60" t="s">
        <v>11</v>
      </c>
    </row>
    <row r="1567" spans="1:8" ht="14.25" hidden="1" customHeight="1" x14ac:dyDescent="0.3">
      <c r="A1567" s="34" t="s">
        <v>83</v>
      </c>
      <c r="B1567" s="61" t="s">
        <v>155</v>
      </c>
      <c r="C1567" s="61" t="s">
        <v>171</v>
      </c>
      <c r="D1567" s="69">
        <v>2</v>
      </c>
      <c r="E1567" s="73">
        <v>51.12</v>
      </c>
      <c r="F1567" s="80">
        <f>IFERROR(D1567*E1567,0)</f>
        <v>102.24</v>
      </c>
      <c r="G1567" s="61" t="s">
        <v>98</v>
      </c>
      <c r="H1567" s="61" t="s">
        <v>11</v>
      </c>
    </row>
    <row r="1568" spans="1:8" ht="14.25" hidden="1" customHeight="1" x14ac:dyDescent="0.3">
      <c r="A1568" s="2" t="s">
        <v>83</v>
      </c>
      <c r="B1568" s="60" t="s">
        <v>155</v>
      </c>
      <c r="C1568" s="60" t="s">
        <v>170</v>
      </c>
      <c r="D1568" s="68">
        <v>2</v>
      </c>
      <c r="E1568" s="73">
        <v>31.33</v>
      </c>
      <c r="F1568" s="79">
        <f>IFERROR(D1568*E1568,0)</f>
        <v>62.66</v>
      </c>
      <c r="G1568" s="61" t="s">
        <v>98</v>
      </c>
      <c r="H1568" s="60" t="s">
        <v>11</v>
      </c>
    </row>
    <row r="1569" spans="1:8" ht="14.25" customHeight="1" x14ac:dyDescent="0.3">
      <c r="A1569" s="2" t="s">
        <v>83</v>
      </c>
      <c r="B1569" s="60" t="s">
        <v>155</v>
      </c>
      <c r="C1569" s="60" t="s">
        <v>169</v>
      </c>
      <c r="D1569" s="68">
        <v>2</v>
      </c>
      <c r="E1569" s="73">
        <v>63.75</v>
      </c>
      <c r="F1569" s="79">
        <f>IFERROR(D1569*E1569,0)</f>
        <v>127.5</v>
      </c>
      <c r="G1569" s="61" t="s">
        <v>98</v>
      </c>
      <c r="H1569" s="60" t="s">
        <v>11</v>
      </c>
    </row>
    <row r="1570" spans="1:8" ht="14.25" hidden="1" customHeight="1" x14ac:dyDescent="0.3">
      <c r="A1570" s="2" t="s">
        <v>83</v>
      </c>
      <c r="B1570" s="60" t="s">
        <v>155</v>
      </c>
      <c r="C1570" s="60" t="s">
        <v>161</v>
      </c>
      <c r="D1570" s="68">
        <v>1</v>
      </c>
      <c r="E1570" s="73">
        <v>6068.32</v>
      </c>
      <c r="F1570" s="79">
        <f>IFERROR(E1570,0)</f>
        <v>6068.32</v>
      </c>
      <c r="G1570" s="60" t="str">
        <f>INDEX(SETORES!$B:$B,MATCH(A1570,SETORES!$A:$A,0))</f>
        <v>Clientes</v>
      </c>
      <c r="H1570" s="60" t="s">
        <v>11</v>
      </c>
    </row>
    <row r="1571" spans="1:8" ht="14.25" hidden="1" customHeight="1" x14ac:dyDescent="0.3">
      <c r="A1571" s="34" t="s">
        <v>83</v>
      </c>
      <c r="B1571" s="61" t="s">
        <v>155</v>
      </c>
      <c r="C1571" s="61" t="s">
        <v>167</v>
      </c>
      <c r="D1571" s="69">
        <v>2</v>
      </c>
      <c r="E1571" s="74">
        <v>9.85</v>
      </c>
      <c r="F1571" s="80">
        <f>IFERROR(D1571*E1571,0)</f>
        <v>19.7</v>
      </c>
      <c r="G1571" s="61" t="str">
        <f>INDEX(SETORES!$B:$B,MATCH(A1571,SETORES!$A:$A,0))</f>
        <v>Clientes</v>
      </c>
      <c r="H1571" s="61" t="s">
        <v>11</v>
      </c>
    </row>
    <row r="1572" spans="1:8" ht="14.25" hidden="1" customHeight="1" x14ac:dyDescent="0.3">
      <c r="A1572" s="34" t="s">
        <v>83</v>
      </c>
      <c r="B1572" s="61" t="s">
        <v>155</v>
      </c>
      <c r="C1572" s="61" t="s">
        <v>166</v>
      </c>
      <c r="D1572" s="69">
        <v>2</v>
      </c>
      <c r="E1572" s="74">
        <v>50</v>
      </c>
      <c r="F1572" s="80">
        <f>IFERROR(D1572*E1572,0)</f>
        <v>100</v>
      </c>
      <c r="G1572" s="61" t="str">
        <f>INDEX(SETORES!$B:$B,MATCH(A1572,SETORES!$A:$A,0))</f>
        <v>Clientes</v>
      </c>
      <c r="H1572" s="61" t="s">
        <v>11</v>
      </c>
    </row>
    <row r="1573" spans="1:8" ht="14.25" hidden="1" customHeight="1" x14ac:dyDescent="0.3">
      <c r="A1573" s="34" t="s">
        <v>83</v>
      </c>
      <c r="B1573" s="61" t="s">
        <v>155</v>
      </c>
      <c r="C1573" s="61" t="s">
        <v>157</v>
      </c>
      <c r="D1573" s="69">
        <v>1</v>
      </c>
      <c r="E1573" s="74">
        <v>151.19999999999999</v>
      </c>
      <c r="F1573" s="80">
        <v>151.19999999999999</v>
      </c>
      <c r="G1573" s="61" t="str">
        <f>INDEX(SETORES!$B:$B,MATCH(A1573,SETORES!$A:$A,0))</f>
        <v>Clientes</v>
      </c>
      <c r="H1573" s="61" t="s">
        <v>11</v>
      </c>
    </row>
    <row r="1574" spans="1:8" ht="14.25" hidden="1" customHeight="1" x14ac:dyDescent="0.3">
      <c r="A1574" s="2" t="s">
        <v>83</v>
      </c>
      <c r="B1574" s="60" t="s">
        <v>162</v>
      </c>
      <c r="C1574" s="60" t="s">
        <v>222</v>
      </c>
      <c r="D1574" s="68"/>
      <c r="E1574" s="73"/>
      <c r="F1574" s="79">
        <f>IFERROR(D1574*E1574,0)</f>
        <v>0</v>
      </c>
      <c r="G1574" s="60" t="str">
        <f>INDEX(SETORES!$B:$B,MATCH(A1574,SETORES!$A:$A,0))</f>
        <v>Clientes</v>
      </c>
      <c r="H1574" s="60" t="s">
        <v>11</v>
      </c>
    </row>
    <row r="1575" spans="1:8" ht="14.25" hidden="1" customHeight="1" x14ac:dyDescent="0.3">
      <c r="A1575" s="2" t="s">
        <v>83</v>
      </c>
      <c r="B1575" s="60" t="s">
        <v>155</v>
      </c>
      <c r="C1575" s="60" t="s">
        <v>168</v>
      </c>
      <c r="D1575" s="68">
        <v>2</v>
      </c>
      <c r="E1575" s="73">
        <v>2.04</v>
      </c>
      <c r="F1575" s="79">
        <f>IFERROR(D1575*E1575,0)</f>
        <v>4.08</v>
      </c>
      <c r="G1575" s="60" t="str">
        <f>INDEX(SETORES!$B:$B,MATCH(A1575,SETORES!$A:$A,0))</f>
        <v>Clientes</v>
      </c>
      <c r="H1575" s="60" t="s">
        <v>11</v>
      </c>
    </row>
    <row r="1576" spans="1:8" ht="14.25" hidden="1" customHeight="1" x14ac:dyDescent="0.3">
      <c r="A1576" s="2" t="s">
        <v>84</v>
      </c>
      <c r="B1576" s="60" t="s">
        <v>162</v>
      </c>
      <c r="C1576" s="60" t="s">
        <v>217</v>
      </c>
      <c r="D1576" s="68">
        <v>1</v>
      </c>
      <c r="E1576" s="73">
        <v>12957.78</v>
      </c>
      <c r="F1576" s="79">
        <f>IFERROR(D1576*E1576,0)</f>
        <v>12957.78</v>
      </c>
      <c r="G1576" s="60" t="str">
        <f>INDEX(SETORES!$B:$B,MATCH(A1576,SETORES!$A:$A,0))</f>
        <v>Clientes</v>
      </c>
      <c r="H1576" s="60" t="s">
        <v>11</v>
      </c>
    </row>
    <row r="1577" spans="1:8" ht="14.25" hidden="1" customHeight="1" x14ac:dyDescent="0.3">
      <c r="A1577" s="34" t="s">
        <v>84</v>
      </c>
      <c r="B1577" s="61" t="s">
        <v>155</v>
      </c>
      <c r="C1577" s="61" t="s">
        <v>250</v>
      </c>
      <c r="D1577" s="69">
        <v>1</v>
      </c>
      <c r="E1577" s="74">
        <v>3763.83</v>
      </c>
      <c r="F1577" s="80">
        <f>IFERROR(D1577*E1577,0)</f>
        <v>3763.83</v>
      </c>
      <c r="G1577" s="61" t="str">
        <f>INDEX(SETORES!$B:$B,MATCH(A1577,SETORES!$A:$A,0))</f>
        <v>Clientes</v>
      </c>
      <c r="H1577" s="61" t="s">
        <v>11</v>
      </c>
    </row>
    <row r="1578" spans="1:8" ht="14.25" hidden="1" customHeight="1" x14ac:dyDescent="0.3">
      <c r="A1578" s="2" t="s">
        <v>84</v>
      </c>
      <c r="B1578" s="60" t="s">
        <v>155</v>
      </c>
      <c r="C1578" s="60" t="s">
        <v>251</v>
      </c>
      <c r="D1578" s="68">
        <v>1</v>
      </c>
      <c r="E1578" s="73">
        <v>7833.47</v>
      </c>
      <c r="F1578" s="79">
        <f>IFERROR(D1578*E1578,0)</f>
        <v>7833.47</v>
      </c>
      <c r="G1578" s="60" t="str">
        <f>INDEX(SETORES!$B:$B,MATCH(A1578,SETORES!$A:$A,0))</f>
        <v>Clientes</v>
      </c>
      <c r="H1578" s="60" t="s">
        <v>11</v>
      </c>
    </row>
    <row r="1579" spans="1:8" ht="14.25" hidden="1" customHeight="1" x14ac:dyDescent="0.3">
      <c r="A1579" s="34" t="s">
        <v>84</v>
      </c>
      <c r="B1579" s="61" t="s">
        <v>155</v>
      </c>
      <c r="C1579" s="61" t="s">
        <v>171</v>
      </c>
      <c r="D1579" s="69">
        <v>21</v>
      </c>
      <c r="E1579" s="73">
        <v>51.12</v>
      </c>
      <c r="F1579" s="80">
        <f>IFERROR(D1579*E1579,0)</f>
        <v>1073.52</v>
      </c>
      <c r="G1579" s="61" t="s">
        <v>98</v>
      </c>
      <c r="H1579" s="61" t="s">
        <v>11</v>
      </c>
    </row>
    <row r="1580" spans="1:8" ht="14.25" hidden="1" customHeight="1" x14ac:dyDescent="0.3">
      <c r="A1580" s="2" t="s">
        <v>84</v>
      </c>
      <c r="B1580" s="60" t="s">
        <v>155</v>
      </c>
      <c r="C1580" s="60" t="s">
        <v>170</v>
      </c>
      <c r="D1580" s="68">
        <v>21</v>
      </c>
      <c r="E1580" s="73">
        <v>31.33</v>
      </c>
      <c r="F1580" s="79">
        <f>IFERROR(D1580*E1580,0)</f>
        <v>657.93</v>
      </c>
      <c r="G1580" s="61" t="s">
        <v>98</v>
      </c>
      <c r="H1580" s="60" t="s">
        <v>11</v>
      </c>
    </row>
    <row r="1581" spans="1:8" ht="14.25" customHeight="1" x14ac:dyDescent="0.3">
      <c r="A1581" s="2" t="s">
        <v>84</v>
      </c>
      <c r="B1581" s="60" t="s">
        <v>155</v>
      </c>
      <c r="C1581" s="60" t="s">
        <v>169</v>
      </c>
      <c r="D1581" s="68">
        <v>21</v>
      </c>
      <c r="E1581" s="73">
        <v>63.75</v>
      </c>
      <c r="F1581" s="79">
        <f>IFERROR(D1581*E1581,0)</f>
        <v>1338.75</v>
      </c>
      <c r="G1581" s="61" t="s">
        <v>98</v>
      </c>
      <c r="H1581" s="60" t="s">
        <v>11</v>
      </c>
    </row>
    <row r="1582" spans="1:8" ht="14.25" hidden="1" customHeight="1" x14ac:dyDescent="0.3">
      <c r="A1582" s="34" t="s">
        <v>84</v>
      </c>
      <c r="B1582" s="61" t="s">
        <v>162</v>
      </c>
      <c r="C1582" s="61" t="s">
        <v>221</v>
      </c>
      <c r="D1582" s="69">
        <v>1</v>
      </c>
      <c r="E1582" s="74">
        <v>2874.98</v>
      </c>
      <c r="F1582" s="80">
        <f>IFERROR(D1582*E1582,0)</f>
        <v>2874.98</v>
      </c>
      <c r="G1582" s="61" t="str">
        <f>INDEX(SETORES!$B:$B,MATCH(A1582,SETORES!$A:$A,0))</f>
        <v>Clientes</v>
      </c>
      <c r="H1582" s="61" t="s">
        <v>11</v>
      </c>
    </row>
    <row r="1583" spans="1:8" ht="14.25" hidden="1" customHeight="1" x14ac:dyDescent="0.3">
      <c r="A1583" s="34" t="s">
        <v>84</v>
      </c>
      <c r="B1583" s="61" t="s">
        <v>155</v>
      </c>
      <c r="C1583" s="61" t="s">
        <v>161</v>
      </c>
      <c r="D1583" s="69">
        <v>1</v>
      </c>
      <c r="E1583" s="74">
        <v>131034.59</v>
      </c>
      <c r="F1583" s="80">
        <f>IFERROR(E1583,0)</f>
        <v>131034.59</v>
      </c>
      <c r="G1583" s="61" t="str">
        <f>INDEX(SETORES!$B:$B,MATCH(A1583,SETORES!$A:$A,0))</f>
        <v>Clientes</v>
      </c>
      <c r="H1583" s="61" t="s">
        <v>11</v>
      </c>
    </row>
    <row r="1584" spans="1:8" ht="14.25" hidden="1" customHeight="1" x14ac:dyDescent="0.3">
      <c r="A1584" s="34" t="s">
        <v>84</v>
      </c>
      <c r="B1584" s="61" t="s">
        <v>155</v>
      </c>
      <c r="C1584" s="61" t="s">
        <v>167</v>
      </c>
      <c r="D1584" s="69">
        <v>21</v>
      </c>
      <c r="E1584" s="74">
        <v>9.85</v>
      </c>
      <c r="F1584" s="80">
        <f>IFERROR(D1584*E1584,0)</f>
        <v>206.85</v>
      </c>
      <c r="G1584" s="61" t="str">
        <f>INDEX(SETORES!$B:$B,MATCH(A1584,SETORES!$A:$A,0))</f>
        <v>Clientes</v>
      </c>
      <c r="H1584" s="61" t="s">
        <v>11</v>
      </c>
    </row>
    <row r="1585" spans="1:8" ht="14.25" hidden="1" customHeight="1" x14ac:dyDescent="0.3">
      <c r="A1585" s="34" t="s">
        <v>84</v>
      </c>
      <c r="B1585" s="61" t="s">
        <v>155</v>
      </c>
      <c r="C1585" s="61" t="s">
        <v>166</v>
      </c>
      <c r="D1585" s="69">
        <v>21</v>
      </c>
      <c r="E1585" s="74">
        <v>50</v>
      </c>
      <c r="F1585" s="80">
        <f>IFERROR(D1585*E1585,0)</f>
        <v>1050</v>
      </c>
      <c r="G1585" s="61" t="str">
        <f>INDEX(SETORES!$B:$B,MATCH(A1585,SETORES!$A:$A,0))</f>
        <v>Clientes</v>
      </c>
      <c r="H1585" s="61" t="s">
        <v>11</v>
      </c>
    </row>
    <row r="1586" spans="1:8" ht="14.25" hidden="1" customHeight="1" x14ac:dyDescent="0.3">
      <c r="A1586" s="2" t="s">
        <v>84</v>
      </c>
      <c r="B1586" s="60" t="s">
        <v>155</v>
      </c>
      <c r="C1586" s="60" t="s">
        <v>168</v>
      </c>
      <c r="D1586" s="68">
        <v>21</v>
      </c>
      <c r="E1586" s="73">
        <v>2.04</v>
      </c>
      <c r="F1586" s="79">
        <f>IFERROR(D1586*E1586,0)</f>
        <v>42.84</v>
      </c>
      <c r="G1586" s="60" t="str">
        <f>INDEX(SETORES!$B:$B,MATCH(A1586,SETORES!$A:$A,0))</f>
        <v>Clientes</v>
      </c>
      <c r="H1586" s="60" t="s">
        <v>11</v>
      </c>
    </row>
    <row r="1587" spans="1:8" ht="14.25" hidden="1" customHeight="1" x14ac:dyDescent="0.3">
      <c r="A1587" s="34" t="s">
        <v>48</v>
      </c>
      <c r="B1587" s="61" t="s">
        <v>155</v>
      </c>
      <c r="C1587" s="61" t="s">
        <v>159</v>
      </c>
      <c r="D1587" s="69">
        <v>14</v>
      </c>
      <c r="E1587" s="74">
        <v>0.31240000000000001</v>
      </c>
      <c r="F1587" s="80">
        <v>4.3735999999999997</v>
      </c>
      <c r="G1587" s="61" t="str">
        <f>INDEX(SETORES!$B:$B,MATCH(A1587,SETORES!$A:$A,0))</f>
        <v>Clientes</v>
      </c>
      <c r="H1587" s="61" t="s">
        <v>11</v>
      </c>
    </row>
    <row r="1588" spans="1:8" ht="14.25" hidden="1" customHeight="1" x14ac:dyDescent="0.3">
      <c r="A1588" s="34" t="s">
        <v>48</v>
      </c>
      <c r="B1588" s="61" t="s">
        <v>155</v>
      </c>
      <c r="C1588" s="61" t="s">
        <v>212</v>
      </c>
      <c r="D1588" s="69">
        <v>7</v>
      </c>
      <c r="E1588" s="74">
        <v>30</v>
      </c>
      <c r="F1588" s="80">
        <f>IFERROR(D1588*E1588,0)</f>
        <v>210</v>
      </c>
      <c r="G1588" s="61" t="str">
        <f>INDEX(SETORES!$B:$B,MATCH(A1588,SETORES!$A:$A,0))</f>
        <v>Clientes</v>
      </c>
      <c r="H1588" s="61" t="s">
        <v>11</v>
      </c>
    </row>
    <row r="1589" spans="1:8" ht="14.25" hidden="1" customHeight="1" x14ac:dyDescent="0.3">
      <c r="A1589" s="34" t="s">
        <v>48</v>
      </c>
      <c r="B1589" s="61" t="s">
        <v>162</v>
      </c>
      <c r="C1589" s="61" t="s">
        <v>217</v>
      </c>
      <c r="D1589" s="69">
        <v>1</v>
      </c>
      <c r="E1589" s="74">
        <v>41144.769999999997</v>
      </c>
      <c r="F1589" s="80">
        <f>IFERROR(D1589*E1589,0)</f>
        <v>41144.769999999997</v>
      </c>
      <c r="G1589" s="61" t="str">
        <f>INDEX(SETORES!$B:$B,MATCH(A1589,SETORES!$A:$A,0))</f>
        <v>Clientes</v>
      </c>
      <c r="H1589" s="61" t="s">
        <v>11</v>
      </c>
    </row>
    <row r="1590" spans="1:8" ht="14.25" hidden="1" customHeight="1" x14ac:dyDescent="0.3">
      <c r="A1590" s="2" t="s">
        <v>48</v>
      </c>
      <c r="B1590" s="60" t="s">
        <v>155</v>
      </c>
      <c r="C1590" s="60" t="s">
        <v>256</v>
      </c>
      <c r="D1590" s="68">
        <v>1</v>
      </c>
      <c r="E1590" s="73">
        <v>13318.46125</v>
      </c>
      <c r="F1590" s="79">
        <v>13318.46125</v>
      </c>
      <c r="G1590" s="60" t="s">
        <v>96</v>
      </c>
      <c r="H1590" s="60" t="s">
        <v>11</v>
      </c>
    </row>
    <row r="1591" spans="1:8" ht="14.25" hidden="1" customHeight="1" x14ac:dyDescent="0.3">
      <c r="A1591" s="2" t="s">
        <v>48</v>
      </c>
      <c r="B1591" s="60" t="s">
        <v>155</v>
      </c>
      <c r="C1591" s="60" t="s">
        <v>158</v>
      </c>
      <c r="D1591" s="68">
        <v>14</v>
      </c>
      <c r="E1591" s="73">
        <v>23.6877</v>
      </c>
      <c r="F1591" s="79">
        <v>331.62779999999998</v>
      </c>
      <c r="G1591" s="60" t="str">
        <f>INDEX(SETORES!$B:$B,MATCH(A1591,SETORES!$A:$A,0))</f>
        <v>Clientes</v>
      </c>
      <c r="H1591" s="60" t="s">
        <v>11</v>
      </c>
    </row>
    <row r="1592" spans="1:8" ht="14.25" hidden="1" customHeight="1" x14ac:dyDescent="0.3">
      <c r="A1592" s="34" t="s">
        <v>48</v>
      </c>
      <c r="B1592" s="61" t="s">
        <v>162</v>
      </c>
      <c r="C1592" s="61" t="s">
        <v>221</v>
      </c>
      <c r="D1592" s="69"/>
      <c r="E1592" s="74"/>
      <c r="F1592" s="80">
        <f>IFERROR(D1592*E1592,0)</f>
        <v>0</v>
      </c>
      <c r="G1592" s="61" t="str">
        <f>INDEX(SETORES!$B:$B,MATCH(A1592,SETORES!$A:$A,0))</f>
        <v>Clientes</v>
      </c>
      <c r="H1592" s="61" t="s">
        <v>11</v>
      </c>
    </row>
    <row r="1593" spans="1:8" ht="14.25" hidden="1" customHeight="1" x14ac:dyDescent="0.3">
      <c r="A1593" s="34" t="s">
        <v>48</v>
      </c>
      <c r="B1593" s="61" t="s">
        <v>162</v>
      </c>
      <c r="C1593" s="61" t="s">
        <v>163</v>
      </c>
      <c r="D1593" s="69">
        <v>1</v>
      </c>
      <c r="E1593" s="74">
        <v>136</v>
      </c>
      <c r="F1593" s="80">
        <f>IFERROR(D1593*E1593,0)</f>
        <v>136</v>
      </c>
      <c r="G1593" s="61" t="str">
        <f>INDEX(SETORES!$B:$B,MATCH(A1593,SETORES!$A:$A,0))</f>
        <v>Clientes</v>
      </c>
      <c r="H1593" s="61" t="s">
        <v>11</v>
      </c>
    </row>
    <row r="1594" spans="1:8" ht="14.25" hidden="1" customHeight="1" x14ac:dyDescent="0.3">
      <c r="A1594" s="2" t="s">
        <v>48</v>
      </c>
      <c r="B1594" s="60" t="s">
        <v>162</v>
      </c>
      <c r="C1594" s="60" t="s">
        <v>164</v>
      </c>
      <c r="D1594" s="68"/>
      <c r="E1594" s="73"/>
      <c r="F1594" s="79">
        <f>IFERROR(D1594*E1594,0)</f>
        <v>0</v>
      </c>
      <c r="G1594" s="60" t="str">
        <f>INDEX(SETORES!$B:$B,MATCH(A1594,SETORES!$A:$A,0))</f>
        <v>Clientes</v>
      </c>
      <c r="H1594" s="60" t="s">
        <v>11</v>
      </c>
    </row>
    <row r="1595" spans="1:8" ht="14.25" hidden="1" customHeight="1" x14ac:dyDescent="0.3">
      <c r="A1595" s="2" t="s">
        <v>48</v>
      </c>
      <c r="B1595" s="60" t="s">
        <v>155</v>
      </c>
      <c r="C1595" s="60" t="s">
        <v>161</v>
      </c>
      <c r="D1595" s="68">
        <v>1</v>
      </c>
      <c r="E1595" s="73">
        <v>72779.044106999994</v>
      </c>
      <c r="F1595" s="79">
        <v>72779.044106999994</v>
      </c>
      <c r="G1595" s="60" t="str">
        <f>INDEX(SETORES!$B:$B,MATCH(A1595,SETORES!$A:$A,0))</f>
        <v>Clientes</v>
      </c>
      <c r="H1595" s="60" t="s">
        <v>11</v>
      </c>
    </row>
    <row r="1596" spans="1:8" ht="14.25" hidden="1" customHeight="1" x14ac:dyDescent="0.3">
      <c r="A1596" s="34" t="s">
        <v>48</v>
      </c>
      <c r="B1596" s="61" t="s">
        <v>155</v>
      </c>
      <c r="C1596" s="61" t="s">
        <v>167</v>
      </c>
      <c r="D1596" s="69">
        <v>14</v>
      </c>
      <c r="E1596" s="74">
        <v>9.85</v>
      </c>
      <c r="F1596" s="80">
        <v>137.9</v>
      </c>
      <c r="G1596" s="61" t="str">
        <f>INDEX(SETORES!$B:$B,MATCH(A1596,SETORES!$A:$A,0))</f>
        <v>Clientes</v>
      </c>
      <c r="H1596" s="61" t="s">
        <v>11</v>
      </c>
    </row>
    <row r="1597" spans="1:8" ht="14.25" hidden="1" customHeight="1" x14ac:dyDescent="0.3">
      <c r="A1597" s="2" t="s">
        <v>48</v>
      </c>
      <c r="B1597" s="60" t="s">
        <v>155</v>
      </c>
      <c r="C1597" s="60" t="s">
        <v>238</v>
      </c>
      <c r="D1597" s="68">
        <v>1</v>
      </c>
      <c r="E1597" s="73">
        <v>153.58000000000001</v>
      </c>
      <c r="F1597" s="79">
        <f>IFERROR(D1597*E1597,0)</f>
        <v>153.58000000000001</v>
      </c>
      <c r="G1597" s="60" t="str">
        <f>INDEX(SETORES!$B:$B,MATCH(A1597,SETORES!$A:$A,0))</f>
        <v>Clientes</v>
      </c>
      <c r="H1597" s="60" t="s">
        <v>11</v>
      </c>
    </row>
    <row r="1598" spans="1:8" ht="14.25" hidden="1" customHeight="1" x14ac:dyDescent="0.3">
      <c r="A1598" s="34" t="s">
        <v>48</v>
      </c>
      <c r="B1598" s="61" t="s">
        <v>155</v>
      </c>
      <c r="C1598" s="61" t="s">
        <v>166</v>
      </c>
      <c r="D1598" s="69">
        <v>19</v>
      </c>
      <c r="E1598" s="74">
        <v>50</v>
      </c>
      <c r="F1598" s="80">
        <f>IFERROR(D1598*E1598,0)</f>
        <v>950</v>
      </c>
      <c r="G1598" s="61" t="str">
        <f>INDEX(SETORES!$B:$B,MATCH(A1598,SETORES!$A:$A,0))</f>
        <v>Clientes</v>
      </c>
      <c r="H1598" s="61" t="s">
        <v>11</v>
      </c>
    </row>
    <row r="1599" spans="1:8" ht="14.25" hidden="1" customHeight="1" x14ac:dyDescent="0.3">
      <c r="A1599" s="2" t="s">
        <v>48</v>
      </c>
      <c r="B1599" s="60" t="s">
        <v>162</v>
      </c>
      <c r="C1599" s="60" t="s">
        <v>220</v>
      </c>
      <c r="D1599" s="68"/>
      <c r="E1599" s="73"/>
      <c r="F1599" s="79">
        <f>IFERROR(D1599*E1599,0)</f>
        <v>0</v>
      </c>
      <c r="G1599" s="60" t="str">
        <f>INDEX(SETORES!$B:$B,MATCH(A1599,SETORES!$A:$A,0))</f>
        <v>Clientes</v>
      </c>
      <c r="H1599" s="60" t="s">
        <v>11</v>
      </c>
    </row>
    <row r="1600" spans="1:8" ht="14.25" hidden="1" customHeight="1" x14ac:dyDescent="0.3">
      <c r="A1600" s="2" t="s">
        <v>48</v>
      </c>
      <c r="B1600" s="60" t="s">
        <v>155</v>
      </c>
      <c r="C1600" s="60" t="s">
        <v>156</v>
      </c>
      <c r="D1600" s="68"/>
      <c r="E1600" s="73"/>
      <c r="F1600" s="79">
        <v>0</v>
      </c>
      <c r="G1600" s="60" t="str">
        <f>INDEX(SETORES!$B:$B,MATCH(A1600,SETORES!$A:$A,0))</f>
        <v>Clientes</v>
      </c>
      <c r="H1600" s="60" t="s">
        <v>11</v>
      </c>
    </row>
    <row r="1601" spans="1:8" ht="14.25" hidden="1" customHeight="1" x14ac:dyDescent="0.3">
      <c r="A1601" s="34" t="s">
        <v>48</v>
      </c>
      <c r="B1601" s="61" t="s">
        <v>155</v>
      </c>
      <c r="C1601" s="61" t="s">
        <v>157</v>
      </c>
      <c r="D1601" s="69"/>
      <c r="E1601" s="74"/>
      <c r="F1601" s="80">
        <v>0</v>
      </c>
      <c r="G1601" s="61" t="str">
        <f>INDEX(SETORES!$B:$B,MATCH(A1601,SETORES!$A:$A,0))</f>
        <v>Clientes</v>
      </c>
      <c r="H1601" s="61" t="s">
        <v>11</v>
      </c>
    </row>
    <row r="1602" spans="1:8" ht="14.25" hidden="1" customHeight="1" x14ac:dyDescent="0.3">
      <c r="A1602" s="2" t="s">
        <v>48</v>
      </c>
      <c r="B1602" s="60" t="s">
        <v>162</v>
      </c>
      <c r="C1602" s="60" t="s">
        <v>209</v>
      </c>
      <c r="D1602" s="68">
        <v>14</v>
      </c>
      <c r="E1602" s="73">
        <v>85.71</v>
      </c>
      <c r="F1602" s="79">
        <v>1199.94</v>
      </c>
      <c r="G1602" s="60" t="str">
        <f>INDEX(SETORES!$B:$B,MATCH(A1602,SETORES!$A:$A,0))</f>
        <v>Clientes</v>
      </c>
      <c r="H1602" s="60" t="s">
        <v>11</v>
      </c>
    </row>
    <row r="1603" spans="1:8" ht="14.25" hidden="1" customHeight="1" x14ac:dyDescent="0.3">
      <c r="A1603" s="34" t="s">
        <v>48</v>
      </c>
      <c r="B1603" s="61" t="s">
        <v>162</v>
      </c>
      <c r="C1603" s="61" t="s">
        <v>222</v>
      </c>
      <c r="D1603" s="69"/>
      <c r="E1603" s="74"/>
      <c r="F1603" s="80">
        <f>IFERROR(D1603*E1603,0)</f>
        <v>0</v>
      </c>
      <c r="G1603" s="61" t="str">
        <f>INDEX(SETORES!$B:$B,MATCH(A1603,SETORES!$A:$A,0))</f>
        <v>Clientes</v>
      </c>
      <c r="H1603" s="61" t="s">
        <v>11</v>
      </c>
    </row>
    <row r="1604" spans="1:8" ht="14.25" hidden="1" customHeight="1" x14ac:dyDescent="0.3">
      <c r="A1604" s="2" t="s">
        <v>48</v>
      </c>
      <c r="B1604" s="60" t="s">
        <v>155</v>
      </c>
      <c r="C1604" s="60" t="s">
        <v>186</v>
      </c>
      <c r="D1604" s="68">
        <v>1</v>
      </c>
      <c r="E1604" s="73">
        <v>2638.1</v>
      </c>
      <c r="F1604" s="79">
        <f>IFERROR(D1604*E1604,0)</f>
        <v>2638.1</v>
      </c>
      <c r="G1604" s="60" t="str">
        <f>INDEX(SETORES!$B:$B,MATCH(A1604,SETORES!$A:$A,0))</f>
        <v>Clientes</v>
      </c>
      <c r="H1604" s="60" t="s">
        <v>11</v>
      </c>
    </row>
    <row r="1605" spans="1:8" ht="14.25" hidden="1" customHeight="1" x14ac:dyDescent="0.3">
      <c r="A1605" s="2" t="s">
        <v>48</v>
      </c>
      <c r="B1605" s="60" t="s">
        <v>155</v>
      </c>
      <c r="C1605" s="60" t="s">
        <v>168</v>
      </c>
      <c r="D1605" s="68">
        <v>14</v>
      </c>
      <c r="E1605" s="73">
        <v>2.04</v>
      </c>
      <c r="F1605" s="79">
        <v>28.56</v>
      </c>
      <c r="G1605" s="60" t="str">
        <f>INDEX(SETORES!$B:$B,MATCH(A1605,SETORES!$A:$A,0))</f>
        <v>Clientes</v>
      </c>
      <c r="H1605" s="60" t="s">
        <v>11</v>
      </c>
    </row>
    <row r="1606" spans="1:8" ht="14.25" hidden="1" customHeight="1" x14ac:dyDescent="0.3">
      <c r="A1606" s="34" t="s">
        <v>48</v>
      </c>
      <c r="B1606" s="61" t="s">
        <v>155</v>
      </c>
      <c r="C1606" s="61" t="s">
        <v>160</v>
      </c>
      <c r="D1606" s="69"/>
      <c r="E1606" s="74"/>
      <c r="F1606" s="80">
        <f>IFERROR(D1606*E1606,0)</f>
        <v>0</v>
      </c>
      <c r="G1606" s="61" t="str">
        <f>INDEX(SETORES!$B:$B,MATCH(A1606,SETORES!$A:$A,0))</f>
        <v>Clientes</v>
      </c>
      <c r="H1606" s="61" t="s">
        <v>11</v>
      </c>
    </row>
    <row r="1607" spans="1:8" ht="14.25" hidden="1" customHeight="1" x14ac:dyDescent="0.3">
      <c r="A1607" s="2" t="s">
        <v>47</v>
      </c>
      <c r="B1607" s="60" t="s">
        <v>155</v>
      </c>
      <c r="C1607" s="60" t="s">
        <v>212</v>
      </c>
      <c r="D1607" s="68">
        <v>7</v>
      </c>
      <c r="E1607" s="73">
        <v>30</v>
      </c>
      <c r="F1607" s="79">
        <f>IFERROR(D1607*E1607,0)</f>
        <v>210</v>
      </c>
      <c r="G1607" s="60" t="str">
        <f>INDEX(SETORES!$B:$B,MATCH(A1607,SETORES!$A:$A,0))</f>
        <v>Clientes</v>
      </c>
      <c r="H1607" s="60" t="s">
        <v>11</v>
      </c>
    </row>
    <row r="1608" spans="1:8" ht="14.25" hidden="1" customHeight="1" x14ac:dyDescent="0.3">
      <c r="A1608" s="2" t="s">
        <v>47</v>
      </c>
      <c r="B1608" s="60" t="s">
        <v>162</v>
      </c>
      <c r="C1608" s="60" t="s">
        <v>217</v>
      </c>
      <c r="D1608" s="68">
        <v>1</v>
      </c>
      <c r="E1608" s="73">
        <v>11996.86</v>
      </c>
      <c r="F1608" s="79">
        <f>IFERROR(D1608*E1608,0)</f>
        <v>11996.86</v>
      </c>
      <c r="G1608" s="60" t="str">
        <f>INDEX(SETORES!$B:$B,MATCH(A1608,SETORES!$A:$A,0))</f>
        <v>Clientes</v>
      </c>
      <c r="H1608" s="60" t="s">
        <v>11</v>
      </c>
    </row>
    <row r="1609" spans="1:8" ht="14.25" hidden="1" customHeight="1" x14ac:dyDescent="0.3">
      <c r="A1609" s="2" t="s">
        <v>47</v>
      </c>
      <c r="B1609" s="60" t="s">
        <v>155</v>
      </c>
      <c r="C1609" s="60" t="s">
        <v>250</v>
      </c>
      <c r="D1609" s="68">
        <v>1</v>
      </c>
      <c r="E1609" s="73">
        <v>2150.7600000000002</v>
      </c>
      <c r="F1609" s="79">
        <f>IFERROR(D1609*E1609,0)</f>
        <v>2150.7600000000002</v>
      </c>
      <c r="G1609" s="60" t="str">
        <f>INDEX(SETORES!$B:$B,MATCH(A1609,SETORES!$A:$A,0))</f>
        <v>Clientes</v>
      </c>
      <c r="H1609" s="60" t="s">
        <v>11</v>
      </c>
    </row>
    <row r="1610" spans="1:8" ht="14.25" hidden="1" customHeight="1" x14ac:dyDescent="0.3">
      <c r="A1610" s="2" t="s">
        <v>47</v>
      </c>
      <c r="B1610" s="60" t="s">
        <v>155</v>
      </c>
      <c r="C1610" s="60" t="s">
        <v>171</v>
      </c>
      <c r="D1610" s="69">
        <v>13</v>
      </c>
      <c r="E1610" s="73">
        <v>51.12</v>
      </c>
      <c r="F1610" s="80">
        <f>IFERROR(D1610*E1610,0)</f>
        <v>664.56</v>
      </c>
      <c r="G1610" s="61" t="s">
        <v>98</v>
      </c>
      <c r="H1610" s="61" t="s">
        <v>11</v>
      </c>
    </row>
    <row r="1611" spans="1:8" ht="14.25" hidden="1" customHeight="1" x14ac:dyDescent="0.3">
      <c r="A1611" s="34" t="s">
        <v>47</v>
      </c>
      <c r="B1611" s="61" t="s">
        <v>155</v>
      </c>
      <c r="C1611" s="61" t="s">
        <v>170</v>
      </c>
      <c r="D1611" s="69">
        <v>13</v>
      </c>
      <c r="E1611" s="73">
        <v>31.33</v>
      </c>
      <c r="F1611" s="79">
        <f>IFERROR(D1611*E1611,0)</f>
        <v>407.28999999999996</v>
      </c>
      <c r="G1611" s="61" t="s">
        <v>98</v>
      </c>
      <c r="H1611" s="61" t="s">
        <v>11</v>
      </c>
    </row>
    <row r="1612" spans="1:8" ht="14.25" customHeight="1" x14ac:dyDescent="0.3">
      <c r="A1612" s="34" t="s">
        <v>47</v>
      </c>
      <c r="B1612" s="61" t="s">
        <v>155</v>
      </c>
      <c r="C1612" s="61" t="s">
        <v>169</v>
      </c>
      <c r="D1612" s="69">
        <v>13</v>
      </c>
      <c r="E1612" s="73">
        <v>63.75</v>
      </c>
      <c r="F1612" s="80">
        <f>IFERROR(D1612*E1612,0)</f>
        <v>828.75</v>
      </c>
      <c r="G1612" s="61" t="s">
        <v>98</v>
      </c>
      <c r="H1612" s="61" t="s">
        <v>11</v>
      </c>
    </row>
    <row r="1613" spans="1:8" ht="14.25" hidden="1" customHeight="1" x14ac:dyDescent="0.3">
      <c r="A1613" s="2" t="s">
        <v>47</v>
      </c>
      <c r="B1613" s="60" t="s">
        <v>162</v>
      </c>
      <c r="C1613" s="60" t="s">
        <v>221</v>
      </c>
      <c r="D1613" s="68">
        <v>1</v>
      </c>
      <c r="E1613" s="73">
        <v>250</v>
      </c>
      <c r="F1613" s="79">
        <f>IFERROR(D1613*E1613,0)</f>
        <v>250</v>
      </c>
      <c r="G1613" s="60" t="str">
        <f>INDEX(SETORES!$B:$B,MATCH(A1613,SETORES!$A:$A,0))</f>
        <v>Clientes</v>
      </c>
      <c r="H1613" s="60" t="s">
        <v>11</v>
      </c>
    </row>
    <row r="1614" spans="1:8" ht="14.25" hidden="1" customHeight="1" x14ac:dyDescent="0.3">
      <c r="A1614" s="2" t="s">
        <v>47</v>
      </c>
      <c r="B1614" s="60" t="s">
        <v>155</v>
      </c>
      <c r="C1614" s="60" t="s">
        <v>161</v>
      </c>
      <c r="D1614" s="68">
        <v>1</v>
      </c>
      <c r="E1614" s="73">
        <v>112868.09</v>
      </c>
      <c r="F1614" s="79">
        <f>IFERROR(E1614,0)</f>
        <v>112868.09</v>
      </c>
      <c r="G1614" s="60" t="str">
        <f>INDEX(SETORES!$B:$B,MATCH(A1614,SETORES!$A:$A,0))</f>
        <v>Clientes</v>
      </c>
      <c r="H1614" s="60" t="s">
        <v>11</v>
      </c>
    </row>
    <row r="1615" spans="1:8" ht="14.25" hidden="1" customHeight="1" x14ac:dyDescent="0.3">
      <c r="A1615" s="34" t="s">
        <v>47</v>
      </c>
      <c r="B1615" s="61" t="s">
        <v>155</v>
      </c>
      <c r="C1615" s="61" t="s">
        <v>167</v>
      </c>
      <c r="D1615" s="69">
        <v>12</v>
      </c>
      <c r="E1615" s="74">
        <v>9.85</v>
      </c>
      <c r="F1615" s="80">
        <f>IFERROR(D1615*E1615,0)</f>
        <v>118.19999999999999</v>
      </c>
      <c r="G1615" s="61" t="str">
        <f>INDEX(SETORES!$B:$B,MATCH(A1615,SETORES!$A:$A,0))</f>
        <v>Clientes</v>
      </c>
      <c r="H1615" s="61" t="s">
        <v>11</v>
      </c>
    </row>
    <row r="1616" spans="1:8" ht="14.25" hidden="1" customHeight="1" x14ac:dyDescent="0.3">
      <c r="A1616" s="34" t="s">
        <v>47</v>
      </c>
      <c r="B1616" s="61" t="s">
        <v>162</v>
      </c>
      <c r="C1616" s="61" t="s">
        <v>218</v>
      </c>
      <c r="D1616" s="69"/>
      <c r="E1616" s="74"/>
      <c r="F1616" s="80">
        <f>IFERROR(D1616*E1616,0)</f>
        <v>0</v>
      </c>
      <c r="G1616" s="61" t="str">
        <f>INDEX(SETORES!$B:$B,MATCH(A1616,SETORES!$A:$A,0))</f>
        <v>Clientes</v>
      </c>
      <c r="H1616" s="61" t="s">
        <v>11</v>
      </c>
    </row>
    <row r="1617" spans="1:8" ht="14.25" hidden="1" customHeight="1" x14ac:dyDescent="0.3">
      <c r="A1617" s="34" t="s">
        <v>47</v>
      </c>
      <c r="B1617" s="61" t="s">
        <v>155</v>
      </c>
      <c r="C1617" s="61" t="s">
        <v>166</v>
      </c>
      <c r="D1617" s="69">
        <v>1</v>
      </c>
      <c r="E1617" s="74">
        <v>50</v>
      </c>
      <c r="F1617" s="80">
        <f>IFERROR(D1617*E1617,0)</f>
        <v>50</v>
      </c>
      <c r="G1617" s="61" t="str">
        <f>INDEX(SETORES!$B:$B,MATCH(A1617,SETORES!$A:$A,0))</f>
        <v>Clientes</v>
      </c>
      <c r="H1617" s="61" t="s">
        <v>11</v>
      </c>
    </row>
    <row r="1618" spans="1:8" ht="14.25" hidden="1" customHeight="1" x14ac:dyDescent="0.3">
      <c r="A1618" s="34" t="s">
        <v>47</v>
      </c>
      <c r="B1618" s="61" t="s">
        <v>155</v>
      </c>
      <c r="C1618" s="61" t="s">
        <v>156</v>
      </c>
      <c r="D1618" s="69"/>
      <c r="E1618" s="74"/>
      <c r="F1618" s="80">
        <v>0</v>
      </c>
      <c r="G1618" s="61" t="str">
        <f>INDEX(SETORES!$B:$B,MATCH(A1618,SETORES!$A:$A,0))</f>
        <v>Clientes</v>
      </c>
      <c r="H1618" s="61" t="s">
        <v>11</v>
      </c>
    </row>
    <row r="1619" spans="1:8" ht="14.25" hidden="1" customHeight="1" x14ac:dyDescent="0.3">
      <c r="A1619" s="2" t="s">
        <v>47</v>
      </c>
      <c r="B1619" s="60" t="s">
        <v>155</v>
      </c>
      <c r="C1619" s="60" t="s">
        <v>157</v>
      </c>
      <c r="D1619" s="68"/>
      <c r="E1619" s="73"/>
      <c r="F1619" s="79">
        <v>0</v>
      </c>
      <c r="G1619" s="60" t="str">
        <f>INDEX(SETORES!$B:$B,MATCH(A1619,SETORES!$A:$A,0))</f>
        <v>Clientes</v>
      </c>
      <c r="H1619" s="60" t="s">
        <v>11</v>
      </c>
    </row>
    <row r="1620" spans="1:8" ht="14.25" hidden="1" customHeight="1" x14ac:dyDescent="0.3">
      <c r="A1620" s="2" t="s">
        <v>47</v>
      </c>
      <c r="B1620" s="60" t="s">
        <v>155</v>
      </c>
      <c r="C1620" s="60" t="s">
        <v>168</v>
      </c>
      <c r="D1620" s="68">
        <v>12</v>
      </c>
      <c r="E1620" s="73">
        <v>2.04</v>
      </c>
      <c r="F1620" s="79">
        <f>IFERROR(D1620*E1620,0)</f>
        <v>24.48</v>
      </c>
      <c r="G1620" s="60" t="str">
        <f>INDEX(SETORES!$B:$B,MATCH(A1620,SETORES!$A:$A,0))</f>
        <v>Clientes</v>
      </c>
      <c r="H1620" s="60" t="s">
        <v>11</v>
      </c>
    </row>
    <row r="1621" spans="1:8" ht="14.25" hidden="1" customHeight="1" x14ac:dyDescent="0.3">
      <c r="A1621" s="34" t="s">
        <v>47</v>
      </c>
      <c r="B1621" s="61" t="s">
        <v>155</v>
      </c>
      <c r="C1621" s="61" t="s">
        <v>160</v>
      </c>
      <c r="D1621" s="69"/>
      <c r="E1621" s="74"/>
      <c r="F1621" s="80">
        <f>IFERROR(D1621*E1621,0)</f>
        <v>0</v>
      </c>
      <c r="G1621" s="61" t="str">
        <f>INDEX(SETORES!$B:$B,MATCH(A1621,SETORES!$A:$A,0))</f>
        <v>Clientes</v>
      </c>
      <c r="H1621" s="61" t="s">
        <v>11</v>
      </c>
    </row>
    <row r="1622" spans="1:8" ht="14.25" hidden="1" customHeight="1" x14ac:dyDescent="0.3">
      <c r="A1622" s="34" t="s">
        <v>85</v>
      </c>
      <c r="B1622" s="61" t="s">
        <v>155</v>
      </c>
      <c r="C1622" s="61" t="s">
        <v>159</v>
      </c>
      <c r="D1622" s="69">
        <v>1</v>
      </c>
      <c r="E1622" s="74">
        <v>0.3</v>
      </c>
      <c r="F1622" s="80">
        <v>0.3</v>
      </c>
      <c r="G1622" s="61" t="s">
        <v>96</v>
      </c>
      <c r="H1622" s="61" t="s">
        <v>11</v>
      </c>
    </row>
    <row r="1623" spans="1:8" ht="14.25" hidden="1" customHeight="1" x14ac:dyDescent="0.3">
      <c r="A1623" s="34" t="s">
        <v>85</v>
      </c>
      <c r="B1623" s="61" t="s">
        <v>155</v>
      </c>
      <c r="C1623" s="61" t="s">
        <v>212</v>
      </c>
      <c r="D1623" s="69">
        <v>10</v>
      </c>
      <c r="E1623" s="74">
        <v>30</v>
      </c>
      <c r="F1623" s="80">
        <f>IFERROR(D1623*E1623,0)</f>
        <v>300</v>
      </c>
      <c r="G1623" s="61" t="str">
        <f>INDEX(SETORES!$B:$B,MATCH(A1623,SETORES!$A:$A,0))</f>
        <v>Clientes</v>
      </c>
      <c r="H1623" s="61" t="s">
        <v>11</v>
      </c>
    </row>
    <row r="1624" spans="1:8" ht="14.25" hidden="1" customHeight="1" x14ac:dyDescent="0.3">
      <c r="A1624" s="34" t="s">
        <v>85</v>
      </c>
      <c r="B1624" s="61" t="s">
        <v>162</v>
      </c>
      <c r="C1624" s="61" t="s">
        <v>217</v>
      </c>
      <c r="D1624" s="69">
        <v>1</v>
      </c>
      <c r="E1624" s="74">
        <v>1306.3900000000001</v>
      </c>
      <c r="F1624" s="80">
        <f>IFERROR(D1624*E1624,0)</f>
        <v>1306.3900000000001</v>
      </c>
      <c r="G1624" s="61" t="str">
        <f>INDEX(SETORES!$B:$B,MATCH(A1624,SETORES!$A:$A,0))</f>
        <v>Clientes</v>
      </c>
      <c r="H1624" s="61" t="s">
        <v>11</v>
      </c>
    </row>
    <row r="1625" spans="1:8" ht="14.25" hidden="1" customHeight="1" x14ac:dyDescent="0.3">
      <c r="A1625" s="34" t="s">
        <v>85</v>
      </c>
      <c r="B1625" s="61" t="s">
        <v>155</v>
      </c>
      <c r="C1625" s="61" t="s">
        <v>171</v>
      </c>
      <c r="D1625" s="69">
        <v>12</v>
      </c>
      <c r="E1625" s="73">
        <v>51.12</v>
      </c>
      <c r="F1625" s="80">
        <f>IFERROR(D1625*E1625,0)</f>
        <v>613.43999999999994</v>
      </c>
      <c r="G1625" s="61" t="s">
        <v>98</v>
      </c>
      <c r="H1625" s="61" t="s">
        <v>11</v>
      </c>
    </row>
    <row r="1626" spans="1:8" ht="14.25" hidden="1" customHeight="1" x14ac:dyDescent="0.3">
      <c r="A1626" s="2" t="s">
        <v>85</v>
      </c>
      <c r="B1626" s="60" t="s">
        <v>155</v>
      </c>
      <c r="C1626" s="60" t="s">
        <v>170</v>
      </c>
      <c r="D1626" s="68">
        <v>12</v>
      </c>
      <c r="E1626" s="73">
        <v>31.33</v>
      </c>
      <c r="F1626" s="79">
        <f>IFERROR(D1626*E1626,0)</f>
        <v>375.96</v>
      </c>
      <c r="G1626" s="61" t="s">
        <v>98</v>
      </c>
      <c r="H1626" s="60" t="s">
        <v>11</v>
      </c>
    </row>
    <row r="1627" spans="1:8" ht="14.25" customHeight="1" x14ac:dyDescent="0.3">
      <c r="A1627" s="2" t="s">
        <v>85</v>
      </c>
      <c r="B1627" s="60" t="s">
        <v>155</v>
      </c>
      <c r="C1627" s="60" t="s">
        <v>169</v>
      </c>
      <c r="D1627" s="68">
        <v>12</v>
      </c>
      <c r="E1627" s="73">
        <v>63.75</v>
      </c>
      <c r="F1627" s="79">
        <f>IFERROR(D1627*E1627,0)</f>
        <v>765</v>
      </c>
      <c r="G1627" s="61" t="s">
        <v>98</v>
      </c>
      <c r="H1627" s="60" t="s">
        <v>11</v>
      </c>
    </row>
    <row r="1628" spans="1:8" ht="14.25" hidden="1" customHeight="1" x14ac:dyDescent="0.3">
      <c r="A1628" s="2" t="s">
        <v>85</v>
      </c>
      <c r="B1628" s="60" t="s">
        <v>155</v>
      </c>
      <c r="C1628" s="60" t="s">
        <v>158</v>
      </c>
      <c r="D1628" s="68">
        <v>1</v>
      </c>
      <c r="E1628" s="73">
        <v>105.0866</v>
      </c>
      <c r="F1628" s="79">
        <v>105.0866</v>
      </c>
      <c r="G1628" s="60" t="s">
        <v>96</v>
      </c>
      <c r="H1628" s="60" t="s">
        <v>11</v>
      </c>
    </row>
    <row r="1629" spans="1:8" ht="14.25" hidden="1" customHeight="1" x14ac:dyDescent="0.3">
      <c r="A1629" s="34" t="s">
        <v>85</v>
      </c>
      <c r="B1629" s="61" t="s">
        <v>155</v>
      </c>
      <c r="C1629" s="61" t="s">
        <v>161</v>
      </c>
      <c r="D1629" s="69">
        <v>1</v>
      </c>
      <c r="E1629" s="74">
        <v>52829.79</v>
      </c>
      <c r="F1629" s="80">
        <f>IFERROR(E1629,0)</f>
        <v>52829.79</v>
      </c>
      <c r="G1629" s="61" t="str">
        <f>INDEX(SETORES!$B:$B,MATCH(A1629,SETORES!$A:$A,0))</f>
        <v>Clientes</v>
      </c>
      <c r="H1629" s="61" t="s">
        <v>11</v>
      </c>
    </row>
    <row r="1630" spans="1:8" ht="14.25" hidden="1" customHeight="1" x14ac:dyDescent="0.3">
      <c r="A1630" s="34" t="s">
        <v>85</v>
      </c>
      <c r="B1630" s="61" t="s">
        <v>155</v>
      </c>
      <c r="C1630" s="61" t="s">
        <v>167</v>
      </c>
      <c r="D1630" s="69">
        <v>12</v>
      </c>
      <c r="E1630" s="74">
        <v>9.85</v>
      </c>
      <c r="F1630" s="80">
        <f>IFERROR(D1630*E1630,0)</f>
        <v>118.19999999999999</v>
      </c>
      <c r="G1630" s="61" t="str">
        <f>INDEX(SETORES!$B:$B,MATCH(A1630,SETORES!$A:$A,0))</f>
        <v>Clientes</v>
      </c>
      <c r="H1630" s="61" t="s">
        <v>11</v>
      </c>
    </row>
    <row r="1631" spans="1:8" ht="14.25" hidden="1" customHeight="1" x14ac:dyDescent="0.3">
      <c r="A1631" s="34" t="s">
        <v>85</v>
      </c>
      <c r="B1631" s="61" t="s">
        <v>155</v>
      </c>
      <c r="C1631" s="61" t="s">
        <v>166</v>
      </c>
      <c r="D1631" s="69">
        <v>12</v>
      </c>
      <c r="E1631" s="74">
        <v>50</v>
      </c>
      <c r="F1631" s="80">
        <f>IFERROR(D1631*E1631,0)</f>
        <v>600</v>
      </c>
      <c r="G1631" s="61" t="str">
        <f>INDEX(SETORES!$B:$B,MATCH(A1631,SETORES!$A:$A,0))</f>
        <v>Clientes</v>
      </c>
      <c r="H1631" s="61" t="s">
        <v>11</v>
      </c>
    </row>
    <row r="1632" spans="1:8" ht="14.25" hidden="1" customHeight="1" x14ac:dyDescent="0.3">
      <c r="A1632" s="2" t="s">
        <v>85</v>
      </c>
      <c r="B1632" s="60" t="s">
        <v>155</v>
      </c>
      <c r="C1632" s="60" t="s">
        <v>157</v>
      </c>
      <c r="D1632" s="68">
        <v>1</v>
      </c>
      <c r="E1632" s="73">
        <v>136.5</v>
      </c>
      <c r="F1632" s="79">
        <v>136.5</v>
      </c>
      <c r="G1632" s="60" t="str">
        <f>INDEX(SETORES!$B:$B,MATCH(A1632,SETORES!$A:$A,0))</f>
        <v>Clientes</v>
      </c>
      <c r="H1632" s="60" t="s">
        <v>11</v>
      </c>
    </row>
    <row r="1633" spans="1:8" ht="14.25" hidden="1" customHeight="1" x14ac:dyDescent="0.3">
      <c r="A1633" s="2" t="s">
        <v>85</v>
      </c>
      <c r="B1633" s="60" t="s">
        <v>162</v>
      </c>
      <c r="C1633" s="60" t="s">
        <v>222</v>
      </c>
      <c r="D1633" s="68"/>
      <c r="E1633" s="73"/>
      <c r="F1633" s="79">
        <f>IFERROR(D1633*E1633,0)</f>
        <v>0</v>
      </c>
      <c r="G1633" s="60" t="str">
        <f>INDEX(SETORES!$B:$B,MATCH(A1633,SETORES!$A:$A,0))</f>
        <v>Clientes</v>
      </c>
      <c r="H1633" s="60" t="s">
        <v>11</v>
      </c>
    </row>
    <row r="1634" spans="1:8" ht="14.25" hidden="1" customHeight="1" x14ac:dyDescent="0.3">
      <c r="A1634" s="2" t="s">
        <v>85</v>
      </c>
      <c r="B1634" s="60" t="s">
        <v>155</v>
      </c>
      <c r="C1634" s="60" t="s">
        <v>168</v>
      </c>
      <c r="D1634" s="68">
        <v>12</v>
      </c>
      <c r="E1634" s="73">
        <v>2.04</v>
      </c>
      <c r="F1634" s="79">
        <f>IFERROR(D1634*E1634,0)</f>
        <v>24.48</v>
      </c>
      <c r="G1634" s="60" t="str">
        <f>INDEX(SETORES!$B:$B,MATCH(A1634,SETORES!$A:$A,0))</f>
        <v>Clientes</v>
      </c>
      <c r="H1634" s="60" t="s">
        <v>11</v>
      </c>
    </row>
    <row r="1635" spans="1:8" ht="14.25" hidden="1" customHeight="1" x14ac:dyDescent="0.3">
      <c r="A1635" s="2" t="s">
        <v>31</v>
      </c>
      <c r="B1635" s="60" t="s">
        <v>155</v>
      </c>
      <c r="C1635" s="60" t="s">
        <v>159</v>
      </c>
      <c r="D1635" s="68">
        <v>1</v>
      </c>
      <c r="E1635" s="73">
        <v>0.125</v>
      </c>
      <c r="F1635" s="79">
        <v>0.125</v>
      </c>
      <c r="G1635" s="60" t="str">
        <f>INDEX(SETORES!$B:$B,MATCH(A1635,SETORES!$A:$A,0))</f>
        <v>Clientes</v>
      </c>
      <c r="H1635" s="60" t="s">
        <v>11</v>
      </c>
    </row>
    <row r="1636" spans="1:8" ht="14.25" hidden="1" customHeight="1" x14ac:dyDescent="0.3">
      <c r="A1636" s="2" t="s">
        <v>31</v>
      </c>
      <c r="B1636" s="60" t="s">
        <v>155</v>
      </c>
      <c r="C1636" s="60" t="s">
        <v>212</v>
      </c>
      <c r="D1636" s="68">
        <v>3</v>
      </c>
      <c r="E1636" s="73">
        <v>30</v>
      </c>
      <c r="F1636" s="79">
        <f>IFERROR(D1636*E1636,0)</f>
        <v>90</v>
      </c>
      <c r="G1636" s="60" t="str">
        <f>INDEX(SETORES!$B:$B,MATCH(A1636,SETORES!$A:$A,0))</f>
        <v>Clientes</v>
      </c>
      <c r="H1636" s="60" t="s">
        <v>11</v>
      </c>
    </row>
    <row r="1637" spans="1:8" ht="14.25" hidden="1" customHeight="1" x14ac:dyDescent="0.3">
      <c r="A1637" s="2" t="s">
        <v>31</v>
      </c>
      <c r="B1637" s="60" t="s">
        <v>162</v>
      </c>
      <c r="C1637" s="60" t="s">
        <v>217</v>
      </c>
      <c r="D1637" s="68">
        <v>1</v>
      </c>
      <c r="E1637" s="73">
        <v>1905.53</v>
      </c>
      <c r="F1637" s="79">
        <f>IFERROR(D1637*E1637,0)</f>
        <v>1905.53</v>
      </c>
      <c r="G1637" s="60" t="str">
        <f>INDEX(SETORES!$B:$B,MATCH(A1637,SETORES!$A:$A,0))</f>
        <v>Clientes</v>
      </c>
      <c r="H1637" s="60" t="s">
        <v>11</v>
      </c>
    </row>
    <row r="1638" spans="1:8" ht="14.25" hidden="1" customHeight="1" x14ac:dyDescent="0.3">
      <c r="A1638" s="34" t="s">
        <v>31</v>
      </c>
      <c r="B1638" s="61" t="s">
        <v>155</v>
      </c>
      <c r="C1638" s="61" t="s">
        <v>158</v>
      </c>
      <c r="D1638" s="69">
        <v>1</v>
      </c>
      <c r="E1638" s="74">
        <v>43.786099999999998</v>
      </c>
      <c r="F1638" s="80">
        <v>43.786099999999998</v>
      </c>
      <c r="G1638" s="61" t="str">
        <f>INDEX(SETORES!$B:$B,MATCH(A1638,SETORES!$A:$A,0))</f>
        <v>Clientes</v>
      </c>
      <c r="H1638" s="61" t="s">
        <v>11</v>
      </c>
    </row>
    <row r="1639" spans="1:8" ht="14.25" hidden="1" customHeight="1" x14ac:dyDescent="0.3">
      <c r="A1639" s="2" t="s">
        <v>31</v>
      </c>
      <c r="B1639" s="60" t="s">
        <v>155</v>
      </c>
      <c r="C1639" s="60" t="s">
        <v>161</v>
      </c>
      <c r="D1639" s="68">
        <v>1</v>
      </c>
      <c r="E1639" s="73">
        <v>61181.18</v>
      </c>
      <c r="F1639" s="79">
        <f>IFERROR(E1639,0)</f>
        <v>61181.18</v>
      </c>
      <c r="G1639" s="60" t="str">
        <f>INDEX(SETORES!$B:$B,MATCH(A1639,SETORES!$A:$A,0))</f>
        <v>Clientes</v>
      </c>
      <c r="H1639" s="60" t="s">
        <v>11</v>
      </c>
    </row>
    <row r="1640" spans="1:8" ht="14.25" hidden="1" customHeight="1" x14ac:dyDescent="0.3">
      <c r="A1640" s="34" t="s">
        <v>31</v>
      </c>
      <c r="B1640" s="61" t="s">
        <v>155</v>
      </c>
      <c r="C1640" s="61" t="s">
        <v>167</v>
      </c>
      <c r="D1640" s="69">
        <v>5</v>
      </c>
      <c r="E1640" s="74">
        <v>9.85</v>
      </c>
      <c r="F1640" s="80">
        <f>IFERROR(D1640*E1640,0)</f>
        <v>49.25</v>
      </c>
      <c r="G1640" s="61" t="str">
        <f>INDEX(SETORES!$B:$B,MATCH(A1640,SETORES!$A:$A,0))</f>
        <v>Clientes</v>
      </c>
      <c r="H1640" s="61" t="s">
        <v>11</v>
      </c>
    </row>
    <row r="1641" spans="1:8" ht="14.25" hidden="1" customHeight="1" x14ac:dyDescent="0.3">
      <c r="A1641" s="34" t="s">
        <v>31</v>
      </c>
      <c r="B1641" s="61" t="s">
        <v>155</v>
      </c>
      <c r="C1641" s="61" t="s">
        <v>166</v>
      </c>
      <c r="D1641" s="69">
        <v>5</v>
      </c>
      <c r="E1641" s="74">
        <v>50</v>
      </c>
      <c r="F1641" s="80">
        <f>IFERROR(D1641*E1641,0)</f>
        <v>250</v>
      </c>
      <c r="G1641" s="61" t="str">
        <f>INDEX(SETORES!$B:$B,MATCH(A1641,SETORES!$A:$A,0))</f>
        <v>Clientes</v>
      </c>
      <c r="H1641" s="61" t="s">
        <v>11</v>
      </c>
    </row>
    <row r="1642" spans="1:8" ht="14.25" hidden="1" customHeight="1" x14ac:dyDescent="0.3">
      <c r="A1642" s="34" t="s">
        <v>31</v>
      </c>
      <c r="B1642" s="61" t="s">
        <v>155</v>
      </c>
      <c r="C1642" s="61" t="s">
        <v>172</v>
      </c>
      <c r="D1642" s="69"/>
      <c r="E1642" s="74"/>
      <c r="F1642" s="80">
        <f>IFERROR(D1642*E1642,0)</f>
        <v>0</v>
      </c>
      <c r="G1642" s="61" t="str">
        <f>INDEX(SETORES!$B:$B,MATCH(A1642,SETORES!$A:$A,0))</f>
        <v>Clientes</v>
      </c>
      <c r="H1642" s="61" t="s">
        <v>11</v>
      </c>
    </row>
    <row r="1643" spans="1:8" ht="14.25" hidden="1" customHeight="1" x14ac:dyDescent="0.3">
      <c r="A1643" s="34" t="s">
        <v>31</v>
      </c>
      <c r="B1643" s="61" t="s">
        <v>155</v>
      </c>
      <c r="C1643" s="61" t="s">
        <v>156</v>
      </c>
      <c r="D1643" s="69">
        <v>1</v>
      </c>
      <c r="E1643" s="74">
        <v>14</v>
      </c>
      <c r="F1643" s="80">
        <v>14</v>
      </c>
      <c r="G1643" s="61" t="str">
        <f>INDEX(SETORES!$B:$B,MATCH(A1643,SETORES!$A:$A,0))</f>
        <v>Clientes</v>
      </c>
      <c r="H1643" s="61" t="s">
        <v>11</v>
      </c>
    </row>
    <row r="1644" spans="1:8" ht="14.25" hidden="1" customHeight="1" x14ac:dyDescent="0.3">
      <c r="A1644" s="2" t="s">
        <v>31</v>
      </c>
      <c r="B1644" s="60" t="s">
        <v>155</v>
      </c>
      <c r="C1644" s="60" t="s">
        <v>157</v>
      </c>
      <c r="D1644" s="68">
        <v>1</v>
      </c>
      <c r="E1644" s="73">
        <v>190.78</v>
      </c>
      <c r="F1644" s="79">
        <v>190.78</v>
      </c>
      <c r="G1644" s="60" t="str">
        <f>INDEX(SETORES!$B:$B,MATCH(A1644,SETORES!$A:$A,0))</f>
        <v>Clientes</v>
      </c>
      <c r="H1644" s="60" t="s">
        <v>11</v>
      </c>
    </row>
    <row r="1645" spans="1:8" ht="14.25" hidden="1" customHeight="1" x14ac:dyDescent="0.3">
      <c r="A1645" s="34" t="s">
        <v>31</v>
      </c>
      <c r="B1645" s="61" t="s">
        <v>162</v>
      </c>
      <c r="C1645" s="61" t="s">
        <v>222</v>
      </c>
      <c r="D1645" s="69">
        <v>1</v>
      </c>
      <c r="E1645" s="74">
        <v>6209</v>
      </c>
      <c r="F1645" s="80">
        <f>IFERROR(D1645*E1645,0)</f>
        <v>6209</v>
      </c>
      <c r="G1645" s="61" t="str">
        <f>INDEX(SETORES!$B:$B,MATCH(A1645,SETORES!$A:$A,0))</f>
        <v>Clientes</v>
      </c>
      <c r="H1645" s="61" t="s">
        <v>11</v>
      </c>
    </row>
    <row r="1646" spans="1:8" ht="14.25" hidden="1" customHeight="1" x14ac:dyDescent="0.3">
      <c r="A1646" s="2" t="s">
        <v>31</v>
      </c>
      <c r="B1646" s="60" t="s">
        <v>155</v>
      </c>
      <c r="C1646" s="60" t="s">
        <v>168</v>
      </c>
      <c r="D1646" s="68">
        <v>5</v>
      </c>
      <c r="E1646" s="73">
        <v>2.04</v>
      </c>
      <c r="F1646" s="79">
        <f>IFERROR(D1646*E1646,0)</f>
        <v>10.199999999999999</v>
      </c>
      <c r="G1646" s="60" t="str">
        <f>INDEX(SETORES!$B:$B,MATCH(A1646,SETORES!$A:$A,0))</f>
        <v>Clientes</v>
      </c>
      <c r="H1646" s="60" t="s">
        <v>11</v>
      </c>
    </row>
    <row r="1647" spans="1:8" ht="14.25" hidden="1" customHeight="1" x14ac:dyDescent="0.3">
      <c r="A1647" s="34" t="s">
        <v>31</v>
      </c>
      <c r="B1647" s="61" t="s">
        <v>155</v>
      </c>
      <c r="C1647" s="61" t="s">
        <v>160</v>
      </c>
      <c r="D1647" s="69"/>
      <c r="E1647" s="74"/>
      <c r="F1647" s="80">
        <f>IFERROR(D1647*E1647,0)</f>
        <v>0</v>
      </c>
      <c r="G1647" s="61" t="str">
        <f>INDEX(SETORES!$B:$B,MATCH(A1647,SETORES!$A:$A,0))</f>
        <v>Clientes</v>
      </c>
      <c r="H1647" s="61" t="s">
        <v>11</v>
      </c>
    </row>
    <row r="1648" spans="1:8" ht="14.25" hidden="1" customHeight="1" x14ac:dyDescent="0.3">
      <c r="A1648" s="2" t="s">
        <v>37</v>
      </c>
      <c r="B1648" s="60" t="s">
        <v>155</v>
      </c>
      <c r="C1648" s="60" t="s">
        <v>159</v>
      </c>
      <c r="D1648" s="68">
        <v>1</v>
      </c>
      <c r="E1648" s="73">
        <v>1.1000000000000001</v>
      </c>
      <c r="F1648" s="79">
        <v>1.1000000000000001</v>
      </c>
      <c r="G1648" s="60" t="str">
        <f>INDEX(SETORES!$B:$B,MATCH(A1648,SETORES!$A:$A,0))</f>
        <v>Clientes</v>
      </c>
      <c r="H1648" s="60" t="s">
        <v>11</v>
      </c>
    </row>
    <row r="1649" spans="1:8" ht="14.25" hidden="1" customHeight="1" x14ac:dyDescent="0.3">
      <c r="A1649" s="2" t="s">
        <v>37</v>
      </c>
      <c r="B1649" s="60" t="s">
        <v>155</v>
      </c>
      <c r="C1649" s="60" t="s">
        <v>249</v>
      </c>
      <c r="D1649" s="68">
        <v>1</v>
      </c>
      <c r="E1649" s="73">
        <v>3064.6</v>
      </c>
      <c r="F1649" s="79">
        <f>IFERROR(D1649*E1649,0)</f>
        <v>3064.6</v>
      </c>
      <c r="G1649" s="60" t="str">
        <f>INDEX(SETORES!$B:$B,MATCH(A1649,SETORES!$A:$A,0))</f>
        <v>Clientes</v>
      </c>
      <c r="H1649" s="60" t="s">
        <v>11</v>
      </c>
    </row>
    <row r="1650" spans="1:8" ht="14.25" hidden="1" customHeight="1" x14ac:dyDescent="0.3">
      <c r="A1650" s="34" t="s">
        <v>37</v>
      </c>
      <c r="B1650" s="61" t="s">
        <v>155</v>
      </c>
      <c r="C1650" s="61" t="s">
        <v>158</v>
      </c>
      <c r="D1650" s="69">
        <v>1</v>
      </c>
      <c r="E1650" s="74">
        <v>385.3175</v>
      </c>
      <c r="F1650" s="80">
        <v>385.3175</v>
      </c>
      <c r="G1650" s="61" t="str">
        <f>INDEX(SETORES!$B:$B,MATCH(A1650,SETORES!$A:$A,0))</f>
        <v>Clientes</v>
      </c>
      <c r="H1650" s="61" t="s">
        <v>11</v>
      </c>
    </row>
    <row r="1651" spans="1:8" ht="14.25" hidden="1" customHeight="1" x14ac:dyDescent="0.3">
      <c r="A1651" s="2" t="s">
        <v>37</v>
      </c>
      <c r="B1651" s="60" t="s">
        <v>162</v>
      </c>
      <c r="C1651" s="60" t="s">
        <v>163</v>
      </c>
      <c r="D1651" s="68">
        <v>1</v>
      </c>
      <c r="E1651" s="73">
        <v>496</v>
      </c>
      <c r="F1651" s="79">
        <f>IFERROR(D1651*E1651,0)</f>
        <v>496</v>
      </c>
      <c r="G1651" s="60" t="str">
        <f>INDEX(SETORES!$B:$B,MATCH(A1651,SETORES!$A:$A,0))</f>
        <v>Clientes</v>
      </c>
      <c r="H1651" s="60" t="s">
        <v>11</v>
      </c>
    </row>
    <row r="1652" spans="1:8" ht="14.25" hidden="1" customHeight="1" x14ac:dyDescent="0.3">
      <c r="A1652" s="34" t="s">
        <v>37</v>
      </c>
      <c r="B1652" s="61" t="s">
        <v>162</v>
      </c>
      <c r="C1652" s="61" t="s">
        <v>164</v>
      </c>
      <c r="D1652" s="69">
        <v>1</v>
      </c>
      <c r="E1652" s="74">
        <v>65.33</v>
      </c>
      <c r="F1652" s="80">
        <f>IFERROR(D1652*E1652,0)</f>
        <v>65.33</v>
      </c>
      <c r="G1652" s="61" t="str">
        <f>INDEX(SETORES!$B:$B,MATCH(A1652,SETORES!$A:$A,0))</f>
        <v>Clientes</v>
      </c>
      <c r="H1652" s="61" t="s">
        <v>11</v>
      </c>
    </row>
    <row r="1653" spans="1:8" ht="14.25" hidden="1" customHeight="1" x14ac:dyDescent="0.3">
      <c r="A1653" s="2" t="s">
        <v>37</v>
      </c>
      <c r="B1653" s="60" t="s">
        <v>155</v>
      </c>
      <c r="C1653" s="60" t="s">
        <v>161</v>
      </c>
      <c r="D1653" s="68">
        <v>1</v>
      </c>
      <c r="E1653" s="73">
        <v>151070.37</v>
      </c>
      <c r="F1653" s="79">
        <f>IFERROR(E1653,0)</f>
        <v>151070.37</v>
      </c>
      <c r="G1653" s="60" t="str">
        <f>INDEX(SETORES!$B:$B,MATCH(A1653,SETORES!$A:$A,0))</f>
        <v>Clientes</v>
      </c>
      <c r="H1653" s="60" t="s">
        <v>11</v>
      </c>
    </row>
    <row r="1654" spans="1:8" ht="14.25" hidden="1" customHeight="1" x14ac:dyDescent="0.3">
      <c r="A1654" s="2" t="s">
        <v>37</v>
      </c>
      <c r="B1654" s="60" t="s">
        <v>155</v>
      </c>
      <c r="C1654" s="60" t="s">
        <v>167</v>
      </c>
      <c r="D1654" s="68">
        <v>44</v>
      </c>
      <c r="E1654" s="73">
        <v>9.85</v>
      </c>
      <c r="F1654" s="79">
        <f>IFERROR(D1654*E1654,0)</f>
        <v>433.4</v>
      </c>
      <c r="G1654" s="60" t="str">
        <f>INDEX(SETORES!$B:$B,MATCH(A1654,SETORES!$A:$A,0))</f>
        <v>Clientes</v>
      </c>
      <c r="H1654" s="60" t="s">
        <v>11</v>
      </c>
    </row>
    <row r="1655" spans="1:8" ht="14.25" hidden="1" customHeight="1" x14ac:dyDescent="0.3">
      <c r="A1655" s="34" t="s">
        <v>37</v>
      </c>
      <c r="B1655" s="61" t="s">
        <v>155</v>
      </c>
      <c r="C1655" s="61" t="s">
        <v>240</v>
      </c>
      <c r="D1655" s="69">
        <v>1</v>
      </c>
      <c r="E1655" s="74">
        <v>9.2327840000000005</v>
      </c>
      <c r="F1655" s="80">
        <f>IFERROR(D1655*E1655,0)</f>
        <v>9.2327840000000005</v>
      </c>
      <c r="G1655" s="61" t="str">
        <f>INDEX(SETORES!$B:$B,MATCH(A1655,SETORES!$A:$A,0))</f>
        <v>Clientes</v>
      </c>
      <c r="H1655" s="61" t="s">
        <v>11</v>
      </c>
    </row>
    <row r="1656" spans="1:8" ht="14.25" hidden="1" customHeight="1" x14ac:dyDescent="0.3">
      <c r="A1656" s="34" t="s">
        <v>37</v>
      </c>
      <c r="B1656" s="61" t="s">
        <v>155</v>
      </c>
      <c r="C1656" s="61" t="s">
        <v>166</v>
      </c>
      <c r="D1656" s="69">
        <v>47</v>
      </c>
      <c r="E1656" s="74">
        <v>50</v>
      </c>
      <c r="F1656" s="80">
        <f>IFERROR(D1656*E1656,0)</f>
        <v>2350</v>
      </c>
      <c r="G1656" s="61" t="str">
        <f>INDEX(SETORES!$B:$B,MATCH(A1656,SETORES!$A:$A,0))</f>
        <v>Clientes</v>
      </c>
      <c r="H1656" s="61" t="s">
        <v>11</v>
      </c>
    </row>
    <row r="1657" spans="1:8" ht="14.25" hidden="1" customHeight="1" x14ac:dyDescent="0.3">
      <c r="A1657" s="34" t="s">
        <v>37</v>
      </c>
      <c r="B1657" s="61" t="s">
        <v>155</v>
      </c>
      <c r="C1657" s="61" t="s">
        <v>223</v>
      </c>
      <c r="D1657" s="69"/>
      <c r="E1657" s="74"/>
      <c r="F1657" s="80">
        <f>IFERROR(D1657*E1657,0)</f>
        <v>0</v>
      </c>
      <c r="G1657" s="61" t="str">
        <f>INDEX(SETORES!$B:$B,MATCH(A1657,SETORES!$A:$A,0))</f>
        <v>Clientes</v>
      </c>
      <c r="H1657" s="61" t="s">
        <v>11</v>
      </c>
    </row>
    <row r="1658" spans="1:8" ht="14.25" hidden="1" customHeight="1" x14ac:dyDescent="0.3">
      <c r="A1658" s="34" t="s">
        <v>37</v>
      </c>
      <c r="B1658" s="61" t="s">
        <v>155</v>
      </c>
      <c r="C1658" s="61" t="s">
        <v>156</v>
      </c>
      <c r="D1658" s="69">
        <v>44</v>
      </c>
      <c r="E1658" s="74">
        <v>0.2641</v>
      </c>
      <c r="F1658" s="80">
        <v>11.6204</v>
      </c>
      <c r="G1658" s="61" t="str">
        <f>INDEX(SETORES!$B:$B,MATCH(A1658,SETORES!$A:$A,0))</f>
        <v>Clientes</v>
      </c>
      <c r="H1658" s="61" t="s">
        <v>11</v>
      </c>
    </row>
    <row r="1659" spans="1:8" ht="14.25" hidden="1" customHeight="1" x14ac:dyDescent="0.3">
      <c r="A1659" s="2" t="s">
        <v>37</v>
      </c>
      <c r="B1659" s="60" t="s">
        <v>155</v>
      </c>
      <c r="C1659" s="60" t="s">
        <v>157</v>
      </c>
      <c r="D1659" s="68">
        <v>1</v>
      </c>
      <c r="E1659" s="73">
        <v>2708.9357380000001</v>
      </c>
      <c r="F1659" s="79">
        <v>2708.9357380000001</v>
      </c>
      <c r="G1659" s="60" t="str">
        <f>INDEX(SETORES!$B:$B,MATCH(A1659,SETORES!$A:$A,0))</f>
        <v>Clientes</v>
      </c>
      <c r="H1659" s="60" t="s">
        <v>11</v>
      </c>
    </row>
    <row r="1660" spans="1:8" ht="14.25" hidden="1" customHeight="1" x14ac:dyDescent="0.3">
      <c r="A1660" s="2" t="s">
        <v>37</v>
      </c>
      <c r="B1660" s="60" t="s">
        <v>162</v>
      </c>
      <c r="C1660" s="60" t="s">
        <v>222</v>
      </c>
      <c r="D1660" s="68">
        <v>1</v>
      </c>
      <c r="E1660" s="73">
        <v>3112.37</v>
      </c>
      <c r="F1660" s="79">
        <f>IFERROR(D1660*E1660,0)</f>
        <v>3112.37</v>
      </c>
      <c r="G1660" s="60" t="str">
        <f>INDEX(SETORES!$B:$B,MATCH(A1660,SETORES!$A:$A,0))</f>
        <v>Clientes</v>
      </c>
      <c r="H1660" s="60" t="s">
        <v>11</v>
      </c>
    </row>
    <row r="1661" spans="1:8" ht="14.25" hidden="1" customHeight="1" x14ac:dyDescent="0.3">
      <c r="A1661" s="34" t="s">
        <v>37</v>
      </c>
      <c r="B1661" s="61" t="s">
        <v>155</v>
      </c>
      <c r="C1661" s="61" t="s">
        <v>189</v>
      </c>
      <c r="D1661" s="69">
        <v>1</v>
      </c>
      <c r="E1661" s="74">
        <v>5049.1803120000004</v>
      </c>
      <c r="F1661" s="80">
        <f>IFERROR(D1661*E1661,0)</f>
        <v>5049.1803120000004</v>
      </c>
      <c r="G1661" s="61" t="str">
        <f>INDEX(SETORES!$B:$B,MATCH(A1661,SETORES!$A:$A,0))</f>
        <v>Clientes</v>
      </c>
      <c r="H1661" s="61" t="s">
        <v>11</v>
      </c>
    </row>
    <row r="1662" spans="1:8" ht="14.25" hidden="1" customHeight="1" x14ac:dyDescent="0.3">
      <c r="A1662" s="34" t="s">
        <v>37</v>
      </c>
      <c r="B1662" s="61" t="s">
        <v>155</v>
      </c>
      <c r="C1662" s="61" t="s">
        <v>191</v>
      </c>
      <c r="D1662" s="69">
        <v>1</v>
      </c>
      <c r="E1662" s="74">
        <v>1999.114744</v>
      </c>
      <c r="F1662" s="80">
        <f>IFERROR(D1662*E1662,0)</f>
        <v>1999.114744</v>
      </c>
      <c r="G1662" s="61" t="str">
        <f>INDEX(SETORES!$B:$B,MATCH(A1662,SETORES!$A:$A,0))</f>
        <v>Clientes</v>
      </c>
      <c r="H1662" s="61" t="s">
        <v>11</v>
      </c>
    </row>
    <row r="1663" spans="1:8" ht="14.25" hidden="1" customHeight="1" x14ac:dyDescent="0.3">
      <c r="A1663" s="2" t="s">
        <v>37</v>
      </c>
      <c r="B1663" s="60" t="s">
        <v>155</v>
      </c>
      <c r="C1663" s="60" t="s">
        <v>187</v>
      </c>
      <c r="D1663" s="68">
        <v>1</v>
      </c>
      <c r="E1663" s="73">
        <v>2435.0826280000001</v>
      </c>
      <c r="F1663" s="79">
        <f>IFERROR(D1663*E1663,0)</f>
        <v>2435.0826280000001</v>
      </c>
      <c r="G1663" s="60" t="str">
        <f>INDEX(SETORES!$B:$B,MATCH(A1663,SETORES!$A:$A,0))</f>
        <v>Clientes</v>
      </c>
      <c r="H1663" s="60" t="s">
        <v>11</v>
      </c>
    </row>
    <row r="1664" spans="1:8" ht="14.25" hidden="1" customHeight="1" x14ac:dyDescent="0.3">
      <c r="A1664" s="34" t="s">
        <v>37</v>
      </c>
      <c r="B1664" s="61" t="s">
        <v>155</v>
      </c>
      <c r="C1664" s="61" t="s">
        <v>168</v>
      </c>
      <c r="D1664" s="69">
        <v>44</v>
      </c>
      <c r="E1664" s="74">
        <v>2.04</v>
      </c>
      <c r="F1664" s="80">
        <f>IFERROR(D1664*E1664,0)</f>
        <v>89.76</v>
      </c>
      <c r="G1664" s="61" t="str">
        <f>INDEX(SETORES!$B:$B,MATCH(A1664,SETORES!$A:$A,0))</f>
        <v>Clientes</v>
      </c>
      <c r="H1664" s="61" t="s">
        <v>11</v>
      </c>
    </row>
    <row r="1665" spans="1:8" ht="14.25" hidden="1" customHeight="1" x14ac:dyDescent="0.3">
      <c r="A1665" s="34" t="s">
        <v>37</v>
      </c>
      <c r="B1665" s="61" t="s">
        <v>155</v>
      </c>
      <c r="C1665" s="61" t="s">
        <v>160</v>
      </c>
      <c r="D1665" s="69"/>
      <c r="E1665" s="74"/>
      <c r="F1665" s="80">
        <f>IFERROR(D1665*E1665,0)</f>
        <v>0</v>
      </c>
      <c r="G1665" s="61" t="str">
        <f>INDEX(SETORES!$B:$B,MATCH(A1665,SETORES!$A:$A,0))</f>
        <v>Clientes</v>
      </c>
      <c r="H1665" s="61" t="s">
        <v>11</v>
      </c>
    </row>
    <row r="1666" spans="1:8" ht="14.25" hidden="1" customHeight="1" x14ac:dyDescent="0.3">
      <c r="A1666" s="34" t="s">
        <v>46</v>
      </c>
      <c r="B1666" s="61" t="s">
        <v>155</v>
      </c>
      <c r="C1666" s="61" t="s">
        <v>212</v>
      </c>
      <c r="D1666" s="69">
        <v>5</v>
      </c>
      <c r="E1666" s="74">
        <v>30</v>
      </c>
      <c r="F1666" s="80">
        <f>IFERROR(D1666*E1666,0)</f>
        <v>150</v>
      </c>
      <c r="G1666" s="61" t="str">
        <f>INDEX(SETORES!$B:$B,MATCH(A1666,SETORES!$A:$A,0))</f>
        <v>Clientes</v>
      </c>
      <c r="H1666" s="61" t="s">
        <v>11</v>
      </c>
    </row>
    <row r="1667" spans="1:8" ht="14.25" hidden="1" customHeight="1" x14ac:dyDescent="0.3">
      <c r="A1667" s="2" t="s">
        <v>46</v>
      </c>
      <c r="B1667" s="60" t="s">
        <v>162</v>
      </c>
      <c r="C1667" s="60" t="s">
        <v>217</v>
      </c>
      <c r="D1667" s="68">
        <v>1</v>
      </c>
      <c r="E1667" s="73">
        <v>10448.85</v>
      </c>
      <c r="F1667" s="79">
        <f>IFERROR(D1667*E1667,0)</f>
        <v>10448.85</v>
      </c>
      <c r="G1667" s="60" t="str">
        <f>INDEX(SETORES!$B:$B,MATCH(A1667,SETORES!$A:$A,0))</f>
        <v>Clientes</v>
      </c>
      <c r="H1667" s="60" t="s">
        <v>11</v>
      </c>
    </row>
    <row r="1668" spans="1:8" ht="14.25" hidden="1" customHeight="1" x14ac:dyDescent="0.3">
      <c r="A1668" s="34" t="s">
        <v>46</v>
      </c>
      <c r="B1668" s="61" t="s">
        <v>155</v>
      </c>
      <c r="C1668" s="61" t="s">
        <v>250</v>
      </c>
      <c r="D1668" s="69">
        <v>1</v>
      </c>
      <c r="E1668" s="74">
        <v>4301.51</v>
      </c>
      <c r="F1668" s="80">
        <f>IFERROR(D1668*E1668,0)</f>
        <v>4301.51</v>
      </c>
      <c r="G1668" s="61" t="str">
        <f>INDEX(SETORES!$B:$B,MATCH(A1668,SETORES!$A:$A,0))</f>
        <v>Clientes</v>
      </c>
      <c r="H1668" s="61" t="s">
        <v>11</v>
      </c>
    </row>
    <row r="1669" spans="1:8" ht="14.25" hidden="1" customHeight="1" x14ac:dyDescent="0.3">
      <c r="A1669" s="34" t="s">
        <v>46</v>
      </c>
      <c r="B1669" s="61" t="s">
        <v>155</v>
      </c>
      <c r="C1669" s="61" t="s">
        <v>171</v>
      </c>
      <c r="D1669" s="69">
        <v>23</v>
      </c>
      <c r="E1669" s="73">
        <v>51.12</v>
      </c>
      <c r="F1669" s="80">
        <f>IFERROR(D1669*E1669,0)</f>
        <v>1175.76</v>
      </c>
      <c r="G1669" s="61" t="s">
        <v>98</v>
      </c>
      <c r="H1669" s="61" t="s">
        <v>11</v>
      </c>
    </row>
    <row r="1670" spans="1:8" ht="14.25" hidden="1" customHeight="1" x14ac:dyDescent="0.3">
      <c r="A1670" s="2" t="s">
        <v>46</v>
      </c>
      <c r="B1670" s="60" t="s">
        <v>155</v>
      </c>
      <c r="C1670" s="60" t="s">
        <v>170</v>
      </c>
      <c r="D1670" s="69">
        <v>23</v>
      </c>
      <c r="E1670" s="73">
        <v>31.33</v>
      </c>
      <c r="F1670" s="79">
        <f>IFERROR(D1670*E1670,0)</f>
        <v>720.58999999999992</v>
      </c>
      <c r="G1670" s="61" t="s">
        <v>98</v>
      </c>
      <c r="H1670" s="61" t="s">
        <v>11</v>
      </c>
    </row>
    <row r="1671" spans="1:8" ht="14.25" customHeight="1" x14ac:dyDescent="0.3">
      <c r="A1671" s="2" t="s">
        <v>46</v>
      </c>
      <c r="B1671" s="60" t="s">
        <v>155</v>
      </c>
      <c r="C1671" s="60" t="s">
        <v>169</v>
      </c>
      <c r="D1671" s="69">
        <v>23</v>
      </c>
      <c r="E1671" s="73">
        <v>63.75</v>
      </c>
      <c r="F1671" s="80">
        <f>IFERROR(D1671*E1671,0)</f>
        <v>1466.25</v>
      </c>
      <c r="G1671" s="61" t="s">
        <v>98</v>
      </c>
      <c r="H1671" s="61" t="s">
        <v>11</v>
      </c>
    </row>
    <row r="1672" spans="1:8" ht="14.25" hidden="1" customHeight="1" x14ac:dyDescent="0.3">
      <c r="A1672" s="34" t="s">
        <v>46</v>
      </c>
      <c r="B1672" s="61" t="s">
        <v>162</v>
      </c>
      <c r="C1672" s="61" t="s">
        <v>221</v>
      </c>
      <c r="D1672" s="69">
        <v>1</v>
      </c>
      <c r="E1672" s="74">
        <v>160</v>
      </c>
      <c r="F1672" s="80">
        <f>IFERROR(D1672*E1672,0)</f>
        <v>160</v>
      </c>
      <c r="G1672" s="61" t="str">
        <f>INDEX(SETORES!$B:$B,MATCH(A1672,SETORES!$A:$A,0))</f>
        <v>Clientes</v>
      </c>
      <c r="H1672" s="61" t="s">
        <v>11</v>
      </c>
    </row>
    <row r="1673" spans="1:8" ht="14.25" hidden="1" customHeight="1" x14ac:dyDescent="0.3">
      <c r="A1673" s="34" t="s">
        <v>46</v>
      </c>
      <c r="B1673" s="61" t="s">
        <v>155</v>
      </c>
      <c r="C1673" s="61" t="s">
        <v>161</v>
      </c>
      <c r="D1673" s="69">
        <v>1</v>
      </c>
      <c r="E1673" s="74">
        <v>162051.25</v>
      </c>
      <c r="F1673" s="80">
        <f>IFERROR(E1673,0)</f>
        <v>162051.25</v>
      </c>
      <c r="G1673" s="61" t="str">
        <f>INDEX(SETORES!$B:$B,MATCH(A1673,SETORES!$A:$A,0))</f>
        <v>Clientes</v>
      </c>
      <c r="H1673" s="61" t="s">
        <v>11</v>
      </c>
    </row>
    <row r="1674" spans="1:8" ht="14.25" hidden="1" customHeight="1" x14ac:dyDescent="0.3">
      <c r="A1674" s="34" t="s">
        <v>46</v>
      </c>
      <c r="B1674" s="61" t="s">
        <v>155</v>
      </c>
      <c r="C1674" s="61" t="s">
        <v>167</v>
      </c>
      <c r="D1674" s="69">
        <v>24</v>
      </c>
      <c r="E1674" s="74">
        <v>9.85</v>
      </c>
      <c r="F1674" s="80">
        <f>IFERROR(D1674*E1674,0)</f>
        <v>236.39999999999998</v>
      </c>
      <c r="G1674" s="61" t="str">
        <f>INDEX(SETORES!$B:$B,MATCH(A1674,SETORES!$A:$A,0))</f>
        <v>Clientes</v>
      </c>
      <c r="H1674" s="61" t="s">
        <v>11</v>
      </c>
    </row>
    <row r="1675" spans="1:8" ht="14.25" hidden="1" customHeight="1" x14ac:dyDescent="0.3">
      <c r="A1675" s="2" t="s">
        <v>46</v>
      </c>
      <c r="B1675" s="60" t="s">
        <v>162</v>
      </c>
      <c r="C1675" s="60" t="s">
        <v>218</v>
      </c>
      <c r="D1675" s="68"/>
      <c r="E1675" s="73"/>
      <c r="F1675" s="79">
        <f>IFERROR(D1675*E1675,0)</f>
        <v>0</v>
      </c>
      <c r="G1675" s="60" t="str">
        <f>INDEX(SETORES!$B:$B,MATCH(A1675,SETORES!$A:$A,0))</f>
        <v>Clientes</v>
      </c>
      <c r="H1675" s="60" t="s">
        <v>11</v>
      </c>
    </row>
    <row r="1676" spans="1:8" ht="14.25" hidden="1" customHeight="1" x14ac:dyDescent="0.3">
      <c r="A1676" s="34" t="s">
        <v>46</v>
      </c>
      <c r="B1676" s="61" t="s">
        <v>155</v>
      </c>
      <c r="C1676" s="61" t="s">
        <v>166</v>
      </c>
      <c r="D1676" s="69"/>
      <c r="E1676" s="74"/>
      <c r="F1676" s="80">
        <f>IFERROR(D1676*E1676,0)</f>
        <v>0</v>
      </c>
      <c r="G1676" s="61" t="str">
        <f>INDEX(SETORES!$B:$B,MATCH(A1676,SETORES!$A:$A,0))</f>
        <v>Clientes</v>
      </c>
      <c r="H1676" s="61" t="s">
        <v>11</v>
      </c>
    </row>
    <row r="1677" spans="1:8" ht="14.25" hidden="1" customHeight="1" x14ac:dyDescent="0.3">
      <c r="A1677" s="2" t="s">
        <v>46</v>
      </c>
      <c r="B1677" s="60" t="s">
        <v>155</v>
      </c>
      <c r="C1677" s="60" t="s">
        <v>156</v>
      </c>
      <c r="D1677" s="68"/>
      <c r="E1677" s="73"/>
      <c r="F1677" s="79">
        <v>0</v>
      </c>
      <c r="G1677" s="60" t="str">
        <f>INDEX(SETORES!$B:$B,MATCH(A1677,SETORES!$A:$A,0))</f>
        <v>Clientes</v>
      </c>
      <c r="H1677" s="60" t="s">
        <v>11</v>
      </c>
    </row>
    <row r="1678" spans="1:8" ht="14.25" hidden="1" customHeight="1" x14ac:dyDescent="0.3">
      <c r="A1678" s="34" t="s">
        <v>46</v>
      </c>
      <c r="B1678" s="61" t="s">
        <v>155</v>
      </c>
      <c r="C1678" s="61" t="s">
        <v>157</v>
      </c>
      <c r="D1678" s="69"/>
      <c r="E1678" s="74"/>
      <c r="F1678" s="80">
        <v>0</v>
      </c>
      <c r="G1678" s="61" t="str">
        <f>INDEX(SETORES!$B:$B,MATCH(A1678,SETORES!$A:$A,0))</f>
        <v>Clientes</v>
      </c>
      <c r="H1678" s="61" t="s">
        <v>11</v>
      </c>
    </row>
    <row r="1679" spans="1:8" ht="14.25" hidden="1" customHeight="1" x14ac:dyDescent="0.3">
      <c r="A1679" s="2" t="s">
        <v>46</v>
      </c>
      <c r="B1679" s="60" t="s">
        <v>162</v>
      </c>
      <c r="C1679" s="60" t="s">
        <v>222</v>
      </c>
      <c r="D1679" s="68">
        <v>1</v>
      </c>
      <c r="E1679" s="73">
        <v>7468.78</v>
      </c>
      <c r="F1679" s="79">
        <f>IFERROR(D1679*E1679,0)</f>
        <v>7468.78</v>
      </c>
      <c r="G1679" s="60" t="str">
        <f>INDEX(SETORES!$B:$B,MATCH(A1679,SETORES!$A:$A,0))</f>
        <v>Clientes</v>
      </c>
      <c r="H1679" s="60" t="s">
        <v>11</v>
      </c>
    </row>
    <row r="1680" spans="1:8" ht="14.25" hidden="1" customHeight="1" x14ac:dyDescent="0.3">
      <c r="A1680" s="2" t="s">
        <v>46</v>
      </c>
      <c r="B1680" s="60" t="s">
        <v>155</v>
      </c>
      <c r="C1680" s="60" t="s">
        <v>168</v>
      </c>
      <c r="D1680" s="68">
        <v>24</v>
      </c>
      <c r="E1680" s="73">
        <v>2.04</v>
      </c>
      <c r="F1680" s="79">
        <f>IFERROR(D1680*E1680,0)</f>
        <v>48.96</v>
      </c>
      <c r="G1680" s="60" t="str">
        <f>INDEX(SETORES!$B:$B,MATCH(A1680,SETORES!$A:$A,0))</f>
        <v>Clientes</v>
      </c>
      <c r="H1680" s="60" t="s">
        <v>11</v>
      </c>
    </row>
    <row r="1681" spans="1:8" ht="14.25" hidden="1" customHeight="1" x14ac:dyDescent="0.3">
      <c r="A1681" s="2" t="s">
        <v>46</v>
      </c>
      <c r="B1681" s="60" t="s">
        <v>155</v>
      </c>
      <c r="C1681" s="60" t="s">
        <v>160</v>
      </c>
      <c r="D1681" s="68"/>
      <c r="E1681" s="73"/>
      <c r="F1681" s="79">
        <f>IFERROR(D1681*E1681,0)</f>
        <v>0</v>
      </c>
      <c r="G1681" s="60" t="str">
        <f>INDEX(SETORES!$B:$B,MATCH(A1681,SETORES!$A:$A,0))</f>
        <v>Clientes</v>
      </c>
      <c r="H1681" s="60" t="s">
        <v>11</v>
      </c>
    </row>
    <row r="1682" spans="1:8" ht="14.25" hidden="1" customHeight="1" x14ac:dyDescent="0.3">
      <c r="A1682" s="34" t="s">
        <v>49</v>
      </c>
      <c r="B1682" s="61" t="s">
        <v>155</v>
      </c>
      <c r="C1682" s="61" t="s">
        <v>159</v>
      </c>
      <c r="D1682" s="69">
        <v>4</v>
      </c>
      <c r="E1682" s="74">
        <v>0.31240000000000001</v>
      </c>
      <c r="F1682" s="80">
        <v>1.2496</v>
      </c>
      <c r="G1682" s="61" t="str">
        <f>INDEX(SETORES!$B:$B,MATCH(A1682,SETORES!$A:$A,0))</f>
        <v>Clientes</v>
      </c>
      <c r="H1682" s="61" t="s">
        <v>11</v>
      </c>
    </row>
    <row r="1683" spans="1:8" ht="14.25" hidden="1" customHeight="1" x14ac:dyDescent="0.3">
      <c r="A1683" s="34" t="s">
        <v>49</v>
      </c>
      <c r="B1683" s="61" t="s">
        <v>162</v>
      </c>
      <c r="C1683" s="61" t="s">
        <v>217</v>
      </c>
      <c r="D1683" s="69"/>
      <c r="E1683" s="74"/>
      <c r="F1683" s="80">
        <f>IFERROR(D1683*E1683,0)</f>
        <v>0</v>
      </c>
      <c r="G1683" s="61" t="str">
        <f>INDEX(SETORES!$B:$B,MATCH(A1683,SETORES!$A:$A,0))</f>
        <v>Clientes</v>
      </c>
      <c r="H1683" s="61" t="s">
        <v>11</v>
      </c>
    </row>
    <row r="1684" spans="1:8" ht="14.25" hidden="1" customHeight="1" x14ac:dyDescent="0.3">
      <c r="A1684" s="2" t="s">
        <v>49</v>
      </c>
      <c r="B1684" s="60" t="s">
        <v>155</v>
      </c>
      <c r="C1684" s="60" t="s">
        <v>256</v>
      </c>
      <c r="D1684" s="68">
        <v>1</v>
      </c>
      <c r="E1684" s="73">
        <v>3805.2746430000002</v>
      </c>
      <c r="F1684" s="79">
        <v>3805.2746430000002</v>
      </c>
      <c r="G1684" s="60" t="s">
        <v>96</v>
      </c>
      <c r="H1684" s="60" t="s">
        <v>11</v>
      </c>
    </row>
    <row r="1685" spans="1:8" ht="14.25" hidden="1" customHeight="1" x14ac:dyDescent="0.3">
      <c r="A1685" s="2" t="s">
        <v>49</v>
      </c>
      <c r="B1685" s="60" t="s">
        <v>155</v>
      </c>
      <c r="C1685" s="60" t="s">
        <v>158</v>
      </c>
      <c r="D1685" s="68">
        <v>4</v>
      </c>
      <c r="E1685" s="73">
        <v>23.6877</v>
      </c>
      <c r="F1685" s="79">
        <v>94.750799999999998</v>
      </c>
      <c r="G1685" s="60" t="str">
        <f>INDEX(SETORES!$B:$B,MATCH(A1685,SETORES!$A:$A,0))</f>
        <v>Clientes</v>
      </c>
      <c r="H1685" s="60" t="s">
        <v>11</v>
      </c>
    </row>
    <row r="1686" spans="1:8" ht="14.25" hidden="1" customHeight="1" x14ac:dyDescent="0.3">
      <c r="A1686" s="2" t="s">
        <v>49</v>
      </c>
      <c r="B1686" s="60" t="s">
        <v>155</v>
      </c>
      <c r="C1686" s="60" t="s">
        <v>161</v>
      </c>
      <c r="D1686" s="68">
        <v>1</v>
      </c>
      <c r="E1686" s="73">
        <v>26444.83</v>
      </c>
      <c r="F1686" s="79">
        <f>IFERROR(E1686,0)</f>
        <v>26444.83</v>
      </c>
      <c r="G1686" s="60" t="str">
        <f>INDEX(SETORES!$B:$B,MATCH(A1686,SETORES!$A:$A,0))</f>
        <v>Clientes</v>
      </c>
      <c r="H1686" s="60" t="s">
        <v>11</v>
      </c>
    </row>
    <row r="1687" spans="1:8" ht="14.25" hidden="1" customHeight="1" x14ac:dyDescent="0.3">
      <c r="A1687" s="2" t="s">
        <v>49</v>
      </c>
      <c r="B1687" s="60" t="s">
        <v>155</v>
      </c>
      <c r="C1687" s="60" t="s">
        <v>167</v>
      </c>
      <c r="D1687" s="68">
        <v>4</v>
      </c>
      <c r="E1687" s="73">
        <v>9.85</v>
      </c>
      <c r="F1687" s="79">
        <f>IFERROR(D1687*E1687,0)</f>
        <v>39.4</v>
      </c>
      <c r="G1687" s="60" t="str">
        <f>INDEX(SETORES!$B:$B,MATCH(A1687,SETORES!$A:$A,0))</f>
        <v>Clientes</v>
      </c>
      <c r="H1687" s="60" t="s">
        <v>11</v>
      </c>
    </row>
    <row r="1688" spans="1:8" ht="14.25" hidden="1" customHeight="1" x14ac:dyDescent="0.3">
      <c r="A1688" s="2" t="s">
        <v>49</v>
      </c>
      <c r="B1688" s="60" t="s">
        <v>162</v>
      </c>
      <c r="C1688" s="60" t="s">
        <v>220</v>
      </c>
      <c r="D1688" s="68"/>
      <c r="E1688" s="73"/>
      <c r="F1688" s="79">
        <f>IFERROR(D1688*E1688,0)</f>
        <v>0</v>
      </c>
      <c r="G1688" s="60" t="str">
        <f>INDEX(SETORES!$B:$B,MATCH(A1688,SETORES!$A:$A,0))</f>
        <v>Clientes</v>
      </c>
      <c r="H1688" s="60" t="s">
        <v>11</v>
      </c>
    </row>
    <row r="1689" spans="1:8" ht="14.25" hidden="1" customHeight="1" x14ac:dyDescent="0.3">
      <c r="A1689" s="34" t="s">
        <v>49</v>
      </c>
      <c r="B1689" s="61" t="s">
        <v>155</v>
      </c>
      <c r="C1689" s="61" t="s">
        <v>156</v>
      </c>
      <c r="D1689" s="69"/>
      <c r="E1689" s="74"/>
      <c r="F1689" s="80">
        <v>0</v>
      </c>
      <c r="G1689" s="61" t="str">
        <f>INDEX(SETORES!$B:$B,MATCH(A1689,SETORES!$A:$A,0))</f>
        <v>Clientes</v>
      </c>
      <c r="H1689" s="61" t="s">
        <v>11</v>
      </c>
    </row>
    <row r="1690" spans="1:8" ht="14.25" hidden="1" customHeight="1" x14ac:dyDescent="0.3">
      <c r="A1690" s="2" t="s">
        <v>49</v>
      </c>
      <c r="B1690" s="60" t="s">
        <v>155</v>
      </c>
      <c r="C1690" s="60" t="s">
        <v>157</v>
      </c>
      <c r="D1690" s="68">
        <v>1</v>
      </c>
      <c r="E1690" s="73">
        <v>710.95</v>
      </c>
      <c r="F1690" s="79">
        <v>710.95</v>
      </c>
      <c r="G1690" s="60" t="str">
        <f>INDEX(SETORES!$B:$B,MATCH(A1690,SETORES!$A:$A,0))</f>
        <v>Clientes</v>
      </c>
      <c r="H1690" s="60" t="s">
        <v>11</v>
      </c>
    </row>
    <row r="1691" spans="1:8" ht="14.25" hidden="1" customHeight="1" x14ac:dyDescent="0.3">
      <c r="A1691" s="34" t="s">
        <v>49</v>
      </c>
      <c r="B1691" s="61" t="s">
        <v>162</v>
      </c>
      <c r="C1691" s="61" t="s">
        <v>209</v>
      </c>
      <c r="D1691" s="69">
        <v>4</v>
      </c>
      <c r="E1691" s="74">
        <v>85.71</v>
      </c>
      <c r="F1691" s="80">
        <f>IFERROR(D1691*E1691,0)</f>
        <v>342.84</v>
      </c>
      <c r="G1691" s="61" t="str">
        <f>INDEX(SETORES!$B:$B,MATCH(A1691,SETORES!$A:$A,0))</f>
        <v>Clientes</v>
      </c>
      <c r="H1691" s="61" t="s">
        <v>11</v>
      </c>
    </row>
    <row r="1692" spans="1:8" ht="14.25" hidden="1" customHeight="1" x14ac:dyDescent="0.3">
      <c r="A1692" s="34" t="s">
        <v>49</v>
      </c>
      <c r="B1692" s="61" t="s">
        <v>162</v>
      </c>
      <c r="C1692" s="61" t="s">
        <v>222</v>
      </c>
      <c r="D1692" s="69"/>
      <c r="E1692" s="74"/>
      <c r="F1692" s="80">
        <f>IFERROR(D1692*E1692,0)</f>
        <v>0</v>
      </c>
      <c r="G1692" s="61" t="str">
        <f>INDEX(SETORES!$B:$B,MATCH(A1692,SETORES!$A:$A,0))</f>
        <v>Clientes</v>
      </c>
      <c r="H1692" s="61" t="s">
        <v>11</v>
      </c>
    </row>
    <row r="1693" spans="1:8" ht="14.25" hidden="1" customHeight="1" x14ac:dyDescent="0.3">
      <c r="A1693" s="34" t="s">
        <v>49</v>
      </c>
      <c r="B1693" s="61" t="s">
        <v>155</v>
      </c>
      <c r="C1693" s="61" t="s">
        <v>224</v>
      </c>
      <c r="D1693" s="69">
        <v>1</v>
      </c>
      <c r="E1693" s="74">
        <v>1800</v>
      </c>
      <c r="F1693" s="80">
        <f>IFERROR(D1693*E1693,0)</f>
        <v>1800</v>
      </c>
      <c r="G1693" s="61" t="str">
        <f>INDEX(SETORES!$B:$B,MATCH(A1693,SETORES!$A:$A,0))</f>
        <v>Clientes</v>
      </c>
      <c r="H1693" s="61" t="s">
        <v>11</v>
      </c>
    </row>
    <row r="1694" spans="1:8" ht="14.25" hidden="1" customHeight="1" x14ac:dyDescent="0.3">
      <c r="A1694" s="34" t="s">
        <v>49</v>
      </c>
      <c r="B1694" s="61" t="s">
        <v>155</v>
      </c>
      <c r="C1694" s="61" t="s">
        <v>168</v>
      </c>
      <c r="D1694" s="69">
        <v>4</v>
      </c>
      <c r="E1694" s="74">
        <v>2.04</v>
      </c>
      <c r="F1694" s="80">
        <f>IFERROR(D1694*E1694,0)</f>
        <v>8.16</v>
      </c>
      <c r="G1694" s="61" t="str">
        <f>INDEX(SETORES!$B:$B,MATCH(A1694,SETORES!$A:$A,0))</f>
        <v>Clientes</v>
      </c>
      <c r="H1694" s="61" t="s">
        <v>11</v>
      </c>
    </row>
    <row r="1695" spans="1:8" ht="14.25" hidden="1" customHeight="1" x14ac:dyDescent="0.3">
      <c r="A1695" s="34" t="s">
        <v>49</v>
      </c>
      <c r="B1695" s="61" t="s">
        <v>155</v>
      </c>
      <c r="C1695" s="61" t="s">
        <v>160</v>
      </c>
      <c r="D1695" s="69"/>
      <c r="E1695" s="74"/>
      <c r="F1695" s="80">
        <f>IFERROR(D1695*E1695,0)</f>
        <v>0</v>
      </c>
      <c r="G1695" s="61" t="str">
        <f>INDEX(SETORES!$B:$B,MATCH(A1695,SETORES!$A:$A,0))</f>
        <v>Clientes</v>
      </c>
      <c r="H1695" s="61" t="s">
        <v>11</v>
      </c>
    </row>
    <row r="1696" spans="1:8" ht="14.25" hidden="1" customHeight="1" x14ac:dyDescent="0.3">
      <c r="A1696" s="35" t="s">
        <v>146</v>
      </c>
      <c r="B1696" s="66" t="s">
        <v>155</v>
      </c>
      <c r="C1696" s="66" t="s">
        <v>161</v>
      </c>
      <c r="D1696" s="66">
        <v>1</v>
      </c>
      <c r="E1696" s="78">
        <v>23431.15</v>
      </c>
      <c r="F1696" s="78">
        <f>IFERROR(D1696*E1696,0)</f>
        <v>23431.15</v>
      </c>
      <c r="G1696" s="66" t="str">
        <f>INDEX(SETORES!$B:$B,MATCH(A1696,SETORES!$A:$A,0))</f>
        <v>Clientes</v>
      </c>
      <c r="H1696" s="60" t="s">
        <v>11</v>
      </c>
    </row>
    <row r="1697" spans="1:8" ht="14.25" hidden="1" customHeight="1" x14ac:dyDescent="0.3">
      <c r="A1697" s="2" t="s">
        <v>86</v>
      </c>
      <c r="B1697" s="60" t="s">
        <v>155</v>
      </c>
      <c r="C1697" s="60" t="s">
        <v>212</v>
      </c>
      <c r="D1697" s="68">
        <v>4</v>
      </c>
      <c r="E1697" s="73">
        <v>30</v>
      </c>
      <c r="F1697" s="79">
        <f>IFERROR(D1697*E1697,0)</f>
        <v>120</v>
      </c>
      <c r="G1697" s="60" t="str">
        <f>INDEX(SETORES!$B:$B,MATCH(A1697,SETORES!$A:$A,0))</f>
        <v>Clientes</v>
      </c>
      <c r="H1697" s="60" t="s">
        <v>11</v>
      </c>
    </row>
    <row r="1698" spans="1:8" ht="14.25" hidden="1" customHeight="1" x14ac:dyDescent="0.3">
      <c r="A1698" s="34" t="s">
        <v>86</v>
      </c>
      <c r="B1698" s="61" t="s">
        <v>155</v>
      </c>
      <c r="C1698" s="61" t="s">
        <v>171</v>
      </c>
      <c r="D1698" s="69">
        <v>8</v>
      </c>
      <c r="E1698" s="73">
        <v>51.12</v>
      </c>
      <c r="F1698" s="80">
        <f>IFERROR(D1698*E1698,0)</f>
        <v>408.96</v>
      </c>
      <c r="G1698" s="61" t="s">
        <v>98</v>
      </c>
      <c r="H1698" s="61" t="s">
        <v>11</v>
      </c>
    </row>
    <row r="1699" spans="1:8" ht="14.25" hidden="1" customHeight="1" x14ac:dyDescent="0.3">
      <c r="A1699" s="2" t="s">
        <v>86</v>
      </c>
      <c r="B1699" s="60" t="s">
        <v>155</v>
      </c>
      <c r="C1699" s="60" t="s">
        <v>170</v>
      </c>
      <c r="D1699" s="68">
        <v>8</v>
      </c>
      <c r="E1699" s="73">
        <v>31.33</v>
      </c>
      <c r="F1699" s="79">
        <f>IFERROR(D1699*E1699,0)</f>
        <v>250.64</v>
      </c>
      <c r="G1699" s="61" t="s">
        <v>98</v>
      </c>
      <c r="H1699" s="60" t="s">
        <v>11</v>
      </c>
    </row>
    <row r="1700" spans="1:8" ht="14.25" customHeight="1" x14ac:dyDescent="0.3">
      <c r="A1700" s="2" t="s">
        <v>86</v>
      </c>
      <c r="B1700" s="60" t="s">
        <v>155</v>
      </c>
      <c r="C1700" s="60" t="s">
        <v>169</v>
      </c>
      <c r="D1700" s="68">
        <v>8</v>
      </c>
      <c r="E1700" s="73">
        <v>63.75</v>
      </c>
      <c r="F1700" s="79">
        <f>IFERROR(D1700*E1700,0)</f>
        <v>510</v>
      </c>
      <c r="G1700" s="61" t="s">
        <v>98</v>
      </c>
      <c r="H1700" s="60" t="s">
        <v>11</v>
      </c>
    </row>
    <row r="1701" spans="1:8" ht="14.25" hidden="1" customHeight="1" x14ac:dyDescent="0.3">
      <c r="A1701" s="2" t="s">
        <v>86</v>
      </c>
      <c r="B1701" s="60" t="s">
        <v>155</v>
      </c>
      <c r="C1701" s="60" t="s">
        <v>161</v>
      </c>
      <c r="D1701" s="68">
        <v>1</v>
      </c>
      <c r="E1701" s="73">
        <v>33078.39</v>
      </c>
      <c r="F1701" s="79">
        <f>IFERROR(E1701,0)</f>
        <v>33078.39</v>
      </c>
      <c r="G1701" s="60" t="str">
        <f>INDEX(SETORES!$B:$B,MATCH(A1701,SETORES!$A:$A,0))</f>
        <v>Clientes</v>
      </c>
      <c r="H1701" s="60" t="s">
        <v>11</v>
      </c>
    </row>
    <row r="1702" spans="1:8" ht="14.25" hidden="1" customHeight="1" x14ac:dyDescent="0.3">
      <c r="A1702" s="34" t="s">
        <v>86</v>
      </c>
      <c r="B1702" s="61" t="s">
        <v>155</v>
      </c>
      <c r="C1702" s="61" t="s">
        <v>167</v>
      </c>
      <c r="D1702" s="69">
        <v>8</v>
      </c>
      <c r="E1702" s="74">
        <v>9.85</v>
      </c>
      <c r="F1702" s="80">
        <f>IFERROR(D1702*E1702,0)</f>
        <v>78.8</v>
      </c>
      <c r="G1702" s="61" t="str">
        <f>INDEX(SETORES!$B:$B,MATCH(A1702,SETORES!$A:$A,0))</f>
        <v>Clientes</v>
      </c>
      <c r="H1702" s="61" t="s">
        <v>11</v>
      </c>
    </row>
    <row r="1703" spans="1:8" ht="14.25" hidden="1" customHeight="1" x14ac:dyDescent="0.3">
      <c r="A1703" s="2" t="s">
        <v>86</v>
      </c>
      <c r="B1703" s="60" t="s">
        <v>155</v>
      </c>
      <c r="C1703" s="60" t="s">
        <v>238</v>
      </c>
      <c r="D1703" s="68">
        <v>1</v>
      </c>
      <c r="E1703" s="73">
        <v>9.0909119999999994</v>
      </c>
      <c r="F1703" s="79">
        <f>IFERROR(D1703*E1703,0)</f>
        <v>9.0909119999999994</v>
      </c>
      <c r="G1703" s="60" t="str">
        <f>INDEX(SETORES!$B:$B,MATCH(A1703,SETORES!$A:$A,0))</f>
        <v>Clientes</v>
      </c>
      <c r="H1703" s="60" t="s">
        <v>11</v>
      </c>
    </row>
    <row r="1704" spans="1:8" ht="14.25" hidden="1" customHeight="1" x14ac:dyDescent="0.3">
      <c r="A1704" s="34" t="s">
        <v>86</v>
      </c>
      <c r="B1704" s="61" t="s">
        <v>155</v>
      </c>
      <c r="C1704" s="61" t="s">
        <v>166</v>
      </c>
      <c r="D1704" s="69">
        <v>9</v>
      </c>
      <c r="E1704" s="74">
        <v>50</v>
      </c>
      <c r="F1704" s="80">
        <f>IFERROR(D1704*E1704,0)</f>
        <v>450</v>
      </c>
      <c r="G1704" s="61" t="str">
        <f>INDEX(SETORES!$B:$B,MATCH(A1704,SETORES!$A:$A,0))</f>
        <v>Clientes</v>
      </c>
      <c r="H1704" s="61" t="s">
        <v>11</v>
      </c>
    </row>
    <row r="1705" spans="1:8" ht="14.25" hidden="1" customHeight="1" x14ac:dyDescent="0.3">
      <c r="A1705" s="34" t="s">
        <v>86</v>
      </c>
      <c r="B1705" s="61" t="s">
        <v>155</v>
      </c>
      <c r="C1705" s="61" t="s">
        <v>157</v>
      </c>
      <c r="D1705" s="69">
        <v>1</v>
      </c>
      <c r="E1705" s="74">
        <v>114.65</v>
      </c>
      <c r="F1705" s="80">
        <v>114.65</v>
      </c>
      <c r="G1705" s="61" t="str">
        <f>INDEX(SETORES!$B:$B,MATCH(A1705,SETORES!$A:$A,0))</f>
        <v>Clientes</v>
      </c>
      <c r="H1705" s="61" t="s">
        <v>11</v>
      </c>
    </row>
    <row r="1706" spans="1:8" ht="14.25" hidden="1" customHeight="1" x14ac:dyDescent="0.3">
      <c r="A1706" s="2" t="s">
        <v>86</v>
      </c>
      <c r="B1706" s="60" t="s">
        <v>162</v>
      </c>
      <c r="C1706" s="60" t="s">
        <v>222</v>
      </c>
      <c r="D1706" s="68"/>
      <c r="E1706" s="73"/>
      <c r="F1706" s="79">
        <f>IFERROR(D1706*E1706,0)</f>
        <v>0</v>
      </c>
      <c r="G1706" s="60" t="str">
        <f>INDEX(SETORES!$B:$B,MATCH(A1706,SETORES!$A:$A,0))</f>
        <v>Clientes</v>
      </c>
      <c r="H1706" s="60" t="s">
        <v>11</v>
      </c>
    </row>
    <row r="1707" spans="1:8" ht="14.25" hidden="1" customHeight="1" x14ac:dyDescent="0.3">
      <c r="A1707" s="2" t="s">
        <v>86</v>
      </c>
      <c r="B1707" s="60" t="s">
        <v>155</v>
      </c>
      <c r="C1707" s="60" t="s">
        <v>168</v>
      </c>
      <c r="D1707" s="68">
        <v>8</v>
      </c>
      <c r="E1707" s="73">
        <v>2.04</v>
      </c>
      <c r="F1707" s="79">
        <f>IFERROR(D1707*E1707,0)</f>
        <v>16.32</v>
      </c>
      <c r="G1707" s="60" t="str">
        <f>INDEX(SETORES!$B:$B,MATCH(A1707,SETORES!$A:$A,0))</f>
        <v>Clientes</v>
      </c>
      <c r="H1707" s="60" t="s">
        <v>11</v>
      </c>
    </row>
    <row r="1708" spans="1:8" ht="14.25" hidden="1" customHeight="1" x14ac:dyDescent="0.3">
      <c r="A1708" s="34" t="s">
        <v>39</v>
      </c>
      <c r="B1708" s="61" t="s">
        <v>155</v>
      </c>
      <c r="C1708" s="61" t="s">
        <v>159</v>
      </c>
      <c r="D1708" s="69">
        <v>1</v>
      </c>
      <c r="E1708" s="74">
        <v>0.35</v>
      </c>
      <c r="F1708" s="80">
        <v>0.35</v>
      </c>
      <c r="G1708" s="61" t="str">
        <f>INDEX(SETORES!$B:$B,MATCH(A1708,SETORES!$A:$A,0))</f>
        <v>Clientes</v>
      </c>
      <c r="H1708" s="61" t="s">
        <v>11</v>
      </c>
    </row>
    <row r="1709" spans="1:8" ht="14.25" hidden="1" customHeight="1" x14ac:dyDescent="0.3">
      <c r="A1709" s="2" t="s">
        <v>39</v>
      </c>
      <c r="B1709" s="60" t="s">
        <v>155</v>
      </c>
      <c r="C1709" s="60" t="s">
        <v>249</v>
      </c>
      <c r="D1709" s="68">
        <v>1</v>
      </c>
      <c r="E1709" s="73">
        <v>975.1</v>
      </c>
      <c r="F1709" s="79">
        <f>IFERROR(D1709*E1709,0)</f>
        <v>975.1</v>
      </c>
      <c r="G1709" s="60" t="str">
        <f>INDEX(SETORES!$B:$B,MATCH(A1709,SETORES!$A:$A,0))</f>
        <v>Clientes</v>
      </c>
      <c r="H1709" s="60" t="s">
        <v>11</v>
      </c>
    </row>
    <row r="1710" spans="1:8" ht="14.25" hidden="1" customHeight="1" x14ac:dyDescent="0.3">
      <c r="A1710" s="2" t="s">
        <v>39</v>
      </c>
      <c r="B1710" s="60" t="s">
        <v>155</v>
      </c>
      <c r="C1710" s="60" t="s">
        <v>158</v>
      </c>
      <c r="D1710" s="68">
        <v>1</v>
      </c>
      <c r="E1710" s="73">
        <v>122.601</v>
      </c>
      <c r="F1710" s="79">
        <v>122.601</v>
      </c>
      <c r="G1710" s="60" t="str">
        <f>INDEX(SETORES!$B:$B,MATCH(A1710,SETORES!$A:$A,0))</f>
        <v>Clientes</v>
      </c>
      <c r="H1710" s="60" t="s">
        <v>11</v>
      </c>
    </row>
    <row r="1711" spans="1:8" ht="14.25" hidden="1" customHeight="1" x14ac:dyDescent="0.3">
      <c r="A1711" s="2" t="s">
        <v>39</v>
      </c>
      <c r="B1711" s="60" t="s">
        <v>162</v>
      </c>
      <c r="C1711" s="60" t="s">
        <v>163</v>
      </c>
      <c r="D1711" s="68">
        <v>1</v>
      </c>
      <c r="E1711" s="73">
        <v>496</v>
      </c>
      <c r="F1711" s="79">
        <f>IFERROR(D1711*E1711,0)</f>
        <v>496</v>
      </c>
      <c r="G1711" s="60" t="str">
        <f>INDEX(SETORES!$B:$B,MATCH(A1711,SETORES!$A:$A,0))</f>
        <v>Clientes</v>
      </c>
      <c r="H1711" s="60" t="s">
        <v>11</v>
      </c>
    </row>
    <row r="1712" spans="1:8" ht="14.25" hidden="1" customHeight="1" x14ac:dyDescent="0.3">
      <c r="A1712" s="34" t="s">
        <v>39</v>
      </c>
      <c r="B1712" s="61" t="s">
        <v>162</v>
      </c>
      <c r="C1712" s="61" t="s">
        <v>164</v>
      </c>
      <c r="D1712" s="69">
        <v>1</v>
      </c>
      <c r="E1712" s="74">
        <v>65.33</v>
      </c>
      <c r="F1712" s="80">
        <f>IFERROR(D1712*E1712,0)</f>
        <v>65.33</v>
      </c>
      <c r="G1712" s="61" t="str">
        <f>INDEX(SETORES!$B:$B,MATCH(A1712,SETORES!$A:$A,0))</f>
        <v>Clientes</v>
      </c>
      <c r="H1712" s="61" t="s">
        <v>11</v>
      </c>
    </row>
    <row r="1713" spans="1:8" ht="14.25" hidden="1" customHeight="1" x14ac:dyDescent="0.3">
      <c r="A1713" s="34" t="s">
        <v>39</v>
      </c>
      <c r="B1713" s="61" t="s">
        <v>155</v>
      </c>
      <c r="C1713" s="61" t="s">
        <v>161</v>
      </c>
      <c r="D1713" s="69">
        <v>1</v>
      </c>
      <c r="E1713" s="74">
        <v>44761.3</v>
      </c>
      <c r="F1713" s="80">
        <f>IFERROR(E1713,0)</f>
        <v>44761.3</v>
      </c>
      <c r="G1713" s="61" t="str">
        <f>INDEX(SETORES!$B:$B,MATCH(A1713,SETORES!$A:$A,0))</f>
        <v>Clientes</v>
      </c>
      <c r="H1713" s="61" t="s">
        <v>11</v>
      </c>
    </row>
    <row r="1714" spans="1:8" ht="14.25" hidden="1" customHeight="1" x14ac:dyDescent="0.3">
      <c r="A1714" s="2" t="s">
        <v>39</v>
      </c>
      <c r="B1714" s="60" t="s">
        <v>155</v>
      </c>
      <c r="C1714" s="60" t="s">
        <v>167</v>
      </c>
      <c r="D1714" s="68">
        <v>14</v>
      </c>
      <c r="E1714" s="73">
        <v>9.85</v>
      </c>
      <c r="F1714" s="79">
        <f>IFERROR(D1714*E1714,0)</f>
        <v>137.9</v>
      </c>
      <c r="G1714" s="60" t="str">
        <f>INDEX(SETORES!$B:$B,MATCH(A1714,SETORES!$A:$A,0))</f>
        <v>Clientes</v>
      </c>
      <c r="H1714" s="60" t="s">
        <v>11</v>
      </c>
    </row>
    <row r="1715" spans="1:8" ht="14.25" hidden="1" customHeight="1" x14ac:dyDescent="0.3">
      <c r="A1715" s="34" t="s">
        <v>39</v>
      </c>
      <c r="B1715" s="61" t="s">
        <v>155</v>
      </c>
      <c r="C1715" s="61" t="s">
        <v>240</v>
      </c>
      <c r="D1715" s="69">
        <v>1</v>
      </c>
      <c r="E1715" s="74">
        <v>2.9377040000000001</v>
      </c>
      <c r="F1715" s="80">
        <f>IFERROR(D1715*E1715,0)</f>
        <v>2.9377040000000001</v>
      </c>
      <c r="G1715" s="61" t="str">
        <f>INDEX(SETORES!$B:$B,MATCH(A1715,SETORES!$A:$A,0))</f>
        <v>Clientes</v>
      </c>
      <c r="H1715" s="61" t="s">
        <v>11</v>
      </c>
    </row>
    <row r="1716" spans="1:8" ht="14.25" hidden="1" customHeight="1" x14ac:dyDescent="0.3">
      <c r="A1716" s="34" t="s">
        <v>39</v>
      </c>
      <c r="B1716" s="61" t="s">
        <v>155</v>
      </c>
      <c r="C1716" s="61" t="s">
        <v>166</v>
      </c>
      <c r="D1716" s="69">
        <v>11</v>
      </c>
      <c r="E1716" s="74">
        <v>50</v>
      </c>
      <c r="F1716" s="80">
        <f>IFERROR(D1716*E1716,0)</f>
        <v>550</v>
      </c>
      <c r="G1716" s="61" t="str">
        <f>INDEX(SETORES!$B:$B,MATCH(A1716,SETORES!$A:$A,0))</f>
        <v>Clientes</v>
      </c>
      <c r="H1716" s="61" t="s">
        <v>11</v>
      </c>
    </row>
    <row r="1717" spans="1:8" ht="14.25" hidden="1" customHeight="1" x14ac:dyDescent="0.3">
      <c r="A1717" s="2" t="s">
        <v>39</v>
      </c>
      <c r="B1717" s="60" t="s">
        <v>155</v>
      </c>
      <c r="C1717" s="60" t="s">
        <v>156</v>
      </c>
      <c r="D1717" s="68">
        <v>14</v>
      </c>
      <c r="E1717" s="73">
        <v>0.2641</v>
      </c>
      <c r="F1717" s="79">
        <v>3.6974</v>
      </c>
      <c r="G1717" s="60" t="str">
        <f>INDEX(SETORES!$B:$B,MATCH(A1717,SETORES!$A:$A,0))</f>
        <v>Clientes</v>
      </c>
      <c r="H1717" s="60" t="s">
        <v>11</v>
      </c>
    </row>
    <row r="1718" spans="1:8" ht="14.25" hidden="1" customHeight="1" x14ac:dyDescent="0.3">
      <c r="A1718" s="34" t="s">
        <v>39</v>
      </c>
      <c r="B1718" s="61" t="s">
        <v>155</v>
      </c>
      <c r="C1718" s="61" t="s">
        <v>157</v>
      </c>
      <c r="D1718" s="69">
        <v>1</v>
      </c>
      <c r="E1718" s="74">
        <v>861.93409799999995</v>
      </c>
      <c r="F1718" s="80">
        <v>861.93409799999995</v>
      </c>
      <c r="G1718" s="61" t="str">
        <f>INDEX(SETORES!$B:$B,MATCH(A1718,SETORES!$A:$A,0))</f>
        <v>Clientes</v>
      </c>
      <c r="H1718" s="61" t="s">
        <v>11</v>
      </c>
    </row>
    <row r="1719" spans="1:8" ht="14.25" hidden="1" customHeight="1" x14ac:dyDescent="0.3">
      <c r="A1719" s="2" t="s">
        <v>39</v>
      </c>
      <c r="B1719" s="60" t="s">
        <v>162</v>
      </c>
      <c r="C1719" s="60" t="s">
        <v>222</v>
      </c>
      <c r="D1719" s="68"/>
      <c r="E1719" s="73"/>
      <c r="F1719" s="79">
        <f>IFERROR(D1719*E1719,0)</f>
        <v>0</v>
      </c>
      <c r="G1719" s="60" t="str">
        <f>INDEX(SETORES!$B:$B,MATCH(A1719,SETORES!$A:$A,0))</f>
        <v>Clientes</v>
      </c>
      <c r="H1719" s="60" t="s">
        <v>11</v>
      </c>
    </row>
    <row r="1720" spans="1:8" ht="14.25" hidden="1" customHeight="1" x14ac:dyDescent="0.3">
      <c r="A1720" s="2" t="s">
        <v>39</v>
      </c>
      <c r="B1720" s="60" t="s">
        <v>155</v>
      </c>
      <c r="C1720" s="60" t="s">
        <v>189</v>
      </c>
      <c r="D1720" s="68">
        <v>1</v>
      </c>
      <c r="E1720" s="73">
        <v>1606.557372</v>
      </c>
      <c r="F1720" s="79">
        <f>IFERROR(D1720*E1720,0)</f>
        <v>1606.557372</v>
      </c>
      <c r="G1720" s="60" t="str">
        <f>INDEX(SETORES!$B:$B,MATCH(A1720,SETORES!$A:$A,0))</f>
        <v>Clientes</v>
      </c>
      <c r="H1720" s="60" t="s">
        <v>11</v>
      </c>
    </row>
    <row r="1721" spans="1:8" ht="14.25" hidden="1" customHeight="1" x14ac:dyDescent="0.3">
      <c r="A1721" s="2" t="s">
        <v>39</v>
      </c>
      <c r="B1721" s="60" t="s">
        <v>155</v>
      </c>
      <c r="C1721" s="60" t="s">
        <v>191</v>
      </c>
      <c r="D1721" s="68">
        <v>1</v>
      </c>
      <c r="E1721" s="73">
        <v>636.08196399999997</v>
      </c>
      <c r="F1721" s="79">
        <f>IFERROR(D1721*E1721,0)</f>
        <v>636.08196399999997</v>
      </c>
      <c r="G1721" s="60" t="str">
        <f>INDEX(SETORES!$B:$B,MATCH(A1721,SETORES!$A:$A,0))</f>
        <v>Clientes</v>
      </c>
      <c r="H1721" s="60" t="s">
        <v>11</v>
      </c>
    </row>
    <row r="1722" spans="1:8" ht="14.25" hidden="1" customHeight="1" x14ac:dyDescent="0.3">
      <c r="A1722" s="2" t="s">
        <v>39</v>
      </c>
      <c r="B1722" s="60" t="s">
        <v>155</v>
      </c>
      <c r="C1722" s="60" t="s">
        <v>187</v>
      </c>
      <c r="D1722" s="68">
        <v>1</v>
      </c>
      <c r="E1722" s="73">
        <v>774.79901800000005</v>
      </c>
      <c r="F1722" s="79">
        <f>IFERROR(D1722*E1722,0)</f>
        <v>774.79901800000005</v>
      </c>
      <c r="G1722" s="60" t="str">
        <f>INDEX(SETORES!$B:$B,MATCH(A1722,SETORES!$A:$A,0))</f>
        <v>Clientes</v>
      </c>
      <c r="H1722" s="60" t="s">
        <v>11</v>
      </c>
    </row>
    <row r="1723" spans="1:8" ht="14.25" hidden="1" customHeight="1" x14ac:dyDescent="0.3">
      <c r="A1723" s="34" t="s">
        <v>39</v>
      </c>
      <c r="B1723" s="61" t="s">
        <v>155</v>
      </c>
      <c r="C1723" s="61" t="s">
        <v>168</v>
      </c>
      <c r="D1723" s="69">
        <v>14</v>
      </c>
      <c r="E1723" s="74">
        <v>2.04</v>
      </c>
      <c r="F1723" s="80">
        <f>IFERROR(D1723*E1723,0)</f>
        <v>28.560000000000002</v>
      </c>
      <c r="G1723" s="61" t="str">
        <f>INDEX(SETORES!$B:$B,MATCH(A1723,SETORES!$A:$A,0))</f>
        <v>Clientes</v>
      </c>
      <c r="H1723" s="61" t="s">
        <v>11</v>
      </c>
    </row>
    <row r="1724" spans="1:8" ht="14.25" hidden="1" customHeight="1" x14ac:dyDescent="0.3">
      <c r="A1724" s="2" t="s">
        <v>39</v>
      </c>
      <c r="B1724" s="60" t="s">
        <v>155</v>
      </c>
      <c r="C1724" s="60" t="s">
        <v>160</v>
      </c>
      <c r="D1724" s="68"/>
      <c r="E1724" s="73"/>
      <c r="F1724" s="79">
        <f>IFERROR(D1724*E1724,0)</f>
        <v>0</v>
      </c>
      <c r="G1724" s="60" t="str">
        <f>INDEX(SETORES!$B:$B,MATCH(A1724,SETORES!$A:$A,0))</f>
        <v>Clientes</v>
      </c>
      <c r="H1724" s="60" t="s">
        <v>11</v>
      </c>
    </row>
    <row r="1725" spans="1:8" ht="14.25" hidden="1" customHeight="1" x14ac:dyDescent="0.3">
      <c r="A1725" s="2" t="s">
        <v>32</v>
      </c>
      <c r="B1725" s="60" t="s">
        <v>155</v>
      </c>
      <c r="C1725" s="60" t="s">
        <v>229</v>
      </c>
      <c r="D1725" s="68"/>
      <c r="E1725" s="73"/>
      <c r="F1725" s="79">
        <f>IFERROR(D1725*E1725,0)</f>
        <v>0</v>
      </c>
      <c r="G1725" s="60" t="str">
        <f>INDEX(SETORES!$B:$B,MATCH(A1725,SETORES!$A:$A,0))</f>
        <v>Funcionários</v>
      </c>
      <c r="H1725" s="60" t="s">
        <v>11</v>
      </c>
    </row>
    <row r="1726" spans="1:8" ht="14.25" hidden="1" customHeight="1" x14ac:dyDescent="0.3">
      <c r="A1726" s="34" t="s">
        <v>32</v>
      </c>
      <c r="B1726" s="61" t="s">
        <v>155</v>
      </c>
      <c r="C1726" s="61" t="s">
        <v>159</v>
      </c>
      <c r="D1726" s="69">
        <v>1</v>
      </c>
      <c r="E1726" s="74">
        <v>0.1</v>
      </c>
      <c r="F1726" s="80">
        <v>0.1</v>
      </c>
      <c r="G1726" s="61" t="str">
        <f>INDEX(SETORES!$B:$B,MATCH(A1726,SETORES!$A:$A,0))</f>
        <v>Funcionários</v>
      </c>
      <c r="H1726" s="61" t="s">
        <v>11</v>
      </c>
    </row>
    <row r="1727" spans="1:8" ht="14.25" hidden="1" customHeight="1" x14ac:dyDescent="0.3">
      <c r="A1727" s="34" t="s">
        <v>32</v>
      </c>
      <c r="B1727" s="61" t="s">
        <v>155</v>
      </c>
      <c r="C1727" s="61" t="s">
        <v>212</v>
      </c>
      <c r="D1727" s="69">
        <v>3</v>
      </c>
      <c r="E1727" s="74">
        <v>30</v>
      </c>
      <c r="F1727" s="80">
        <f>IFERROR(D1727*E1727,0)</f>
        <v>90</v>
      </c>
      <c r="G1727" s="61" t="str">
        <f>INDEX(SETORES!$B:$B,MATCH(A1727,SETORES!$A:$A,0))</f>
        <v>Funcionários</v>
      </c>
      <c r="H1727" s="61" t="s">
        <v>11</v>
      </c>
    </row>
    <row r="1728" spans="1:8" ht="14.25" hidden="1" customHeight="1" x14ac:dyDescent="0.3">
      <c r="A1728" s="2" t="s">
        <v>32</v>
      </c>
      <c r="B1728" s="60" t="s">
        <v>155</v>
      </c>
      <c r="C1728" s="60" t="s">
        <v>158</v>
      </c>
      <c r="D1728" s="68">
        <v>1</v>
      </c>
      <c r="E1728" s="73">
        <v>35.0289</v>
      </c>
      <c r="F1728" s="79">
        <v>35.0289</v>
      </c>
      <c r="G1728" s="60" t="str">
        <f>INDEX(SETORES!$B:$B,MATCH(A1728,SETORES!$A:$A,0))</f>
        <v>Funcionários</v>
      </c>
      <c r="H1728" s="60" t="s">
        <v>11</v>
      </c>
    </row>
    <row r="1729" spans="1:8" ht="14.25" hidden="1" customHeight="1" x14ac:dyDescent="0.3">
      <c r="A1729" s="2" t="s">
        <v>32</v>
      </c>
      <c r="B1729" s="60" t="s">
        <v>162</v>
      </c>
      <c r="C1729" s="60" t="s">
        <v>225</v>
      </c>
      <c r="D1729" s="68"/>
      <c r="E1729" s="73"/>
      <c r="F1729" s="79">
        <f>IFERROR(D1729*E1729,0)</f>
        <v>0</v>
      </c>
      <c r="G1729" s="60" t="str">
        <f>INDEX(SETORES!$B:$B,MATCH(A1729,SETORES!$A:$A,0))</f>
        <v>Funcionários</v>
      </c>
      <c r="H1729" s="60" t="s">
        <v>11</v>
      </c>
    </row>
    <row r="1730" spans="1:8" ht="14.25" hidden="1" customHeight="1" x14ac:dyDescent="0.3">
      <c r="A1730" s="34" t="s">
        <v>32</v>
      </c>
      <c r="B1730" s="61" t="s">
        <v>162</v>
      </c>
      <c r="C1730" s="61" t="s">
        <v>226</v>
      </c>
      <c r="D1730" s="69"/>
      <c r="E1730" s="74"/>
      <c r="F1730" s="80">
        <f>IFERROR(D1730*E1730,0)</f>
        <v>0</v>
      </c>
      <c r="G1730" s="61" t="str">
        <f>INDEX(SETORES!$B:$B,MATCH(A1730,SETORES!$A:$A,0))</f>
        <v>Funcionários</v>
      </c>
      <c r="H1730" s="61" t="s">
        <v>11</v>
      </c>
    </row>
    <row r="1731" spans="1:8" ht="14.25" hidden="1" customHeight="1" x14ac:dyDescent="0.3">
      <c r="A1731" s="34" t="s">
        <v>32</v>
      </c>
      <c r="B1731" s="61" t="s">
        <v>155</v>
      </c>
      <c r="C1731" s="61" t="s">
        <v>161</v>
      </c>
      <c r="D1731" s="69">
        <v>1</v>
      </c>
      <c r="E1731" s="74">
        <v>26729.08</v>
      </c>
      <c r="F1731" s="80">
        <f>IFERROR(E1731,0)</f>
        <v>26729.08</v>
      </c>
      <c r="G1731" s="61" t="str">
        <f>INDEX(SETORES!$B:$B,MATCH(A1731,SETORES!$A:$A,0))</f>
        <v>Funcionários</v>
      </c>
      <c r="H1731" s="61" t="s">
        <v>11</v>
      </c>
    </row>
    <row r="1732" spans="1:8" ht="14.25" hidden="1" customHeight="1" x14ac:dyDescent="0.3">
      <c r="A1732" s="2" t="s">
        <v>32</v>
      </c>
      <c r="B1732" s="60" t="s">
        <v>155</v>
      </c>
      <c r="C1732" s="60" t="s">
        <v>167</v>
      </c>
      <c r="D1732" s="68">
        <v>4</v>
      </c>
      <c r="E1732" s="73">
        <v>9.85</v>
      </c>
      <c r="F1732" s="79">
        <f>IFERROR(D1732*E1732,0)</f>
        <v>39.4</v>
      </c>
      <c r="G1732" s="60" t="str">
        <f>INDEX(SETORES!$B:$B,MATCH(A1732,SETORES!$A:$A,0))</f>
        <v>Funcionários</v>
      </c>
      <c r="H1732" s="60" t="s">
        <v>11</v>
      </c>
    </row>
    <row r="1733" spans="1:8" ht="14.25" hidden="1" customHeight="1" x14ac:dyDescent="0.3">
      <c r="A1733" s="34" t="s">
        <v>32</v>
      </c>
      <c r="B1733" s="61" t="s">
        <v>155</v>
      </c>
      <c r="C1733" s="61" t="s">
        <v>238</v>
      </c>
      <c r="D1733" s="69">
        <v>1</v>
      </c>
      <c r="E1733" s="74">
        <v>4.5454559999999997</v>
      </c>
      <c r="F1733" s="80">
        <f>IFERROR(D1733*E1733,0)</f>
        <v>4.5454559999999997</v>
      </c>
      <c r="G1733" s="61" t="str">
        <f>INDEX(SETORES!$B:$B,MATCH(A1733,SETORES!$A:$A,0))</f>
        <v>Funcionários</v>
      </c>
      <c r="H1733" s="61" t="s">
        <v>11</v>
      </c>
    </row>
    <row r="1734" spans="1:8" ht="14.25" hidden="1" customHeight="1" x14ac:dyDescent="0.3">
      <c r="A1734" s="2" t="s">
        <v>32</v>
      </c>
      <c r="B1734" s="60" t="s">
        <v>155</v>
      </c>
      <c r="C1734" s="60" t="s">
        <v>166</v>
      </c>
      <c r="D1734" s="68">
        <v>4</v>
      </c>
      <c r="E1734" s="73">
        <v>50</v>
      </c>
      <c r="F1734" s="79">
        <f>IFERROR(D1734*E1734,0)</f>
        <v>200</v>
      </c>
      <c r="G1734" s="60" t="str">
        <f>INDEX(SETORES!$B:$B,MATCH(A1734,SETORES!$A:$A,0))</f>
        <v>Funcionários</v>
      </c>
      <c r="H1734" s="60" t="s">
        <v>11</v>
      </c>
    </row>
    <row r="1735" spans="1:8" ht="14.25" hidden="1" customHeight="1" x14ac:dyDescent="0.3">
      <c r="A1735" s="2" t="s">
        <v>32</v>
      </c>
      <c r="B1735" s="60" t="s">
        <v>155</v>
      </c>
      <c r="C1735" s="60" t="s">
        <v>156</v>
      </c>
      <c r="D1735" s="68"/>
      <c r="E1735" s="73"/>
      <c r="F1735" s="79">
        <v>0</v>
      </c>
      <c r="G1735" s="60" t="str">
        <f>INDEX(SETORES!$B:$B,MATCH(A1735,SETORES!$A:$A,0))</f>
        <v>Funcionários</v>
      </c>
      <c r="H1735" s="60" t="s">
        <v>11</v>
      </c>
    </row>
    <row r="1736" spans="1:8" ht="14.25" hidden="1" customHeight="1" x14ac:dyDescent="0.3">
      <c r="A1736" s="34" t="s">
        <v>32</v>
      </c>
      <c r="B1736" s="61" t="s">
        <v>155</v>
      </c>
      <c r="C1736" s="61" t="s">
        <v>157</v>
      </c>
      <c r="D1736" s="69">
        <v>1</v>
      </c>
      <c r="E1736" s="74">
        <v>52.2</v>
      </c>
      <c r="F1736" s="80">
        <v>52.2</v>
      </c>
      <c r="G1736" s="61" t="str">
        <f>INDEX(SETORES!$B:$B,MATCH(A1736,SETORES!$A:$A,0))</f>
        <v>Funcionários</v>
      </c>
      <c r="H1736" s="61" t="s">
        <v>11</v>
      </c>
    </row>
    <row r="1737" spans="1:8" ht="14.25" hidden="1" customHeight="1" x14ac:dyDescent="0.3">
      <c r="A1737" s="34" t="s">
        <v>32</v>
      </c>
      <c r="B1737" s="61" t="s">
        <v>155</v>
      </c>
      <c r="C1737" s="61" t="s">
        <v>230</v>
      </c>
      <c r="D1737" s="69"/>
      <c r="E1737" s="74"/>
      <c r="F1737" s="80">
        <f>IFERROR(D1737*E1737,0)</f>
        <v>0</v>
      </c>
      <c r="G1737" s="61" t="str">
        <f>INDEX(SETORES!$B:$B,MATCH(A1737,SETORES!$A:$A,0))</f>
        <v>Funcionários</v>
      </c>
      <c r="H1737" s="61" t="s">
        <v>11</v>
      </c>
    </row>
    <row r="1738" spans="1:8" ht="14.25" hidden="1" customHeight="1" x14ac:dyDescent="0.3">
      <c r="A1738" s="2" t="s">
        <v>32</v>
      </c>
      <c r="B1738" s="60" t="s">
        <v>155</v>
      </c>
      <c r="C1738" s="60" t="s">
        <v>174</v>
      </c>
      <c r="D1738" s="68">
        <v>1</v>
      </c>
      <c r="E1738" s="73">
        <v>2000</v>
      </c>
      <c r="F1738" s="79">
        <f>IFERROR(D1738*E1738,0)</f>
        <v>2000</v>
      </c>
      <c r="G1738" s="61" t="s">
        <v>98</v>
      </c>
      <c r="H1738" s="60" t="s">
        <v>11</v>
      </c>
    </row>
    <row r="1739" spans="1:8" ht="14.25" hidden="1" customHeight="1" x14ac:dyDescent="0.3">
      <c r="A1739" s="34" t="s">
        <v>32</v>
      </c>
      <c r="B1739" s="61" t="s">
        <v>162</v>
      </c>
      <c r="C1739" s="61" t="s">
        <v>228</v>
      </c>
      <c r="D1739" s="69"/>
      <c r="E1739" s="74"/>
      <c r="F1739" s="80">
        <f>IFERROR(D1739*E1739,0)</f>
        <v>0</v>
      </c>
      <c r="G1739" s="61" t="str">
        <f>INDEX(SETORES!$B:$B,MATCH(A1739,SETORES!$A:$A,0))</f>
        <v>Funcionários</v>
      </c>
      <c r="H1739" s="61" t="s">
        <v>11</v>
      </c>
    </row>
    <row r="1740" spans="1:8" ht="14.25" hidden="1" customHeight="1" x14ac:dyDescent="0.3">
      <c r="A1740" s="34" t="s">
        <v>32</v>
      </c>
      <c r="B1740" s="61" t="s">
        <v>162</v>
      </c>
      <c r="C1740" s="61" t="s">
        <v>222</v>
      </c>
      <c r="D1740" s="69"/>
      <c r="E1740" s="74"/>
      <c r="F1740" s="80">
        <f>IFERROR(D1740*E1740,0)</f>
        <v>0</v>
      </c>
      <c r="G1740" s="61" t="str">
        <f>INDEX(SETORES!$B:$B,MATCH(A1740,SETORES!$A:$A,0))</f>
        <v>Funcionários</v>
      </c>
      <c r="H1740" s="61" t="s">
        <v>11</v>
      </c>
    </row>
    <row r="1741" spans="1:8" ht="14.25" hidden="1" customHeight="1" x14ac:dyDescent="0.3">
      <c r="A1741" s="2" t="s">
        <v>32</v>
      </c>
      <c r="B1741" s="60" t="s">
        <v>155</v>
      </c>
      <c r="C1741" s="60" t="s">
        <v>175</v>
      </c>
      <c r="D1741" s="68">
        <v>1</v>
      </c>
      <c r="E1741" s="73">
        <v>2500</v>
      </c>
      <c r="F1741" s="79">
        <f t="shared" ref="F1741:F1742" si="0">IFERROR(D1741*E1741,0)</f>
        <v>2500</v>
      </c>
      <c r="G1741" s="61" t="s">
        <v>98</v>
      </c>
      <c r="H1741" s="60" t="s">
        <v>11</v>
      </c>
    </row>
    <row r="1742" spans="1:8" ht="14.25" hidden="1" customHeight="1" x14ac:dyDescent="0.3">
      <c r="A1742" s="34" t="s">
        <v>32</v>
      </c>
      <c r="B1742" s="61" t="s">
        <v>155</v>
      </c>
      <c r="C1742" s="61" t="s">
        <v>176</v>
      </c>
      <c r="D1742" s="69">
        <v>1</v>
      </c>
      <c r="E1742" s="74">
        <v>2612.9</v>
      </c>
      <c r="F1742" s="79">
        <f t="shared" si="0"/>
        <v>2612.9</v>
      </c>
      <c r="G1742" s="61" t="s">
        <v>98</v>
      </c>
      <c r="H1742" s="61" t="s">
        <v>11</v>
      </c>
    </row>
    <row r="1743" spans="1:8" ht="14.25" hidden="1" customHeight="1" x14ac:dyDescent="0.3">
      <c r="A1743" s="34" t="s">
        <v>32</v>
      </c>
      <c r="B1743" s="61" t="s">
        <v>155</v>
      </c>
      <c r="C1743" s="61" t="s">
        <v>168</v>
      </c>
      <c r="D1743" s="69">
        <v>4</v>
      </c>
      <c r="E1743" s="74">
        <v>2.04</v>
      </c>
      <c r="F1743" s="80">
        <f>IFERROR(D1743*E1743,0)</f>
        <v>8.16</v>
      </c>
      <c r="G1743" s="61" t="str">
        <f>INDEX(SETORES!$B:$B,MATCH(A1743,SETORES!$A:$A,0))</f>
        <v>Funcionários</v>
      </c>
      <c r="H1743" s="61" t="s">
        <v>11</v>
      </c>
    </row>
    <row r="1744" spans="1:8" ht="14.25" hidden="1" customHeight="1" x14ac:dyDescent="0.3">
      <c r="A1744" s="2" t="s">
        <v>32</v>
      </c>
      <c r="B1744" s="60" t="s">
        <v>155</v>
      </c>
      <c r="C1744" s="60" t="s">
        <v>160</v>
      </c>
      <c r="D1744" s="68"/>
      <c r="E1744" s="73"/>
      <c r="F1744" s="79">
        <f>IFERROR(D1744*E1744,0)</f>
        <v>0</v>
      </c>
      <c r="G1744" s="60" t="str">
        <f>INDEX(SETORES!$B:$B,MATCH(A1744,SETORES!$A:$A,0))</f>
        <v>Funcionários</v>
      </c>
      <c r="H1744" s="60" t="s">
        <v>11</v>
      </c>
    </row>
    <row r="1745" spans="1:8" ht="14.25" hidden="1" customHeight="1" x14ac:dyDescent="0.3">
      <c r="A1745" s="2" t="s">
        <v>32</v>
      </c>
      <c r="B1745" s="60" t="s">
        <v>155</v>
      </c>
      <c r="C1745" s="60" t="s">
        <v>227</v>
      </c>
      <c r="D1745" s="68">
        <v>1</v>
      </c>
      <c r="E1745" s="73">
        <v>1776.46</v>
      </c>
      <c r="F1745" s="79">
        <f>IFERROR(D1745*E1745,0)</f>
        <v>1776.46</v>
      </c>
      <c r="G1745" s="60" t="str">
        <f>INDEX(SETORES!$B:$B,MATCH(A1745,SETORES!$A:$A,0))</f>
        <v>Funcionários</v>
      </c>
      <c r="H1745" s="60" t="s">
        <v>11</v>
      </c>
    </row>
    <row r="1746" spans="1:8" ht="14.25" hidden="1" customHeight="1" x14ac:dyDescent="0.3">
      <c r="A1746" s="2" t="s">
        <v>44</v>
      </c>
      <c r="B1746" s="60" t="s">
        <v>155</v>
      </c>
      <c r="C1746" s="60" t="s">
        <v>159</v>
      </c>
      <c r="D1746" s="68">
        <v>6</v>
      </c>
      <c r="E1746" s="73">
        <v>0.31240000000000001</v>
      </c>
      <c r="F1746" s="79">
        <v>1.8744000000000001</v>
      </c>
      <c r="G1746" s="60" t="str">
        <f>INDEX(SETORES!$B:$B,MATCH(A1746,SETORES!$A:$A,0))</f>
        <v>Funcionários</v>
      </c>
      <c r="H1746" s="60" t="s">
        <v>11</v>
      </c>
    </row>
    <row r="1747" spans="1:8" ht="14.25" hidden="1" customHeight="1" x14ac:dyDescent="0.3">
      <c r="A1747" s="2" t="s">
        <v>44</v>
      </c>
      <c r="B1747" s="60" t="s">
        <v>155</v>
      </c>
      <c r="C1747" s="60" t="s">
        <v>212</v>
      </c>
      <c r="D1747" s="68">
        <v>4</v>
      </c>
      <c r="E1747" s="73">
        <v>30</v>
      </c>
      <c r="F1747" s="79">
        <v>120</v>
      </c>
      <c r="G1747" s="60" t="str">
        <f>INDEX(SETORES!$B:$B,MATCH(A1747,SETORES!$A:$A,0))</f>
        <v>Funcionários</v>
      </c>
      <c r="H1747" s="60" t="s">
        <v>11</v>
      </c>
    </row>
    <row r="1748" spans="1:8" ht="14.25" hidden="1" customHeight="1" x14ac:dyDescent="0.3">
      <c r="A1748" s="2" t="s">
        <v>44</v>
      </c>
      <c r="B1748" s="60" t="s">
        <v>162</v>
      </c>
      <c r="C1748" s="60" t="s">
        <v>217</v>
      </c>
      <c r="D1748" s="68">
        <v>1</v>
      </c>
      <c r="E1748" s="73">
        <v>3191.63</v>
      </c>
      <c r="F1748" s="79">
        <v>3191.63</v>
      </c>
      <c r="G1748" s="60" t="str">
        <f>INDEX(SETORES!$B:$B,MATCH(A1748,SETORES!$A:$A,0))</f>
        <v>Funcionários</v>
      </c>
      <c r="H1748" s="60" t="s">
        <v>11</v>
      </c>
    </row>
    <row r="1749" spans="1:8" ht="14.25" hidden="1" customHeight="1" x14ac:dyDescent="0.3">
      <c r="A1749" s="2" t="s">
        <v>44</v>
      </c>
      <c r="B1749" s="60" t="s">
        <v>155</v>
      </c>
      <c r="C1749" s="60" t="s">
        <v>158</v>
      </c>
      <c r="D1749" s="68">
        <v>6</v>
      </c>
      <c r="E1749" s="73">
        <v>23.6877</v>
      </c>
      <c r="F1749" s="79">
        <v>142.12620000000001</v>
      </c>
      <c r="G1749" s="60" t="str">
        <f>INDEX(SETORES!$B:$B,MATCH(A1749,SETORES!$A:$A,0))</f>
        <v>Funcionários</v>
      </c>
      <c r="H1749" s="60" t="s">
        <v>11</v>
      </c>
    </row>
    <row r="1750" spans="1:8" ht="14.25" hidden="1" customHeight="1" x14ac:dyDescent="0.3">
      <c r="A1750" s="34" t="s">
        <v>44</v>
      </c>
      <c r="B1750" s="61" t="s">
        <v>162</v>
      </c>
      <c r="C1750" s="61" t="s">
        <v>221</v>
      </c>
      <c r="D1750" s="69"/>
      <c r="E1750" s="74"/>
      <c r="F1750" s="80">
        <f>IFERROR(D1750*E1750,0)</f>
        <v>0</v>
      </c>
      <c r="G1750" s="61" t="str">
        <f>INDEX(SETORES!$B:$B,MATCH(A1750,SETORES!$A:$A,0))</f>
        <v>Funcionários</v>
      </c>
      <c r="H1750" s="61" t="s">
        <v>11</v>
      </c>
    </row>
    <row r="1751" spans="1:8" ht="14.25" hidden="1" customHeight="1" x14ac:dyDescent="0.3">
      <c r="A1751" s="2" t="s">
        <v>44</v>
      </c>
      <c r="B1751" s="60" t="s">
        <v>162</v>
      </c>
      <c r="C1751" s="60" t="s">
        <v>165</v>
      </c>
      <c r="D1751" s="68"/>
      <c r="E1751" s="73"/>
      <c r="F1751" s="79">
        <v>0</v>
      </c>
      <c r="G1751" s="60" t="str">
        <f>INDEX(SETORES!$B:$B,MATCH(A1751,SETORES!$A:$A,0))</f>
        <v>Funcionários</v>
      </c>
      <c r="H1751" s="60" t="s">
        <v>11</v>
      </c>
    </row>
    <row r="1752" spans="1:8" ht="14.25" hidden="1" customHeight="1" x14ac:dyDescent="0.3">
      <c r="A1752" s="34" t="s">
        <v>44</v>
      </c>
      <c r="B1752" s="61" t="s">
        <v>162</v>
      </c>
      <c r="C1752" s="61" t="s">
        <v>163</v>
      </c>
      <c r="D1752" s="69">
        <v>1</v>
      </c>
      <c r="E1752" s="74">
        <v>328</v>
      </c>
      <c r="F1752" s="80">
        <f>IFERROR(D1752*E1752,0)</f>
        <v>328</v>
      </c>
      <c r="G1752" s="61" t="str">
        <f>INDEX(SETORES!$B:$B,MATCH(A1752,SETORES!$A:$A,0))</f>
        <v>Funcionários</v>
      </c>
      <c r="H1752" s="61" t="s">
        <v>11</v>
      </c>
    </row>
    <row r="1753" spans="1:8" ht="14.25" hidden="1" customHeight="1" x14ac:dyDescent="0.3">
      <c r="A1753" s="2" t="s">
        <v>44</v>
      </c>
      <c r="B1753" s="60" t="s">
        <v>162</v>
      </c>
      <c r="C1753" s="60" t="s">
        <v>164</v>
      </c>
      <c r="D1753" s="68"/>
      <c r="E1753" s="73"/>
      <c r="F1753" s="79">
        <f>IFERROR(D1753*E1753,0)</f>
        <v>0</v>
      </c>
      <c r="G1753" s="60" t="str">
        <f>INDEX(SETORES!$B:$B,MATCH(A1753,SETORES!$A:$A,0))</f>
        <v>Funcionários</v>
      </c>
      <c r="H1753" s="60" t="s">
        <v>11</v>
      </c>
    </row>
    <row r="1754" spans="1:8" ht="14.25" hidden="1" customHeight="1" x14ac:dyDescent="0.3">
      <c r="A1754" s="2" t="s">
        <v>44</v>
      </c>
      <c r="B1754" s="60" t="s">
        <v>155</v>
      </c>
      <c r="C1754" s="60" t="s">
        <v>161</v>
      </c>
      <c r="D1754" s="68">
        <v>1</v>
      </c>
      <c r="E1754" s="73">
        <v>37889.97</v>
      </c>
      <c r="F1754" s="79">
        <f>IFERROR(E1754,0)</f>
        <v>37889.97</v>
      </c>
      <c r="G1754" s="60" t="str">
        <f>INDEX(SETORES!$B:$B,MATCH(A1754,SETORES!$A:$A,0))</f>
        <v>Funcionários</v>
      </c>
      <c r="H1754" s="60" t="s">
        <v>11</v>
      </c>
    </row>
    <row r="1755" spans="1:8" ht="14.25" hidden="1" customHeight="1" x14ac:dyDescent="0.3">
      <c r="A1755" s="2" t="s">
        <v>44</v>
      </c>
      <c r="B1755" s="60" t="s">
        <v>155</v>
      </c>
      <c r="C1755" s="60" t="s">
        <v>167</v>
      </c>
      <c r="D1755" s="68">
        <v>6</v>
      </c>
      <c r="E1755" s="73">
        <v>9.85</v>
      </c>
      <c r="F1755" s="79">
        <f>IFERROR(D1755*E1755,0)</f>
        <v>59.099999999999994</v>
      </c>
      <c r="G1755" s="60" t="str">
        <f>INDEX(SETORES!$B:$B,MATCH(A1755,SETORES!$A:$A,0))</f>
        <v>Funcionários</v>
      </c>
      <c r="H1755" s="60" t="s">
        <v>11</v>
      </c>
    </row>
    <row r="1756" spans="1:8" ht="14.25" hidden="1" customHeight="1" x14ac:dyDescent="0.3">
      <c r="A1756" s="34" t="s">
        <v>44</v>
      </c>
      <c r="B1756" s="61" t="s">
        <v>155</v>
      </c>
      <c r="C1756" s="61" t="s">
        <v>238</v>
      </c>
      <c r="D1756" s="69">
        <v>1</v>
      </c>
      <c r="E1756" s="74">
        <v>76.790000000000006</v>
      </c>
      <c r="F1756" s="80">
        <f>IFERROR(D1756*E1756,0)</f>
        <v>76.790000000000006</v>
      </c>
      <c r="G1756" s="61" t="str">
        <f>INDEX(SETORES!$B:$B,MATCH(A1756,SETORES!$A:$A,0))</f>
        <v>Funcionários</v>
      </c>
      <c r="H1756" s="61" t="s">
        <v>11</v>
      </c>
    </row>
    <row r="1757" spans="1:8" ht="14.25" hidden="1" customHeight="1" x14ac:dyDescent="0.3">
      <c r="A1757" s="34" t="s">
        <v>44</v>
      </c>
      <c r="B1757" s="61" t="s">
        <v>155</v>
      </c>
      <c r="C1757" s="61" t="s">
        <v>166</v>
      </c>
      <c r="D1757" s="69">
        <v>9</v>
      </c>
      <c r="E1757" s="74">
        <v>50</v>
      </c>
      <c r="F1757" s="80">
        <f>IFERROR(D1757*E1757,0)</f>
        <v>450</v>
      </c>
      <c r="G1757" s="61" t="str">
        <f>INDEX(SETORES!$B:$B,MATCH(A1757,SETORES!$A:$A,0))</f>
        <v>Funcionários</v>
      </c>
      <c r="H1757" s="61" t="s">
        <v>11</v>
      </c>
    </row>
    <row r="1758" spans="1:8" ht="14.25" hidden="1" customHeight="1" x14ac:dyDescent="0.3">
      <c r="A1758" s="2" t="s">
        <v>44</v>
      </c>
      <c r="B1758" s="60" t="s">
        <v>155</v>
      </c>
      <c r="C1758" s="60" t="s">
        <v>156</v>
      </c>
      <c r="D1758" s="68"/>
      <c r="E1758" s="73"/>
      <c r="F1758" s="79">
        <v>0</v>
      </c>
      <c r="G1758" s="60" t="str">
        <f>INDEX(SETORES!$B:$B,MATCH(A1758,SETORES!$A:$A,0))</f>
        <v>Funcionários</v>
      </c>
      <c r="H1758" s="60" t="s">
        <v>11</v>
      </c>
    </row>
    <row r="1759" spans="1:8" ht="14.25" hidden="1" customHeight="1" x14ac:dyDescent="0.3">
      <c r="A1759" s="34" t="s">
        <v>44</v>
      </c>
      <c r="B1759" s="61" t="s">
        <v>155</v>
      </c>
      <c r="C1759" s="61" t="s">
        <v>157</v>
      </c>
      <c r="D1759" s="69"/>
      <c r="E1759" s="74"/>
      <c r="F1759" s="80">
        <v>0</v>
      </c>
      <c r="G1759" s="61" t="str">
        <f>INDEX(SETORES!$B:$B,MATCH(A1759,SETORES!$A:$A,0))</f>
        <v>Funcionários</v>
      </c>
      <c r="H1759" s="61" t="s">
        <v>11</v>
      </c>
    </row>
    <row r="1760" spans="1:8" ht="14.25" hidden="1" customHeight="1" x14ac:dyDescent="0.3">
      <c r="A1760" s="2" t="s">
        <v>44</v>
      </c>
      <c r="B1760" s="60" t="s">
        <v>162</v>
      </c>
      <c r="C1760" s="60" t="s">
        <v>232</v>
      </c>
      <c r="D1760" s="68">
        <v>1</v>
      </c>
      <c r="E1760" s="73">
        <v>7689.5</v>
      </c>
      <c r="F1760" s="79">
        <f>IFERROR(D1760*E1760,0)</f>
        <v>7689.5</v>
      </c>
      <c r="G1760" s="60" t="str">
        <f>INDEX(SETORES!$B:$B,MATCH(A1760,SETORES!$A:$A,0))</f>
        <v>Funcionários</v>
      </c>
      <c r="H1760" s="60" t="s">
        <v>11</v>
      </c>
    </row>
    <row r="1761" spans="1:8" ht="14.25" hidden="1" customHeight="1" x14ac:dyDescent="0.3">
      <c r="A1761" s="34" t="s">
        <v>44</v>
      </c>
      <c r="B1761" s="61" t="s">
        <v>162</v>
      </c>
      <c r="C1761" s="61" t="s">
        <v>209</v>
      </c>
      <c r="D1761" s="69">
        <v>6</v>
      </c>
      <c r="E1761" s="74">
        <v>85.71</v>
      </c>
      <c r="F1761" s="80">
        <f>IFERROR(D1761*E1761,0)</f>
        <v>514.26</v>
      </c>
      <c r="G1761" s="61" t="str">
        <f>INDEX(SETORES!$B:$B,MATCH(A1761,SETORES!$A:$A,0))</f>
        <v>Funcionários</v>
      </c>
      <c r="H1761" s="61" t="s">
        <v>11</v>
      </c>
    </row>
    <row r="1762" spans="1:8" ht="14.25" hidden="1" customHeight="1" x14ac:dyDescent="0.3">
      <c r="A1762" s="34" t="s">
        <v>44</v>
      </c>
      <c r="B1762" s="61" t="s">
        <v>155</v>
      </c>
      <c r="C1762" s="61" t="s">
        <v>168</v>
      </c>
      <c r="D1762" s="69">
        <v>6</v>
      </c>
      <c r="E1762" s="74">
        <v>2.04</v>
      </c>
      <c r="F1762" s="80">
        <f>IFERROR(D1762*E1762,0)</f>
        <v>12.24</v>
      </c>
      <c r="G1762" s="61" t="str">
        <f>INDEX(SETORES!$B:$B,MATCH(A1762,SETORES!$A:$A,0))</f>
        <v>Funcionários</v>
      </c>
      <c r="H1762" s="61" t="s">
        <v>11</v>
      </c>
    </row>
    <row r="1763" spans="1:8" ht="14.25" hidden="1" customHeight="1" x14ac:dyDescent="0.3">
      <c r="A1763" s="34" t="s">
        <v>44</v>
      </c>
      <c r="B1763" s="61" t="s">
        <v>155</v>
      </c>
      <c r="C1763" s="61" t="s">
        <v>160</v>
      </c>
      <c r="D1763" s="69"/>
      <c r="E1763" s="74"/>
      <c r="F1763" s="80">
        <f>IFERROR(D1763*E1763,0)</f>
        <v>0</v>
      </c>
      <c r="G1763" s="61" t="str">
        <f>INDEX(SETORES!$B:$B,MATCH(A1763,SETORES!$A:$A,0))</f>
        <v>Funcionários</v>
      </c>
      <c r="H1763" s="61" t="s">
        <v>11</v>
      </c>
    </row>
    <row r="1764" spans="1:8" ht="14.25" hidden="1" customHeight="1" x14ac:dyDescent="0.3">
      <c r="A1764" s="34" t="s">
        <v>139</v>
      </c>
      <c r="B1764" s="61" t="s">
        <v>155</v>
      </c>
      <c r="C1764" s="61" t="s">
        <v>250</v>
      </c>
      <c r="D1764" s="69">
        <v>1</v>
      </c>
      <c r="E1764" s="74">
        <v>1075.3800000000001</v>
      </c>
      <c r="F1764" s="80">
        <f>IFERROR(D1764*E1764,0)</f>
        <v>1075.3800000000001</v>
      </c>
      <c r="G1764" s="61" t="str">
        <f>INDEX(SETORES!$B:$B,MATCH(A1764,SETORES!$A:$A,0))</f>
        <v>Funcionários</v>
      </c>
      <c r="H1764" s="61" t="s">
        <v>11</v>
      </c>
    </row>
    <row r="1765" spans="1:8" ht="14.25" hidden="1" customHeight="1" x14ac:dyDescent="0.3">
      <c r="A1765" s="34" t="s">
        <v>139</v>
      </c>
      <c r="B1765" s="61" t="s">
        <v>155</v>
      </c>
      <c r="C1765" s="61" t="s">
        <v>171</v>
      </c>
      <c r="D1765" s="69">
        <v>6</v>
      </c>
      <c r="E1765" s="73">
        <v>51.12</v>
      </c>
      <c r="F1765" s="80">
        <f>IFERROR(D1765*E1765,0)</f>
        <v>306.71999999999997</v>
      </c>
      <c r="G1765" s="61" t="s">
        <v>98</v>
      </c>
      <c r="H1765" s="60" t="s">
        <v>11</v>
      </c>
    </row>
    <row r="1766" spans="1:8" ht="14.25" hidden="1" customHeight="1" x14ac:dyDescent="0.3">
      <c r="A1766" s="34" t="s">
        <v>139</v>
      </c>
      <c r="B1766" s="61" t="s">
        <v>155</v>
      </c>
      <c r="C1766" s="61" t="s">
        <v>170</v>
      </c>
      <c r="D1766" s="69">
        <v>6</v>
      </c>
      <c r="E1766" s="74">
        <v>31.33</v>
      </c>
      <c r="F1766" s="79">
        <f>IFERROR(D1766*E1766,0)</f>
        <v>187.98</v>
      </c>
      <c r="G1766" s="61" t="s">
        <v>98</v>
      </c>
      <c r="H1766" s="60" t="s">
        <v>11</v>
      </c>
    </row>
    <row r="1767" spans="1:8" ht="14.25" customHeight="1" x14ac:dyDescent="0.3">
      <c r="A1767" s="34" t="s">
        <v>139</v>
      </c>
      <c r="B1767" s="61" t="s">
        <v>155</v>
      </c>
      <c r="C1767" s="61" t="s">
        <v>169</v>
      </c>
      <c r="D1767" s="69">
        <v>6</v>
      </c>
      <c r="E1767" s="73">
        <v>63.75</v>
      </c>
      <c r="F1767" s="80">
        <f>IFERROR(D1767*E1767,0)</f>
        <v>382.5</v>
      </c>
      <c r="G1767" s="61" t="s">
        <v>98</v>
      </c>
      <c r="H1767" s="60" t="s">
        <v>11</v>
      </c>
    </row>
    <row r="1768" spans="1:8" ht="14.25" hidden="1" customHeight="1" x14ac:dyDescent="0.3">
      <c r="A1768" s="2" t="s">
        <v>139</v>
      </c>
      <c r="B1768" s="60" t="s">
        <v>155</v>
      </c>
      <c r="C1768" s="60" t="s">
        <v>161</v>
      </c>
      <c r="D1768" s="68">
        <v>1</v>
      </c>
      <c r="E1768" s="73">
        <v>22017.33</v>
      </c>
      <c r="F1768" s="79">
        <v>22017.33</v>
      </c>
      <c r="G1768" s="60" t="str">
        <f>INDEX(SETORES!$B:$B,MATCH(A1768,SETORES!$A:$A,0))</f>
        <v>Funcionários</v>
      </c>
      <c r="H1768" s="60" t="s">
        <v>11</v>
      </c>
    </row>
    <row r="1769" spans="1:8" ht="14.25" hidden="1" customHeight="1" x14ac:dyDescent="0.3">
      <c r="A1769" s="34" t="s">
        <v>139</v>
      </c>
      <c r="B1769" s="61" t="s">
        <v>155</v>
      </c>
      <c r="C1769" s="61" t="s">
        <v>167</v>
      </c>
      <c r="D1769" s="69">
        <v>6</v>
      </c>
      <c r="E1769" s="74">
        <v>9.85</v>
      </c>
      <c r="F1769" s="80">
        <f>IFERROR(D1769*E1769,0)</f>
        <v>59.099999999999994</v>
      </c>
      <c r="G1769" s="61" t="str">
        <f>INDEX(SETORES!$B:$B,MATCH(A1769,SETORES!$A:$A,0))</f>
        <v>Funcionários</v>
      </c>
      <c r="H1769" s="61" t="s">
        <v>11</v>
      </c>
    </row>
    <row r="1770" spans="1:8" ht="14.25" hidden="1" customHeight="1" x14ac:dyDescent="0.3">
      <c r="A1770" s="2" t="s">
        <v>139</v>
      </c>
      <c r="B1770" s="60" t="s">
        <v>155</v>
      </c>
      <c r="C1770" s="60" t="s">
        <v>168</v>
      </c>
      <c r="D1770" s="68">
        <v>6</v>
      </c>
      <c r="E1770" s="73">
        <v>2.04</v>
      </c>
      <c r="F1770" s="79">
        <f>IFERROR(D1770*E1770,0)</f>
        <v>12.24</v>
      </c>
      <c r="G1770" s="60" t="str">
        <f>INDEX(SETORES!$B:$B,MATCH(A1770,SETORES!$A:$A,0))</f>
        <v>Funcionários</v>
      </c>
      <c r="H1770" s="60" t="s">
        <v>11</v>
      </c>
    </row>
    <row r="1771" spans="1:8" ht="14.25" hidden="1" customHeight="1" x14ac:dyDescent="0.3">
      <c r="A1771" s="2" t="s">
        <v>53</v>
      </c>
      <c r="B1771" s="60" t="s">
        <v>155</v>
      </c>
      <c r="C1771" s="60" t="s">
        <v>159</v>
      </c>
      <c r="D1771" s="68">
        <v>1</v>
      </c>
      <c r="E1771" s="73">
        <v>0.8</v>
      </c>
      <c r="F1771" s="79">
        <v>0.8</v>
      </c>
      <c r="G1771" s="60" t="str">
        <f>INDEX(SETORES!$B:$B,MATCH(A1771,SETORES!$A:$A,0))</f>
        <v>Clientes</v>
      </c>
      <c r="H1771" s="60" t="s">
        <v>11</v>
      </c>
    </row>
    <row r="1772" spans="1:8" ht="14.25" hidden="1" customHeight="1" x14ac:dyDescent="0.3">
      <c r="A1772" s="34" t="s">
        <v>53</v>
      </c>
      <c r="B1772" s="61" t="s">
        <v>162</v>
      </c>
      <c r="C1772" s="61" t="s">
        <v>217</v>
      </c>
      <c r="D1772" s="69"/>
      <c r="E1772" s="74"/>
      <c r="F1772" s="80">
        <f>IFERROR(D1772*E1772,0)</f>
        <v>0</v>
      </c>
      <c r="G1772" s="61" t="str">
        <f>INDEX(SETORES!$B:$B,MATCH(A1772,SETORES!$A:$A,0))</f>
        <v>Clientes</v>
      </c>
      <c r="H1772" s="61" t="s">
        <v>11</v>
      </c>
    </row>
    <row r="1773" spans="1:8" ht="14.25" hidden="1" customHeight="1" x14ac:dyDescent="0.3">
      <c r="A1773" s="2" t="s">
        <v>53</v>
      </c>
      <c r="B1773" s="60" t="s">
        <v>155</v>
      </c>
      <c r="C1773" s="60" t="s">
        <v>249</v>
      </c>
      <c r="D1773" s="68">
        <v>1</v>
      </c>
      <c r="E1773" s="73">
        <v>2228.8000000000002</v>
      </c>
      <c r="F1773" s="79">
        <f>IFERROR(D1773*E1773,0)</f>
        <v>2228.8000000000002</v>
      </c>
      <c r="G1773" s="60" t="str">
        <f>INDEX(SETORES!$B:$B,MATCH(A1773,SETORES!$A:$A,0))</f>
        <v>Clientes</v>
      </c>
      <c r="H1773" s="60" t="s">
        <v>11</v>
      </c>
    </row>
    <row r="1774" spans="1:8" ht="14.25" hidden="1" customHeight="1" x14ac:dyDescent="0.3">
      <c r="A1774" s="58" t="s">
        <v>53</v>
      </c>
      <c r="B1774" s="62" t="s">
        <v>155</v>
      </c>
      <c r="C1774" s="62" t="s">
        <v>158</v>
      </c>
      <c r="D1774" s="70">
        <v>1</v>
      </c>
      <c r="E1774" s="75">
        <v>280.23090000000002</v>
      </c>
      <c r="F1774" s="81">
        <v>280.23090000000002</v>
      </c>
      <c r="G1774" s="62" t="str">
        <f>INDEX(SETORES!$B:$B,MATCH(A1774,SETORES!$A:$A,0))</f>
        <v>Clientes</v>
      </c>
      <c r="H1774" s="62" t="s">
        <v>11</v>
      </c>
    </row>
    <row r="1775" spans="1:8" ht="14.25" hidden="1" customHeight="1" x14ac:dyDescent="0.3">
      <c r="A1775" s="57" t="s">
        <v>53</v>
      </c>
      <c r="B1775" s="63" t="s">
        <v>162</v>
      </c>
      <c r="C1775" s="63" t="s">
        <v>165</v>
      </c>
      <c r="D1775" s="71">
        <v>1</v>
      </c>
      <c r="E1775" s="76">
        <v>6245.8</v>
      </c>
      <c r="F1775" s="82">
        <f>IFERROR(D1775*E1775,0)</f>
        <v>6245.8</v>
      </c>
      <c r="G1775" s="63" t="str">
        <f>INDEX(SETORES!$B:$B,MATCH(A1775,SETORES!$A:$A,0))</f>
        <v>Clientes</v>
      </c>
      <c r="H1775" s="60" t="s">
        <v>11</v>
      </c>
    </row>
    <row r="1776" spans="1:8" ht="14.25" hidden="1" customHeight="1" x14ac:dyDescent="0.3">
      <c r="A1776" s="57" t="s">
        <v>53</v>
      </c>
      <c r="B1776" s="63" t="s">
        <v>155</v>
      </c>
      <c r="C1776" s="63" t="s">
        <v>161</v>
      </c>
      <c r="D1776" s="71">
        <v>1</v>
      </c>
      <c r="E1776" s="76">
        <v>101577.79</v>
      </c>
      <c r="F1776" s="82">
        <f>IFERROR(E1776,0)</f>
        <v>101577.79</v>
      </c>
      <c r="G1776" s="63" t="str">
        <f>INDEX(SETORES!$B:$B,MATCH(A1776,SETORES!$A:$A,0))</f>
        <v>Clientes</v>
      </c>
      <c r="H1776" s="63" t="s">
        <v>11</v>
      </c>
    </row>
    <row r="1777" spans="1:8" ht="14.25" hidden="1" customHeight="1" x14ac:dyDescent="0.3">
      <c r="A1777" s="57" t="s">
        <v>53</v>
      </c>
      <c r="B1777" s="63" t="s">
        <v>155</v>
      </c>
      <c r="C1777" s="63" t="s">
        <v>167</v>
      </c>
      <c r="D1777" s="71">
        <v>32</v>
      </c>
      <c r="E1777" s="76">
        <v>9.85</v>
      </c>
      <c r="F1777" s="82">
        <f>IFERROR(D1777*E1777,0)</f>
        <v>315.2</v>
      </c>
      <c r="G1777" s="63" t="str">
        <f>INDEX(SETORES!$B:$B,MATCH(A1777,SETORES!$A:$A,0))</f>
        <v>Clientes</v>
      </c>
      <c r="H1777" s="63" t="s">
        <v>11</v>
      </c>
    </row>
    <row r="1778" spans="1:8" ht="14.25" hidden="1" customHeight="1" x14ac:dyDescent="0.3">
      <c r="A1778" s="58" t="s">
        <v>53</v>
      </c>
      <c r="B1778" s="62" t="s">
        <v>155</v>
      </c>
      <c r="C1778" s="62" t="s">
        <v>240</v>
      </c>
      <c r="D1778" s="70">
        <v>1</v>
      </c>
      <c r="E1778" s="75">
        <v>6.7147519999999998</v>
      </c>
      <c r="F1778" s="81">
        <f>IFERROR(D1778*E1778,0)</f>
        <v>6.7147519999999998</v>
      </c>
      <c r="G1778" s="62" t="str">
        <f>INDEX(SETORES!$B:$B,MATCH(A1778,SETORES!$A:$A,0))</f>
        <v>Clientes</v>
      </c>
      <c r="H1778" s="62" t="s">
        <v>11</v>
      </c>
    </row>
    <row r="1779" spans="1:8" ht="14.25" hidden="1" customHeight="1" x14ac:dyDescent="0.3">
      <c r="A1779" s="58" t="s">
        <v>53</v>
      </c>
      <c r="B1779" s="62" t="s">
        <v>155</v>
      </c>
      <c r="C1779" s="62" t="s">
        <v>166</v>
      </c>
      <c r="D1779" s="70">
        <v>33</v>
      </c>
      <c r="E1779" s="75">
        <v>50</v>
      </c>
      <c r="F1779" s="81">
        <f>IFERROR(D1779*E1779,0)</f>
        <v>1650</v>
      </c>
      <c r="G1779" s="62" t="str">
        <f>INDEX(SETORES!$B:$B,MATCH(A1779,SETORES!$A:$A,0))</f>
        <v>Clientes</v>
      </c>
      <c r="H1779" s="62" t="s">
        <v>11</v>
      </c>
    </row>
    <row r="1780" spans="1:8" ht="14.25" hidden="1" customHeight="1" x14ac:dyDescent="0.3">
      <c r="A1780" s="58" t="s">
        <v>53</v>
      </c>
      <c r="B1780" s="62" t="s">
        <v>155</v>
      </c>
      <c r="C1780" s="62" t="s">
        <v>156</v>
      </c>
      <c r="D1780" s="70">
        <v>32</v>
      </c>
      <c r="E1780" s="75">
        <v>0.2641</v>
      </c>
      <c r="F1780" s="81">
        <v>8.4512</v>
      </c>
      <c r="G1780" s="62" t="str">
        <f>INDEX(SETORES!$B:$B,MATCH(A1780,SETORES!$A:$A,0))</f>
        <v>Clientes</v>
      </c>
      <c r="H1780" s="62" t="s">
        <v>11</v>
      </c>
    </row>
    <row r="1781" spans="1:8" ht="14.25" hidden="1" customHeight="1" x14ac:dyDescent="0.3">
      <c r="A1781" s="57" t="s">
        <v>53</v>
      </c>
      <c r="B1781" s="63" t="s">
        <v>155</v>
      </c>
      <c r="C1781" s="63" t="s">
        <v>157</v>
      </c>
      <c r="D1781" s="71">
        <v>1</v>
      </c>
      <c r="E1781" s="76">
        <v>1970.135082</v>
      </c>
      <c r="F1781" s="82">
        <v>1970.135082</v>
      </c>
      <c r="G1781" s="63" t="str">
        <f>INDEX(SETORES!$B:$B,MATCH(A1781,SETORES!$A:$A,0))</f>
        <v>Clientes</v>
      </c>
      <c r="H1781" s="60" t="s">
        <v>11</v>
      </c>
    </row>
    <row r="1782" spans="1:8" ht="14.25" hidden="1" customHeight="1" x14ac:dyDescent="0.3">
      <c r="A1782" s="2" t="s">
        <v>53</v>
      </c>
      <c r="B1782" s="60" t="s">
        <v>162</v>
      </c>
      <c r="C1782" s="60" t="s">
        <v>222</v>
      </c>
      <c r="D1782" s="68">
        <v>1</v>
      </c>
      <c r="E1782" s="73">
        <v>5707.48</v>
      </c>
      <c r="F1782" s="79">
        <f>IFERROR(D1782*E1782,0)</f>
        <v>5707.48</v>
      </c>
      <c r="G1782" s="60" t="str">
        <f>INDEX(SETORES!$B:$B,MATCH(A1782,SETORES!$A:$A,0))</f>
        <v>Clientes</v>
      </c>
      <c r="H1782" s="60" t="s">
        <v>11</v>
      </c>
    </row>
    <row r="1783" spans="1:8" ht="14.25" hidden="1" customHeight="1" x14ac:dyDescent="0.3">
      <c r="A1783" s="2" t="s">
        <v>53</v>
      </c>
      <c r="B1783" s="60" t="s">
        <v>155</v>
      </c>
      <c r="C1783" s="60" t="s">
        <v>189</v>
      </c>
      <c r="D1783" s="68">
        <v>1</v>
      </c>
      <c r="E1783" s="73">
        <v>3672.131136</v>
      </c>
      <c r="F1783" s="79">
        <f>IFERROR(D1783*E1783,0)</f>
        <v>3672.131136</v>
      </c>
      <c r="G1783" s="60" t="str">
        <f>INDEX(SETORES!$B:$B,MATCH(A1783,SETORES!$A:$A,0))</f>
        <v>Clientes</v>
      </c>
      <c r="H1783" s="60" t="s">
        <v>11</v>
      </c>
    </row>
    <row r="1784" spans="1:8" ht="14.25" hidden="1" customHeight="1" x14ac:dyDescent="0.3">
      <c r="A1784" s="2" t="s">
        <v>53</v>
      </c>
      <c r="B1784" s="60" t="s">
        <v>155</v>
      </c>
      <c r="C1784" s="60" t="s">
        <v>191</v>
      </c>
      <c r="D1784" s="68">
        <v>1</v>
      </c>
      <c r="E1784" s="73">
        <v>1453.9016320000001</v>
      </c>
      <c r="F1784" s="79">
        <f>IFERROR(D1784*E1784,0)</f>
        <v>1453.9016320000001</v>
      </c>
      <c r="G1784" s="60" t="str">
        <f>INDEX(SETORES!$B:$B,MATCH(A1784,SETORES!$A:$A,0))</f>
        <v>Clientes</v>
      </c>
      <c r="H1784" s="60" t="s">
        <v>11</v>
      </c>
    </row>
    <row r="1785" spans="1:8" ht="14.25" hidden="1" customHeight="1" x14ac:dyDescent="0.3">
      <c r="A1785" s="2" t="s">
        <v>53</v>
      </c>
      <c r="B1785" s="60" t="s">
        <v>155</v>
      </c>
      <c r="C1785" s="60" t="s">
        <v>187</v>
      </c>
      <c r="D1785" s="68">
        <v>1</v>
      </c>
      <c r="E1785" s="73">
        <v>1770.969184</v>
      </c>
      <c r="F1785" s="79">
        <f>IFERROR(D1785*E1785,0)</f>
        <v>1770.969184</v>
      </c>
      <c r="G1785" s="60" t="str">
        <f>INDEX(SETORES!$B:$B,MATCH(A1785,SETORES!$A:$A,0))</f>
        <v>Clientes</v>
      </c>
      <c r="H1785" s="60" t="s">
        <v>11</v>
      </c>
    </row>
    <row r="1786" spans="1:8" ht="14.25" hidden="1" customHeight="1" x14ac:dyDescent="0.3">
      <c r="A1786" s="34" t="s">
        <v>53</v>
      </c>
      <c r="B1786" s="61" t="s">
        <v>155</v>
      </c>
      <c r="C1786" s="61" t="s">
        <v>168</v>
      </c>
      <c r="D1786" s="69">
        <v>32</v>
      </c>
      <c r="E1786" s="74">
        <v>2.04</v>
      </c>
      <c r="F1786" s="80">
        <f>IFERROR(D1786*E1786,0)</f>
        <v>65.28</v>
      </c>
      <c r="G1786" s="61" t="str">
        <f>INDEX(SETORES!$B:$B,MATCH(A1786,SETORES!$A:$A,0))</f>
        <v>Clientes</v>
      </c>
      <c r="H1786" s="61" t="s">
        <v>11</v>
      </c>
    </row>
    <row r="1787" spans="1:8" ht="14.25" hidden="1" customHeight="1" x14ac:dyDescent="0.3">
      <c r="A1787" s="34" t="s">
        <v>53</v>
      </c>
      <c r="B1787" s="61" t="s">
        <v>155</v>
      </c>
      <c r="C1787" s="61" t="s">
        <v>160</v>
      </c>
      <c r="D1787" s="69"/>
      <c r="E1787" s="74"/>
      <c r="F1787" s="80">
        <f>IFERROR(D1787*E1787,0)</f>
        <v>0</v>
      </c>
      <c r="G1787" s="61" t="str">
        <f>INDEX(SETORES!$B:$B,MATCH(A1787,SETORES!$A:$A,0))</f>
        <v>Clientes</v>
      </c>
      <c r="H1787" s="61" t="s">
        <v>11</v>
      </c>
    </row>
    <row r="1788" spans="1:8" ht="14.25" hidden="1" customHeight="1" x14ac:dyDescent="0.3">
      <c r="A1788" s="34" t="s">
        <v>52</v>
      </c>
      <c r="B1788" s="61" t="s">
        <v>155</v>
      </c>
      <c r="C1788" s="61" t="s">
        <v>159</v>
      </c>
      <c r="D1788" s="69">
        <v>1</v>
      </c>
      <c r="E1788" s="74">
        <v>0.2</v>
      </c>
      <c r="F1788" s="80">
        <v>0.2</v>
      </c>
      <c r="G1788" s="61" t="str">
        <f>INDEX(SETORES!$B:$B,MATCH(A1788,SETORES!$A:$A,0))</f>
        <v>Clientes</v>
      </c>
      <c r="H1788" s="61" t="s">
        <v>11</v>
      </c>
    </row>
    <row r="1789" spans="1:8" ht="14.25" hidden="1" customHeight="1" x14ac:dyDescent="0.3">
      <c r="A1789" s="34" t="s">
        <v>52</v>
      </c>
      <c r="B1789" s="61" t="s">
        <v>155</v>
      </c>
      <c r="C1789" s="61" t="s">
        <v>249</v>
      </c>
      <c r="D1789" s="69">
        <v>1</v>
      </c>
      <c r="E1789" s="74">
        <v>557.20000000000005</v>
      </c>
      <c r="F1789" s="80">
        <f>IFERROR(D1789*E1789,0)</f>
        <v>557.20000000000005</v>
      </c>
      <c r="G1789" s="61" t="str">
        <f>INDEX(SETORES!$B:$B,MATCH(A1789,SETORES!$A:$A,0))</f>
        <v>Clientes</v>
      </c>
      <c r="H1789" s="61" t="s">
        <v>11</v>
      </c>
    </row>
    <row r="1790" spans="1:8" ht="14.25" hidden="1" customHeight="1" x14ac:dyDescent="0.3">
      <c r="A1790" s="2" t="s">
        <v>52</v>
      </c>
      <c r="B1790" s="60" t="s">
        <v>155</v>
      </c>
      <c r="C1790" s="60" t="s">
        <v>158</v>
      </c>
      <c r="D1790" s="68">
        <v>1</v>
      </c>
      <c r="E1790" s="73">
        <v>70.057699999999997</v>
      </c>
      <c r="F1790" s="79">
        <v>70.057699999999997</v>
      </c>
      <c r="G1790" s="60" t="str">
        <f>INDEX(SETORES!$B:$B,MATCH(A1790,SETORES!$A:$A,0))</f>
        <v>Clientes</v>
      </c>
      <c r="H1790" s="60" t="s">
        <v>11</v>
      </c>
    </row>
    <row r="1791" spans="1:8" ht="14.25" hidden="1" customHeight="1" x14ac:dyDescent="0.3">
      <c r="A1791" s="34" t="s">
        <v>52</v>
      </c>
      <c r="B1791" s="61" t="s">
        <v>155</v>
      </c>
      <c r="C1791" s="61" t="s">
        <v>161</v>
      </c>
      <c r="D1791" s="69">
        <v>1</v>
      </c>
      <c r="E1791" s="74">
        <v>31846.16</v>
      </c>
      <c r="F1791" s="80">
        <f>IFERROR(E1791,0)</f>
        <v>31846.16</v>
      </c>
      <c r="G1791" s="61" t="str">
        <f>INDEX(SETORES!$B:$B,MATCH(A1791,SETORES!$A:$A,0))</f>
        <v>Clientes</v>
      </c>
      <c r="H1791" s="61" t="s">
        <v>11</v>
      </c>
    </row>
    <row r="1792" spans="1:8" ht="14.25" hidden="1" customHeight="1" x14ac:dyDescent="0.3">
      <c r="A1792" s="34" t="s">
        <v>52</v>
      </c>
      <c r="B1792" s="61" t="s">
        <v>155</v>
      </c>
      <c r="C1792" s="61" t="s">
        <v>167</v>
      </c>
      <c r="D1792" s="69">
        <v>8</v>
      </c>
      <c r="E1792" s="74">
        <v>9.85</v>
      </c>
      <c r="F1792" s="80">
        <f>IFERROR(D1792*E1792,0)</f>
        <v>78.8</v>
      </c>
      <c r="G1792" s="61" t="str">
        <f>INDEX(SETORES!$B:$B,MATCH(A1792,SETORES!$A:$A,0))</f>
        <v>Clientes</v>
      </c>
      <c r="H1792" s="61" t="s">
        <v>11</v>
      </c>
    </row>
    <row r="1793" spans="1:8" ht="14.25" hidden="1" customHeight="1" x14ac:dyDescent="0.3">
      <c r="A1793" s="2" t="s">
        <v>52</v>
      </c>
      <c r="B1793" s="60" t="s">
        <v>155</v>
      </c>
      <c r="C1793" s="60" t="s">
        <v>240</v>
      </c>
      <c r="D1793" s="68">
        <v>1</v>
      </c>
      <c r="E1793" s="73">
        <v>1.678688</v>
      </c>
      <c r="F1793" s="79">
        <f>IFERROR(D1793*E1793,0)</f>
        <v>1.678688</v>
      </c>
      <c r="G1793" s="60" t="str">
        <f>INDEX(SETORES!$B:$B,MATCH(A1793,SETORES!$A:$A,0))</f>
        <v>Clientes</v>
      </c>
      <c r="H1793" s="60" t="s">
        <v>11</v>
      </c>
    </row>
    <row r="1794" spans="1:8" ht="14.25" hidden="1" customHeight="1" x14ac:dyDescent="0.3">
      <c r="A1794" s="2" t="s">
        <v>52</v>
      </c>
      <c r="B1794" s="60" t="s">
        <v>155</v>
      </c>
      <c r="C1794" s="60" t="s">
        <v>166</v>
      </c>
      <c r="D1794" s="68">
        <v>8</v>
      </c>
      <c r="E1794" s="73">
        <v>50</v>
      </c>
      <c r="F1794" s="79">
        <f>IFERROR(D1794*E1794,0)</f>
        <v>400</v>
      </c>
      <c r="G1794" s="60" t="str">
        <f>INDEX(SETORES!$B:$B,MATCH(A1794,SETORES!$A:$A,0))</f>
        <v>Clientes</v>
      </c>
      <c r="H1794" s="60" t="s">
        <v>11</v>
      </c>
    </row>
    <row r="1795" spans="1:8" ht="14.25" hidden="1" customHeight="1" x14ac:dyDescent="0.3">
      <c r="A1795" s="2" t="s">
        <v>52</v>
      </c>
      <c r="B1795" s="60" t="s">
        <v>155</v>
      </c>
      <c r="C1795" s="60" t="s">
        <v>156</v>
      </c>
      <c r="D1795" s="68">
        <v>8</v>
      </c>
      <c r="E1795" s="73">
        <v>0.2641</v>
      </c>
      <c r="F1795" s="79">
        <v>2.1128</v>
      </c>
      <c r="G1795" s="60" t="str">
        <f>INDEX(SETORES!$B:$B,MATCH(A1795,SETORES!$A:$A,0))</f>
        <v>Clientes</v>
      </c>
      <c r="H1795" s="60" t="s">
        <v>11</v>
      </c>
    </row>
    <row r="1796" spans="1:8" ht="14.25" hidden="1" customHeight="1" x14ac:dyDescent="0.3">
      <c r="A1796" s="34" t="s">
        <v>52</v>
      </c>
      <c r="B1796" s="61" t="s">
        <v>155</v>
      </c>
      <c r="C1796" s="61" t="s">
        <v>157</v>
      </c>
      <c r="D1796" s="69">
        <v>1</v>
      </c>
      <c r="E1796" s="74">
        <v>492.53377</v>
      </c>
      <c r="F1796" s="80">
        <v>492.53377</v>
      </c>
      <c r="G1796" s="61" t="str">
        <f>INDEX(SETORES!$B:$B,MATCH(A1796,SETORES!$A:$A,0))</f>
        <v>Clientes</v>
      </c>
      <c r="H1796" s="61" t="s">
        <v>11</v>
      </c>
    </row>
    <row r="1797" spans="1:8" ht="14.25" hidden="1" customHeight="1" x14ac:dyDescent="0.3">
      <c r="A1797" s="34" t="s">
        <v>52</v>
      </c>
      <c r="B1797" s="61" t="s">
        <v>162</v>
      </c>
      <c r="C1797" s="61" t="s">
        <v>222</v>
      </c>
      <c r="D1797" s="69"/>
      <c r="E1797" s="74"/>
      <c r="F1797" s="80">
        <f>IFERROR(D1797*E1797,0)</f>
        <v>0</v>
      </c>
      <c r="G1797" s="61" t="str">
        <f>INDEX(SETORES!$B:$B,MATCH(A1797,SETORES!$A:$A,0))</f>
        <v>Clientes</v>
      </c>
      <c r="H1797" s="61" t="s">
        <v>11</v>
      </c>
    </row>
    <row r="1798" spans="1:8" ht="14.25" hidden="1" customHeight="1" x14ac:dyDescent="0.3">
      <c r="A1798" s="34" t="s">
        <v>52</v>
      </c>
      <c r="B1798" s="61" t="s">
        <v>155</v>
      </c>
      <c r="C1798" s="61" t="s">
        <v>189</v>
      </c>
      <c r="D1798" s="69">
        <v>1</v>
      </c>
      <c r="E1798" s="74">
        <v>918.03278399999999</v>
      </c>
      <c r="F1798" s="80">
        <f>IFERROR(D1798*E1798,0)</f>
        <v>918.03278399999999</v>
      </c>
      <c r="G1798" s="61" t="str">
        <f>INDEX(SETORES!$B:$B,MATCH(A1798,SETORES!$A:$A,0))</f>
        <v>Clientes</v>
      </c>
      <c r="H1798" s="61" t="s">
        <v>11</v>
      </c>
    </row>
    <row r="1799" spans="1:8" ht="14.25" hidden="1" customHeight="1" x14ac:dyDescent="0.3">
      <c r="A1799" s="34" t="s">
        <v>52</v>
      </c>
      <c r="B1799" s="61" t="s">
        <v>155</v>
      </c>
      <c r="C1799" s="61" t="s">
        <v>191</v>
      </c>
      <c r="D1799" s="69">
        <v>1</v>
      </c>
      <c r="E1799" s="74">
        <v>363.47540800000002</v>
      </c>
      <c r="F1799" s="80">
        <f>IFERROR(D1799*E1799,0)</f>
        <v>363.47540800000002</v>
      </c>
      <c r="G1799" s="61" t="str">
        <f>INDEX(SETORES!$B:$B,MATCH(A1799,SETORES!$A:$A,0))</f>
        <v>Clientes</v>
      </c>
      <c r="H1799" s="61" t="s">
        <v>11</v>
      </c>
    </row>
    <row r="1800" spans="1:8" ht="14.25" hidden="1" customHeight="1" x14ac:dyDescent="0.3">
      <c r="A1800" s="34" t="s">
        <v>52</v>
      </c>
      <c r="B1800" s="61" t="s">
        <v>155</v>
      </c>
      <c r="C1800" s="61" t="s">
        <v>187</v>
      </c>
      <c r="D1800" s="69">
        <v>1</v>
      </c>
      <c r="E1800" s="74">
        <v>442.74229600000001</v>
      </c>
      <c r="F1800" s="80">
        <f>IFERROR(D1800*E1800,0)</f>
        <v>442.74229600000001</v>
      </c>
      <c r="G1800" s="61" t="str">
        <f>INDEX(SETORES!$B:$B,MATCH(A1800,SETORES!$A:$A,0))</f>
        <v>Clientes</v>
      </c>
      <c r="H1800" s="61" t="s">
        <v>11</v>
      </c>
    </row>
    <row r="1801" spans="1:8" ht="14.25" hidden="1" customHeight="1" x14ac:dyDescent="0.3">
      <c r="A1801" s="2" t="s">
        <v>52</v>
      </c>
      <c r="B1801" s="60" t="s">
        <v>155</v>
      </c>
      <c r="C1801" s="60" t="s">
        <v>168</v>
      </c>
      <c r="D1801" s="68">
        <v>8</v>
      </c>
      <c r="E1801" s="73">
        <v>2.04</v>
      </c>
      <c r="F1801" s="79">
        <f>IFERROR(D1801*E1801,0)</f>
        <v>16.32</v>
      </c>
      <c r="G1801" s="60" t="str">
        <f>INDEX(SETORES!$B:$B,MATCH(A1801,SETORES!$A:$A,0))</f>
        <v>Clientes</v>
      </c>
      <c r="H1801" s="60" t="s">
        <v>11</v>
      </c>
    </row>
    <row r="1802" spans="1:8" ht="14.25" hidden="1" customHeight="1" x14ac:dyDescent="0.3">
      <c r="A1802" s="2" t="s">
        <v>52</v>
      </c>
      <c r="B1802" s="60" t="s">
        <v>155</v>
      </c>
      <c r="C1802" s="60" t="s">
        <v>160</v>
      </c>
      <c r="D1802" s="68"/>
      <c r="E1802" s="73"/>
      <c r="F1802" s="79">
        <f>IFERROR(D1802*E1802,0)</f>
        <v>0</v>
      </c>
      <c r="G1802" s="60" t="str">
        <f>INDEX(SETORES!$B:$B,MATCH(A1802,SETORES!$A:$A,0))</f>
        <v>Clientes</v>
      </c>
      <c r="H1802" s="60" t="s">
        <v>11</v>
      </c>
    </row>
    <row r="1803" spans="1:8" ht="14.25" hidden="1" customHeight="1" x14ac:dyDescent="0.3">
      <c r="A1803" s="34" t="s">
        <v>51</v>
      </c>
      <c r="B1803" s="61" t="s">
        <v>155</v>
      </c>
      <c r="C1803" s="61" t="s">
        <v>159</v>
      </c>
      <c r="D1803" s="69">
        <v>1</v>
      </c>
      <c r="E1803" s="74">
        <v>0.32500000000000001</v>
      </c>
      <c r="F1803" s="80">
        <v>0.32500000000000001</v>
      </c>
      <c r="G1803" s="61" t="str">
        <f>INDEX(SETORES!$B:$B,MATCH(A1803,SETORES!$A:$A,0))</f>
        <v>Clientes</v>
      </c>
      <c r="H1803" s="61" t="s">
        <v>11</v>
      </c>
    </row>
    <row r="1804" spans="1:8" ht="14.25" hidden="1" customHeight="1" x14ac:dyDescent="0.3">
      <c r="A1804" s="2" t="s">
        <v>51</v>
      </c>
      <c r="B1804" s="60" t="s">
        <v>162</v>
      </c>
      <c r="C1804" s="60" t="s">
        <v>217</v>
      </c>
      <c r="D1804" s="68"/>
      <c r="E1804" s="73"/>
      <c r="F1804" s="79">
        <f>IFERROR(D1804*E1804,0)</f>
        <v>0</v>
      </c>
      <c r="G1804" s="60" t="str">
        <f>INDEX(SETORES!$B:$B,MATCH(A1804,SETORES!$A:$A,0))</f>
        <v>Clientes</v>
      </c>
      <c r="H1804" s="60" t="s">
        <v>11</v>
      </c>
    </row>
    <row r="1805" spans="1:8" ht="14.25" hidden="1" customHeight="1" x14ac:dyDescent="0.3">
      <c r="A1805" s="34" t="s">
        <v>51</v>
      </c>
      <c r="B1805" s="61" t="s">
        <v>155</v>
      </c>
      <c r="C1805" s="61" t="s">
        <v>249</v>
      </c>
      <c r="D1805" s="69">
        <v>1</v>
      </c>
      <c r="E1805" s="74">
        <v>696.5</v>
      </c>
      <c r="F1805" s="80">
        <f>IFERROR(D1805*E1805,0)</f>
        <v>696.5</v>
      </c>
      <c r="G1805" s="61" t="str">
        <f>INDEX(SETORES!$B:$B,MATCH(A1805,SETORES!$A:$A,0))</f>
        <v>Clientes</v>
      </c>
      <c r="H1805" s="61" t="s">
        <v>11</v>
      </c>
    </row>
    <row r="1806" spans="1:8" ht="14.25" hidden="1" customHeight="1" x14ac:dyDescent="0.3">
      <c r="A1806" s="2" t="s">
        <v>51</v>
      </c>
      <c r="B1806" s="60" t="s">
        <v>155</v>
      </c>
      <c r="C1806" s="60" t="s">
        <v>158</v>
      </c>
      <c r="D1806" s="68">
        <v>1</v>
      </c>
      <c r="E1806" s="73">
        <v>113.8438</v>
      </c>
      <c r="F1806" s="79">
        <v>113.8438</v>
      </c>
      <c r="G1806" s="60" t="str">
        <f>INDEX(SETORES!$B:$B,MATCH(A1806,SETORES!$A:$A,0))</f>
        <v>Clientes</v>
      </c>
      <c r="H1806" s="60" t="s">
        <v>11</v>
      </c>
    </row>
    <row r="1807" spans="1:8" ht="14.25" hidden="1" customHeight="1" x14ac:dyDescent="0.3">
      <c r="A1807" s="34" t="s">
        <v>51</v>
      </c>
      <c r="B1807" s="61" t="s">
        <v>155</v>
      </c>
      <c r="C1807" s="61" t="s">
        <v>161</v>
      </c>
      <c r="D1807" s="69">
        <v>1</v>
      </c>
      <c r="E1807" s="74">
        <v>150112.883730445</v>
      </c>
      <c r="F1807" s="80">
        <v>150112.883730445</v>
      </c>
      <c r="G1807" s="61" t="str">
        <f>INDEX(SETORES!$B:$B,MATCH(A1807,SETORES!$A:$A,0))</f>
        <v>Clientes</v>
      </c>
      <c r="H1807" s="61" t="s">
        <v>11</v>
      </c>
    </row>
    <row r="1808" spans="1:8" ht="14.25" hidden="1" customHeight="1" x14ac:dyDescent="0.3">
      <c r="A1808" s="34" t="s">
        <v>51</v>
      </c>
      <c r="B1808" s="61" t="s">
        <v>155</v>
      </c>
      <c r="C1808" s="61" t="s">
        <v>167</v>
      </c>
      <c r="D1808" s="69">
        <v>13</v>
      </c>
      <c r="E1808" s="74">
        <v>9.85</v>
      </c>
      <c r="F1808" s="80">
        <v>128.05000000000001</v>
      </c>
      <c r="G1808" s="61" t="str">
        <f>INDEX(SETORES!$B:$B,MATCH(A1808,SETORES!$A:$A,0))</f>
        <v>Clientes</v>
      </c>
      <c r="H1808" s="61" t="s">
        <v>11</v>
      </c>
    </row>
    <row r="1809" spans="1:8" ht="14.25" hidden="1" customHeight="1" x14ac:dyDescent="0.3">
      <c r="A1809" s="34" t="s">
        <v>51</v>
      </c>
      <c r="B1809" s="61" t="s">
        <v>155</v>
      </c>
      <c r="C1809" s="61" t="s">
        <v>240</v>
      </c>
      <c r="D1809" s="69">
        <v>1</v>
      </c>
      <c r="E1809" s="74">
        <v>2.727868</v>
      </c>
      <c r="F1809" s="80">
        <f>IFERROR(D1809*E1809,0)</f>
        <v>2.727868</v>
      </c>
      <c r="G1809" s="61" t="str">
        <f>INDEX(SETORES!$B:$B,MATCH(A1809,SETORES!$A:$A,0))</f>
        <v>Clientes</v>
      </c>
      <c r="H1809" s="61" t="s">
        <v>11</v>
      </c>
    </row>
    <row r="1810" spans="1:8" ht="14.25" hidden="1" customHeight="1" x14ac:dyDescent="0.3">
      <c r="A1810" s="2" t="s">
        <v>51</v>
      </c>
      <c r="B1810" s="60" t="s">
        <v>155</v>
      </c>
      <c r="C1810" s="60" t="s">
        <v>166</v>
      </c>
      <c r="D1810" s="68">
        <v>14</v>
      </c>
      <c r="E1810" s="73">
        <v>50</v>
      </c>
      <c r="F1810" s="79">
        <f>IFERROR(D1810*E1810,0)</f>
        <v>700</v>
      </c>
      <c r="G1810" s="60" t="str">
        <f>INDEX(SETORES!$B:$B,MATCH(A1810,SETORES!$A:$A,0))</f>
        <v>Clientes</v>
      </c>
      <c r="H1810" s="60" t="s">
        <v>11</v>
      </c>
    </row>
    <row r="1811" spans="1:8" ht="14.25" hidden="1" customHeight="1" x14ac:dyDescent="0.3">
      <c r="A1811" s="2" t="s">
        <v>51</v>
      </c>
      <c r="B1811" s="60" t="s">
        <v>155</v>
      </c>
      <c r="C1811" s="60" t="s">
        <v>156</v>
      </c>
      <c r="D1811" s="68">
        <v>13</v>
      </c>
      <c r="E1811" s="73">
        <v>0.2641</v>
      </c>
      <c r="F1811" s="79">
        <v>3.4333</v>
      </c>
      <c r="G1811" s="60" t="str">
        <f>INDEX(SETORES!$B:$B,MATCH(A1811,SETORES!$A:$A,0))</f>
        <v>Clientes</v>
      </c>
      <c r="H1811" s="60" t="s">
        <v>11</v>
      </c>
    </row>
    <row r="1812" spans="1:8" ht="14.25" hidden="1" customHeight="1" x14ac:dyDescent="0.3">
      <c r="A1812" s="34" t="s">
        <v>51</v>
      </c>
      <c r="B1812" s="61" t="s">
        <v>155</v>
      </c>
      <c r="C1812" s="61" t="s">
        <v>157</v>
      </c>
      <c r="D1812" s="69">
        <v>1</v>
      </c>
      <c r="E1812" s="74">
        <v>800.36737700000003</v>
      </c>
      <c r="F1812" s="80">
        <v>800.36737700000003</v>
      </c>
      <c r="G1812" s="61" t="str">
        <f>INDEX(SETORES!$B:$B,MATCH(A1812,SETORES!$A:$A,0))</f>
        <v>Clientes</v>
      </c>
      <c r="H1812" s="61" t="s">
        <v>11</v>
      </c>
    </row>
    <row r="1813" spans="1:8" ht="14.25" hidden="1" customHeight="1" x14ac:dyDescent="0.3">
      <c r="A1813" s="34" t="s">
        <v>51</v>
      </c>
      <c r="B1813" s="61" t="s">
        <v>162</v>
      </c>
      <c r="C1813" s="61" t="s">
        <v>222</v>
      </c>
      <c r="D1813" s="69"/>
      <c r="E1813" s="74"/>
      <c r="F1813" s="80">
        <f>IFERROR(D1813*E1813,0)</f>
        <v>0</v>
      </c>
      <c r="G1813" s="61" t="str">
        <f>INDEX(SETORES!$B:$B,MATCH(A1813,SETORES!$A:$A,0))</f>
        <v>Clientes</v>
      </c>
      <c r="H1813" s="61" t="s">
        <v>11</v>
      </c>
    </row>
    <row r="1814" spans="1:8" ht="14.25" hidden="1" customHeight="1" x14ac:dyDescent="0.3">
      <c r="A1814" s="34" t="s">
        <v>51</v>
      </c>
      <c r="B1814" s="61" t="s">
        <v>155</v>
      </c>
      <c r="C1814" s="61" t="s">
        <v>189</v>
      </c>
      <c r="D1814" s="69">
        <v>1</v>
      </c>
      <c r="E1814" s="74">
        <v>1491.8032740000001</v>
      </c>
      <c r="F1814" s="80">
        <f>IFERROR(D1814*E1814,0)</f>
        <v>1491.8032740000001</v>
      </c>
      <c r="G1814" s="61" t="str">
        <f>INDEX(SETORES!$B:$B,MATCH(A1814,SETORES!$A:$A,0))</f>
        <v>Clientes</v>
      </c>
      <c r="H1814" s="61" t="s">
        <v>11</v>
      </c>
    </row>
    <row r="1815" spans="1:8" ht="14.25" hidden="1" customHeight="1" x14ac:dyDescent="0.3">
      <c r="A1815" s="34" t="s">
        <v>51</v>
      </c>
      <c r="B1815" s="61" t="s">
        <v>155</v>
      </c>
      <c r="C1815" s="61" t="s">
        <v>191</v>
      </c>
      <c r="D1815" s="69">
        <v>1</v>
      </c>
      <c r="E1815" s="74">
        <v>590.64753800000005</v>
      </c>
      <c r="F1815" s="80">
        <f>IFERROR(D1815*E1815,0)</f>
        <v>590.64753800000005</v>
      </c>
      <c r="G1815" s="61" t="str">
        <f>INDEX(SETORES!$B:$B,MATCH(A1815,SETORES!$A:$A,0))</f>
        <v>Clientes</v>
      </c>
      <c r="H1815" s="61" t="s">
        <v>11</v>
      </c>
    </row>
    <row r="1816" spans="1:8" ht="14.25" hidden="1" customHeight="1" x14ac:dyDescent="0.3">
      <c r="A1816" s="2" t="s">
        <v>51</v>
      </c>
      <c r="B1816" s="60" t="s">
        <v>155</v>
      </c>
      <c r="C1816" s="60" t="s">
        <v>187</v>
      </c>
      <c r="D1816" s="68">
        <v>1</v>
      </c>
      <c r="E1816" s="73">
        <v>719.456231</v>
      </c>
      <c r="F1816" s="79">
        <f>IFERROR(D1816*E1816,0)</f>
        <v>719.456231</v>
      </c>
      <c r="G1816" s="60" t="str">
        <f>INDEX(SETORES!$B:$B,MATCH(A1816,SETORES!$A:$A,0))</f>
        <v>Clientes</v>
      </c>
      <c r="H1816" s="60" t="s">
        <v>11</v>
      </c>
    </row>
    <row r="1817" spans="1:8" ht="14.25" hidden="1" customHeight="1" x14ac:dyDescent="0.3">
      <c r="A1817" s="2" t="s">
        <v>51</v>
      </c>
      <c r="B1817" s="60" t="s">
        <v>155</v>
      </c>
      <c r="C1817" s="60" t="s">
        <v>168</v>
      </c>
      <c r="D1817" s="68">
        <v>13</v>
      </c>
      <c r="E1817" s="73">
        <v>2.04</v>
      </c>
      <c r="F1817" s="79">
        <v>26.52</v>
      </c>
      <c r="G1817" s="60" t="str">
        <f>INDEX(SETORES!$B:$B,MATCH(A1817,SETORES!$A:$A,0))</f>
        <v>Clientes</v>
      </c>
      <c r="H1817" s="60" t="s">
        <v>11</v>
      </c>
    </row>
    <row r="1818" spans="1:8" ht="14.25" hidden="1" customHeight="1" x14ac:dyDescent="0.3">
      <c r="A1818" s="2" t="s">
        <v>51</v>
      </c>
      <c r="B1818" s="60" t="s">
        <v>155</v>
      </c>
      <c r="C1818" s="60" t="s">
        <v>160</v>
      </c>
      <c r="D1818" s="68"/>
      <c r="E1818" s="73"/>
      <c r="F1818" s="79">
        <f>IFERROR(D1818*E1818,0)</f>
        <v>0</v>
      </c>
      <c r="G1818" s="60" t="str">
        <f>INDEX(SETORES!$B:$B,MATCH(A1818,SETORES!$A:$A,0))</f>
        <v>Clientes</v>
      </c>
      <c r="H1818" s="60" t="s">
        <v>11</v>
      </c>
    </row>
    <row r="1819" spans="1:8" ht="14.25" hidden="1" customHeight="1" x14ac:dyDescent="0.3">
      <c r="A1819" s="34" t="s">
        <v>87</v>
      </c>
      <c r="B1819" s="61" t="s">
        <v>155</v>
      </c>
      <c r="C1819" s="61" t="s">
        <v>159</v>
      </c>
      <c r="D1819" s="69">
        <v>1</v>
      </c>
      <c r="E1819" s="74">
        <v>0.125</v>
      </c>
      <c r="F1819" s="80">
        <v>0.125</v>
      </c>
      <c r="G1819" s="61" t="s">
        <v>96</v>
      </c>
      <c r="H1819" s="61" t="s">
        <v>11</v>
      </c>
    </row>
    <row r="1820" spans="1:8" ht="14.25" hidden="1" customHeight="1" x14ac:dyDescent="0.3">
      <c r="A1820" s="34" t="s">
        <v>87</v>
      </c>
      <c r="B1820" s="61" t="s">
        <v>155</v>
      </c>
      <c r="C1820" s="61" t="s">
        <v>212</v>
      </c>
      <c r="D1820" s="69">
        <v>5</v>
      </c>
      <c r="E1820" s="74">
        <v>30</v>
      </c>
      <c r="F1820" s="80">
        <f>IFERROR(D1820*E1820,0)</f>
        <v>150</v>
      </c>
      <c r="G1820" s="61" t="str">
        <f>INDEX(SETORES!$B:$B,MATCH(A1820,SETORES!$A:$A,0))</f>
        <v>Clientes</v>
      </c>
      <c r="H1820" s="61" t="s">
        <v>11</v>
      </c>
    </row>
    <row r="1821" spans="1:8" ht="14.25" hidden="1" customHeight="1" x14ac:dyDescent="0.3">
      <c r="A1821" s="34" t="s">
        <v>87</v>
      </c>
      <c r="B1821" s="61" t="s">
        <v>155</v>
      </c>
      <c r="C1821" s="61" t="s">
        <v>171</v>
      </c>
      <c r="D1821" s="69">
        <v>5</v>
      </c>
      <c r="E1821" s="73">
        <v>51.12</v>
      </c>
      <c r="F1821" s="80">
        <f>IFERROR(D1821*E1821,0)</f>
        <v>255.6</v>
      </c>
      <c r="G1821" s="61" t="s">
        <v>98</v>
      </c>
      <c r="H1821" s="61" t="s">
        <v>11</v>
      </c>
    </row>
    <row r="1822" spans="1:8" ht="14.25" hidden="1" customHeight="1" x14ac:dyDescent="0.3">
      <c r="A1822" s="2" t="s">
        <v>87</v>
      </c>
      <c r="B1822" s="60" t="s">
        <v>155</v>
      </c>
      <c r="C1822" s="60" t="s">
        <v>170</v>
      </c>
      <c r="D1822" s="68">
        <v>5</v>
      </c>
      <c r="E1822" s="73">
        <v>31.33</v>
      </c>
      <c r="F1822" s="79">
        <f>IFERROR(D1822*E1822,0)</f>
        <v>156.64999999999998</v>
      </c>
      <c r="G1822" s="61" t="s">
        <v>98</v>
      </c>
      <c r="H1822" s="60" t="s">
        <v>11</v>
      </c>
    </row>
    <row r="1823" spans="1:8" ht="14.25" customHeight="1" x14ac:dyDescent="0.3">
      <c r="A1823" s="2" t="s">
        <v>87</v>
      </c>
      <c r="B1823" s="60" t="s">
        <v>155</v>
      </c>
      <c r="C1823" s="60" t="s">
        <v>169</v>
      </c>
      <c r="D1823" s="68">
        <v>5</v>
      </c>
      <c r="E1823" s="73">
        <v>63.75</v>
      </c>
      <c r="F1823" s="79">
        <f>IFERROR(D1823*E1823,0)</f>
        <v>318.75</v>
      </c>
      <c r="G1823" s="61" t="s">
        <v>98</v>
      </c>
      <c r="H1823" s="60" t="s">
        <v>11</v>
      </c>
    </row>
    <row r="1824" spans="1:8" ht="14.25" hidden="1" customHeight="1" x14ac:dyDescent="0.3">
      <c r="A1824" s="2" t="s">
        <v>87</v>
      </c>
      <c r="B1824" s="60" t="s">
        <v>155</v>
      </c>
      <c r="C1824" s="60" t="s">
        <v>158</v>
      </c>
      <c r="D1824" s="68">
        <v>1</v>
      </c>
      <c r="E1824" s="73">
        <v>43.786099999999998</v>
      </c>
      <c r="F1824" s="79">
        <v>43.786099999999998</v>
      </c>
      <c r="G1824" s="60" t="s">
        <v>96</v>
      </c>
      <c r="H1824" s="60" t="s">
        <v>11</v>
      </c>
    </row>
    <row r="1825" spans="1:8" ht="14.25" hidden="1" customHeight="1" x14ac:dyDescent="0.3">
      <c r="A1825" s="2" t="s">
        <v>87</v>
      </c>
      <c r="B1825" s="60" t="s">
        <v>155</v>
      </c>
      <c r="C1825" s="60" t="s">
        <v>161</v>
      </c>
      <c r="D1825" s="68">
        <v>1</v>
      </c>
      <c r="E1825" s="73">
        <v>24319.74</v>
      </c>
      <c r="F1825" s="79">
        <f>IFERROR(E1825,0)</f>
        <v>24319.74</v>
      </c>
      <c r="G1825" s="60" t="str">
        <f>INDEX(SETORES!$B:$B,MATCH(A1825,SETORES!$A:$A,0))</f>
        <v>Clientes</v>
      </c>
      <c r="H1825" s="60" t="s">
        <v>11</v>
      </c>
    </row>
    <row r="1826" spans="1:8" ht="14.25" hidden="1" customHeight="1" x14ac:dyDescent="0.3">
      <c r="A1826" s="34" t="s">
        <v>87</v>
      </c>
      <c r="B1826" s="61" t="s">
        <v>155</v>
      </c>
      <c r="C1826" s="61" t="s">
        <v>167</v>
      </c>
      <c r="D1826" s="69">
        <v>5</v>
      </c>
      <c r="E1826" s="74">
        <v>9.85</v>
      </c>
      <c r="F1826" s="80">
        <f>IFERROR(D1826*E1826,0)</f>
        <v>49.25</v>
      </c>
      <c r="G1826" s="61" t="str">
        <f>INDEX(SETORES!$B:$B,MATCH(A1826,SETORES!$A:$A,0))</f>
        <v>Clientes</v>
      </c>
      <c r="H1826" s="61" t="s">
        <v>11</v>
      </c>
    </row>
    <row r="1827" spans="1:8" ht="14.25" hidden="1" customHeight="1" x14ac:dyDescent="0.3">
      <c r="A1827" s="34" t="s">
        <v>87</v>
      </c>
      <c r="B1827" s="61" t="s">
        <v>155</v>
      </c>
      <c r="C1827" s="61" t="s">
        <v>238</v>
      </c>
      <c r="D1827" s="69">
        <v>1</v>
      </c>
      <c r="E1827" s="74">
        <v>5.6818200000000001</v>
      </c>
      <c r="F1827" s="80">
        <f>IFERROR(D1827*E1827,0)</f>
        <v>5.6818200000000001</v>
      </c>
      <c r="G1827" s="61" t="str">
        <f>INDEX(SETORES!$B:$B,MATCH(A1827,SETORES!$A:$A,0))</f>
        <v>Clientes</v>
      </c>
      <c r="H1827" s="61" t="s">
        <v>11</v>
      </c>
    </row>
    <row r="1828" spans="1:8" ht="14.25" hidden="1" customHeight="1" x14ac:dyDescent="0.3">
      <c r="A1828" s="34" t="s">
        <v>87</v>
      </c>
      <c r="B1828" s="61" t="s">
        <v>155</v>
      </c>
      <c r="C1828" s="61" t="s">
        <v>166</v>
      </c>
      <c r="D1828" s="69">
        <v>7</v>
      </c>
      <c r="E1828" s="74">
        <v>92.857142999999994</v>
      </c>
      <c r="F1828" s="80">
        <f>IFERROR(D1828*E1828,0)</f>
        <v>650.000001</v>
      </c>
      <c r="G1828" s="61" t="str">
        <f>INDEX(SETORES!$B:$B,MATCH(A1828,SETORES!$A:$A,0))</f>
        <v>Clientes</v>
      </c>
      <c r="H1828" s="61" t="s">
        <v>11</v>
      </c>
    </row>
    <row r="1829" spans="1:8" ht="14.25" hidden="1" customHeight="1" x14ac:dyDescent="0.3">
      <c r="A1829" s="34" t="s">
        <v>87</v>
      </c>
      <c r="B1829" s="61" t="s">
        <v>155</v>
      </c>
      <c r="C1829" s="61" t="s">
        <v>157</v>
      </c>
      <c r="D1829" s="69">
        <v>1</v>
      </c>
      <c r="E1829" s="74">
        <v>106.53</v>
      </c>
      <c r="F1829" s="80">
        <v>106.53</v>
      </c>
      <c r="G1829" s="61" t="str">
        <f>INDEX(SETORES!$B:$B,MATCH(A1829,SETORES!$A:$A,0))</f>
        <v>Clientes</v>
      </c>
      <c r="H1829" s="61" t="s">
        <v>11</v>
      </c>
    </row>
    <row r="1830" spans="1:8" ht="14.25" hidden="1" customHeight="1" x14ac:dyDescent="0.3">
      <c r="A1830" s="2" t="s">
        <v>87</v>
      </c>
      <c r="B1830" s="60" t="s">
        <v>162</v>
      </c>
      <c r="C1830" s="60" t="s">
        <v>222</v>
      </c>
      <c r="D1830" s="68">
        <v>1</v>
      </c>
      <c r="E1830" s="73">
        <v>6209</v>
      </c>
      <c r="F1830" s="79">
        <f>IFERROR(D1830*E1830,0)</f>
        <v>6209</v>
      </c>
      <c r="G1830" s="60" t="str">
        <f>INDEX(SETORES!$B:$B,MATCH(A1830,SETORES!$A:$A,0))</f>
        <v>Clientes</v>
      </c>
      <c r="H1830" s="60" t="s">
        <v>11</v>
      </c>
    </row>
    <row r="1831" spans="1:8" ht="14.25" hidden="1" customHeight="1" x14ac:dyDescent="0.3">
      <c r="A1831" s="2" t="s">
        <v>87</v>
      </c>
      <c r="B1831" s="60" t="s">
        <v>155</v>
      </c>
      <c r="C1831" s="60" t="s">
        <v>168</v>
      </c>
      <c r="D1831" s="68">
        <v>5</v>
      </c>
      <c r="E1831" s="73">
        <v>2.04</v>
      </c>
      <c r="F1831" s="79">
        <f>IFERROR(D1831*E1831,0)</f>
        <v>10.199999999999999</v>
      </c>
      <c r="G1831" s="60" t="str">
        <f>INDEX(SETORES!$B:$B,MATCH(A1831,SETORES!$A:$A,0))</f>
        <v>Clientes</v>
      </c>
      <c r="H1831" s="60" t="s">
        <v>11</v>
      </c>
    </row>
    <row r="1832" spans="1:8" ht="14.25" hidden="1" customHeight="1" x14ac:dyDescent="0.3">
      <c r="A1832" s="2" t="s">
        <v>55</v>
      </c>
      <c r="B1832" s="60" t="s">
        <v>155</v>
      </c>
      <c r="C1832" s="60" t="s">
        <v>236</v>
      </c>
      <c r="D1832" s="68">
        <v>1</v>
      </c>
      <c r="E1832" s="73">
        <v>21454</v>
      </c>
      <c r="F1832" s="79">
        <f>IFERROR(D1832*E1832,0)</f>
        <v>21454</v>
      </c>
      <c r="G1832" s="60" t="str">
        <f>INDEX(SETORES!$B:$B,MATCH(A1832,SETORES!$A:$A,0))</f>
        <v>Funcionários</v>
      </c>
      <c r="H1832" s="60" t="s">
        <v>20</v>
      </c>
    </row>
    <row r="1833" spans="1:8" ht="14.25" hidden="1" customHeight="1" x14ac:dyDescent="0.3">
      <c r="A1833" s="2" t="s">
        <v>55</v>
      </c>
      <c r="B1833" s="60" t="s">
        <v>155</v>
      </c>
      <c r="C1833" s="60" t="s">
        <v>185</v>
      </c>
      <c r="D1833" s="68">
        <v>1</v>
      </c>
      <c r="E1833" s="73">
        <v>99</v>
      </c>
      <c r="F1833" s="79">
        <f>IFERROR(D1833*E1833,0)</f>
        <v>99</v>
      </c>
      <c r="G1833" s="60" t="str">
        <f>INDEX(SETORES!$B:$B,MATCH(A1833,SETORES!$A:$A,0))</f>
        <v>Funcionários</v>
      </c>
      <c r="H1833" s="60" t="s">
        <v>20</v>
      </c>
    </row>
    <row r="1834" spans="1:8" ht="14.25" hidden="1" customHeight="1" x14ac:dyDescent="0.3">
      <c r="A1834" s="35" t="s">
        <v>55</v>
      </c>
      <c r="B1834" s="66" t="s">
        <v>155</v>
      </c>
      <c r="C1834" s="66" t="s">
        <v>257</v>
      </c>
      <c r="D1834" s="66">
        <v>1</v>
      </c>
      <c r="E1834" s="78">
        <v>436</v>
      </c>
      <c r="F1834" s="78">
        <f>D1834*E1834</f>
        <v>436</v>
      </c>
      <c r="G1834" s="66" t="s">
        <v>98</v>
      </c>
      <c r="H1834" s="66" t="s">
        <v>20</v>
      </c>
    </row>
    <row r="1835" spans="1:8" ht="14.25" hidden="1" customHeight="1" x14ac:dyDescent="0.3">
      <c r="A1835" s="2" t="s">
        <v>55</v>
      </c>
      <c r="B1835" s="60" t="s">
        <v>155</v>
      </c>
      <c r="C1835" s="60" t="s">
        <v>243</v>
      </c>
      <c r="D1835" s="68">
        <v>1</v>
      </c>
      <c r="E1835" s="73">
        <v>1787.15</v>
      </c>
      <c r="F1835" s="79">
        <f>IFERROR(D1835*E1835,0)</f>
        <v>1787.15</v>
      </c>
      <c r="G1835" s="60" t="str">
        <f>INDEX(SETORES!$B:$B,MATCH(A1835,SETORES!$A:$A,0))</f>
        <v>Funcionários</v>
      </c>
      <c r="H1835" s="60" t="s">
        <v>20</v>
      </c>
    </row>
    <row r="1836" spans="1:8" ht="14.25" hidden="1" customHeight="1" x14ac:dyDescent="0.3">
      <c r="A1836" s="34" t="s">
        <v>137</v>
      </c>
      <c r="B1836" s="61" t="s">
        <v>155</v>
      </c>
      <c r="C1836" s="61" t="s">
        <v>212</v>
      </c>
      <c r="D1836" s="69">
        <v>1</v>
      </c>
      <c r="E1836" s="74">
        <v>30</v>
      </c>
      <c r="F1836" s="80">
        <f>IFERROR(D1836*E1836,0)</f>
        <v>30</v>
      </c>
      <c r="G1836" s="61" t="str">
        <f>INDEX(SETORES!$B:$B,MATCH(A1836,SETORES!$A:$A,0))</f>
        <v>Clientes</v>
      </c>
      <c r="H1836" s="61" t="s">
        <v>20</v>
      </c>
    </row>
    <row r="1837" spans="1:8" ht="14.25" hidden="1" customHeight="1" x14ac:dyDescent="0.3">
      <c r="A1837" s="2" t="s">
        <v>137</v>
      </c>
      <c r="B1837" s="60" t="s">
        <v>155</v>
      </c>
      <c r="C1837" s="60" t="s">
        <v>248</v>
      </c>
      <c r="D1837" s="68">
        <v>1</v>
      </c>
      <c r="E1837" s="73">
        <v>1128.6400000000001</v>
      </c>
      <c r="F1837" s="79">
        <f>IFERROR(D1837*E1837,0)</f>
        <v>1128.6400000000001</v>
      </c>
      <c r="G1837" s="60" t="str">
        <f>INDEX(SETORES!$B:$B,MATCH(A1837,SETORES!$A:$A,0))</f>
        <v>Clientes</v>
      </c>
      <c r="H1837" s="60" t="s">
        <v>20</v>
      </c>
    </row>
    <row r="1838" spans="1:8" ht="14.25" hidden="1" customHeight="1" x14ac:dyDescent="0.3">
      <c r="A1838" s="2" t="s">
        <v>137</v>
      </c>
      <c r="B1838" s="60" t="s">
        <v>155</v>
      </c>
      <c r="C1838" s="60" t="s">
        <v>171</v>
      </c>
      <c r="D1838" s="68">
        <v>2</v>
      </c>
      <c r="E1838" s="73">
        <v>47.79</v>
      </c>
      <c r="F1838" s="79">
        <f>IFERROR(D1838*E1838,0)</f>
        <v>95.58</v>
      </c>
      <c r="G1838" s="60" t="s">
        <v>98</v>
      </c>
      <c r="H1838" s="60" t="s">
        <v>20</v>
      </c>
    </row>
    <row r="1839" spans="1:8" ht="14.25" hidden="1" customHeight="1" x14ac:dyDescent="0.3">
      <c r="A1839" s="2" t="s">
        <v>137</v>
      </c>
      <c r="B1839" s="60" t="s">
        <v>155</v>
      </c>
      <c r="C1839" s="60" t="s">
        <v>170</v>
      </c>
      <c r="D1839" s="68">
        <v>2</v>
      </c>
      <c r="E1839" s="73">
        <v>28.31</v>
      </c>
      <c r="F1839" s="79">
        <f>IFERROR(D1839*E1839,0)</f>
        <v>56.62</v>
      </c>
      <c r="G1839" s="61" t="s">
        <v>98</v>
      </c>
      <c r="H1839" s="60" t="s">
        <v>20</v>
      </c>
    </row>
    <row r="1840" spans="1:8" ht="14.25" customHeight="1" x14ac:dyDescent="0.3">
      <c r="A1840" s="2" t="s">
        <v>137</v>
      </c>
      <c r="B1840" s="60" t="s">
        <v>155</v>
      </c>
      <c r="C1840" s="60" t="s">
        <v>169</v>
      </c>
      <c r="D1840" s="68">
        <v>2</v>
      </c>
      <c r="E1840" s="73">
        <v>64.569999999999993</v>
      </c>
      <c r="F1840" s="79">
        <f>IFERROR(D1840*E1840,0)</f>
        <v>129.13999999999999</v>
      </c>
      <c r="G1840" s="61" t="s">
        <v>98</v>
      </c>
      <c r="H1840" s="60" t="s">
        <v>20</v>
      </c>
    </row>
    <row r="1841" spans="1:8" ht="14.25" hidden="1" customHeight="1" x14ac:dyDescent="0.3">
      <c r="A1841" s="34" t="s">
        <v>137</v>
      </c>
      <c r="B1841" s="61" t="s">
        <v>155</v>
      </c>
      <c r="C1841" s="61" t="s">
        <v>158</v>
      </c>
      <c r="D1841" s="69">
        <v>1</v>
      </c>
      <c r="E1841" s="74">
        <v>17.021599999999999</v>
      </c>
      <c r="F1841" s="80">
        <v>17.021599999999999</v>
      </c>
      <c r="G1841" s="61" t="s">
        <v>96</v>
      </c>
      <c r="H1841" s="61" t="s">
        <v>20</v>
      </c>
    </row>
    <row r="1842" spans="1:8" ht="14.25" hidden="1" customHeight="1" x14ac:dyDescent="0.3">
      <c r="A1842" s="2" t="s">
        <v>137</v>
      </c>
      <c r="B1842" s="60" t="s">
        <v>155</v>
      </c>
      <c r="C1842" s="60" t="s">
        <v>161</v>
      </c>
      <c r="D1842" s="68">
        <v>1</v>
      </c>
      <c r="E1842" s="73">
        <v>6292.45</v>
      </c>
      <c r="F1842" s="79">
        <f>IFERROR(E1842,0)</f>
        <v>6292.45</v>
      </c>
      <c r="G1842" s="60" t="str">
        <f>INDEX(SETORES!$B:$B,MATCH(A1842,SETORES!$A:$A,0))</f>
        <v>Clientes</v>
      </c>
      <c r="H1842" s="60" t="s">
        <v>20</v>
      </c>
    </row>
    <row r="1843" spans="1:8" ht="14.25" hidden="1" customHeight="1" x14ac:dyDescent="0.3">
      <c r="A1843" s="2" t="s">
        <v>137</v>
      </c>
      <c r="B1843" s="60" t="s">
        <v>155</v>
      </c>
      <c r="C1843" s="60" t="s">
        <v>167</v>
      </c>
      <c r="D1843" s="68">
        <v>2</v>
      </c>
      <c r="E1843" s="73">
        <v>10.050000000000001</v>
      </c>
      <c r="F1843" s="79">
        <f>IFERROR(D1843*E1843,0)</f>
        <v>20.100000000000001</v>
      </c>
      <c r="G1843" s="60" t="str">
        <f>INDEX(SETORES!$B:$B,MATCH(A1843,SETORES!$A:$A,0))</f>
        <v>Clientes</v>
      </c>
      <c r="H1843" s="60" t="s">
        <v>20</v>
      </c>
    </row>
    <row r="1844" spans="1:8" ht="14.25" hidden="1" customHeight="1" x14ac:dyDescent="0.3">
      <c r="A1844" s="34" t="s">
        <v>137</v>
      </c>
      <c r="B1844" s="61" t="s">
        <v>155</v>
      </c>
      <c r="C1844" s="61" t="s">
        <v>168</v>
      </c>
      <c r="D1844" s="69">
        <v>2</v>
      </c>
      <c r="E1844" s="74">
        <v>2.0699999999999998</v>
      </c>
      <c r="F1844" s="80">
        <f>IFERROR(D1844*E1844,0)</f>
        <v>4.1399999999999997</v>
      </c>
      <c r="G1844" s="61" t="str">
        <f>INDEX(SETORES!$B:$B,MATCH(A1844,SETORES!$A:$A,0))</f>
        <v>Clientes</v>
      </c>
      <c r="H1844" s="61" t="s">
        <v>20</v>
      </c>
    </row>
    <row r="1845" spans="1:8" ht="14.25" hidden="1" customHeight="1" x14ac:dyDescent="0.3">
      <c r="A1845" s="34" t="s">
        <v>35</v>
      </c>
      <c r="B1845" s="61" t="s">
        <v>155</v>
      </c>
      <c r="C1845" s="61" t="s">
        <v>159</v>
      </c>
      <c r="D1845" s="69">
        <v>1</v>
      </c>
      <c r="E1845" s="74">
        <v>0</v>
      </c>
      <c r="F1845" s="80">
        <v>0</v>
      </c>
      <c r="G1845" s="61" t="str">
        <f>INDEX(SETORES!$B:$B,MATCH(A1845,SETORES!$A:$A,0))</f>
        <v>Clientes</v>
      </c>
      <c r="H1845" s="61" t="s">
        <v>20</v>
      </c>
    </row>
    <row r="1846" spans="1:8" ht="14.25" hidden="1" customHeight="1" x14ac:dyDescent="0.3">
      <c r="A1846" s="34" t="s">
        <v>35</v>
      </c>
      <c r="B1846" s="61" t="s">
        <v>155</v>
      </c>
      <c r="C1846" s="61" t="s">
        <v>212</v>
      </c>
      <c r="D1846" s="69">
        <v>1</v>
      </c>
      <c r="E1846" s="74">
        <v>30</v>
      </c>
      <c r="F1846" s="80">
        <f>IFERROR(D1846*E1846,0)</f>
        <v>30</v>
      </c>
      <c r="G1846" s="61" t="str">
        <f>INDEX(SETORES!$B:$B,MATCH(A1846,SETORES!$A:$A,0))</f>
        <v>Clientes</v>
      </c>
      <c r="H1846" s="61" t="s">
        <v>20</v>
      </c>
    </row>
    <row r="1847" spans="1:8" ht="14.25" hidden="1" customHeight="1" x14ac:dyDescent="0.3">
      <c r="A1847" s="34" t="s">
        <v>35</v>
      </c>
      <c r="B1847" s="61" t="s">
        <v>155</v>
      </c>
      <c r="C1847" s="61" t="s">
        <v>248</v>
      </c>
      <c r="D1847" s="69">
        <v>1</v>
      </c>
      <c r="E1847" s="74">
        <v>2257.2800000000002</v>
      </c>
      <c r="F1847" s="80">
        <f>IFERROR(D1847*E1847,0)</f>
        <v>2257.2800000000002</v>
      </c>
      <c r="G1847" s="61" t="str">
        <f>INDEX(SETORES!$B:$B,MATCH(A1847,SETORES!$A:$A,0))</f>
        <v>Clientes</v>
      </c>
      <c r="H1847" s="61" t="s">
        <v>20</v>
      </c>
    </row>
    <row r="1848" spans="1:8" ht="14.25" hidden="1" customHeight="1" x14ac:dyDescent="0.3">
      <c r="A1848" s="2" t="s">
        <v>35</v>
      </c>
      <c r="B1848" s="60" t="s">
        <v>155</v>
      </c>
      <c r="C1848" s="60" t="s">
        <v>171</v>
      </c>
      <c r="D1848" s="68">
        <v>4</v>
      </c>
      <c r="E1848" s="73">
        <v>47.79</v>
      </c>
      <c r="F1848" s="79">
        <f>IFERROR(D1848*E1848,0)</f>
        <v>191.16</v>
      </c>
      <c r="G1848" s="60" t="s">
        <v>98</v>
      </c>
      <c r="H1848" s="60" t="s">
        <v>20</v>
      </c>
    </row>
    <row r="1849" spans="1:8" ht="14.25" hidden="1" customHeight="1" x14ac:dyDescent="0.3">
      <c r="A1849" s="34" t="s">
        <v>35</v>
      </c>
      <c r="B1849" s="61" t="s">
        <v>155</v>
      </c>
      <c r="C1849" s="61" t="s">
        <v>170</v>
      </c>
      <c r="D1849" s="69">
        <v>4</v>
      </c>
      <c r="E1849" s="74">
        <v>28.31</v>
      </c>
      <c r="F1849" s="80">
        <f>IFERROR(D1849*E1849,0)</f>
        <v>113.24</v>
      </c>
      <c r="G1849" s="61" t="s">
        <v>98</v>
      </c>
      <c r="H1849" s="61" t="s">
        <v>20</v>
      </c>
    </row>
    <row r="1850" spans="1:8" ht="14.25" customHeight="1" x14ac:dyDescent="0.3">
      <c r="A1850" s="2" t="s">
        <v>35</v>
      </c>
      <c r="B1850" s="60" t="s">
        <v>155</v>
      </c>
      <c r="C1850" s="60" t="s">
        <v>169</v>
      </c>
      <c r="D1850" s="68">
        <v>4</v>
      </c>
      <c r="E1850" s="73">
        <v>64.569999999999993</v>
      </c>
      <c r="F1850" s="79">
        <f>IFERROR(D1850*E1850,0)</f>
        <v>258.27999999999997</v>
      </c>
      <c r="G1850" s="61" t="s">
        <v>98</v>
      </c>
      <c r="H1850" s="60" t="s">
        <v>20</v>
      </c>
    </row>
    <row r="1851" spans="1:8" ht="14.25" hidden="1" customHeight="1" x14ac:dyDescent="0.3">
      <c r="A1851" s="2" t="s">
        <v>35</v>
      </c>
      <c r="B1851" s="60" t="s">
        <v>155</v>
      </c>
      <c r="C1851" s="60" t="s">
        <v>158</v>
      </c>
      <c r="D1851" s="68">
        <v>1</v>
      </c>
      <c r="E1851" s="73">
        <v>34.043199999999999</v>
      </c>
      <c r="F1851" s="79">
        <v>34.043199999999999</v>
      </c>
      <c r="G1851" s="60" t="str">
        <f>INDEX(SETORES!$B:$B,MATCH(A1851,SETORES!$A:$A,0))</f>
        <v>Clientes</v>
      </c>
      <c r="H1851" s="60" t="s">
        <v>20</v>
      </c>
    </row>
    <row r="1852" spans="1:8" ht="14.25" hidden="1" customHeight="1" x14ac:dyDescent="0.3">
      <c r="A1852" s="2" t="s">
        <v>35</v>
      </c>
      <c r="B1852" s="60" t="s">
        <v>162</v>
      </c>
      <c r="C1852" s="60" t="s">
        <v>165</v>
      </c>
      <c r="D1852" s="68">
        <v>1</v>
      </c>
      <c r="E1852" s="73">
        <v>950</v>
      </c>
      <c r="F1852" s="79">
        <f>IFERROR(D1852*E1852,0)</f>
        <v>950</v>
      </c>
      <c r="G1852" s="60" t="str">
        <f>INDEX(SETORES!$B:$B,MATCH(A1852,SETORES!$A:$A,0))</f>
        <v>Clientes</v>
      </c>
      <c r="H1852" s="60" t="s">
        <v>20</v>
      </c>
    </row>
    <row r="1853" spans="1:8" ht="14.25" hidden="1" customHeight="1" x14ac:dyDescent="0.3">
      <c r="A1853" s="2" t="s">
        <v>35</v>
      </c>
      <c r="B1853" s="60" t="s">
        <v>162</v>
      </c>
      <c r="C1853" s="60" t="s">
        <v>163</v>
      </c>
      <c r="D1853" s="68">
        <v>1</v>
      </c>
      <c r="E1853" s="73">
        <v>174</v>
      </c>
      <c r="F1853" s="79">
        <f>IFERROR(D1853*E1853,0)</f>
        <v>174</v>
      </c>
      <c r="G1853" s="60" t="str">
        <f>INDEX(SETORES!$B:$B,MATCH(A1853,SETORES!$A:$A,0))</f>
        <v>Clientes</v>
      </c>
      <c r="H1853" s="60" t="s">
        <v>20</v>
      </c>
    </row>
    <row r="1854" spans="1:8" ht="14.25" hidden="1" customHeight="1" x14ac:dyDescent="0.3">
      <c r="A1854" s="34" t="s">
        <v>35</v>
      </c>
      <c r="B1854" s="61" t="s">
        <v>162</v>
      </c>
      <c r="C1854" s="61" t="s">
        <v>164</v>
      </c>
      <c r="D1854" s="69">
        <v>1</v>
      </c>
      <c r="E1854" s="74">
        <v>38</v>
      </c>
      <c r="F1854" s="80">
        <f>IFERROR(D1854*E1854,0)</f>
        <v>38</v>
      </c>
      <c r="G1854" s="61" t="str">
        <f>INDEX(SETORES!$B:$B,MATCH(A1854,SETORES!$A:$A,0))</f>
        <v>Clientes</v>
      </c>
      <c r="H1854" s="61" t="s">
        <v>20</v>
      </c>
    </row>
    <row r="1855" spans="1:8" ht="14.25" hidden="1" customHeight="1" x14ac:dyDescent="0.3">
      <c r="A1855" s="34" t="s">
        <v>35</v>
      </c>
      <c r="B1855" s="61" t="s">
        <v>155</v>
      </c>
      <c r="C1855" s="61" t="s">
        <v>161</v>
      </c>
      <c r="D1855" s="69">
        <v>1</v>
      </c>
      <c r="E1855" s="74">
        <v>12057.21</v>
      </c>
      <c r="F1855" s="80">
        <f>IFERROR(E1855,0)</f>
        <v>12057.21</v>
      </c>
      <c r="G1855" s="61" t="str">
        <f>INDEX(SETORES!$B:$B,MATCH(A1855,SETORES!$A:$A,0))</f>
        <v>Clientes</v>
      </c>
      <c r="H1855" s="61" t="s">
        <v>20</v>
      </c>
    </row>
    <row r="1856" spans="1:8" ht="14.25" hidden="1" customHeight="1" x14ac:dyDescent="0.3">
      <c r="A1856" s="2" t="s">
        <v>35</v>
      </c>
      <c r="B1856" s="60" t="s">
        <v>155</v>
      </c>
      <c r="C1856" s="60" t="s">
        <v>167</v>
      </c>
      <c r="D1856" s="68">
        <v>4</v>
      </c>
      <c r="E1856" s="73">
        <v>10.050000000000001</v>
      </c>
      <c r="F1856" s="79">
        <f>IFERROR(D1856*E1856,0)</f>
        <v>40.200000000000003</v>
      </c>
      <c r="G1856" s="60" t="str">
        <f>INDEX(SETORES!$B:$B,MATCH(A1856,SETORES!$A:$A,0))</f>
        <v>Clientes</v>
      </c>
      <c r="H1856" s="60" t="s">
        <v>20</v>
      </c>
    </row>
    <row r="1857" spans="1:8" ht="14.25" hidden="1" customHeight="1" x14ac:dyDescent="0.3">
      <c r="A1857" s="34" t="s">
        <v>35</v>
      </c>
      <c r="B1857" s="61" t="s">
        <v>155</v>
      </c>
      <c r="C1857" s="61" t="s">
        <v>166</v>
      </c>
      <c r="D1857" s="69">
        <v>3</v>
      </c>
      <c r="E1857" s="74">
        <v>50</v>
      </c>
      <c r="F1857" s="80">
        <f>IFERROR(D1857*E1857,0)</f>
        <v>150</v>
      </c>
      <c r="G1857" s="61" t="str">
        <f>INDEX(SETORES!$B:$B,MATCH(A1857,SETORES!$A:$A,0))</f>
        <v>Clientes</v>
      </c>
      <c r="H1857" s="61" t="s">
        <v>20</v>
      </c>
    </row>
    <row r="1858" spans="1:8" ht="14.25" hidden="1" customHeight="1" x14ac:dyDescent="0.3">
      <c r="A1858" s="2" t="s">
        <v>35</v>
      </c>
      <c r="B1858" s="60" t="s">
        <v>155</v>
      </c>
      <c r="C1858" s="60" t="s">
        <v>156</v>
      </c>
      <c r="D1858" s="68"/>
      <c r="E1858" s="73"/>
      <c r="F1858" s="79">
        <v>0</v>
      </c>
      <c r="G1858" s="60" t="str">
        <f>INDEX(SETORES!$B:$B,MATCH(A1858,SETORES!$A:$A,0))</f>
        <v>Clientes</v>
      </c>
      <c r="H1858" s="60" t="s">
        <v>20</v>
      </c>
    </row>
    <row r="1859" spans="1:8" ht="14.25" hidden="1" customHeight="1" x14ac:dyDescent="0.3">
      <c r="A1859" s="34" t="s">
        <v>35</v>
      </c>
      <c r="B1859" s="61" t="s">
        <v>155</v>
      </c>
      <c r="C1859" s="61" t="s">
        <v>157</v>
      </c>
      <c r="D1859" s="69">
        <v>1</v>
      </c>
      <c r="E1859" s="74">
        <v>65.2</v>
      </c>
      <c r="F1859" s="80">
        <v>65.2</v>
      </c>
      <c r="G1859" s="61" t="str">
        <f>INDEX(SETORES!$B:$B,MATCH(A1859,SETORES!$A:$A,0))</f>
        <v>Clientes</v>
      </c>
      <c r="H1859" s="61" t="s">
        <v>20</v>
      </c>
    </row>
    <row r="1860" spans="1:8" ht="14.25" hidden="1" customHeight="1" x14ac:dyDescent="0.3">
      <c r="A1860" s="34" t="s">
        <v>35</v>
      </c>
      <c r="B1860" s="61" t="s">
        <v>155</v>
      </c>
      <c r="C1860" s="61" t="s">
        <v>168</v>
      </c>
      <c r="D1860" s="69">
        <v>4</v>
      </c>
      <c r="E1860" s="74">
        <v>2.0699999999999998</v>
      </c>
      <c r="F1860" s="80">
        <f>IFERROR(D1860*E1860,0)</f>
        <v>8.2799999999999994</v>
      </c>
      <c r="G1860" s="61" t="str">
        <f>INDEX(SETORES!$B:$B,MATCH(A1860,SETORES!$A:$A,0))</f>
        <v>Clientes</v>
      </c>
      <c r="H1860" s="61" t="s">
        <v>20</v>
      </c>
    </row>
    <row r="1861" spans="1:8" ht="14.25" hidden="1" customHeight="1" x14ac:dyDescent="0.3">
      <c r="A1861" s="2" t="s">
        <v>35</v>
      </c>
      <c r="B1861" s="60" t="s">
        <v>155</v>
      </c>
      <c r="C1861" s="60" t="s">
        <v>160</v>
      </c>
      <c r="D1861" s="68"/>
      <c r="E1861" s="73"/>
      <c r="F1861" s="79">
        <f>IFERROR(D1861*E1861,0)</f>
        <v>0</v>
      </c>
      <c r="G1861" s="60" t="str">
        <f>INDEX(SETORES!$B:$B,MATCH(A1861,SETORES!$A:$A,0))</f>
        <v>Clientes</v>
      </c>
      <c r="H1861" s="60" t="s">
        <v>20</v>
      </c>
    </row>
    <row r="1862" spans="1:8" ht="14.25" hidden="1" customHeight="1" x14ac:dyDescent="0.3">
      <c r="A1862" s="2" t="s">
        <v>38</v>
      </c>
      <c r="B1862" s="60" t="s">
        <v>155</v>
      </c>
      <c r="C1862" s="60" t="s">
        <v>159</v>
      </c>
      <c r="D1862" s="68">
        <v>1</v>
      </c>
      <c r="E1862" s="73">
        <v>0</v>
      </c>
      <c r="F1862" s="79">
        <v>0</v>
      </c>
      <c r="G1862" s="60" t="str">
        <f>INDEX(SETORES!$B:$B,MATCH(A1862,SETORES!$A:$A,0))</f>
        <v>Clientes</v>
      </c>
      <c r="H1862" s="60" t="s">
        <v>20</v>
      </c>
    </row>
    <row r="1863" spans="1:8" ht="14.25" hidden="1" customHeight="1" x14ac:dyDescent="0.3">
      <c r="A1863" s="2" t="s">
        <v>38</v>
      </c>
      <c r="B1863" s="60" t="s">
        <v>155</v>
      </c>
      <c r="C1863" s="60" t="s">
        <v>249</v>
      </c>
      <c r="D1863" s="68">
        <v>1</v>
      </c>
      <c r="E1863" s="73">
        <v>1459.1</v>
      </c>
      <c r="F1863" s="79">
        <f>IFERROR(D1863*E1863,0)</f>
        <v>1459.1</v>
      </c>
      <c r="G1863" s="60" t="str">
        <f>INDEX(SETORES!$B:$B,MATCH(A1863,SETORES!$A:$A,0))</f>
        <v>Clientes</v>
      </c>
      <c r="H1863" s="60" t="s">
        <v>20</v>
      </c>
    </row>
    <row r="1864" spans="1:8" ht="14.25" hidden="1" customHeight="1" x14ac:dyDescent="0.3">
      <c r="A1864" s="34" t="s">
        <v>38</v>
      </c>
      <c r="B1864" s="61" t="s">
        <v>155</v>
      </c>
      <c r="C1864" s="61" t="s">
        <v>171</v>
      </c>
      <c r="D1864" s="69">
        <v>12</v>
      </c>
      <c r="E1864" s="74">
        <v>47.79</v>
      </c>
      <c r="F1864" s="80">
        <f>IFERROR(D1864*E1864,0)</f>
        <v>573.48</v>
      </c>
      <c r="G1864" s="60" t="s">
        <v>98</v>
      </c>
      <c r="H1864" s="61" t="s">
        <v>20</v>
      </c>
    </row>
    <row r="1865" spans="1:8" ht="14.25" hidden="1" customHeight="1" x14ac:dyDescent="0.3">
      <c r="A1865" s="2" t="s">
        <v>38</v>
      </c>
      <c r="B1865" s="60" t="s">
        <v>155</v>
      </c>
      <c r="C1865" s="60" t="s">
        <v>170</v>
      </c>
      <c r="D1865" s="68">
        <v>12</v>
      </c>
      <c r="E1865" s="73">
        <v>28.31</v>
      </c>
      <c r="F1865" s="79">
        <f>IFERROR(D1865*E1865,0)</f>
        <v>339.71999999999997</v>
      </c>
      <c r="G1865" s="61" t="s">
        <v>98</v>
      </c>
      <c r="H1865" s="60" t="s">
        <v>20</v>
      </c>
    </row>
    <row r="1866" spans="1:8" ht="14.25" customHeight="1" x14ac:dyDescent="0.3">
      <c r="A1866" s="34" t="s">
        <v>38</v>
      </c>
      <c r="B1866" s="61" t="s">
        <v>155</v>
      </c>
      <c r="C1866" s="61" t="s">
        <v>169</v>
      </c>
      <c r="D1866" s="69">
        <v>12</v>
      </c>
      <c r="E1866" s="74">
        <v>64.569999999999993</v>
      </c>
      <c r="F1866" s="80">
        <f>IFERROR(D1866*E1866,0)</f>
        <v>774.83999999999992</v>
      </c>
      <c r="G1866" s="61" t="s">
        <v>98</v>
      </c>
      <c r="H1866" s="61" t="s">
        <v>20</v>
      </c>
    </row>
    <row r="1867" spans="1:8" ht="14.25" hidden="1" customHeight="1" x14ac:dyDescent="0.3">
      <c r="A1867" s="2" t="s">
        <v>38</v>
      </c>
      <c r="B1867" s="60" t="s">
        <v>162</v>
      </c>
      <c r="C1867" s="60" t="s">
        <v>192</v>
      </c>
      <c r="D1867" s="68">
        <v>1</v>
      </c>
      <c r="E1867" s="73">
        <v>242.73</v>
      </c>
      <c r="F1867" s="79">
        <f>IFERROR(D1867*E1867,0)</f>
        <v>242.73</v>
      </c>
      <c r="G1867" s="60" t="str">
        <f>INDEX(SETORES!$B:$B,MATCH(A1867,SETORES!$A:$A,0))</f>
        <v>Clientes</v>
      </c>
      <c r="H1867" s="60" t="s">
        <v>20</v>
      </c>
    </row>
    <row r="1868" spans="1:8" ht="14.25" hidden="1" customHeight="1" x14ac:dyDescent="0.3">
      <c r="A1868" s="2" t="s">
        <v>38</v>
      </c>
      <c r="B1868" s="60" t="s">
        <v>162</v>
      </c>
      <c r="C1868" s="60" t="s">
        <v>194</v>
      </c>
      <c r="D1868" s="68">
        <v>1</v>
      </c>
      <c r="E1868" s="73">
        <v>23.5</v>
      </c>
      <c r="F1868" s="79">
        <f>IFERROR(D1868*E1868,0)</f>
        <v>23.5</v>
      </c>
      <c r="G1868" s="60" t="str">
        <f>INDEX(SETORES!$B:$B,MATCH(A1868,SETORES!$A:$A,0))</f>
        <v>Clientes</v>
      </c>
      <c r="H1868" s="60" t="s">
        <v>20</v>
      </c>
    </row>
    <row r="1869" spans="1:8" ht="14.25" hidden="1" customHeight="1" x14ac:dyDescent="0.3">
      <c r="A1869" s="34" t="s">
        <v>38</v>
      </c>
      <c r="B1869" s="61" t="s">
        <v>155</v>
      </c>
      <c r="C1869" s="61" t="s">
        <v>158</v>
      </c>
      <c r="D1869" s="69">
        <v>1</v>
      </c>
      <c r="E1869" s="74">
        <v>102.12949999999999</v>
      </c>
      <c r="F1869" s="80">
        <v>102.12949999999999</v>
      </c>
      <c r="G1869" s="61" t="str">
        <f>INDEX(SETORES!$B:$B,MATCH(A1869,SETORES!$A:$A,0))</f>
        <v>Clientes</v>
      </c>
      <c r="H1869" s="61" t="s">
        <v>20</v>
      </c>
    </row>
    <row r="1870" spans="1:8" ht="14.25" hidden="1" customHeight="1" x14ac:dyDescent="0.3">
      <c r="A1870" s="34" t="s">
        <v>38</v>
      </c>
      <c r="B1870" s="61" t="s">
        <v>162</v>
      </c>
      <c r="C1870" s="61" t="s">
        <v>165</v>
      </c>
      <c r="D1870" s="69">
        <v>1</v>
      </c>
      <c r="E1870" s="74">
        <v>316.67</v>
      </c>
      <c r="F1870" s="80">
        <f>IFERROR(D1870*E1870,0)</f>
        <v>316.67</v>
      </c>
      <c r="G1870" s="61" t="str">
        <f>INDEX(SETORES!$B:$B,MATCH(A1870,SETORES!$A:$A,0))</f>
        <v>Clientes</v>
      </c>
      <c r="H1870" s="61" t="s">
        <v>20</v>
      </c>
    </row>
    <row r="1871" spans="1:8" ht="14.25" hidden="1" customHeight="1" x14ac:dyDescent="0.3">
      <c r="A1871" s="34" t="s">
        <v>38</v>
      </c>
      <c r="B1871" s="61" t="s">
        <v>162</v>
      </c>
      <c r="C1871" s="61" t="s">
        <v>163</v>
      </c>
      <c r="D1871" s="69">
        <v>1</v>
      </c>
      <c r="E1871" s="74">
        <v>340</v>
      </c>
      <c r="F1871" s="80">
        <f>IFERROR(D1871*E1871,0)</f>
        <v>340</v>
      </c>
      <c r="G1871" s="61" t="str">
        <f>INDEX(SETORES!$B:$B,MATCH(A1871,SETORES!$A:$A,0))</f>
        <v>Clientes</v>
      </c>
      <c r="H1871" s="61" t="s">
        <v>20</v>
      </c>
    </row>
    <row r="1872" spans="1:8" ht="14.25" hidden="1" customHeight="1" x14ac:dyDescent="0.3">
      <c r="A1872" s="2" t="s">
        <v>38</v>
      </c>
      <c r="B1872" s="60" t="s">
        <v>162</v>
      </c>
      <c r="C1872" s="60" t="s">
        <v>164</v>
      </c>
      <c r="D1872" s="68">
        <v>1</v>
      </c>
      <c r="E1872" s="73">
        <v>181.33</v>
      </c>
      <c r="F1872" s="79">
        <f>IFERROR(D1872*E1872,0)</f>
        <v>181.33</v>
      </c>
      <c r="G1872" s="60" t="str">
        <f>INDEX(SETORES!$B:$B,MATCH(A1872,SETORES!$A:$A,0))</f>
        <v>Clientes</v>
      </c>
      <c r="H1872" s="60" t="s">
        <v>20</v>
      </c>
    </row>
    <row r="1873" spans="1:8" ht="14.25" hidden="1" customHeight="1" x14ac:dyDescent="0.3">
      <c r="A1873" s="2" t="s">
        <v>38</v>
      </c>
      <c r="B1873" s="60" t="s">
        <v>155</v>
      </c>
      <c r="C1873" s="60" t="s">
        <v>161</v>
      </c>
      <c r="D1873" s="68">
        <v>1</v>
      </c>
      <c r="E1873" s="73">
        <v>35259.81</v>
      </c>
      <c r="F1873" s="79">
        <f>IFERROR(E1873,0)</f>
        <v>35259.81</v>
      </c>
      <c r="G1873" s="60" t="str">
        <f>INDEX(SETORES!$B:$B,MATCH(A1873,SETORES!$A:$A,0))</f>
        <v>Clientes</v>
      </c>
      <c r="H1873" s="60" t="s">
        <v>20</v>
      </c>
    </row>
    <row r="1874" spans="1:8" ht="14.25" hidden="1" customHeight="1" x14ac:dyDescent="0.3">
      <c r="A1874" s="34" t="s">
        <v>38</v>
      </c>
      <c r="B1874" s="61" t="s">
        <v>155</v>
      </c>
      <c r="C1874" s="61" t="s">
        <v>167</v>
      </c>
      <c r="D1874" s="69">
        <v>12</v>
      </c>
      <c r="E1874" s="74">
        <v>10.050000000000001</v>
      </c>
      <c r="F1874" s="80">
        <f>IFERROR(D1874*E1874,0)</f>
        <v>120.60000000000001</v>
      </c>
      <c r="G1874" s="61" t="str">
        <f>INDEX(SETORES!$B:$B,MATCH(A1874,SETORES!$A:$A,0))</f>
        <v>Clientes</v>
      </c>
      <c r="H1874" s="61" t="s">
        <v>20</v>
      </c>
    </row>
    <row r="1875" spans="1:8" ht="14.25" hidden="1" customHeight="1" x14ac:dyDescent="0.3">
      <c r="A1875" s="2" t="s">
        <v>38</v>
      </c>
      <c r="B1875" s="60" t="s">
        <v>155</v>
      </c>
      <c r="C1875" s="60" t="s">
        <v>166</v>
      </c>
      <c r="D1875" s="68">
        <v>13</v>
      </c>
      <c r="E1875" s="73">
        <v>50</v>
      </c>
      <c r="F1875" s="79">
        <f>IFERROR(D1875*E1875,0)</f>
        <v>650</v>
      </c>
      <c r="G1875" s="60" t="str">
        <f>INDEX(SETORES!$B:$B,MATCH(A1875,SETORES!$A:$A,0))</f>
        <v>Clientes</v>
      </c>
      <c r="H1875" s="60" t="s">
        <v>20</v>
      </c>
    </row>
    <row r="1876" spans="1:8" ht="14.25" hidden="1" customHeight="1" x14ac:dyDescent="0.3">
      <c r="A1876" s="34" t="s">
        <v>38</v>
      </c>
      <c r="B1876" s="61" t="s">
        <v>155</v>
      </c>
      <c r="C1876" s="61" t="s">
        <v>156</v>
      </c>
      <c r="D1876" s="69">
        <v>12</v>
      </c>
      <c r="E1876" s="74">
        <v>0.36480000000000001</v>
      </c>
      <c r="F1876" s="80">
        <v>4.3776000000000002</v>
      </c>
      <c r="G1876" s="61" t="str">
        <f>INDEX(SETORES!$B:$B,MATCH(A1876,SETORES!$A:$A,0))</f>
        <v>Clientes</v>
      </c>
      <c r="H1876" s="61" t="s">
        <v>20</v>
      </c>
    </row>
    <row r="1877" spans="1:8" ht="14.25" hidden="1" customHeight="1" x14ac:dyDescent="0.3">
      <c r="A1877" s="2" t="s">
        <v>38</v>
      </c>
      <c r="B1877" s="60" t="s">
        <v>155</v>
      </c>
      <c r="C1877" s="60" t="s">
        <v>157</v>
      </c>
      <c r="D1877" s="68">
        <v>1</v>
      </c>
      <c r="E1877" s="73">
        <v>339.57724100000001</v>
      </c>
      <c r="F1877" s="79">
        <v>339.57724100000001</v>
      </c>
      <c r="G1877" s="60" t="str">
        <f>INDEX(SETORES!$B:$B,MATCH(A1877,SETORES!$A:$A,0))</f>
        <v>Clientes</v>
      </c>
      <c r="H1877" s="60" t="s">
        <v>20</v>
      </c>
    </row>
    <row r="1878" spans="1:8" ht="14.25" hidden="1" customHeight="1" x14ac:dyDescent="0.3">
      <c r="A1878" s="34" t="s">
        <v>38</v>
      </c>
      <c r="B1878" s="61" t="s">
        <v>155</v>
      </c>
      <c r="C1878" s="61" t="s">
        <v>189</v>
      </c>
      <c r="D1878" s="69">
        <v>1</v>
      </c>
      <c r="E1878" s="74">
        <v>258.62068799999997</v>
      </c>
      <c r="F1878" s="80">
        <f>IFERROR(D1878*E1878,0)</f>
        <v>258.62068799999997</v>
      </c>
      <c r="G1878" s="61" t="str">
        <f>INDEX(SETORES!$B:$B,MATCH(A1878,SETORES!$A:$A,0))</f>
        <v>Clientes</v>
      </c>
      <c r="H1878" s="61" t="s">
        <v>20</v>
      </c>
    </row>
    <row r="1879" spans="1:8" ht="14.25" hidden="1" customHeight="1" x14ac:dyDescent="0.3">
      <c r="A1879" s="2" t="s">
        <v>38</v>
      </c>
      <c r="B1879" s="60" t="s">
        <v>155</v>
      </c>
      <c r="C1879" s="60" t="s">
        <v>190</v>
      </c>
      <c r="D1879" s="68">
        <v>1</v>
      </c>
      <c r="E1879" s="73">
        <v>34.482408</v>
      </c>
      <c r="F1879" s="79">
        <f>IFERROR(D1879*E1879,0)</f>
        <v>34.482408</v>
      </c>
      <c r="G1879" s="60" t="str">
        <f>INDEX(SETORES!$B:$B,MATCH(A1879,SETORES!$A:$A,0))</f>
        <v>Clientes</v>
      </c>
      <c r="H1879" s="60" t="s">
        <v>20</v>
      </c>
    </row>
    <row r="1880" spans="1:8" ht="14.25" hidden="1" customHeight="1" x14ac:dyDescent="0.3">
      <c r="A1880" s="34" t="s">
        <v>38</v>
      </c>
      <c r="B1880" s="61" t="s">
        <v>162</v>
      </c>
      <c r="C1880" s="61" t="s">
        <v>191</v>
      </c>
      <c r="D1880" s="69">
        <v>1</v>
      </c>
      <c r="E1880" s="74">
        <v>95.568624</v>
      </c>
      <c r="F1880" s="80">
        <f>IFERROR(D1880*E1880,0)</f>
        <v>95.568624</v>
      </c>
      <c r="G1880" s="61" t="str">
        <f>INDEX(SETORES!$B:$B,MATCH(A1880,SETORES!$A:$A,0))</f>
        <v>Clientes</v>
      </c>
      <c r="H1880" s="61" t="s">
        <v>20</v>
      </c>
    </row>
    <row r="1881" spans="1:8" ht="14.25" hidden="1" customHeight="1" x14ac:dyDescent="0.3">
      <c r="A1881" s="34" t="s">
        <v>38</v>
      </c>
      <c r="B1881" s="61" t="s">
        <v>155</v>
      </c>
      <c r="C1881" s="61" t="s">
        <v>187</v>
      </c>
      <c r="D1881" s="69">
        <v>1</v>
      </c>
      <c r="E1881" s="74">
        <v>550.09551599999998</v>
      </c>
      <c r="F1881" s="80">
        <f>IFERROR(D1881*E1881,0)</f>
        <v>550.09551599999998</v>
      </c>
      <c r="G1881" s="61" t="str">
        <f>INDEX(SETORES!$B:$B,MATCH(A1881,SETORES!$A:$A,0))</f>
        <v>Clientes</v>
      </c>
      <c r="H1881" s="61" t="s">
        <v>20</v>
      </c>
    </row>
    <row r="1882" spans="1:8" ht="14.25" hidden="1" customHeight="1" x14ac:dyDescent="0.3">
      <c r="A1882" s="2" t="s">
        <v>38</v>
      </c>
      <c r="B1882" s="60" t="s">
        <v>155</v>
      </c>
      <c r="C1882" s="60" t="s">
        <v>168</v>
      </c>
      <c r="D1882" s="68">
        <v>12</v>
      </c>
      <c r="E1882" s="73">
        <v>2.0699999999999998</v>
      </c>
      <c r="F1882" s="79">
        <f>IFERROR(D1882*E1882,0)</f>
        <v>24.839999999999996</v>
      </c>
      <c r="G1882" s="60" t="str">
        <f>INDEX(SETORES!$B:$B,MATCH(A1882,SETORES!$A:$A,0))</f>
        <v>Clientes</v>
      </c>
      <c r="H1882" s="60" t="s">
        <v>20</v>
      </c>
    </row>
    <row r="1883" spans="1:8" ht="14.25" hidden="1" customHeight="1" x14ac:dyDescent="0.3">
      <c r="A1883" s="2" t="s">
        <v>38</v>
      </c>
      <c r="B1883" s="60" t="s">
        <v>155</v>
      </c>
      <c r="C1883" s="60" t="s">
        <v>188</v>
      </c>
      <c r="D1883" s="68">
        <v>1</v>
      </c>
      <c r="E1883" s="73">
        <v>1641.85</v>
      </c>
      <c r="F1883" s="79">
        <f>IFERROR(D1883*E1883,0)</f>
        <v>1641.85</v>
      </c>
      <c r="G1883" s="60" t="str">
        <f>INDEX(SETORES!$B:$B,MATCH(A1883,SETORES!$A:$A,0))</f>
        <v>Clientes</v>
      </c>
      <c r="H1883" s="60" t="s">
        <v>20</v>
      </c>
    </row>
    <row r="1884" spans="1:8" ht="14.25" hidden="1" customHeight="1" x14ac:dyDescent="0.3">
      <c r="A1884" s="34" t="s">
        <v>38</v>
      </c>
      <c r="B1884" s="61" t="s">
        <v>155</v>
      </c>
      <c r="C1884" s="61" t="s">
        <v>160</v>
      </c>
      <c r="D1884" s="69"/>
      <c r="E1884" s="74"/>
      <c r="F1884" s="80">
        <f>IFERROR(D1884*E1884,0)</f>
        <v>0</v>
      </c>
      <c r="G1884" s="61" t="str">
        <f>INDEX(SETORES!$B:$B,MATCH(A1884,SETORES!$A:$A,0))</f>
        <v>Clientes</v>
      </c>
      <c r="H1884" s="61" t="s">
        <v>20</v>
      </c>
    </row>
    <row r="1885" spans="1:8" ht="14.25" hidden="1" customHeight="1" x14ac:dyDescent="0.3">
      <c r="A1885" s="34" t="s">
        <v>38</v>
      </c>
      <c r="B1885" s="61" t="s">
        <v>155</v>
      </c>
      <c r="C1885" s="61" t="s">
        <v>193</v>
      </c>
      <c r="D1885" s="69">
        <v>1</v>
      </c>
      <c r="E1885" s="74">
        <v>52</v>
      </c>
      <c r="F1885" s="80">
        <f>IFERROR(D1885*E1885,0)</f>
        <v>52</v>
      </c>
      <c r="G1885" s="61" t="str">
        <f>INDEX(SETORES!$B:$B,MATCH(A1885,SETORES!$A:$A,0))</f>
        <v>Clientes</v>
      </c>
      <c r="H1885" s="61" t="s">
        <v>20</v>
      </c>
    </row>
    <row r="1886" spans="1:8" ht="14.25" hidden="1" customHeight="1" x14ac:dyDescent="0.3">
      <c r="A1886" s="2" t="s">
        <v>78</v>
      </c>
      <c r="B1886" s="60" t="s">
        <v>155</v>
      </c>
      <c r="C1886" s="60" t="s">
        <v>159</v>
      </c>
      <c r="D1886" s="68">
        <v>14</v>
      </c>
      <c r="E1886" s="73">
        <v>0.63429999999999997</v>
      </c>
      <c r="F1886" s="79">
        <v>8.8802000000000003</v>
      </c>
      <c r="G1886" s="60" t="str">
        <f>INDEX(SETORES!$B:$B,MATCH(A1886,SETORES!$A:$A,0))</f>
        <v>Clientes</v>
      </c>
      <c r="H1886" s="60" t="s">
        <v>20</v>
      </c>
    </row>
    <row r="1887" spans="1:8" ht="14.25" hidden="1" customHeight="1" x14ac:dyDescent="0.3">
      <c r="A1887" s="2" t="s">
        <v>78</v>
      </c>
      <c r="B1887" s="60" t="s">
        <v>155</v>
      </c>
      <c r="C1887" s="60" t="s">
        <v>212</v>
      </c>
      <c r="D1887" s="68">
        <v>12</v>
      </c>
      <c r="E1887" s="73">
        <v>30</v>
      </c>
      <c r="F1887" s="79">
        <f>IFERROR(D1887*E1887,0)</f>
        <v>360</v>
      </c>
      <c r="G1887" s="60" t="str">
        <f>INDEX(SETORES!$B:$B,MATCH(A1887,SETORES!$A:$A,0))</f>
        <v>Clientes</v>
      </c>
      <c r="H1887" s="60" t="s">
        <v>20</v>
      </c>
    </row>
    <row r="1888" spans="1:8" ht="14.25" hidden="1" customHeight="1" x14ac:dyDescent="0.3">
      <c r="A1888" s="34" t="s">
        <v>78</v>
      </c>
      <c r="B1888" s="61" t="s">
        <v>155</v>
      </c>
      <c r="C1888" s="61" t="s">
        <v>171</v>
      </c>
      <c r="D1888" s="69">
        <v>14</v>
      </c>
      <c r="E1888" s="74">
        <v>47.79</v>
      </c>
      <c r="F1888" s="80">
        <f>IFERROR(D1888*E1888,0)</f>
        <v>669.06</v>
      </c>
      <c r="G1888" s="60" t="s">
        <v>98</v>
      </c>
      <c r="H1888" s="61" t="s">
        <v>20</v>
      </c>
    </row>
    <row r="1889" spans="1:8" ht="14.25" hidden="1" customHeight="1" x14ac:dyDescent="0.3">
      <c r="A1889" s="2" t="s">
        <v>78</v>
      </c>
      <c r="B1889" s="60" t="s">
        <v>155</v>
      </c>
      <c r="C1889" s="60" t="s">
        <v>170</v>
      </c>
      <c r="D1889" s="68">
        <v>14</v>
      </c>
      <c r="E1889" s="73">
        <v>28.31</v>
      </c>
      <c r="F1889" s="79">
        <f>IFERROR(D1889*E1889,0)</f>
        <v>396.34</v>
      </c>
      <c r="G1889" s="61" t="s">
        <v>98</v>
      </c>
      <c r="H1889" s="60" t="s">
        <v>20</v>
      </c>
    </row>
    <row r="1890" spans="1:8" ht="14.25" customHeight="1" x14ac:dyDescent="0.3">
      <c r="A1890" s="2" t="s">
        <v>78</v>
      </c>
      <c r="B1890" s="60" t="s">
        <v>155</v>
      </c>
      <c r="C1890" s="60" t="s">
        <v>169</v>
      </c>
      <c r="D1890" s="68">
        <v>14</v>
      </c>
      <c r="E1890" s="73">
        <v>64.569999999999993</v>
      </c>
      <c r="F1890" s="79">
        <f>IFERROR(D1890*E1890,0)</f>
        <v>903.9799999999999</v>
      </c>
      <c r="G1890" s="61" t="s">
        <v>98</v>
      </c>
      <c r="H1890" s="60" t="s">
        <v>20</v>
      </c>
    </row>
    <row r="1891" spans="1:8" ht="14.25" hidden="1" customHeight="1" x14ac:dyDescent="0.3">
      <c r="A1891" s="34" t="s">
        <v>78</v>
      </c>
      <c r="B1891" s="61" t="s">
        <v>155</v>
      </c>
      <c r="C1891" s="61" t="s">
        <v>158</v>
      </c>
      <c r="D1891" s="69">
        <v>14</v>
      </c>
      <c r="E1891" s="74">
        <v>24.8613</v>
      </c>
      <c r="F1891" s="80">
        <v>348.0582</v>
      </c>
      <c r="G1891" s="61" t="str">
        <f>INDEX(SETORES!$B:$B,MATCH(A1891,SETORES!$A:$A,0))</f>
        <v>Clientes</v>
      </c>
      <c r="H1891" s="61" t="s">
        <v>20</v>
      </c>
    </row>
    <row r="1892" spans="1:8" ht="14.25" hidden="1" customHeight="1" x14ac:dyDescent="0.3">
      <c r="A1892" s="34" t="s">
        <v>78</v>
      </c>
      <c r="B1892" s="61" t="s">
        <v>155</v>
      </c>
      <c r="C1892" s="61" t="s">
        <v>161</v>
      </c>
      <c r="D1892" s="69">
        <v>1</v>
      </c>
      <c r="E1892" s="74">
        <v>78365.149999999994</v>
      </c>
      <c r="F1892" s="80">
        <f>IFERROR(E1892,0)</f>
        <v>78365.149999999994</v>
      </c>
      <c r="G1892" s="61" t="str">
        <f>INDEX(SETORES!$B:$B,MATCH(A1892,SETORES!$A:$A,0))</f>
        <v>Clientes</v>
      </c>
      <c r="H1892" s="61" t="s">
        <v>20</v>
      </c>
    </row>
    <row r="1893" spans="1:8" ht="14.25" hidden="1" customHeight="1" x14ac:dyDescent="0.3">
      <c r="A1893" s="34" t="s">
        <v>78</v>
      </c>
      <c r="B1893" s="61" t="s">
        <v>155</v>
      </c>
      <c r="C1893" s="61" t="s">
        <v>167</v>
      </c>
      <c r="D1893" s="69">
        <v>14</v>
      </c>
      <c r="E1893" s="74">
        <v>10.050000000000001</v>
      </c>
      <c r="F1893" s="80">
        <f>IFERROR(D1893*E1893,0)</f>
        <v>140.70000000000002</v>
      </c>
      <c r="G1893" s="61" t="str">
        <f>INDEX(SETORES!$B:$B,MATCH(A1893,SETORES!$A:$A,0))</f>
        <v>Clientes</v>
      </c>
      <c r="H1893" s="61" t="s">
        <v>20</v>
      </c>
    </row>
    <row r="1894" spans="1:8" ht="14.25" hidden="1" customHeight="1" x14ac:dyDescent="0.3">
      <c r="A1894" s="34" t="s">
        <v>78</v>
      </c>
      <c r="B1894" s="61" t="s">
        <v>155</v>
      </c>
      <c r="C1894" s="61" t="s">
        <v>166</v>
      </c>
      <c r="D1894" s="69">
        <v>14</v>
      </c>
      <c r="E1894" s="74">
        <v>50</v>
      </c>
      <c r="F1894" s="80">
        <f>IFERROR(D1894*E1894,0)</f>
        <v>700</v>
      </c>
      <c r="G1894" s="61" t="str">
        <f>INDEX(SETORES!$B:$B,MATCH(A1894,SETORES!$A:$A,0))</f>
        <v>Clientes</v>
      </c>
      <c r="H1894" s="61" t="s">
        <v>20</v>
      </c>
    </row>
    <row r="1895" spans="1:8" ht="14.25" hidden="1" customHeight="1" x14ac:dyDescent="0.3">
      <c r="A1895" s="34" t="s">
        <v>78</v>
      </c>
      <c r="B1895" s="61" t="s">
        <v>162</v>
      </c>
      <c r="C1895" s="61" t="s">
        <v>209</v>
      </c>
      <c r="D1895" s="69">
        <v>14</v>
      </c>
      <c r="E1895" s="74">
        <v>89.55</v>
      </c>
      <c r="F1895" s="80">
        <f>IFERROR(D1895*E1895,0)</f>
        <v>1253.7</v>
      </c>
      <c r="G1895" s="61" t="str">
        <f>INDEX(SETORES!$B:$B,MATCH(A1895,SETORES!$A:$A,0))</f>
        <v>Clientes</v>
      </c>
      <c r="H1895" s="61" t="s">
        <v>20</v>
      </c>
    </row>
    <row r="1896" spans="1:8" ht="14.25" hidden="1" customHeight="1" x14ac:dyDescent="0.3">
      <c r="A1896" s="34" t="s">
        <v>78</v>
      </c>
      <c r="B1896" s="61" t="s">
        <v>162</v>
      </c>
      <c r="C1896" s="61" t="s">
        <v>222</v>
      </c>
      <c r="D1896" s="69"/>
      <c r="E1896" s="74"/>
      <c r="F1896" s="80">
        <f>IFERROR(D1896*E1896,0)</f>
        <v>0</v>
      </c>
      <c r="G1896" s="61" t="str">
        <f>INDEX(SETORES!$B:$B,MATCH(A1896,SETORES!$A:$A,0))</f>
        <v>Clientes</v>
      </c>
      <c r="H1896" s="61" t="s">
        <v>20</v>
      </c>
    </row>
    <row r="1897" spans="1:8" ht="14.25" hidden="1" customHeight="1" x14ac:dyDescent="0.3">
      <c r="A1897" s="2" t="s">
        <v>78</v>
      </c>
      <c r="B1897" s="60" t="s">
        <v>155</v>
      </c>
      <c r="C1897" s="60" t="s">
        <v>168</v>
      </c>
      <c r="D1897" s="68">
        <v>14</v>
      </c>
      <c r="E1897" s="73">
        <v>2.0699999999999998</v>
      </c>
      <c r="F1897" s="79">
        <f>IFERROR(D1897*E1897,0)</f>
        <v>28.979999999999997</v>
      </c>
      <c r="G1897" s="60" t="str">
        <f>INDEX(SETORES!$B:$B,MATCH(A1897,SETORES!$A:$A,0))</f>
        <v>Clientes</v>
      </c>
      <c r="H1897" s="60" t="s">
        <v>20</v>
      </c>
    </row>
    <row r="1898" spans="1:8" ht="14.25" hidden="1" customHeight="1" x14ac:dyDescent="0.3">
      <c r="A1898" s="34" t="s">
        <v>54</v>
      </c>
      <c r="B1898" s="61" t="s">
        <v>155</v>
      </c>
      <c r="C1898" s="61" t="s">
        <v>206</v>
      </c>
      <c r="D1898" s="69">
        <v>1</v>
      </c>
      <c r="E1898" s="74">
        <v>545.99</v>
      </c>
      <c r="F1898" s="80">
        <f>IFERROR(D1898*E1898,0)</f>
        <v>545.99</v>
      </c>
      <c r="G1898" s="61" t="str">
        <f>INDEX(SETORES!$B:$B,MATCH(A1898,SETORES!$A:$A,0))</f>
        <v>Clientes</v>
      </c>
      <c r="H1898" s="61" t="s">
        <v>20</v>
      </c>
    </row>
    <row r="1899" spans="1:8" ht="14.25" hidden="1" customHeight="1" x14ac:dyDescent="0.3">
      <c r="A1899" s="2" t="s">
        <v>54</v>
      </c>
      <c r="B1899" s="60" t="s">
        <v>162</v>
      </c>
      <c r="C1899" s="60" t="s">
        <v>217</v>
      </c>
      <c r="D1899" s="68"/>
      <c r="E1899" s="73"/>
      <c r="F1899" s="79">
        <f>IFERROR(D1899*E1899,0)</f>
        <v>0</v>
      </c>
      <c r="G1899" s="60" t="str">
        <f>INDEX(SETORES!$B:$B,MATCH(A1899,SETORES!$A:$A,0))</f>
        <v>Clientes</v>
      </c>
      <c r="H1899" s="60" t="s">
        <v>20</v>
      </c>
    </row>
    <row r="1900" spans="1:8" ht="14.25" hidden="1" customHeight="1" x14ac:dyDescent="0.3">
      <c r="A1900" s="2" t="s">
        <v>54</v>
      </c>
      <c r="B1900" s="60" t="s">
        <v>162</v>
      </c>
      <c r="C1900" s="60" t="s">
        <v>203</v>
      </c>
      <c r="D1900" s="68">
        <v>1</v>
      </c>
      <c r="E1900" s="73">
        <v>3504.09</v>
      </c>
      <c r="F1900" s="79">
        <f>IFERROR(D1900*E1900,0)</f>
        <v>3504.09</v>
      </c>
      <c r="G1900" s="60" t="str">
        <f>INDEX(SETORES!$B:$B,MATCH(A1900,SETORES!$A:$A,0))</f>
        <v>Clientes</v>
      </c>
      <c r="H1900" s="60" t="s">
        <v>20</v>
      </c>
    </row>
    <row r="1901" spans="1:8" ht="14.25" hidden="1" customHeight="1" x14ac:dyDescent="0.3">
      <c r="A1901" s="2" t="s">
        <v>54</v>
      </c>
      <c r="B1901" s="60" t="s">
        <v>155</v>
      </c>
      <c r="C1901" s="60" t="s">
        <v>205</v>
      </c>
      <c r="D1901" s="68">
        <v>1</v>
      </c>
      <c r="E1901" s="73">
        <v>2997</v>
      </c>
      <c r="F1901" s="79">
        <f>IFERROR(D1901*E1901,0)</f>
        <v>2997</v>
      </c>
      <c r="G1901" s="60" t="str">
        <f>INDEX(SETORES!$B:$B,MATCH(A1901,SETORES!$A:$A,0))</f>
        <v>Clientes</v>
      </c>
      <c r="H1901" s="60" t="s">
        <v>20</v>
      </c>
    </row>
    <row r="1902" spans="1:8" ht="14.25" hidden="1" customHeight="1" x14ac:dyDescent="0.3">
      <c r="A1902" s="2" t="s">
        <v>54</v>
      </c>
      <c r="B1902" s="60" t="s">
        <v>155</v>
      </c>
      <c r="C1902" s="60" t="s">
        <v>171</v>
      </c>
      <c r="D1902" s="68">
        <v>10</v>
      </c>
      <c r="E1902" s="73">
        <v>47.79</v>
      </c>
      <c r="F1902" s="79">
        <f>IFERROR(D1902*E1902,0)</f>
        <v>477.9</v>
      </c>
      <c r="G1902" s="60" t="s">
        <v>98</v>
      </c>
      <c r="H1902" s="60" t="s">
        <v>20</v>
      </c>
    </row>
    <row r="1903" spans="1:8" ht="14.25" hidden="1" customHeight="1" x14ac:dyDescent="0.3">
      <c r="A1903" s="34" t="s">
        <v>54</v>
      </c>
      <c r="B1903" s="61" t="s">
        <v>155</v>
      </c>
      <c r="C1903" s="61" t="s">
        <v>170</v>
      </c>
      <c r="D1903" s="69">
        <v>10</v>
      </c>
      <c r="E1903" s="74">
        <v>28.31</v>
      </c>
      <c r="F1903" s="80">
        <f>IFERROR(D1903*E1903,0)</f>
        <v>283.09999999999997</v>
      </c>
      <c r="G1903" s="61" t="s">
        <v>98</v>
      </c>
      <c r="H1903" s="61" t="s">
        <v>20</v>
      </c>
    </row>
    <row r="1904" spans="1:8" ht="14.25" customHeight="1" x14ac:dyDescent="0.3">
      <c r="A1904" s="34" t="s">
        <v>54</v>
      </c>
      <c r="B1904" s="61" t="s">
        <v>155</v>
      </c>
      <c r="C1904" s="61" t="s">
        <v>169</v>
      </c>
      <c r="D1904" s="69">
        <v>9</v>
      </c>
      <c r="E1904" s="74">
        <v>64.569999999999993</v>
      </c>
      <c r="F1904" s="80">
        <f>IFERROR(D1904*E1904,0)</f>
        <v>581.12999999999988</v>
      </c>
      <c r="G1904" s="61" t="s">
        <v>98</v>
      </c>
      <c r="H1904" s="61" t="s">
        <v>20</v>
      </c>
    </row>
    <row r="1905" spans="1:8" ht="14.25" customHeight="1" x14ac:dyDescent="0.3">
      <c r="A1905" s="2" t="s">
        <v>54</v>
      </c>
      <c r="B1905" s="60" t="s">
        <v>162</v>
      </c>
      <c r="C1905" s="60" t="s">
        <v>199</v>
      </c>
      <c r="D1905" s="68"/>
      <c r="E1905" s="73"/>
      <c r="F1905" s="79">
        <f>IFERROR(D1905*E1905,0)</f>
        <v>0</v>
      </c>
      <c r="G1905" s="61" t="s">
        <v>98</v>
      </c>
      <c r="H1905" s="60" t="s">
        <v>20</v>
      </c>
    </row>
    <row r="1906" spans="1:8" ht="14.25" hidden="1" customHeight="1" x14ac:dyDescent="0.3">
      <c r="A1906" s="2" t="s">
        <v>54</v>
      </c>
      <c r="B1906" s="60" t="s">
        <v>162</v>
      </c>
      <c r="C1906" s="60" t="s">
        <v>201</v>
      </c>
      <c r="D1906" s="68"/>
      <c r="E1906" s="73"/>
      <c r="F1906" s="79">
        <f>IFERROR(D1906*E1906,0)</f>
        <v>0</v>
      </c>
      <c r="G1906" s="60" t="str">
        <f>INDEX(SETORES!$B:$B,MATCH(A1906,SETORES!$A:$A,0))</f>
        <v>Clientes</v>
      </c>
      <c r="H1906" s="60" t="s">
        <v>20</v>
      </c>
    </row>
    <row r="1907" spans="1:8" ht="14.25" hidden="1" customHeight="1" x14ac:dyDescent="0.3">
      <c r="A1907" s="2" t="s">
        <v>54</v>
      </c>
      <c r="B1907" s="60" t="s">
        <v>155</v>
      </c>
      <c r="C1907" s="60" t="s">
        <v>207</v>
      </c>
      <c r="D1907" s="68"/>
      <c r="E1907" s="73"/>
      <c r="F1907" s="79">
        <f>IFERROR(D1907*E1907,0)</f>
        <v>0</v>
      </c>
      <c r="G1907" s="60" t="str">
        <f>INDEX(SETORES!$B:$B,MATCH(A1907,SETORES!$A:$A,0))</f>
        <v>Clientes</v>
      </c>
      <c r="H1907" s="60" t="s">
        <v>20</v>
      </c>
    </row>
    <row r="1908" spans="1:8" ht="14.25" hidden="1" customHeight="1" x14ac:dyDescent="0.3">
      <c r="A1908" s="2" t="s">
        <v>54</v>
      </c>
      <c r="B1908" s="60" t="s">
        <v>155</v>
      </c>
      <c r="C1908" s="60" t="s">
        <v>196</v>
      </c>
      <c r="D1908" s="68">
        <v>10</v>
      </c>
      <c r="E1908" s="73">
        <v>50</v>
      </c>
      <c r="F1908" s="79">
        <f>IFERROR(D1908*E1908,0)</f>
        <v>500</v>
      </c>
      <c r="G1908" s="60" t="str">
        <f>INDEX(SETORES!$B:$B,MATCH(A1908,SETORES!$A:$A,0))</f>
        <v>Clientes</v>
      </c>
      <c r="H1908" s="60" t="s">
        <v>20</v>
      </c>
    </row>
    <row r="1909" spans="1:8" ht="14.25" hidden="1" customHeight="1" x14ac:dyDescent="0.3">
      <c r="A1909" s="2" t="s">
        <v>54</v>
      </c>
      <c r="B1909" s="60" t="s">
        <v>162</v>
      </c>
      <c r="C1909" s="60" t="s">
        <v>194</v>
      </c>
      <c r="D1909" s="68"/>
      <c r="E1909" s="73"/>
      <c r="F1909" s="79">
        <f>IFERROR(D1909*E1909,0)</f>
        <v>0</v>
      </c>
      <c r="G1909" s="60" t="str">
        <f>INDEX(SETORES!$B:$B,MATCH(A1909,SETORES!$A:$A,0))</f>
        <v>Clientes</v>
      </c>
      <c r="H1909" s="60" t="s">
        <v>20</v>
      </c>
    </row>
    <row r="1910" spans="1:8" ht="14.25" hidden="1" customHeight="1" x14ac:dyDescent="0.3">
      <c r="A1910" s="34" t="s">
        <v>54</v>
      </c>
      <c r="B1910" s="61" t="s">
        <v>155</v>
      </c>
      <c r="C1910" s="61" t="s">
        <v>158</v>
      </c>
      <c r="D1910" s="69">
        <v>1</v>
      </c>
      <c r="E1910" s="74">
        <v>93.618700000000004</v>
      </c>
      <c r="F1910" s="80">
        <v>93.618700000000004</v>
      </c>
      <c r="G1910" s="61" t="s">
        <v>96</v>
      </c>
      <c r="H1910" s="61" t="s">
        <v>20</v>
      </c>
    </row>
    <row r="1911" spans="1:8" ht="14.25" hidden="1" customHeight="1" x14ac:dyDescent="0.3">
      <c r="A1911" s="34" t="s">
        <v>54</v>
      </c>
      <c r="B1911" s="61" t="s">
        <v>155</v>
      </c>
      <c r="C1911" s="61" t="s">
        <v>197</v>
      </c>
      <c r="D1911" s="69">
        <v>10</v>
      </c>
      <c r="E1911" s="74">
        <v>102601.16</v>
      </c>
      <c r="F1911" s="80">
        <f>IFERROR(E1911,0)</f>
        <v>102601.16</v>
      </c>
      <c r="G1911" s="61" t="str">
        <f>INDEX(SETORES!$B:$B,MATCH(A1911,SETORES!$A:$A,0))</f>
        <v>Clientes</v>
      </c>
      <c r="H1911" s="61" t="s">
        <v>20</v>
      </c>
    </row>
    <row r="1912" spans="1:8" ht="14.25" hidden="1" customHeight="1" x14ac:dyDescent="0.3">
      <c r="A1912" s="34" t="s">
        <v>54</v>
      </c>
      <c r="B1912" s="61" t="s">
        <v>155</v>
      </c>
      <c r="C1912" s="61" t="s">
        <v>167</v>
      </c>
      <c r="D1912" s="69">
        <v>10</v>
      </c>
      <c r="E1912" s="74">
        <v>10.050000000000001</v>
      </c>
      <c r="F1912" s="80">
        <f>IFERROR(D1912*E1912,0)</f>
        <v>100.5</v>
      </c>
      <c r="G1912" s="61" t="str">
        <f>INDEX(SETORES!$B:$B,MATCH(A1912,SETORES!$A:$A,0))</f>
        <v>Clientes</v>
      </c>
      <c r="H1912" s="61" t="s">
        <v>20</v>
      </c>
    </row>
    <row r="1913" spans="1:8" ht="14.25" hidden="1" customHeight="1" x14ac:dyDescent="0.3">
      <c r="A1913" s="34" t="s">
        <v>54</v>
      </c>
      <c r="B1913" s="61" t="s">
        <v>155</v>
      </c>
      <c r="C1913" s="61" t="s">
        <v>238</v>
      </c>
      <c r="D1913" s="69">
        <v>1</v>
      </c>
      <c r="E1913" s="74">
        <v>11.11111</v>
      </c>
      <c r="F1913" s="80">
        <f>IFERROR(D1913*E1913,0)</f>
        <v>11.11111</v>
      </c>
      <c r="G1913" s="61" t="str">
        <f>INDEX(SETORES!$B:$B,MATCH(A1913,SETORES!$A:$A,0))</f>
        <v>Clientes</v>
      </c>
      <c r="H1913" s="61" t="s">
        <v>20</v>
      </c>
    </row>
    <row r="1914" spans="1:8" ht="14.25" hidden="1" customHeight="1" x14ac:dyDescent="0.3">
      <c r="A1914" s="2" t="s">
        <v>54</v>
      </c>
      <c r="B1914" s="60" t="s">
        <v>155</v>
      </c>
      <c r="C1914" s="60" t="s">
        <v>198</v>
      </c>
      <c r="D1914" s="68">
        <v>7</v>
      </c>
      <c r="E1914" s="73">
        <v>30</v>
      </c>
      <c r="F1914" s="79">
        <f>IFERROR(D1914*E1914,0)</f>
        <v>210</v>
      </c>
      <c r="G1914" s="60" t="str">
        <f>INDEX(SETORES!$B:$B,MATCH(A1914,SETORES!$A:$A,0))</f>
        <v>Clientes</v>
      </c>
      <c r="H1914" s="60" t="s">
        <v>20</v>
      </c>
    </row>
    <row r="1915" spans="1:8" ht="14.25" hidden="1" customHeight="1" x14ac:dyDescent="0.3">
      <c r="A1915" s="34" t="s">
        <v>54</v>
      </c>
      <c r="B1915" s="61" t="s">
        <v>162</v>
      </c>
      <c r="C1915" s="61" t="s">
        <v>195</v>
      </c>
      <c r="D1915" s="69"/>
      <c r="E1915" s="74"/>
      <c r="F1915" s="80">
        <f>IFERROR(D1915*E1915,0)</f>
        <v>0</v>
      </c>
      <c r="G1915" s="61" t="str">
        <f>INDEX(SETORES!$B:$B,MATCH(A1915,SETORES!$A:$A,0))</f>
        <v>Clientes</v>
      </c>
      <c r="H1915" s="61" t="s">
        <v>20</v>
      </c>
    </row>
    <row r="1916" spans="1:8" ht="14.25" hidden="1" customHeight="1" x14ac:dyDescent="0.3">
      <c r="A1916" s="34" t="s">
        <v>54</v>
      </c>
      <c r="B1916" s="61" t="s">
        <v>162</v>
      </c>
      <c r="C1916" s="61" t="s">
        <v>200</v>
      </c>
      <c r="D1916" s="69">
        <v>2</v>
      </c>
      <c r="E1916" s="74">
        <v>68</v>
      </c>
      <c r="F1916" s="80">
        <f>IFERROR(D1916*E1916,0)</f>
        <v>136</v>
      </c>
      <c r="G1916" s="61" t="str">
        <f>INDEX(SETORES!$B:$B,MATCH(A1916,SETORES!$A:$A,0))</f>
        <v>Clientes</v>
      </c>
      <c r="H1916" s="61" t="s">
        <v>20</v>
      </c>
    </row>
    <row r="1917" spans="1:8" ht="14.25" hidden="1" customHeight="1" x14ac:dyDescent="0.3">
      <c r="A1917" s="34" t="s">
        <v>54</v>
      </c>
      <c r="B1917" s="61" t="s">
        <v>162</v>
      </c>
      <c r="C1917" s="61" t="s">
        <v>204</v>
      </c>
      <c r="D1917" s="69"/>
      <c r="E1917" s="74"/>
      <c r="F1917" s="80">
        <f>IFERROR(D1917*E1917,0)</f>
        <v>0</v>
      </c>
      <c r="G1917" s="61" t="str">
        <f>INDEX(SETORES!$B:$B,MATCH(A1917,SETORES!$A:$A,0))</f>
        <v>Clientes</v>
      </c>
      <c r="H1917" s="61" t="s">
        <v>20</v>
      </c>
    </row>
    <row r="1918" spans="1:8" ht="14.25" hidden="1" customHeight="1" x14ac:dyDescent="0.3">
      <c r="A1918" s="34" t="s">
        <v>54</v>
      </c>
      <c r="B1918" s="61" t="s">
        <v>155</v>
      </c>
      <c r="C1918" s="61" t="s">
        <v>208</v>
      </c>
      <c r="D1918" s="69">
        <v>1</v>
      </c>
      <c r="E1918" s="74">
        <v>3042.34</v>
      </c>
      <c r="F1918" s="80">
        <f>IFERROR(D1918*E1918,0)</f>
        <v>3042.34</v>
      </c>
      <c r="G1918" s="61" t="str">
        <f>INDEX(SETORES!$B:$B,MATCH(A1918,SETORES!$A:$A,0))</f>
        <v>Clientes</v>
      </c>
      <c r="H1918" s="61" t="s">
        <v>20</v>
      </c>
    </row>
    <row r="1919" spans="1:8" ht="14.25" hidden="1" customHeight="1" x14ac:dyDescent="0.3">
      <c r="A1919" s="2" t="s">
        <v>54</v>
      </c>
      <c r="B1919" s="60" t="s">
        <v>155</v>
      </c>
      <c r="C1919" s="60" t="s">
        <v>168</v>
      </c>
      <c r="D1919" s="68">
        <v>10</v>
      </c>
      <c r="E1919" s="73">
        <v>2.0699999999999998</v>
      </c>
      <c r="F1919" s="79">
        <f>IFERROR(D1919*E1919,0)</f>
        <v>20.7</v>
      </c>
      <c r="G1919" s="60" t="str">
        <f>INDEX(SETORES!$B:$B,MATCH(A1919,SETORES!$A:$A,0))</f>
        <v>Clientes</v>
      </c>
      <c r="H1919" s="60" t="s">
        <v>20</v>
      </c>
    </row>
    <row r="1920" spans="1:8" ht="14.25" hidden="1" customHeight="1" x14ac:dyDescent="0.3">
      <c r="A1920" s="34" t="s">
        <v>54</v>
      </c>
      <c r="B1920" s="61" t="s">
        <v>162</v>
      </c>
      <c r="C1920" s="61" t="s">
        <v>202</v>
      </c>
      <c r="D1920" s="69"/>
      <c r="E1920" s="74"/>
      <c r="F1920" s="80">
        <f>IFERROR(D1920*E1920,0)</f>
        <v>0</v>
      </c>
      <c r="G1920" s="61" t="str">
        <f>INDEX(SETORES!$B:$B,MATCH(A1920,SETORES!$A:$A,0))</f>
        <v>Clientes</v>
      </c>
      <c r="H1920" s="61" t="s">
        <v>20</v>
      </c>
    </row>
    <row r="1921" spans="1:8" ht="14.25" hidden="1" customHeight="1" x14ac:dyDescent="0.3">
      <c r="A1921" s="34" t="s">
        <v>43</v>
      </c>
      <c r="B1921" s="61" t="s">
        <v>155</v>
      </c>
      <c r="C1921" s="61" t="s">
        <v>159</v>
      </c>
      <c r="D1921" s="69">
        <v>4</v>
      </c>
      <c r="E1921" s="74">
        <v>0.63429999999999997</v>
      </c>
      <c r="F1921" s="80">
        <v>2.5371999999999999</v>
      </c>
      <c r="G1921" s="61" t="str">
        <f>INDEX(SETORES!$B:$B,MATCH(A1921,SETORES!$A:$A,0))</f>
        <v>Clientes</v>
      </c>
      <c r="H1921" s="61" t="s">
        <v>20</v>
      </c>
    </row>
    <row r="1922" spans="1:8" ht="14.25" hidden="1" customHeight="1" x14ac:dyDescent="0.3">
      <c r="A1922" s="34" t="s">
        <v>43</v>
      </c>
      <c r="B1922" s="61" t="s">
        <v>155</v>
      </c>
      <c r="C1922" s="61" t="s">
        <v>212</v>
      </c>
      <c r="D1922" s="69">
        <v>2</v>
      </c>
      <c r="E1922" s="74">
        <v>30</v>
      </c>
      <c r="F1922" s="80">
        <f>IFERROR(D1922*E1922,0)</f>
        <v>60</v>
      </c>
      <c r="G1922" s="61" t="str">
        <f>INDEX(SETORES!$B:$B,MATCH(A1922,SETORES!$A:$A,0))</f>
        <v>Clientes</v>
      </c>
      <c r="H1922" s="61" t="s">
        <v>20</v>
      </c>
    </row>
    <row r="1923" spans="1:8" ht="14.25" hidden="1" customHeight="1" x14ac:dyDescent="0.3">
      <c r="A1923" s="2" t="s">
        <v>43</v>
      </c>
      <c r="B1923" s="60" t="s">
        <v>155</v>
      </c>
      <c r="C1923" s="60" t="s">
        <v>171</v>
      </c>
      <c r="D1923" s="68">
        <v>4</v>
      </c>
      <c r="E1923" s="73">
        <v>47.79</v>
      </c>
      <c r="F1923" s="79">
        <f>IFERROR(D1923*E1923,0)</f>
        <v>191.16</v>
      </c>
      <c r="G1923" s="60" t="s">
        <v>98</v>
      </c>
      <c r="H1923" s="60" t="s">
        <v>20</v>
      </c>
    </row>
    <row r="1924" spans="1:8" ht="14.25" hidden="1" customHeight="1" x14ac:dyDescent="0.3">
      <c r="A1924" s="34" t="s">
        <v>43</v>
      </c>
      <c r="B1924" s="61" t="s">
        <v>155</v>
      </c>
      <c r="C1924" s="61" t="s">
        <v>170</v>
      </c>
      <c r="D1924" s="69">
        <v>4</v>
      </c>
      <c r="E1924" s="74">
        <v>28.31</v>
      </c>
      <c r="F1924" s="80">
        <f>IFERROR(D1924*E1924,0)</f>
        <v>113.24</v>
      </c>
      <c r="G1924" s="61" t="s">
        <v>98</v>
      </c>
      <c r="H1924" s="61" t="s">
        <v>20</v>
      </c>
    </row>
    <row r="1925" spans="1:8" ht="14.25" customHeight="1" x14ac:dyDescent="0.3">
      <c r="A1925" s="2" t="s">
        <v>43</v>
      </c>
      <c r="B1925" s="60" t="s">
        <v>155</v>
      </c>
      <c r="C1925" s="60" t="s">
        <v>169</v>
      </c>
      <c r="D1925" s="68">
        <v>4</v>
      </c>
      <c r="E1925" s="73">
        <v>64.569999999999993</v>
      </c>
      <c r="F1925" s="79">
        <f>IFERROR(D1925*E1925,0)</f>
        <v>258.27999999999997</v>
      </c>
      <c r="G1925" s="61" t="s">
        <v>98</v>
      </c>
      <c r="H1925" s="60" t="s">
        <v>20</v>
      </c>
    </row>
    <row r="1926" spans="1:8" ht="14.25" hidden="1" customHeight="1" x14ac:dyDescent="0.3">
      <c r="A1926" s="2" t="s">
        <v>43</v>
      </c>
      <c r="B1926" s="60" t="s">
        <v>155</v>
      </c>
      <c r="C1926" s="60" t="s">
        <v>158</v>
      </c>
      <c r="D1926" s="68">
        <v>4</v>
      </c>
      <c r="E1926" s="73">
        <v>24.8613</v>
      </c>
      <c r="F1926" s="79">
        <v>99.4452</v>
      </c>
      <c r="G1926" s="60" t="str">
        <f>INDEX(SETORES!$B:$B,MATCH(A1926,SETORES!$A:$A,0))</f>
        <v>Clientes</v>
      </c>
      <c r="H1926" s="60" t="s">
        <v>20</v>
      </c>
    </row>
    <row r="1927" spans="1:8" ht="14.25" hidden="1" customHeight="1" x14ac:dyDescent="0.3">
      <c r="A1927" s="2" t="s">
        <v>43</v>
      </c>
      <c r="B1927" s="60" t="s">
        <v>162</v>
      </c>
      <c r="C1927" s="60" t="s">
        <v>165</v>
      </c>
      <c r="D1927" s="68">
        <v>1</v>
      </c>
      <c r="E1927" s="73">
        <v>38</v>
      </c>
      <c r="F1927" s="79">
        <f>IFERROR(D1927*E1927,0)</f>
        <v>38</v>
      </c>
      <c r="G1927" s="60" t="str">
        <f>INDEX(SETORES!$B:$B,MATCH(A1927,SETORES!$A:$A,0))</f>
        <v>Clientes</v>
      </c>
      <c r="H1927" s="60" t="s">
        <v>20</v>
      </c>
    </row>
    <row r="1928" spans="1:8" ht="14.25" hidden="1" customHeight="1" x14ac:dyDescent="0.3">
      <c r="A1928" s="2" t="s">
        <v>43</v>
      </c>
      <c r="B1928" s="60" t="s">
        <v>155</v>
      </c>
      <c r="C1928" s="60" t="s">
        <v>161</v>
      </c>
      <c r="D1928" s="68">
        <v>1</v>
      </c>
      <c r="E1928" s="73">
        <v>20620.48</v>
      </c>
      <c r="F1928" s="79">
        <f>IFERROR(E1928,0)</f>
        <v>20620.48</v>
      </c>
      <c r="G1928" s="60" t="str">
        <f>INDEX(SETORES!$B:$B,MATCH(A1928,SETORES!$A:$A,0))</f>
        <v>Clientes</v>
      </c>
      <c r="H1928" s="60" t="s">
        <v>20</v>
      </c>
    </row>
    <row r="1929" spans="1:8" ht="14.25" hidden="1" customHeight="1" x14ac:dyDescent="0.3">
      <c r="A1929" s="2" t="s">
        <v>43</v>
      </c>
      <c r="B1929" s="60" t="s">
        <v>155</v>
      </c>
      <c r="C1929" s="60" t="s">
        <v>167</v>
      </c>
      <c r="D1929" s="68">
        <v>4</v>
      </c>
      <c r="E1929" s="73">
        <v>10.050000000000001</v>
      </c>
      <c r="F1929" s="79">
        <f>IFERROR(D1929*E1929,0)</f>
        <v>40.200000000000003</v>
      </c>
      <c r="G1929" s="60" t="str">
        <f>INDEX(SETORES!$B:$B,MATCH(A1929,SETORES!$A:$A,0))</f>
        <v>Clientes</v>
      </c>
      <c r="H1929" s="60" t="s">
        <v>20</v>
      </c>
    </row>
    <row r="1930" spans="1:8" ht="14.25" hidden="1" customHeight="1" x14ac:dyDescent="0.3">
      <c r="A1930" s="34" t="s">
        <v>43</v>
      </c>
      <c r="B1930" s="61" t="s">
        <v>155</v>
      </c>
      <c r="C1930" s="61" t="s">
        <v>166</v>
      </c>
      <c r="D1930" s="69">
        <v>4</v>
      </c>
      <c r="E1930" s="74">
        <v>50</v>
      </c>
      <c r="F1930" s="80">
        <f>IFERROR(D1930*E1930,0)</f>
        <v>200</v>
      </c>
      <c r="G1930" s="61" t="str">
        <f>INDEX(SETORES!$B:$B,MATCH(A1930,SETORES!$A:$A,0))</f>
        <v>Clientes</v>
      </c>
      <c r="H1930" s="61" t="s">
        <v>20</v>
      </c>
    </row>
    <row r="1931" spans="1:8" ht="14.25" hidden="1" customHeight="1" x14ac:dyDescent="0.3">
      <c r="A1931" s="2" t="s">
        <v>43</v>
      </c>
      <c r="B1931" s="60" t="s">
        <v>155</v>
      </c>
      <c r="C1931" s="60" t="s">
        <v>156</v>
      </c>
      <c r="D1931" s="68"/>
      <c r="E1931" s="73"/>
      <c r="F1931" s="79">
        <v>0</v>
      </c>
      <c r="G1931" s="60" t="str">
        <f>INDEX(SETORES!$B:$B,MATCH(A1931,SETORES!$A:$A,0))</f>
        <v>Clientes</v>
      </c>
      <c r="H1931" s="60" t="s">
        <v>20</v>
      </c>
    </row>
    <row r="1932" spans="1:8" ht="14.25" hidden="1" customHeight="1" x14ac:dyDescent="0.3">
      <c r="A1932" s="34" t="s">
        <v>43</v>
      </c>
      <c r="B1932" s="61" t="s">
        <v>155</v>
      </c>
      <c r="C1932" s="61" t="s">
        <v>157</v>
      </c>
      <c r="D1932" s="69"/>
      <c r="E1932" s="74"/>
      <c r="F1932" s="80">
        <v>0</v>
      </c>
      <c r="G1932" s="61" t="str">
        <f>INDEX(SETORES!$B:$B,MATCH(A1932,SETORES!$A:$A,0))</f>
        <v>Clientes</v>
      </c>
      <c r="H1932" s="61" t="s">
        <v>20</v>
      </c>
    </row>
    <row r="1933" spans="1:8" ht="14.25" hidden="1" customHeight="1" x14ac:dyDescent="0.3">
      <c r="A1933" s="34" t="s">
        <v>43</v>
      </c>
      <c r="B1933" s="61" t="s">
        <v>162</v>
      </c>
      <c r="C1933" s="61" t="s">
        <v>209</v>
      </c>
      <c r="D1933" s="69">
        <v>4</v>
      </c>
      <c r="E1933" s="74">
        <v>89.55</v>
      </c>
      <c r="F1933" s="80">
        <f>IFERROR(D1933*E1933,0)</f>
        <v>358.2</v>
      </c>
      <c r="G1933" s="61" t="str">
        <f>INDEX(SETORES!$B:$B,MATCH(A1933,SETORES!$A:$A,0))</f>
        <v>Clientes</v>
      </c>
      <c r="H1933" s="61" t="s">
        <v>20</v>
      </c>
    </row>
    <row r="1934" spans="1:8" ht="14.25" hidden="1" customHeight="1" x14ac:dyDescent="0.3">
      <c r="A1934" s="2" t="s">
        <v>43</v>
      </c>
      <c r="B1934" s="60" t="s">
        <v>162</v>
      </c>
      <c r="C1934" s="60" t="s">
        <v>222</v>
      </c>
      <c r="D1934" s="68"/>
      <c r="E1934" s="73"/>
      <c r="F1934" s="79">
        <f>IFERROR(D1934*E1934,0)</f>
        <v>0</v>
      </c>
      <c r="G1934" s="60" t="str">
        <f>INDEX(SETORES!$B:$B,MATCH(A1934,SETORES!$A:$A,0))</f>
        <v>Clientes</v>
      </c>
      <c r="H1934" s="60" t="s">
        <v>20</v>
      </c>
    </row>
    <row r="1935" spans="1:8" ht="14.25" hidden="1" customHeight="1" x14ac:dyDescent="0.3">
      <c r="A1935" s="34" t="s">
        <v>43</v>
      </c>
      <c r="B1935" s="61" t="s">
        <v>155</v>
      </c>
      <c r="C1935" s="61" t="s">
        <v>168</v>
      </c>
      <c r="D1935" s="69">
        <v>4</v>
      </c>
      <c r="E1935" s="74">
        <v>2.0699999999999998</v>
      </c>
      <c r="F1935" s="80">
        <f>IFERROR(D1935*E1935,0)</f>
        <v>8.2799999999999994</v>
      </c>
      <c r="G1935" s="61" t="str">
        <f>INDEX(SETORES!$B:$B,MATCH(A1935,SETORES!$A:$A,0))</f>
        <v>Clientes</v>
      </c>
      <c r="H1935" s="61" t="s">
        <v>20</v>
      </c>
    </row>
    <row r="1936" spans="1:8" ht="14.25" hidden="1" customHeight="1" x14ac:dyDescent="0.3">
      <c r="A1936" s="34" t="s">
        <v>43</v>
      </c>
      <c r="B1936" s="61" t="s">
        <v>155</v>
      </c>
      <c r="C1936" s="61" t="s">
        <v>160</v>
      </c>
      <c r="D1936" s="69"/>
      <c r="E1936" s="74"/>
      <c r="F1936" s="80">
        <f>IFERROR(D1936*E1936,0)</f>
        <v>0</v>
      </c>
      <c r="G1936" s="61" t="str">
        <f>INDEX(SETORES!$B:$B,MATCH(A1936,SETORES!$A:$A,0))</f>
        <v>Clientes</v>
      </c>
      <c r="H1936" s="61" t="s">
        <v>20</v>
      </c>
    </row>
    <row r="1937" spans="1:8" ht="14.25" hidden="1" customHeight="1" x14ac:dyDescent="0.3">
      <c r="A1937" s="35" t="s">
        <v>143</v>
      </c>
      <c r="B1937" s="66" t="s">
        <v>155</v>
      </c>
      <c r="C1937" s="66" t="s">
        <v>161</v>
      </c>
      <c r="D1937" s="66">
        <v>1</v>
      </c>
      <c r="E1937" s="78">
        <v>35280.97</v>
      </c>
      <c r="F1937" s="78">
        <f>D1937*E1937</f>
        <v>35280.97</v>
      </c>
      <c r="G1937" s="66" t="s">
        <v>96</v>
      </c>
      <c r="H1937" s="66" t="s">
        <v>20</v>
      </c>
    </row>
    <row r="1938" spans="1:8" ht="14.25" hidden="1" customHeight="1" x14ac:dyDescent="0.3">
      <c r="A1938" s="2" t="s">
        <v>40</v>
      </c>
      <c r="B1938" s="60" t="s">
        <v>155</v>
      </c>
      <c r="C1938" s="60" t="s">
        <v>159</v>
      </c>
      <c r="D1938" s="68">
        <v>1</v>
      </c>
      <c r="E1938" s="73">
        <v>0</v>
      </c>
      <c r="F1938" s="79">
        <v>0</v>
      </c>
      <c r="G1938" s="60" t="str">
        <f>INDEX(SETORES!$B:$B,MATCH(A1938,SETORES!$A:$A,0))</f>
        <v>Clientes</v>
      </c>
      <c r="H1938" s="60" t="s">
        <v>20</v>
      </c>
    </row>
    <row r="1939" spans="1:8" ht="14.25" hidden="1" customHeight="1" x14ac:dyDescent="0.3">
      <c r="A1939" s="34" t="s">
        <v>40</v>
      </c>
      <c r="B1939" s="61" t="s">
        <v>162</v>
      </c>
      <c r="C1939" s="61" t="s">
        <v>210</v>
      </c>
      <c r="D1939" s="69"/>
      <c r="E1939" s="74"/>
      <c r="F1939" s="80">
        <f>IFERROR(D1939*E1939,0)</f>
        <v>0</v>
      </c>
      <c r="G1939" s="61" t="str">
        <f>INDEX(SETORES!$B:$B,MATCH(A1939,SETORES!$A:$A,0))</f>
        <v>Clientes</v>
      </c>
      <c r="H1939" s="61" t="s">
        <v>20</v>
      </c>
    </row>
    <row r="1940" spans="1:8" ht="14.25" hidden="1" customHeight="1" x14ac:dyDescent="0.3">
      <c r="A1940" s="2" t="s">
        <v>40</v>
      </c>
      <c r="B1940" s="60" t="s">
        <v>155</v>
      </c>
      <c r="C1940" s="60" t="s">
        <v>212</v>
      </c>
      <c r="D1940" s="68">
        <v>2</v>
      </c>
      <c r="E1940" s="73">
        <v>30</v>
      </c>
      <c r="F1940" s="79">
        <f>IFERROR(D1940*E1940,0)</f>
        <v>60</v>
      </c>
      <c r="G1940" s="60" t="str">
        <f>INDEX(SETORES!$B:$B,MATCH(A1940,SETORES!$A:$A,0))</f>
        <v>Clientes</v>
      </c>
      <c r="H1940" s="60" t="s">
        <v>20</v>
      </c>
    </row>
    <row r="1941" spans="1:8" ht="14.25" hidden="1" customHeight="1" x14ac:dyDescent="0.3">
      <c r="A1941" s="2" t="s">
        <v>40</v>
      </c>
      <c r="B1941" s="60" t="s">
        <v>162</v>
      </c>
      <c r="C1941" s="60" t="s">
        <v>211</v>
      </c>
      <c r="D1941" s="68">
        <v>1</v>
      </c>
      <c r="E1941" s="73">
        <v>9468</v>
      </c>
      <c r="F1941" s="79">
        <f>IFERROR(D1941*E1941,0)</f>
        <v>9468</v>
      </c>
      <c r="G1941" s="60" t="str">
        <f>INDEX(SETORES!$B:$B,MATCH(A1941,SETORES!$A:$A,0))</f>
        <v>Clientes</v>
      </c>
      <c r="H1941" s="60" t="s">
        <v>20</v>
      </c>
    </row>
    <row r="1942" spans="1:8" ht="14.25" hidden="1" customHeight="1" x14ac:dyDescent="0.3">
      <c r="A1942" s="34" t="s">
        <v>40</v>
      </c>
      <c r="B1942" s="61" t="s">
        <v>155</v>
      </c>
      <c r="C1942" s="61" t="s">
        <v>171</v>
      </c>
      <c r="D1942" s="69">
        <v>5</v>
      </c>
      <c r="E1942" s="74">
        <v>47.79</v>
      </c>
      <c r="F1942" s="80">
        <f>IFERROR(D1942*E1942,0)</f>
        <v>238.95</v>
      </c>
      <c r="G1942" s="60" t="s">
        <v>98</v>
      </c>
      <c r="H1942" s="61" t="s">
        <v>20</v>
      </c>
    </row>
    <row r="1943" spans="1:8" ht="14.25" hidden="1" customHeight="1" x14ac:dyDescent="0.3">
      <c r="A1943" s="2" t="s">
        <v>40</v>
      </c>
      <c r="B1943" s="60" t="s">
        <v>155</v>
      </c>
      <c r="C1943" s="60" t="s">
        <v>170</v>
      </c>
      <c r="D1943" s="68">
        <v>5</v>
      </c>
      <c r="E1943" s="73">
        <v>28.31</v>
      </c>
      <c r="F1943" s="79">
        <f>IFERROR(D1943*E1943,0)</f>
        <v>141.54999999999998</v>
      </c>
      <c r="G1943" s="61" t="s">
        <v>98</v>
      </c>
      <c r="H1943" s="60" t="s">
        <v>20</v>
      </c>
    </row>
    <row r="1944" spans="1:8" ht="14.25" customHeight="1" x14ac:dyDescent="0.3">
      <c r="A1944" s="34" t="s">
        <v>40</v>
      </c>
      <c r="B1944" s="61" t="s">
        <v>155</v>
      </c>
      <c r="C1944" s="61" t="s">
        <v>169</v>
      </c>
      <c r="D1944" s="69">
        <v>5</v>
      </c>
      <c r="E1944" s="74">
        <v>64.569999999999993</v>
      </c>
      <c r="F1944" s="80">
        <f>IFERROR(D1944*E1944,0)</f>
        <v>322.84999999999997</v>
      </c>
      <c r="G1944" s="61" t="s">
        <v>98</v>
      </c>
      <c r="H1944" s="61" t="s">
        <v>20</v>
      </c>
    </row>
    <row r="1945" spans="1:8" ht="14.25" hidden="1" customHeight="1" x14ac:dyDescent="0.3">
      <c r="A1945" s="34" t="s">
        <v>40</v>
      </c>
      <c r="B1945" s="61" t="s">
        <v>155</v>
      </c>
      <c r="C1945" s="61" t="s">
        <v>158</v>
      </c>
      <c r="D1945" s="69">
        <v>1</v>
      </c>
      <c r="E1945" s="74">
        <v>42.554000000000002</v>
      </c>
      <c r="F1945" s="80">
        <v>42.554000000000002</v>
      </c>
      <c r="G1945" s="61" t="str">
        <f>INDEX(SETORES!$B:$B,MATCH(A1945,SETORES!$A:$A,0))</f>
        <v>Clientes</v>
      </c>
      <c r="H1945" s="61" t="s">
        <v>20</v>
      </c>
    </row>
    <row r="1946" spans="1:8" ht="14.25" hidden="1" customHeight="1" x14ac:dyDescent="0.3">
      <c r="A1946" s="2" t="s">
        <v>40</v>
      </c>
      <c r="B1946" s="60" t="s">
        <v>162</v>
      </c>
      <c r="C1946" s="60" t="s">
        <v>163</v>
      </c>
      <c r="D1946" s="68"/>
      <c r="E1946" s="73"/>
      <c r="F1946" s="79">
        <f>IFERROR(D1946*E1946,0)</f>
        <v>0</v>
      </c>
      <c r="G1946" s="60" t="str">
        <f>INDEX(SETORES!$B:$B,MATCH(A1946,SETORES!$A:$A,0))</f>
        <v>Clientes</v>
      </c>
      <c r="H1946" s="60" t="s">
        <v>20</v>
      </c>
    </row>
    <row r="1947" spans="1:8" ht="14.25" hidden="1" customHeight="1" x14ac:dyDescent="0.3">
      <c r="A1947" s="34" t="s">
        <v>40</v>
      </c>
      <c r="B1947" s="61" t="s">
        <v>162</v>
      </c>
      <c r="C1947" s="61" t="s">
        <v>164</v>
      </c>
      <c r="D1947" s="69">
        <v>1</v>
      </c>
      <c r="E1947" s="74">
        <v>68</v>
      </c>
      <c r="F1947" s="80">
        <f>IFERROR(D1947*E1947,0)</f>
        <v>68</v>
      </c>
      <c r="G1947" s="61" t="str">
        <f>INDEX(SETORES!$B:$B,MATCH(A1947,SETORES!$A:$A,0))</f>
        <v>Clientes</v>
      </c>
      <c r="H1947" s="61" t="s">
        <v>20</v>
      </c>
    </row>
    <row r="1948" spans="1:8" ht="14.25" hidden="1" customHeight="1" x14ac:dyDescent="0.3">
      <c r="A1948" s="2" t="s">
        <v>40</v>
      </c>
      <c r="B1948" s="60" t="s">
        <v>155</v>
      </c>
      <c r="C1948" s="60" t="s">
        <v>161</v>
      </c>
      <c r="D1948" s="68">
        <v>1</v>
      </c>
      <c r="E1948" s="73">
        <v>14135.77</v>
      </c>
      <c r="F1948" s="79">
        <f>IFERROR(E1948,0)</f>
        <v>14135.77</v>
      </c>
      <c r="G1948" s="60" t="str">
        <f>INDEX(SETORES!$B:$B,MATCH(A1948,SETORES!$A:$A,0))</f>
        <v>Clientes</v>
      </c>
      <c r="H1948" s="60" t="s">
        <v>20</v>
      </c>
    </row>
    <row r="1949" spans="1:8" ht="14.25" hidden="1" customHeight="1" x14ac:dyDescent="0.3">
      <c r="A1949" s="34" t="s">
        <v>40</v>
      </c>
      <c r="B1949" s="61" t="s">
        <v>155</v>
      </c>
      <c r="C1949" s="61" t="s">
        <v>167</v>
      </c>
      <c r="D1949" s="69">
        <v>5</v>
      </c>
      <c r="E1949" s="74">
        <v>10.050000000000001</v>
      </c>
      <c r="F1949" s="80">
        <f>IFERROR(D1949*E1949,0)</f>
        <v>50.25</v>
      </c>
      <c r="G1949" s="61" t="str">
        <f>INDEX(SETORES!$B:$B,MATCH(A1949,SETORES!$A:$A,0))</f>
        <v>Clientes</v>
      </c>
      <c r="H1949" s="61" t="s">
        <v>20</v>
      </c>
    </row>
    <row r="1950" spans="1:8" ht="14.25" hidden="1" customHeight="1" x14ac:dyDescent="0.3">
      <c r="A1950" s="2" t="s">
        <v>40</v>
      </c>
      <c r="B1950" s="60" t="s">
        <v>155</v>
      </c>
      <c r="C1950" s="60" t="s">
        <v>238</v>
      </c>
      <c r="D1950" s="68">
        <v>1</v>
      </c>
      <c r="E1950" s="73">
        <v>5.555555</v>
      </c>
      <c r="F1950" s="79">
        <f>IFERROR(D1950*E1950,0)</f>
        <v>5.555555</v>
      </c>
      <c r="G1950" s="60" t="str">
        <f>INDEX(SETORES!$B:$B,MATCH(A1950,SETORES!$A:$A,0))</f>
        <v>Clientes</v>
      </c>
      <c r="H1950" s="60" t="s">
        <v>20</v>
      </c>
    </row>
    <row r="1951" spans="1:8" ht="14.25" hidden="1" customHeight="1" x14ac:dyDescent="0.3">
      <c r="A1951" s="2" t="s">
        <v>40</v>
      </c>
      <c r="B1951" s="60" t="s">
        <v>155</v>
      </c>
      <c r="C1951" s="60" t="s">
        <v>166</v>
      </c>
      <c r="D1951" s="68">
        <v>5</v>
      </c>
      <c r="E1951" s="73">
        <v>50</v>
      </c>
      <c r="F1951" s="79">
        <f>IFERROR(D1951*E1951,0)</f>
        <v>250</v>
      </c>
      <c r="G1951" s="60" t="str">
        <f>INDEX(SETORES!$B:$B,MATCH(A1951,SETORES!$A:$A,0))</f>
        <v>Clientes</v>
      </c>
      <c r="H1951" s="60" t="s">
        <v>20</v>
      </c>
    </row>
    <row r="1952" spans="1:8" ht="14.25" hidden="1" customHeight="1" x14ac:dyDescent="0.3">
      <c r="A1952" s="2" t="s">
        <v>40</v>
      </c>
      <c r="B1952" s="60" t="s">
        <v>155</v>
      </c>
      <c r="C1952" s="60" t="s">
        <v>181</v>
      </c>
      <c r="D1952" s="68">
        <v>1</v>
      </c>
      <c r="E1952" s="73">
        <v>2559.4499999999998</v>
      </c>
      <c r="F1952" s="79">
        <f>IFERROR(D1952*E1952,0)</f>
        <v>2559.4499999999998</v>
      </c>
      <c r="G1952" s="60" t="str">
        <f>INDEX(SETORES!$B:$B,MATCH(A1952,SETORES!$A:$A,0))</f>
        <v>Clientes</v>
      </c>
      <c r="H1952" s="60" t="s">
        <v>20</v>
      </c>
    </row>
    <row r="1953" spans="1:8" ht="14.25" hidden="1" customHeight="1" x14ac:dyDescent="0.3">
      <c r="A1953" s="34" t="s">
        <v>40</v>
      </c>
      <c r="B1953" s="61" t="s">
        <v>155</v>
      </c>
      <c r="C1953" s="61" t="s">
        <v>156</v>
      </c>
      <c r="D1953" s="69"/>
      <c r="E1953" s="74"/>
      <c r="F1953" s="80">
        <v>0</v>
      </c>
      <c r="G1953" s="61" t="str">
        <f>INDEX(SETORES!$B:$B,MATCH(A1953,SETORES!$A:$A,0))</f>
        <v>Clientes</v>
      </c>
      <c r="H1953" s="61" t="s">
        <v>20</v>
      </c>
    </row>
    <row r="1954" spans="1:8" ht="14.25" hidden="1" customHeight="1" x14ac:dyDescent="0.3">
      <c r="A1954" s="2" t="s">
        <v>40</v>
      </c>
      <c r="B1954" s="60" t="s">
        <v>155</v>
      </c>
      <c r="C1954" s="60" t="s">
        <v>157</v>
      </c>
      <c r="D1954" s="68"/>
      <c r="E1954" s="73"/>
      <c r="F1954" s="79">
        <v>0</v>
      </c>
      <c r="G1954" s="60" t="str">
        <f>INDEX(SETORES!$B:$B,MATCH(A1954,SETORES!$A:$A,0))</f>
        <v>Clientes</v>
      </c>
      <c r="H1954" s="60" t="s">
        <v>20</v>
      </c>
    </row>
    <row r="1955" spans="1:8" ht="14.25" hidden="1" customHeight="1" x14ac:dyDescent="0.3">
      <c r="A1955" s="34" t="s">
        <v>40</v>
      </c>
      <c r="B1955" s="61" t="s">
        <v>155</v>
      </c>
      <c r="C1955" s="61" t="s">
        <v>182</v>
      </c>
      <c r="D1955" s="69"/>
      <c r="E1955" s="74"/>
      <c r="F1955" s="80">
        <f>IFERROR(D1955*E1955,0)</f>
        <v>0</v>
      </c>
      <c r="G1955" s="61" t="str">
        <f>INDEX(SETORES!$B:$B,MATCH(A1955,SETORES!$A:$A,0))</f>
        <v>Clientes</v>
      </c>
      <c r="H1955" s="61" t="s">
        <v>20</v>
      </c>
    </row>
    <row r="1956" spans="1:8" ht="14.25" hidden="1" customHeight="1" x14ac:dyDescent="0.3">
      <c r="A1956" s="2" t="s">
        <v>40</v>
      </c>
      <c r="B1956" s="60" t="s">
        <v>155</v>
      </c>
      <c r="C1956" s="60" t="s">
        <v>168</v>
      </c>
      <c r="D1956" s="68">
        <v>5</v>
      </c>
      <c r="E1956" s="73">
        <v>2.0699999999999998</v>
      </c>
      <c r="F1956" s="79">
        <f>IFERROR(D1956*E1956,0)</f>
        <v>10.35</v>
      </c>
      <c r="G1956" s="60" t="str">
        <f>INDEX(SETORES!$B:$B,MATCH(A1956,SETORES!$A:$A,0))</f>
        <v>Clientes</v>
      </c>
      <c r="H1956" s="60" t="s">
        <v>20</v>
      </c>
    </row>
    <row r="1957" spans="1:8" ht="14.25" hidden="1" customHeight="1" x14ac:dyDescent="0.3">
      <c r="A1957" s="34" t="s">
        <v>40</v>
      </c>
      <c r="B1957" s="61" t="s">
        <v>155</v>
      </c>
      <c r="C1957" s="61" t="s">
        <v>160</v>
      </c>
      <c r="D1957" s="69"/>
      <c r="E1957" s="74"/>
      <c r="F1957" s="80">
        <f>IFERROR(D1957*E1957,0)</f>
        <v>0</v>
      </c>
      <c r="G1957" s="61" t="str">
        <f>INDEX(SETORES!$B:$B,MATCH(A1957,SETORES!$A:$A,0))</f>
        <v>Clientes</v>
      </c>
      <c r="H1957" s="61" t="s">
        <v>20</v>
      </c>
    </row>
    <row r="1958" spans="1:8" ht="14.25" hidden="1" customHeight="1" x14ac:dyDescent="0.3">
      <c r="A1958" s="2" t="s">
        <v>41</v>
      </c>
      <c r="B1958" s="60" t="s">
        <v>155</v>
      </c>
      <c r="C1958" s="60" t="s">
        <v>159</v>
      </c>
      <c r="D1958" s="68">
        <v>1</v>
      </c>
      <c r="E1958" s="73">
        <v>0</v>
      </c>
      <c r="F1958" s="79">
        <v>0</v>
      </c>
      <c r="G1958" s="60" t="str">
        <f>INDEX(SETORES!$B:$B,MATCH(A1958,SETORES!$A:$A,0))</f>
        <v>Clientes</v>
      </c>
      <c r="H1958" s="60" t="s">
        <v>20</v>
      </c>
    </row>
    <row r="1959" spans="1:8" ht="14.25" hidden="1" customHeight="1" x14ac:dyDescent="0.3">
      <c r="A1959" s="34" t="s">
        <v>41</v>
      </c>
      <c r="B1959" s="61" t="s">
        <v>155</v>
      </c>
      <c r="C1959" s="61" t="s">
        <v>212</v>
      </c>
      <c r="D1959" s="69">
        <v>1</v>
      </c>
      <c r="E1959" s="74">
        <v>30</v>
      </c>
      <c r="F1959" s="80">
        <f>IFERROR(D1959*E1959,0)</f>
        <v>30</v>
      </c>
      <c r="G1959" s="61" t="str">
        <f>INDEX(SETORES!$B:$B,MATCH(A1959,SETORES!$A:$A,0))</f>
        <v>Clientes</v>
      </c>
      <c r="H1959" s="61" t="s">
        <v>20</v>
      </c>
    </row>
    <row r="1960" spans="1:8" ht="14.25" hidden="1" customHeight="1" x14ac:dyDescent="0.3">
      <c r="A1960" s="34" t="s">
        <v>41</v>
      </c>
      <c r="B1960" s="61" t="s">
        <v>155</v>
      </c>
      <c r="C1960" s="61" t="s">
        <v>171</v>
      </c>
      <c r="D1960" s="69">
        <v>1</v>
      </c>
      <c r="E1960" s="74">
        <v>47.79</v>
      </c>
      <c r="F1960" s="80">
        <f>IFERROR(D1960*E1960,0)</f>
        <v>47.79</v>
      </c>
      <c r="G1960" s="60" t="s">
        <v>98</v>
      </c>
      <c r="H1960" s="61" t="s">
        <v>20</v>
      </c>
    </row>
    <row r="1961" spans="1:8" ht="14.25" hidden="1" customHeight="1" x14ac:dyDescent="0.3">
      <c r="A1961" s="2" t="s">
        <v>41</v>
      </c>
      <c r="B1961" s="60" t="s">
        <v>155</v>
      </c>
      <c r="C1961" s="60" t="s">
        <v>170</v>
      </c>
      <c r="D1961" s="68">
        <v>1</v>
      </c>
      <c r="E1961" s="73">
        <v>28.31</v>
      </c>
      <c r="F1961" s="79">
        <f>IFERROR(D1961*E1961,0)</f>
        <v>28.31</v>
      </c>
      <c r="G1961" s="61" t="s">
        <v>98</v>
      </c>
      <c r="H1961" s="60" t="s">
        <v>20</v>
      </c>
    </row>
    <row r="1962" spans="1:8" ht="14.25" customHeight="1" x14ac:dyDescent="0.3">
      <c r="A1962" s="34" t="s">
        <v>41</v>
      </c>
      <c r="B1962" s="61" t="s">
        <v>155</v>
      </c>
      <c r="C1962" s="61" t="s">
        <v>169</v>
      </c>
      <c r="D1962" s="69">
        <v>1</v>
      </c>
      <c r="E1962" s="74">
        <v>64.569999999999993</v>
      </c>
      <c r="F1962" s="80">
        <f>IFERROR(D1962*E1962,0)</f>
        <v>64.569999999999993</v>
      </c>
      <c r="G1962" s="61" t="s">
        <v>98</v>
      </c>
      <c r="H1962" s="61" t="s">
        <v>20</v>
      </c>
    </row>
    <row r="1963" spans="1:8" ht="14.25" hidden="1" customHeight="1" x14ac:dyDescent="0.3">
      <c r="A1963" s="34" t="s">
        <v>41</v>
      </c>
      <c r="B1963" s="61" t="s">
        <v>155</v>
      </c>
      <c r="C1963" s="61" t="s">
        <v>158</v>
      </c>
      <c r="D1963" s="69">
        <v>1</v>
      </c>
      <c r="E1963" s="74">
        <v>8.5107999999999997</v>
      </c>
      <c r="F1963" s="80">
        <v>8.5107999999999997</v>
      </c>
      <c r="G1963" s="61" t="str">
        <f>INDEX(SETORES!$B:$B,MATCH(A1963,SETORES!$A:$A,0))</f>
        <v>Clientes</v>
      </c>
      <c r="H1963" s="61" t="s">
        <v>20</v>
      </c>
    </row>
    <row r="1964" spans="1:8" ht="14.25" hidden="1" customHeight="1" x14ac:dyDescent="0.3">
      <c r="A1964" s="2" t="s">
        <v>41</v>
      </c>
      <c r="B1964" s="60" t="s">
        <v>155</v>
      </c>
      <c r="C1964" s="60" t="s">
        <v>161</v>
      </c>
      <c r="D1964" s="68">
        <v>1</v>
      </c>
      <c r="E1964" s="73">
        <v>18000</v>
      </c>
      <c r="F1964" s="79">
        <f>IFERROR(E1964,0)</f>
        <v>18000</v>
      </c>
      <c r="G1964" s="60" t="str">
        <f>INDEX(SETORES!$B:$B,MATCH(A1964,SETORES!$A:$A,0))</f>
        <v>Clientes</v>
      </c>
      <c r="H1964" s="60" t="s">
        <v>20</v>
      </c>
    </row>
    <row r="1965" spans="1:8" ht="14.25" hidden="1" customHeight="1" x14ac:dyDescent="0.3">
      <c r="A1965" s="34" t="s">
        <v>41</v>
      </c>
      <c r="B1965" s="61" t="s">
        <v>155</v>
      </c>
      <c r="C1965" s="61" t="s">
        <v>167</v>
      </c>
      <c r="D1965" s="69">
        <f>D2735</f>
        <v>0</v>
      </c>
      <c r="E1965" s="74">
        <v>10.050000000000001</v>
      </c>
      <c r="F1965" s="80">
        <f>IFERROR(D1965*E1965,0)</f>
        <v>0</v>
      </c>
      <c r="G1965" s="61" t="str">
        <f>INDEX(SETORES!$B:$B,MATCH(A1965,SETORES!$A:$A,0))</f>
        <v>Clientes</v>
      </c>
      <c r="H1965" s="61" t="s">
        <v>20</v>
      </c>
    </row>
    <row r="1966" spans="1:8" ht="14.25" hidden="1" customHeight="1" x14ac:dyDescent="0.3">
      <c r="A1966" s="2" t="s">
        <v>41</v>
      </c>
      <c r="B1966" s="60" t="s">
        <v>155</v>
      </c>
      <c r="C1966" s="60" t="s">
        <v>238</v>
      </c>
      <c r="D1966" s="68">
        <v>1</v>
      </c>
      <c r="E1966" s="73">
        <v>1.111111</v>
      </c>
      <c r="F1966" s="79">
        <f>IFERROR(D1966*E1966,0)</f>
        <v>1.111111</v>
      </c>
      <c r="G1966" s="60" t="str">
        <f>INDEX(SETORES!$B:$B,MATCH(A1966,SETORES!$A:$A,0))</f>
        <v>Clientes</v>
      </c>
      <c r="H1966" s="60" t="s">
        <v>20</v>
      </c>
    </row>
    <row r="1967" spans="1:8" ht="14.25" hidden="1" customHeight="1" x14ac:dyDescent="0.3">
      <c r="A1967" s="34" t="s">
        <v>41</v>
      </c>
      <c r="B1967" s="61" t="s">
        <v>155</v>
      </c>
      <c r="C1967" s="61" t="s">
        <v>156</v>
      </c>
      <c r="D1967" s="69"/>
      <c r="E1967" s="74"/>
      <c r="F1967" s="80">
        <v>0</v>
      </c>
      <c r="G1967" s="61" t="str">
        <f>INDEX(SETORES!$B:$B,MATCH(A1967,SETORES!$A:$A,0))</f>
        <v>Clientes</v>
      </c>
      <c r="H1967" s="61" t="s">
        <v>20</v>
      </c>
    </row>
    <row r="1968" spans="1:8" ht="14.25" hidden="1" customHeight="1" x14ac:dyDescent="0.3">
      <c r="A1968" s="2" t="s">
        <v>41</v>
      </c>
      <c r="B1968" s="60" t="s">
        <v>155</v>
      </c>
      <c r="C1968" s="60" t="s">
        <v>157</v>
      </c>
      <c r="D1968" s="68"/>
      <c r="E1968" s="73"/>
      <c r="F1968" s="79">
        <v>0</v>
      </c>
      <c r="G1968" s="60" t="str">
        <f>INDEX(SETORES!$B:$B,MATCH(A1968,SETORES!$A:$A,0))</f>
        <v>Clientes</v>
      </c>
      <c r="H1968" s="60" t="s">
        <v>20</v>
      </c>
    </row>
    <row r="1969" spans="1:8" ht="14.25" hidden="1" customHeight="1" x14ac:dyDescent="0.3">
      <c r="A1969" s="34" t="s">
        <v>41</v>
      </c>
      <c r="B1969" s="61" t="s">
        <v>162</v>
      </c>
      <c r="C1969" s="61" t="s">
        <v>222</v>
      </c>
      <c r="D1969" s="69"/>
      <c r="E1969" s="74"/>
      <c r="F1969" s="80">
        <f>IFERROR(D1969*E1969,0)</f>
        <v>0</v>
      </c>
      <c r="G1969" s="61" t="str">
        <f>INDEX(SETORES!$B:$B,MATCH(A1969,SETORES!$A:$A,0))</f>
        <v>Clientes</v>
      </c>
      <c r="H1969" s="61" t="s">
        <v>20</v>
      </c>
    </row>
    <row r="1970" spans="1:8" ht="14.25" hidden="1" customHeight="1" x14ac:dyDescent="0.3">
      <c r="A1970" s="2" t="s">
        <v>41</v>
      </c>
      <c r="B1970" s="60" t="s">
        <v>155</v>
      </c>
      <c r="C1970" s="60" t="s">
        <v>168</v>
      </c>
      <c r="D1970" s="68">
        <f>D2739</f>
        <v>0</v>
      </c>
      <c r="E1970" s="73">
        <v>2.0699999999999998</v>
      </c>
      <c r="F1970" s="79">
        <f>IFERROR(D1970*E1970,0)</f>
        <v>0</v>
      </c>
      <c r="G1970" s="60" t="str">
        <f>INDEX(SETORES!$B:$B,MATCH(A1970,SETORES!$A:$A,0))</f>
        <v>Clientes</v>
      </c>
      <c r="H1970" s="60" t="s">
        <v>20</v>
      </c>
    </row>
    <row r="1971" spans="1:8" ht="14.25" hidden="1" customHeight="1" x14ac:dyDescent="0.3">
      <c r="A1971" s="2" t="s">
        <v>79</v>
      </c>
      <c r="B1971" s="60" t="s">
        <v>155</v>
      </c>
      <c r="C1971" s="60" t="s">
        <v>159</v>
      </c>
      <c r="D1971" s="68">
        <v>7</v>
      </c>
      <c r="E1971" s="73">
        <v>0.63429999999999997</v>
      </c>
      <c r="F1971" s="79">
        <v>4.4401000000000002</v>
      </c>
      <c r="G1971" s="60" t="str">
        <f>INDEX(SETORES!$B:$B,MATCH(A1971,SETORES!$A:$A,0))</f>
        <v>Funcionários</v>
      </c>
      <c r="H1971" s="60" t="s">
        <v>20</v>
      </c>
    </row>
    <row r="1972" spans="1:8" ht="14.25" hidden="1" customHeight="1" x14ac:dyDescent="0.3">
      <c r="A1972" s="2" t="s">
        <v>79</v>
      </c>
      <c r="B1972" s="60" t="s">
        <v>155</v>
      </c>
      <c r="C1972" s="60" t="s">
        <v>250</v>
      </c>
      <c r="D1972" s="68">
        <v>1</v>
      </c>
      <c r="E1972" s="73">
        <v>1269.3699999999999</v>
      </c>
      <c r="F1972" s="79">
        <f>IFERROR(D1972*E1972,0)</f>
        <v>1269.3699999999999</v>
      </c>
      <c r="G1972" s="60" t="s">
        <v>98</v>
      </c>
      <c r="H1972" s="60" t="s">
        <v>20</v>
      </c>
    </row>
    <row r="1973" spans="1:8" ht="14.25" hidden="1" customHeight="1" x14ac:dyDescent="0.3">
      <c r="A1973" s="2" t="s">
        <v>79</v>
      </c>
      <c r="B1973" s="60" t="s">
        <v>155</v>
      </c>
      <c r="C1973" s="60" t="s">
        <v>171</v>
      </c>
      <c r="D1973" s="68">
        <v>7</v>
      </c>
      <c r="E1973" s="73">
        <v>47.79</v>
      </c>
      <c r="F1973" s="79">
        <f>IFERROR(D1973*E1973,0)</f>
        <v>334.53</v>
      </c>
      <c r="G1973" s="60" t="s">
        <v>98</v>
      </c>
      <c r="H1973" s="60" t="s">
        <v>20</v>
      </c>
    </row>
    <row r="1974" spans="1:8" ht="14.25" hidden="1" customHeight="1" x14ac:dyDescent="0.3">
      <c r="A1974" s="34" t="s">
        <v>79</v>
      </c>
      <c r="B1974" s="61" t="s">
        <v>155</v>
      </c>
      <c r="C1974" s="61" t="s">
        <v>170</v>
      </c>
      <c r="D1974" s="69">
        <v>7</v>
      </c>
      <c r="E1974" s="74">
        <v>28.31</v>
      </c>
      <c r="F1974" s="80">
        <f>IFERROR(D1974*E1974,0)</f>
        <v>198.17</v>
      </c>
      <c r="G1974" s="61" t="s">
        <v>98</v>
      </c>
      <c r="H1974" s="61" t="s">
        <v>20</v>
      </c>
    </row>
    <row r="1975" spans="1:8" ht="14.25" customHeight="1" x14ac:dyDescent="0.3">
      <c r="A1975" s="34" t="s">
        <v>79</v>
      </c>
      <c r="B1975" s="61" t="s">
        <v>155</v>
      </c>
      <c r="C1975" s="61" t="s">
        <v>169</v>
      </c>
      <c r="D1975" s="69">
        <v>7</v>
      </c>
      <c r="E1975" s="74">
        <v>64.569999999999993</v>
      </c>
      <c r="F1975" s="80">
        <f>IFERROR(D1975*E1975,0)</f>
        <v>451.98999999999995</v>
      </c>
      <c r="G1975" s="61" t="s">
        <v>98</v>
      </c>
      <c r="H1975" s="61" t="s">
        <v>20</v>
      </c>
    </row>
    <row r="1976" spans="1:8" ht="14.25" hidden="1" customHeight="1" x14ac:dyDescent="0.3">
      <c r="A1976" s="34" t="s">
        <v>79</v>
      </c>
      <c r="B1976" s="61" t="s">
        <v>155</v>
      </c>
      <c r="C1976" s="61" t="s">
        <v>158</v>
      </c>
      <c r="D1976" s="69">
        <v>7</v>
      </c>
      <c r="E1976" s="74">
        <v>24.8613</v>
      </c>
      <c r="F1976" s="80">
        <v>174.0291</v>
      </c>
      <c r="G1976" s="61" t="str">
        <f>INDEX(SETORES!$B:$B,MATCH(A1976,SETORES!$A:$A,0))</f>
        <v>Funcionários</v>
      </c>
      <c r="H1976" s="61" t="s">
        <v>20</v>
      </c>
    </row>
    <row r="1977" spans="1:8" ht="14.25" hidden="1" customHeight="1" x14ac:dyDescent="0.3">
      <c r="A1977" s="2" t="s">
        <v>79</v>
      </c>
      <c r="B1977" s="60" t="s">
        <v>155</v>
      </c>
      <c r="C1977" s="60" t="s">
        <v>161</v>
      </c>
      <c r="D1977" s="68">
        <v>1</v>
      </c>
      <c r="E1977" s="73">
        <v>25113.77</v>
      </c>
      <c r="F1977" s="79">
        <v>25113.77</v>
      </c>
      <c r="G1977" s="60" t="str">
        <f>INDEX(SETORES!$B:$B,MATCH(A1977,SETORES!$A:$A,0))</f>
        <v>Funcionários</v>
      </c>
      <c r="H1977" s="60" t="s">
        <v>20</v>
      </c>
    </row>
    <row r="1978" spans="1:8" ht="14.25" hidden="1" customHeight="1" x14ac:dyDescent="0.3">
      <c r="A1978" s="34" t="s">
        <v>79</v>
      </c>
      <c r="B1978" s="61" t="s">
        <v>155</v>
      </c>
      <c r="C1978" s="61" t="s">
        <v>167</v>
      </c>
      <c r="D1978" s="69">
        <v>7</v>
      </c>
      <c r="E1978" s="74">
        <v>10.050000000000001</v>
      </c>
      <c r="F1978" s="80">
        <f>IFERROR(D1978*E1978,0)</f>
        <v>70.350000000000009</v>
      </c>
      <c r="G1978" s="61" t="s">
        <v>98</v>
      </c>
      <c r="H1978" s="61" t="s">
        <v>20</v>
      </c>
    </row>
    <row r="1979" spans="1:8" ht="14.25" hidden="1" customHeight="1" x14ac:dyDescent="0.3">
      <c r="A1979" s="34" t="s">
        <v>79</v>
      </c>
      <c r="B1979" s="61" t="s">
        <v>155</v>
      </c>
      <c r="C1979" s="61" t="s">
        <v>166</v>
      </c>
      <c r="D1979" s="69">
        <v>2</v>
      </c>
      <c r="E1979" s="73">
        <v>50</v>
      </c>
      <c r="F1979" s="80">
        <f>IFERROR(D1979*E1979,0)</f>
        <v>100</v>
      </c>
      <c r="G1979" s="61" t="str">
        <f>INDEX(SETORES!$B:$B,MATCH(A1979,SETORES!$A:$A,0))</f>
        <v>Funcionários</v>
      </c>
      <c r="H1979" s="64" t="s">
        <v>20</v>
      </c>
    </row>
    <row r="1980" spans="1:8" ht="14.25" hidden="1" customHeight="1" x14ac:dyDescent="0.3">
      <c r="A1980" s="2" t="s">
        <v>79</v>
      </c>
      <c r="B1980" s="60" t="s">
        <v>162</v>
      </c>
      <c r="C1980" s="60" t="s">
        <v>209</v>
      </c>
      <c r="D1980" s="68">
        <v>7</v>
      </c>
      <c r="E1980" s="73">
        <v>89.55</v>
      </c>
      <c r="F1980" s="79">
        <f>IFERROR(D1980*E1980,0)</f>
        <v>626.85</v>
      </c>
      <c r="G1980" s="60" t="str">
        <f>INDEX(SETORES!$B:$B,MATCH(A1980,SETORES!$A:$A,0))</f>
        <v>Funcionários</v>
      </c>
      <c r="H1980" s="60" t="s">
        <v>20</v>
      </c>
    </row>
    <row r="1981" spans="1:8" ht="14.25" hidden="1" customHeight="1" x14ac:dyDescent="0.3">
      <c r="A1981" s="2" t="s">
        <v>79</v>
      </c>
      <c r="B1981" s="60" t="s">
        <v>162</v>
      </c>
      <c r="C1981" s="60" t="s">
        <v>222</v>
      </c>
      <c r="D1981" s="68"/>
      <c r="E1981" s="73"/>
      <c r="F1981" s="79">
        <f>IFERROR(D1981*E1981,0)</f>
        <v>0</v>
      </c>
      <c r="G1981" s="60" t="str">
        <f>INDEX(SETORES!$B:$B,MATCH(A1981,SETORES!$A:$A,0))</f>
        <v>Funcionários</v>
      </c>
      <c r="H1981" s="60" t="s">
        <v>20</v>
      </c>
    </row>
    <row r="1982" spans="1:8" ht="14.25" hidden="1" customHeight="1" x14ac:dyDescent="0.3">
      <c r="A1982" s="2" t="s">
        <v>79</v>
      </c>
      <c r="B1982" s="60" t="s">
        <v>155</v>
      </c>
      <c r="C1982" s="60" t="s">
        <v>168</v>
      </c>
      <c r="D1982" s="68">
        <v>7</v>
      </c>
      <c r="E1982" s="73">
        <v>2.0699999999999998</v>
      </c>
      <c r="F1982" s="79">
        <f>IFERROR(D1982*E1982,0)</f>
        <v>14.489999999999998</v>
      </c>
      <c r="G1982" s="60" t="s">
        <v>98</v>
      </c>
      <c r="H1982" s="60" t="s">
        <v>20</v>
      </c>
    </row>
    <row r="1983" spans="1:8" ht="14.25" hidden="1" customHeight="1" x14ac:dyDescent="0.3">
      <c r="A1983" s="34" t="s">
        <v>141</v>
      </c>
      <c r="B1983" s="61" t="s">
        <v>155</v>
      </c>
      <c r="C1983" s="61" t="s">
        <v>161</v>
      </c>
      <c r="D1983" s="69">
        <v>1</v>
      </c>
      <c r="E1983" s="74">
        <v>18352.580000000002</v>
      </c>
      <c r="F1983" s="80">
        <f>D1983*E1983</f>
        <v>18352.580000000002</v>
      </c>
      <c r="G1983" s="61"/>
      <c r="H1983" s="61" t="s">
        <v>20</v>
      </c>
    </row>
    <row r="1984" spans="1:8" ht="14.25" hidden="1" customHeight="1" x14ac:dyDescent="0.3">
      <c r="A1984" s="34" t="s">
        <v>80</v>
      </c>
      <c r="B1984" s="61" t="s">
        <v>155</v>
      </c>
      <c r="C1984" s="61" t="s">
        <v>171</v>
      </c>
      <c r="D1984" s="69">
        <v>3</v>
      </c>
      <c r="E1984" s="74">
        <v>47.79</v>
      </c>
      <c r="F1984" s="80">
        <f>IFERROR(D1984*E1984,0)</f>
        <v>143.37</v>
      </c>
      <c r="G1984" s="60" t="s">
        <v>98</v>
      </c>
      <c r="H1984" s="61" t="s">
        <v>20</v>
      </c>
    </row>
    <row r="1985" spans="1:8" ht="14.25" hidden="1" customHeight="1" x14ac:dyDescent="0.3">
      <c r="A1985" s="2" t="s">
        <v>80</v>
      </c>
      <c r="B1985" s="60" t="s">
        <v>155</v>
      </c>
      <c r="C1985" s="60" t="s">
        <v>170</v>
      </c>
      <c r="D1985" s="68">
        <v>3</v>
      </c>
      <c r="E1985" s="73">
        <v>28.31</v>
      </c>
      <c r="F1985" s="79">
        <f>IFERROR(D1985*E1985,0)</f>
        <v>84.929999999999993</v>
      </c>
      <c r="G1985" s="61" t="s">
        <v>98</v>
      </c>
      <c r="H1985" s="60" t="s">
        <v>20</v>
      </c>
    </row>
    <row r="1986" spans="1:8" ht="14.25" customHeight="1" x14ac:dyDescent="0.3">
      <c r="A1986" s="2" t="s">
        <v>80</v>
      </c>
      <c r="B1986" s="60" t="s">
        <v>155</v>
      </c>
      <c r="C1986" s="60" t="s">
        <v>169</v>
      </c>
      <c r="D1986" s="68">
        <v>3</v>
      </c>
      <c r="E1986" s="73">
        <v>64.569999999999993</v>
      </c>
      <c r="F1986" s="79">
        <f>IFERROR(D1986*E1986,0)</f>
        <v>193.70999999999998</v>
      </c>
      <c r="G1986" s="61" t="s">
        <v>98</v>
      </c>
      <c r="H1986" s="60" t="s">
        <v>20</v>
      </c>
    </row>
    <row r="1987" spans="1:8" ht="14.25" hidden="1" customHeight="1" x14ac:dyDescent="0.3">
      <c r="A1987" s="34" t="s">
        <v>80</v>
      </c>
      <c r="B1987" s="61" t="s">
        <v>155</v>
      </c>
      <c r="C1987" s="61" t="s">
        <v>158</v>
      </c>
      <c r="D1987" s="69">
        <v>1</v>
      </c>
      <c r="E1987" s="74">
        <v>25.532399999999999</v>
      </c>
      <c r="F1987" s="80">
        <v>25.532399999999999</v>
      </c>
      <c r="G1987" s="61" t="s">
        <v>96</v>
      </c>
      <c r="H1987" s="61" t="s">
        <v>20</v>
      </c>
    </row>
    <row r="1988" spans="1:8" ht="14.25" hidden="1" customHeight="1" x14ac:dyDescent="0.3">
      <c r="A1988" s="2" t="s">
        <v>80</v>
      </c>
      <c r="B1988" s="60" t="s">
        <v>155</v>
      </c>
      <c r="C1988" s="60" t="s">
        <v>161</v>
      </c>
      <c r="D1988" s="68">
        <v>1</v>
      </c>
      <c r="E1988" s="73">
        <v>28931.13</v>
      </c>
      <c r="F1988" s="79">
        <f>IFERROR(E1988,0)</f>
        <v>28931.13</v>
      </c>
      <c r="G1988" s="60" t="str">
        <f>INDEX(SETORES!$B:$B,MATCH(A1988,SETORES!$A:$A,0))</f>
        <v>Clientes</v>
      </c>
      <c r="H1988" s="60" t="s">
        <v>20</v>
      </c>
    </row>
    <row r="1989" spans="1:8" ht="14.25" hidden="1" customHeight="1" x14ac:dyDescent="0.3">
      <c r="A1989" s="34" t="s">
        <v>80</v>
      </c>
      <c r="B1989" s="61" t="s">
        <v>155</v>
      </c>
      <c r="C1989" s="61" t="s">
        <v>167</v>
      </c>
      <c r="D1989" s="69">
        <v>3</v>
      </c>
      <c r="E1989" s="74">
        <v>10.050000000000001</v>
      </c>
      <c r="F1989" s="80">
        <f>IFERROR(D1989*E1989,0)</f>
        <v>30.150000000000002</v>
      </c>
      <c r="G1989" s="61" t="str">
        <f>INDEX(SETORES!$B:$B,MATCH(A1989,SETORES!$A:$A,0))</f>
        <v>Clientes</v>
      </c>
      <c r="H1989" s="61" t="s">
        <v>20</v>
      </c>
    </row>
    <row r="1990" spans="1:8" ht="14.25" hidden="1" customHeight="1" x14ac:dyDescent="0.3">
      <c r="A1990" s="34" t="s">
        <v>80</v>
      </c>
      <c r="B1990" s="61" t="s">
        <v>155</v>
      </c>
      <c r="C1990" s="61" t="s">
        <v>238</v>
      </c>
      <c r="D1990" s="69">
        <v>1</v>
      </c>
      <c r="E1990" s="74">
        <v>3.3333330000000001</v>
      </c>
      <c r="F1990" s="80">
        <f>IFERROR(D1990*E1990,0)</f>
        <v>3.3333330000000001</v>
      </c>
      <c r="G1990" s="61" t="str">
        <f>INDEX(SETORES!$B:$B,MATCH(A1990,SETORES!$A:$A,0))</f>
        <v>Clientes</v>
      </c>
      <c r="H1990" s="61" t="s">
        <v>20</v>
      </c>
    </row>
    <row r="1991" spans="1:8" ht="14.25" hidden="1" customHeight="1" x14ac:dyDescent="0.3">
      <c r="A1991" s="34" t="s">
        <v>80</v>
      </c>
      <c r="B1991" s="61" t="s">
        <v>155</v>
      </c>
      <c r="C1991" s="61" t="s">
        <v>166</v>
      </c>
      <c r="D1991" s="69">
        <v>3</v>
      </c>
      <c r="E1991" s="74">
        <v>50</v>
      </c>
      <c r="F1991" s="80">
        <f>IFERROR(D1991*E1991,0)</f>
        <v>150</v>
      </c>
      <c r="G1991" s="61" t="str">
        <f>INDEX(SETORES!$B:$B,MATCH(A1991,SETORES!$A:$A,0))</f>
        <v>Clientes</v>
      </c>
      <c r="H1991" s="61" t="s">
        <v>20</v>
      </c>
    </row>
    <row r="1992" spans="1:8" ht="14.25" hidden="1" customHeight="1" x14ac:dyDescent="0.3">
      <c r="A1992" s="34" t="s">
        <v>80</v>
      </c>
      <c r="B1992" s="61" t="s">
        <v>162</v>
      </c>
      <c r="C1992" s="61" t="s">
        <v>222</v>
      </c>
      <c r="D1992" s="69"/>
      <c r="E1992" s="74"/>
      <c r="F1992" s="80">
        <f>IFERROR(D1992*E1992,0)</f>
        <v>0</v>
      </c>
      <c r="G1992" s="61" t="str">
        <f>INDEX(SETORES!$B:$B,MATCH(A1992,SETORES!$A:$A,0))</f>
        <v>Clientes</v>
      </c>
      <c r="H1992" s="61" t="s">
        <v>20</v>
      </c>
    </row>
    <row r="1993" spans="1:8" ht="14.25" hidden="1" customHeight="1" x14ac:dyDescent="0.3">
      <c r="A1993" s="2" t="s">
        <v>80</v>
      </c>
      <c r="B1993" s="60" t="s">
        <v>155</v>
      </c>
      <c r="C1993" s="60" t="s">
        <v>168</v>
      </c>
      <c r="D1993" s="68">
        <v>3</v>
      </c>
      <c r="E1993" s="73">
        <v>2.0699999999999998</v>
      </c>
      <c r="F1993" s="79">
        <f>IFERROR(D1993*E1993,0)</f>
        <v>6.2099999999999991</v>
      </c>
      <c r="G1993" s="60" t="str">
        <f>INDEX(SETORES!$B:$B,MATCH(A1993,SETORES!$A:$A,0))</f>
        <v>Clientes</v>
      </c>
      <c r="H1993" s="60" t="s">
        <v>20</v>
      </c>
    </row>
    <row r="1994" spans="1:8" ht="14.25" hidden="1" customHeight="1" x14ac:dyDescent="0.3">
      <c r="A1994" s="34" t="s">
        <v>42</v>
      </c>
      <c r="B1994" s="61" t="s">
        <v>155</v>
      </c>
      <c r="C1994" s="61" t="s">
        <v>159</v>
      </c>
      <c r="D1994" s="69">
        <v>1</v>
      </c>
      <c r="E1994" s="74">
        <v>0</v>
      </c>
      <c r="F1994" s="80">
        <v>0</v>
      </c>
      <c r="G1994" s="61" t="str">
        <f>INDEX(SETORES!$B:$B,MATCH(A1994,SETORES!$A:$A,0))</f>
        <v>Clientes</v>
      </c>
      <c r="H1994" s="61" t="s">
        <v>20</v>
      </c>
    </row>
    <row r="1995" spans="1:8" ht="14.25" hidden="1" customHeight="1" x14ac:dyDescent="0.3">
      <c r="A1995" s="2" t="s">
        <v>42</v>
      </c>
      <c r="B1995" s="60" t="s">
        <v>155</v>
      </c>
      <c r="C1995" s="60" t="s">
        <v>171</v>
      </c>
      <c r="D1995" s="68">
        <v>2</v>
      </c>
      <c r="E1995" s="73">
        <v>47.79</v>
      </c>
      <c r="F1995" s="79">
        <f>IFERROR(D1995*E1995,0)</f>
        <v>95.58</v>
      </c>
      <c r="G1995" s="60" t="s">
        <v>98</v>
      </c>
      <c r="H1995" s="60" t="s">
        <v>20</v>
      </c>
    </row>
    <row r="1996" spans="1:8" ht="14.25" hidden="1" customHeight="1" x14ac:dyDescent="0.3">
      <c r="A1996" s="34" t="s">
        <v>42</v>
      </c>
      <c r="B1996" s="61" t="s">
        <v>155</v>
      </c>
      <c r="C1996" s="61" t="s">
        <v>170</v>
      </c>
      <c r="D1996" s="69">
        <v>2</v>
      </c>
      <c r="E1996" s="74">
        <v>28.31</v>
      </c>
      <c r="F1996" s="80">
        <f>IFERROR(D1996*E1996,0)</f>
        <v>56.62</v>
      </c>
      <c r="G1996" s="61" t="s">
        <v>98</v>
      </c>
      <c r="H1996" s="61" t="s">
        <v>20</v>
      </c>
    </row>
    <row r="1997" spans="1:8" ht="14.25" customHeight="1" x14ac:dyDescent="0.3">
      <c r="A1997" s="2" t="s">
        <v>42</v>
      </c>
      <c r="B1997" s="60" t="s">
        <v>155</v>
      </c>
      <c r="C1997" s="60" t="s">
        <v>169</v>
      </c>
      <c r="D1997" s="68">
        <v>2</v>
      </c>
      <c r="E1997" s="73">
        <v>64.569999999999993</v>
      </c>
      <c r="F1997" s="79">
        <f>IFERROR(D1997*E1997,0)</f>
        <v>129.13999999999999</v>
      </c>
      <c r="G1997" s="61" t="s">
        <v>98</v>
      </c>
      <c r="H1997" s="60" t="s">
        <v>20</v>
      </c>
    </row>
    <row r="1998" spans="1:8" ht="14.25" hidden="1" customHeight="1" x14ac:dyDescent="0.3">
      <c r="A1998" s="2" t="s">
        <v>42</v>
      </c>
      <c r="B1998" s="60" t="s">
        <v>155</v>
      </c>
      <c r="C1998" s="60" t="s">
        <v>158</v>
      </c>
      <c r="D1998" s="68">
        <v>1</v>
      </c>
      <c r="E1998" s="73">
        <v>17.021599999999999</v>
      </c>
      <c r="F1998" s="79">
        <v>17.021599999999999</v>
      </c>
      <c r="G1998" s="60" t="str">
        <f>INDEX(SETORES!$B:$B,MATCH(A1998,SETORES!$A:$A,0))</f>
        <v>Clientes</v>
      </c>
      <c r="H1998" s="60" t="s">
        <v>20</v>
      </c>
    </row>
    <row r="1999" spans="1:8" ht="14.25" hidden="1" customHeight="1" x14ac:dyDescent="0.3">
      <c r="A1999" s="34" t="s">
        <v>42</v>
      </c>
      <c r="B1999" s="61" t="s">
        <v>162</v>
      </c>
      <c r="C1999" s="61" t="s">
        <v>163</v>
      </c>
      <c r="D1999" s="69"/>
      <c r="E1999" s="74"/>
      <c r="F1999" s="80">
        <f>IFERROR(D1999*E1999,0)</f>
        <v>0</v>
      </c>
      <c r="G1999" s="61" t="str">
        <f>INDEX(SETORES!$B:$B,MATCH(A1999,SETORES!$A:$A,0))</f>
        <v>Clientes</v>
      </c>
      <c r="H1999" s="61" t="s">
        <v>20</v>
      </c>
    </row>
    <row r="2000" spans="1:8" ht="14.25" hidden="1" customHeight="1" x14ac:dyDescent="0.3">
      <c r="A2000" s="2" t="s">
        <v>42</v>
      </c>
      <c r="B2000" s="60" t="s">
        <v>162</v>
      </c>
      <c r="C2000" s="60" t="s">
        <v>164</v>
      </c>
      <c r="D2000" s="68">
        <v>1</v>
      </c>
      <c r="E2000" s="73">
        <v>144</v>
      </c>
      <c r="F2000" s="79">
        <f>IFERROR(D2000*E2000,0)</f>
        <v>144</v>
      </c>
      <c r="G2000" s="60" t="str">
        <f>INDEX(SETORES!$B:$B,MATCH(A2000,SETORES!$A:$A,0))</f>
        <v>Clientes</v>
      </c>
      <c r="H2000" s="60" t="s">
        <v>20</v>
      </c>
    </row>
    <row r="2001" spans="1:8" ht="14.25" hidden="1" customHeight="1" x14ac:dyDescent="0.3">
      <c r="A2001" s="34" t="s">
        <v>42</v>
      </c>
      <c r="B2001" s="61" t="s">
        <v>155</v>
      </c>
      <c r="C2001" s="61" t="s">
        <v>161</v>
      </c>
      <c r="D2001" s="69">
        <v>1</v>
      </c>
      <c r="E2001" s="74">
        <v>27129.8033777778</v>
      </c>
      <c r="F2001" s="80">
        <f>IFERROR(E2001,0)</f>
        <v>27129.8033777778</v>
      </c>
      <c r="G2001" s="61" t="str">
        <f>INDEX(SETORES!$B:$B,MATCH(A2001,SETORES!$A:$A,0))</f>
        <v>Clientes</v>
      </c>
      <c r="H2001" s="61" t="s">
        <v>20</v>
      </c>
    </row>
    <row r="2002" spans="1:8" ht="14.25" hidden="1" customHeight="1" x14ac:dyDescent="0.3">
      <c r="A2002" s="2" t="s">
        <v>42</v>
      </c>
      <c r="B2002" s="60" t="s">
        <v>155</v>
      </c>
      <c r="C2002" s="60" t="s">
        <v>167</v>
      </c>
      <c r="D2002" s="68">
        <v>2</v>
      </c>
      <c r="E2002" s="73">
        <v>10.050000000000001</v>
      </c>
      <c r="F2002" s="79">
        <f>IFERROR(D2002*E2002,0)</f>
        <v>20.100000000000001</v>
      </c>
      <c r="G2002" s="60" t="str">
        <f>INDEX(SETORES!$B:$B,MATCH(A2002,SETORES!$A:$A,0))</f>
        <v>Clientes</v>
      </c>
      <c r="H2002" s="60" t="s">
        <v>20</v>
      </c>
    </row>
    <row r="2003" spans="1:8" ht="14.25" hidden="1" customHeight="1" x14ac:dyDescent="0.3">
      <c r="A2003" s="2" t="s">
        <v>42</v>
      </c>
      <c r="B2003" s="60" t="s">
        <v>155</v>
      </c>
      <c r="C2003" s="60" t="s">
        <v>238</v>
      </c>
      <c r="D2003" s="68">
        <v>1</v>
      </c>
      <c r="E2003" s="73">
        <v>2.2222219999999999</v>
      </c>
      <c r="F2003" s="79">
        <f>IFERROR(D2003*E2003,0)</f>
        <v>2.2222219999999999</v>
      </c>
      <c r="G2003" s="60" t="str">
        <f>INDEX(SETORES!$B:$B,MATCH(A2003,SETORES!$A:$A,0))</f>
        <v>Clientes</v>
      </c>
      <c r="H2003" s="60" t="s">
        <v>20</v>
      </c>
    </row>
    <row r="2004" spans="1:8" ht="14.25" hidden="1" customHeight="1" x14ac:dyDescent="0.3">
      <c r="A2004" s="34" t="s">
        <v>42</v>
      </c>
      <c r="B2004" s="61" t="s">
        <v>155</v>
      </c>
      <c r="C2004" s="61" t="s">
        <v>166</v>
      </c>
      <c r="D2004" s="69">
        <v>4</v>
      </c>
      <c r="E2004" s="74">
        <v>50</v>
      </c>
      <c r="F2004" s="80">
        <f>IFERROR(D2004*E2004,0)</f>
        <v>200</v>
      </c>
      <c r="G2004" s="61" t="str">
        <f>INDEX(SETORES!$B:$B,MATCH(A2004,SETORES!$A:$A,0))</f>
        <v>Clientes</v>
      </c>
      <c r="H2004" s="61" t="s">
        <v>20</v>
      </c>
    </row>
    <row r="2005" spans="1:8" ht="14.25" hidden="1" customHeight="1" x14ac:dyDescent="0.3">
      <c r="A2005" s="2" t="s">
        <v>42</v>
      </c>
      <c r="B2005" s="60" t="s">
        <v>155</v>
      </c>
      <c r="C2005" s="60" t="s">
        <v>156</v>
      </c>
      <c r="D2005" s="68"/>
      <c r="E2005" s="73"/>
      <c r="F2005" s="79">
        <v>0</v>
      </c>
      <c r="G2005" s="60" t="str">
        <f>INDEX(SETORES!$B:$B,MATCH(A2005,SETORES!$A:$A,0))</f>
        <v>Clientes</v>
      </c>
      <c r="H2005" s="60" t="s">
        <v>20</v>
      </c>
    </row>
    <row r="2006" spans="1:8" ht="14.25" hidden="1" customHeight="1" x14ac:dyDescent="0.3">
      <c r="A2006" s="34" t="s">
        <v>42</v>
      </c>
      <c r="B2006" s="61" t="s">
        <v>155</v>
      </c>
      <c r="C2006" s="61" t="s">
        <v>157</v>
      </c>
      <c r="D2006" s="69"/>
      <c r="E2006" s="74"/>
      <c r="F2006" s="80">
        <v>0</v>
      </c>
      <c r="G2006" s="61" t="str">
        <f>INDEX(SETORES!$B:$B,MATCH(A2006,SETORES!$A:$A,0))</f>
        <v>Clientes</v>
      </c>
      <c r="H2006" s="61" t="s">
        <v>20</v>
      </c>
    </row>
    <row r="2007" spans="1:8" ht="14.25" hidden="1" customHeight="1" x14ac:dyDescent="0.3">
      <c r="A2007" s="2" t="s">
        <v>42</v>
      </c>
      <c r="B2007" s="60" t="s">
        <v>162</v>
      </c>
      <c r="C2007" s="60" t="s">
        <v>222</v>
      </c>
      <c r="D2007" s="68"/>
      <c r="E2007" s="73"/>
      <c r="F2007" s="79">
        <f>IFERROR(D2007*E2007,0)</f>
        <v>0</v>
      </c>
      <c r="G2007" s="60" t="str">
        <f>INDEX(SETORES!$B:$B,MATCH(A2007,SETORES!$A:$A,0))</f>
        <v>Clientes</v>
      </c>
      <c r="H2007" s="60" t="s">
        <v>20</v>
      </c>
    </row>
    <row r="2008" spans="1:8" ht="14.25" hidden="1" customHeight="1" x14ac:dyDescent="0.3">
      <c r="A2008" s="34" t="s">
        <v>42</v>
      </c>
      <c r="B2008" s="61" t="s">
        <v>155</v>
      </c>
      <c r="C2008" s="61" t="s">
        <v>168</v>
      </c>
      <c r="D2008" s="69">
        <v>2</v>
      </c>
      <c r="E2008" s="74">
        <v>2.0699999999999998</v>
      </c>
      <c r="F2008" s="80">
        <f>IFERROR(D2008*E2008,0)</f>
        <v>4.1399999999999997</v>
      </c>
      <c r="G2008" s="61" t="str">
        <f>INDEX(SETORES!$B:$B,MATCH(A2008,SETORES!$A:$A,0))</f>
        <v>Clientes</v>
      </c>
      <c r="H2008" s="61" t="s">
        <v>20</v>
      </c>
    </row>
    <row r="2009" spans="1:8" ht="14.25" hidden="1" customHeight="1" x14ac:dyDescent="0.3">
      <c r="A2009" s="2" t="s">
        <v>42</v>
      </c>
      <c r="B2009" s="60" t="s">
        <v>155</v>
      </c>
      <c r="C2009" s="60" t="s">
        <v>160</v>
      </c>
      <c r="D2009" s="68"/>
      <c r="E2009" s="73"/>
      <c r="F2009" s="79">
        <f>IFERROR(D2009*E2009,0)</f>
        <v>0</v>
      </c>
      <c r="G2009" s="60" t="str">
        <f>INDEX(SETORES!$B:$B,MATCH(A2009,SETORES!$A:$A,0))</f>
        <v>Clientes</v>
      </c>
      <c r="H2009" s="60" t="s">
        <v>20</v>
      </c>
    </row>
    <row r="2010" spans="1:8" ht="14.25" hidden="1" customHeight="1" x14ac:dyDescent="0.3">
      <c r="A2010" s="2" t="s">
        <v>42</v>
      </c>
      <c r="B2010" s="60" t="s">
        <v>162</v>
      </c>
      <c r="C2010" s="60" t="s">
        <v>215</v>
      </c>
      <c r="D2010" s="68"/>
      <c r="E2010" s="73"/>
      <c r="F2010" s="79">
        <f>IFERROR(D2010*E2010,0)</f>
        <v>0</v>
      </c>
      <c r="G2010" s="60" t="str">
        <f>INDEX(SETORES!$B:$B,MATCH(A2010,SETORES!$A:$A,0))</f>
        <v>Clientes</v>
      </c>
      <c r="H2010" s="60" t="s">
        <v>20</v>
      </c>
    </row>
    <row r="2011" spans="1:8" ht="14.25" hidden="1" customHeight="1" x14ac:dyDescent="0.3">
      <c r="A2011" s="34" t="s">
        <v>33</v>
      </c>
      <c r="B2011" s="61" t="s">
        <v>155</v>
      </c>
      <c r="C2011" s="61" t="s">
        <v>159</v>
      </c>
      <c r="D2011" s="69">
        <v>1</v>
      </c>
      <c r="E2011" s="74">
        <v>0</v>
      </c>
      <c r="F2011" s="80">
        <v>0</v>
      </c>
      <c r="G2011" s="61" t="str">
        <f>INDEX(SETORES!$B:$B,MATCH(A2011,SETORES!$A:$A,0))</f>
        <v>Funcionários</v>
      </c>
      <c r="H2011" s="61" t="s">
        <v>20</v>
      </c>
    </row>
    <row r="2012" spans="1:8" ht="14.25" hidden="1" customHeight="1" x14ac:dyDescent="0.3">
      <c r="A2012" s="34" t="s">
        <v>33</v>
      </c>
      <c r="B2012" s="61" t="s">
        <v>155</v>
      </c>
      <c r="C2012" s="61" t="s">
        <v>212</v>
      </c>
      <c r="D2012" s="69">
        <v>2</v>
      </c>
      <c r="E2012" s="74">
        <v>30</v>
      </c>
      <c r="F2012" s="80">
        <f>IFERROR(D2012*E2012,0)</f>
        <v>60</v>
      </c>
      <c r="G2012" s="61" t="str">
        <f>INDEX(SETORES!$B:$B,MATCH(A2012,SETORES!$A:$A,0))</f>
        <v>Funcionários</v>
      </c>
      <c r="H2012" s="61" t="s">
        <v>20</v>
      </c>
    </row>
    <row r="2013" spans="1:8" ht="14.25" hidden="1" customHeight="1" x14ac:dyDescent="0.3">
      <c r="A2013" s="34" t="s">
        <v>33</v>
      </c>
      <c r="B2013" s="61" t="s">
        <v>155</v>
      </c>
      <c r="C2013" s="61" t="s">
        <v>171</v>
      </c>
      <c r="D2013" s="69">
        <v>7</v>
      </c>
      <c r="E2013" s="74">
        <v>47.79</v>
      </c>
      <c r="F2013" s="80">
        <f>IFERROR(D2013*E2013,0)</f>
        <v>334.53</v>
      </c>
      <c r="G2013" s="60" t="s">
        <v>98</v>
      </c>
      <c r="H2013" s="61" t="s">
        <v>20</v>
      </c>
    </row>
    <row r="2014" spans="1:8" ht="14.25" hidden="1" customHeight="1" x14ac:dyDescent="0.3">
      <c r="A2014" s="2" t="s">
        <v>33</v>
      </c>
      <c r="B2014" s="60" t="s">
        <v>155</v>
      </c>
      <c r="C2014" s="60" t="s">
        <v>170</v>
      </c>
      <c r="D2014" s="68">
        <v>7</v>
      </c>
      <c r="E2014" s="73">
        <v>28.31</v>
      </c>
      <c r="F2014" s="79">
        <f>IFERROR(D2014*E2014,0)</f>
        <v>198.17</v>
      </c>
      <c r="G2014" s="61" t="s">
        <v>98</v>
      </c>
      <c r="H2014" s="60" t="s">
        <v>20</v>
      </c>
    </row>
    <row r="2015" spans="1:8" ht="14.25" customHeight="1" x14ac:dyDescent="0.3">
      <c r="A2015" s="34" t="s">
        <v>33</v>
      </c>
      <c r="B2015" s="61" t="s">
        <v>155</v>
      </c>
      <c r="C2015" s="61" t="s">
        <v>169</v>
      </c>
      <c r="D2015" s="69">
        <v>7</v>
      </c>
      <c r="E2015" s="74">
        <v>64.569999999999993</v>
      </c>
      <c r="F2015" s="80">
        <f>IFERROR(D2015*E2015,0)</f>
        <v>451.98999999999995</v>
      </c>
      <c r="G2015" s="61" t="s">
        <v>98</v>
      </c>
      <c r="H2015" s="61" t="s">
        <v>20</v>
      </c>
    </row>
    <row r="2016" spans="1:8" ht="14.25" hidden="1" customHeight="1" x14ac:dyDescent="0.3">
      <c r="A2016" s="2" t="s">
        <v>33</v>
      </c>
      <c r="B2016" s="60" t="s">
        <v>155</v>
      </c>
      <c r="C2016" s="60" t="s">
        <v>158</v>
      </c>
      <c r="D2016" s="68">
        <v>1</v>
      </c>
      <c r="E2016" s="73">
        <v>59.575600000000001</v>
      </c>
      <c r="F2016" s="79">
        <v>59.575600000000001</v>
      </c>
      <c r="G2016" s="60" t="str">
        <f>INDEX(SETORES!$B:$B,MATCH(A2016,SETORES!$A:$A,0))</f>
        <v>Funcionários</v>
      </c>
      <c r="H2016" s="60" t="s">
        <v>20</v>
      </c>
    </row>
    <row r="2017" spans="1:8" ht="14.25" hidden="1" customHeight="1" x14ac:dyDescent="0.3">
      <c r="A2017" s="2" t="s">
        <v>33</v>
      </c>
      <c r="B2017" s="60" t="s">
        <v>162</v>
      </c>
      <c r="C2017" s="60" t="s">
        <v>213</v>
      </c>
      <c r="D2017" s="68"/>
      <c r="E2017" s="73"/>
      <c r="F2017" s="79">
        <f>IFERROR(D2017*E2017,0)</f>
        <v>0</v>
      </c>
      <c r="G2017" s="60" t="str">
        <f>INDEX(SETORES!$B:$B,MATCH(A2017,SETORES!$A:$A,0))</f>
        <v>Funcionários</v>
      </c>
      <c r="H2017" s="60" t="s">
        <v>20</v>
      </c>
    </row>
    <row r="2018" spans="1:8" ht="14.25" hidden="1" customHeight="1" x14ac:dyDescent="0.3">
      <c r="A2018" s="2" t="s">
        <v>33</v>
      </c>
      <c r="B2018" s="60" t="s">
        <v>162</v>
      </c>
      <c r="C2018" s="60" t="s">
        <v>163</v>
      </c>
      <c r="D2018" s="68"/>
      <c r="E2018" s="73"/>
      <c r="F2018" s="79">
        <f>IFERROR(D2018*E2018,0)</f>
        <v>0</v>
      </c>
      <c r="G2018" s="60" t="str">
        <f>INDEX(SETORES!$B:$B,MATCH(A2018,SETORES!$A:$A,0))</f>
        <v>Funcionários</v>
      </c>
      <c r="H2018" s="60" t="s">
        <v>20</v>
      </c>
    </row>
    <row r="2019" spans="1:8" ht="14.25" hidden="1" customHeight="1" x14ac:dyDescent="0.3">
      <c r="A2019" s="34" t="s">
        <v>33</v>
      </c>
      <c r="B2019" s="61" t="s">
        <v>162</v>
      </c>
      <c r="C2019" s="61" t="s">
        <v>164</v>
      </c>
      <c r="D2019" s="69">
        <v>1</v>
      </c>
      <c r="E2019" s="74">
        <v>68</v>
      </c>
      <c r="F2019" s="80">
        <f>IFERROR(D2019*E2019,0)</f>
        <v>68</v>
      </c>
      <c r="G2019" s="61" t="str">
        <f>INDEX(SETORES!$B:$B,MATCH(A2019,SETORES!$A:$A,0))</f>
        <v>Funcionários</v>
      </c>
      <c r="H2019" s="61" t="s">
        <v>20</v>
      </c>
    </row>
    <row r="2020" spans="1:8" ht="14.25" hidden="1" customHeight="1" x14ac:dyDescent="0.3">
      <c r="A2020" s="34" t="s">
        <v>33</v>
      </c>
      <c r="B2020" s="61" t="s">
        <v>155</v>
      </c>
      <c r="C2020" s="61" t="s">
        <v>161</v>
      </c>
      <c r="D2020" s="69">
        <v>1</v>
      </c>
      <c r="E2020" s="74">
        <v>36796.53</v>
      </c>
      <c r="F2020" s="80">
        <f>IFERROR(E2020,0)</f>
        <v>36796.53</v>
      </c>
      <c r="G2020" s="61" t="str">
        <f>INDEX(SETORES!$B:$B,MATCH(A2020,SETORES!$A:$A,0))</f>
        <v>Funcionários</v>
      </c>
      <c r="H2020" s="61" t="s">
        <v>20</v>
      </c>
    </row>
    <row r="2021" spans="1:8" ht="14.25" hidden="1" customHeight="1" x14ac:dyDescent="0.3">
      <c r="A2021" s="34" t="s">
        <v>33</v>
      </c>
      <c r="B2021" s="61" t="s">
        <v>155</v>
      </c>
      <c r="C2021" s="61" t="s">
        <v>167</v>
      </c>
      <c r="D2021" s="69">
        <v>7</v>
      </c>
      <c r="E2021" s="74">
        <v>10.050000000000001</v>
      </c>
      <c r="F2021" s="80">
        <f>IFERROR(D2021*E2021,0)</f>
        <v>70.350000000000009</v>
      </c>
      <c r="G2021" s="61" t="str">
        <f>INDEX(SETORES!$B:$B,MATCH(A2021,SETORES!$A:$A,0))</f>
        <v>Funcionários</v>
      </c>
      <c r="H2021" s="61" t="s">
        <v>20</v>
      </c>
    </row>
    <row r="2022" spans="1:8" ht="14.25" hidden="1" customHeight="1" x14ac:dyDescent="0.3">
      <c r="A2022" s="34" t="s">
        <v>33</v>
      </c>
      <c r="B2022" s="61" t="s">
        <v>162</v>
      </c>
      <c r="C2022" s="61" t="s">
        <v>214</v>
      </c>
      <c r="D2022" s="69"/>
      <c r="E2022" s="74"/>
      <c r="F2022" s="80">
        <f>IFERROR(D2022*E2022,0)</f>
        <v>0</v>
      </c>
      <c r="G2022" s="61" t="str">
        <f>INDEX(SETORES!$B:$B,MATCH(A2022,SETORES!$A:$A,0))</f>
        <v>Funcionários</v>
      </c>
      <c r="H2022" s="61" t="s">
        <v>20</v>
      </c>
    </row>
    <row r="2023" spans="1:8" ht="14.25" hidden="1" customHeight="1" x14ac:dyDescent="0.3">
      <c r="A2023" s="2" t="s">
        <v>33</v>
      </c>
      <c r="B2023" s="60" t="s">
        <v>155</v>
      </c>
      <c r="C2023" s="60" t="s">
        <v>166</v>
      </c>
      <c r="D2023" s="68">
        <v>7</v>
      </c>
      <c r="E2023" s="73">
        <v>50</v>
      </c>
      <c r="F2023" s="79">
        <f>IFERROR(D2023*E2023,0)</f>
        <v>350</v>
      </c>
      <c r="G2023" s="60" t="str">
        <f>INDEX(SETORES!$B:$B,MATCH(A2023,SETORES!$A:$A,0))</f>
        <v>Funcionários</v>
      </c>
      <c r="H2023" s="60" t="s">
        <v>20</v>
      </c>
    </row>
    <row r="2024" spans="1:8" ht="14.25" hidden="1" customHeight="1" x14ac:dyDescent="0.3">
      <c r="A2024" s="2" t="s">
        <v>33</v>
      </c>
      <c r="B2024" s="60" t="s">
        <v>155</v>
      </c>
      <c r="C2024" s="60" t="s">
        <v>177</v>
      </c>
      <c r="D2024" s="68">
        <v>1</v>
      </c>
      <c r="E2024" s="73">
        <v>2559.44</v>
      </c>
      <c r="F2024" s="79">
        <f>IFERROR(D2024*E2024,0)</f>
        <v>2559.44</v>
      </c>
      <c r="G2024" s="60" t="s">
        <v>98</v>
      </c>
      <c r="H2024" s="60" t="s">
        <v>20</v>
      </c>
    </row>
    <row r="2025" spans="1:8" ht="14.25" hidden="1" customHeight="1" x14ac:dyDescent="0.3">
      <c r="A2025" s="2" t="s">
        <v>33</v>
      </c>
      <c r="B2025" s="60" t="s">
        <v>155</v>
      </c>
      <c r="C2025" s="60" t="s">
        <v>156</v>
      </c>
      <c r="D2025" s="68">
        <v>1</v>
      </c>
      <c r="E2025" s="73">
        <v>28.5</v>
      </c>
      <c r="F2025" s="79">
        <v>57.000300000000003</v>
      </c>
      <c r="G2025" s="60" t="str">
        <f>INDEX(SETORES!$B:$B,MATCH(A2025,SETORES!$A:$A,0))</f>
        <v>Funcionários</v>
      </c>
      <c r="H2025" s="60" t="s">
        <v>20</v>
      </c>
    </row>
    <row r="2026" spans="1:8" ht="14.25" hidden="1" customHeight="1" x14ac:dyDescent="0.3">
      <c r="A2026" s="34" t="s">
        <v>33</v>
      </c>
      <c r="B2026" s="61" t="s">
        <v>155</v>
      </c>
      <c r="C2026" s="61" t="s">
        <v>157</v>
      </c>
      <c r="D2026" s="69">
        <v>1</v>
      </c>
      <c r="E2026" s="74">
        <v>28.5</v>
      </c>
      <c r="F2026" s="80">
        <v>28.5</v>
      </c>
      <c r="G2026" s="61" t="str">
        <f>INDEX(SETORES!$B:$B,MATCH(A2026,SETORES!$A:$A,0))</f>
        <v>Funcionários</v>
      </c>
      <c r="H2026" s="61" t="s">
        <v>20</v>
      </c>
    </row>
    <row r="2027" spans="1:8" ht="14.25" hidden="1" customHeight="1" x14ac:dyDescent="0.3">
      <c r="A2027" s="34" t="s">
        <v>33</v>
      </c>
      <c r="B2027" s="61" t="s">
        <v>155</v>
      </c>
      <c r="C2027" s="61" t="s">
        <v>178</v>
      </c>
      <c r="D2027" s="69">
        <v>1</v>
      </c>
      <c r="E2027" s="74">
        <v>4226.8</v>
      </c>
      <c r="F2027" s="80">
        <f>IFERROR(D2027*E2027,0)</f>
        <v>4226.8</v>
      </c>
      <c r="G2027" s="60" t="s">
        <v>98</v>
      </c>
      <c r="H2027" s="61" t="s">
        <v>20</v>
      </c>
    </row>
    <row r="2028" spans="1:8" ht="14.25" hidden="1" customHeight="1" x14ac:dyDescent="0.3">
      <c r="A2028" s="34" t="s">
        <v>33</v>
      </c>
      <c r="B2028" s="61" t="s">
        <v>155</v>
      </c>
      <c r="C2028" s="61" t="s">
        <v>180</v>
      </c>
      <c r="D2028" s="69">
        <v>1</v>
      </c>
      <c r="E2028" s="74">
        <v>3714.01</v>
      </c>
      <c r="F2028" s="80">
        <f>IFERROR(D2028*E2028,0)</f>
        <v>3714.01</v>
      </c>
      <c r="G2028" s="60" t="s">
        <v>98</v>
      </c>
      <c r="H2028" s="61" t="s">
        <v>20</v>
      </c>
    </row>
    <row r="2029" spans="1:8" ht="14.25" hidden="1" customHeight="1" x14ac:dyDescent="0.3">
      <c r="A2029" s="2" t="s">
        <v>33</v>
      </c>
      <c r="B2029" s="60" t="s">
        <v>155</v>
      </c>
      <c r="C2029" s="60" t="s">
        <v>179</v>
      </c>
      <c r="D2029" s="68">
        <v>1</v>
      </c>
      <c r="E2029" s="73">
        <v>837.06</v>
      </c>
      <c r="F2029" s="79">
        <f>IFERROR(D2029*E2029,0)</f>
        <v>837.06</v>
      </c>
      <c r="G2029" s="60" t="s">
        <v>98</v>
      </c>
      <c r="H2029" s="60" t="s">
        <v>20</v>
      </c>
    </row>
    <row r="2030" spans="1:8" ht="14.25" hidden="1" customHeight="1" x14ac:dyDescent="0.3">
      <c r="A2030" s="2" t="s">
        <v>33</v>
      </c>
      <c r="B2030" s="60" t="s">
        <v>155</v>
      </c>
      <c r="C2030" s="60" t="s">
        <v>168</v>
      </c>
      <c r="D2030" s="68">
        <v>7</v>
      </c>
      <c r="E2030" s="73">
        <v>2.0699999999999998</v>
      </c>
      <c r="F2030" s="79">
        <f>IFERROR(D2030*E2030,0)</f>
        <v>14.489999999999998</v>
      </c>
      <c r="G2030" s="60" t="str">
        <f>INDEX(SETORES!$B:$B,MATCH(A2030,SETORES!$A:$A,0))</f>
        <v>Funcionários</v>
      </c>
      <c r="H2030" s="60" t="s">
        <v>20</v>
      </c>
    </row>
    <row r="2031" spans="1:8" ht="14.25" hidden="1" customHeight="1" x14ac:dyDescent="0.3">
      <c r="A2031" s="2" t="s">
        <v>33</v>
      </c>
      <c r="B2031" s="60" t="s">
        <v>155</v>
      </c>
      <c r="C2031" s="60" t="s">
        <v>160</v>
      </c>
      <c r="D2031" s="68"/>
      <c r="E2031" s="73"/>
      <c r="F2031" s="79">
        <f>IFERROR(D2031*E2031,0)</f>
        <v>0</v>
      </c>
      <c r="G2031" s="60" t="str">
        <f>INDEX(SETORES!$B:$B,MATCH(A2031,SETORES!$A:$A,0))</f>
        <v>Funcionários</v>
      </c>
      <c r="H2031" s="60" t="s">
        <v>20</v>
      </c>
    </row>
    <row r="2032" spans="1:8" ht="14.25" hidden="1" customHeight="1" x14ac:dyDescent="0.3">
      <c r="A2032" s="34" t="s">
        <v>45</v>
      </c>
      <c r="B2032" s="61" t="s">
        <v>155</v>
      </c>
      <c r="C2032" s="61" t="s">
        <v>159</v>
      </c>
      <c r="D2032" s="69">
        <v>7</v>
      </c>
      <c r="E2032" s="74">
        <v>0.63429999999999997</v>
      </c>
      <c r="F2032" s="80">
        <v>4.4401000000000002</v>
      </c>
      <c r="G2032" s="61" t="str">
        <f>INDEX(SETORES!$B:$B,MATCH(A2032,SETORES!$A:$A,0))</f>
        <v>Clientes</v>
      </c>
      <c r="H2032" s="61" t="s">
        <v>20</v>
      </c>
    </row>
    <row r="2033" spans="1:8" ht="14.25" hidden="1" customHeight="1" x14ac:dyDescent="0.3">
      <c r="A2033" s="2" t="s">
        <v>45</v>
      </c>
      <c r="B2033" s="60" t="s">
        <v>155</v>
      </c>
      <c r="C2033" s="60" t="s">
        <v>212</v>
      </c>
      <c r="D2033" s="68">
        <v>8</v>
      </c>
      <c r="E2033" s="73">
        <v>30</v>
      </c>
      <c r="F2033" s="79">
        <f>IFERROR(D2033*E2033,0)</f>
        <v>240</v>
      </c>
      <c r="G2033" s="60" t="str">
        <f>INDEX(SETORES!$B:$B,MATCH(A2033,SETORES!$A:$A,0))</f>
        <v>Clientes</v>
      </c>
      <c r="H2033" s="60" t="s">
        <v>20</v>
      </c>
    </row>
    <row r="2034" spans="1:8" ht="14.25" hidden="1" customHeight="1" x14ac:dyDescent="0.3">
      <c r="A2034" s="2" t="s">
        <v>45</v>
      </c>
      <c r="B2034" s="60" t="s">
        <v>162</v>
      </c>
      <c r="C2034" s="60" t="s">
        <v>217</v>
      </c>
      <c r="D2034" s="68">
        <v>1</v>
      </c>
      <c r="E2034" s="73">
        <v>8424.4699999999993</v>
      </c>
      <c r="F2034" s="79">
        <f>IFERROR(D2034*E2034,0)</f>
        <v>8424.4699999999993</v>
      </c>
      <c r="G2034" s="60" t="str">
        <f>INDEX(SETORES!$B:$B,MATCH(A2034,SETORES!$A:$A,0))</f>
        <v>Clientes</v>
      </c>
      <c r="H2034" s="60" t="s">
        <v>20</v>
      </c>
    </row>
    <row r="2035" spans="1:8" ht="14.25" hidden="1" customHeight="1" x14ac:dyDescent="0.3">
      <c r="A2035" s="34" t="s">
        <v>45</v>
      </c>
      <c r="B2035" s="61" t="s">
        <v>162</v>
      </c>
      <c r="C2035" s="61" t="s">
        <v>216</v>
      </c>
      <c r="D2035" s="69"/>
      <c r="E2035" s="74"/>
      <c r="F2035" s="80">
        <f>IFERROR(D2035*E2035,0)</f>
        <v>0</v>
      </c>
      <c r="G2035" s="61" t="str">
        <f>INDEX(SETORES!$B:$B,MATCH(A2035,SETORES!$A:$A,0))</f>
        <v>Clientes</v>
      </c>
      <c r="H2035" s="61" t="s">
        <v>20</v>
      </c>
    </row>
    <row r="2036" spans="1:8" ht="14.25" hidden="1" customHeight="1" x14ac:dyDescent="0.3">
      <c r="A2036" s="34" t="s">
        <v>45</v>
      </c>
      <c r="B2036" s="61" t="s">
        <v>155</v>
      </c>
      <c r="C2036" s="61" t="s">
        <v>250</v>
      </c>
      <c r="D2036" s="69">
        <v>1</v>
      </c>
      <c r="E2036" s="74">
        <v>1269.3699999999999</v>
      </c>
      <c r="F2036" s="80">
        <f>IFERROR(D2036*E2036,0)</f>
        <v>1269.3699999999999</v>
      </c>
      <c r="G2036" s="61" t="str">
        <f>INDEX(SETORES!$B:$B,MATCH(A2036,SETORES!$A:$A,0))</f>
        <v>Clientes</v>
      </c>
      <c r="H2036" s="61" t="s">
        <v>20</v>
      </c>
    </row>
    <row r="2037" spans="1:8" ht="14.25" hidden="1" customHeight="1" x14ac:dyDescent="0.3">
      <c r="A2037" s="34" t="s">
        <v>45</v>
      </c>
      <c r="B2037" s="61" t="s">
        <v>155</v>
      </c>
      <c r="C2037" s="61" t="s">
        <v>171</v>
      </c>
      <c r="D2037" s="69">
        <v>7</v>
      </c>
      <c r="E2037" s="74">
        <v>47.79</v>
      </c>
      <c r="F2037" s="80">
        <f>IFERROR(D2037*E2037,0)</f>
        <v>334.53</v>
      </c>
      <c r="G2037" s="60" t="s">
        <v>98</v>
      </c>
      <c r="H2037" s="61" t="s">
        <v>20</v>
      </c>
    </row>
    <row r="2038" spans="1:8" ht="14.25" hidden="1" customHeight="1" x14ac:dyDescent="0.3">
      <c r="A2038" s="2" t="s">
        <v>45</v>
      </c>
      <c r="B2038" s="60" t="s">
        <v>155</v>
      </c>
      <c r="C2038" s="60" t="s">
        <v>170</v>
      </c>
      <c r="D2038" s="68">
        <v>7</v>
      </c>
      <c r="E2038" s="73">
        <v>28.31</v>
      </c>
      <c r="F2038" s="79">
        <f>IFERROR(D2038*E2038,0)</f>
        <v>198.17</v>
      </c>
      <c r="G2038" s="61" t="s">
        <v>98</v>
      </c>
      <c r="H2038" s="60" t="s">
        <v>20</v>
      </c>
    </row>
    <row r="2039" spans="1:8" ht="14.25" customHeight="1" x14ac:dyDescent="0.3">
      <c r="A2039" s="34" t="s">
        <v>45</v>
      </c>
      <c r="B2039" s="61" t="s">
        <v>155</v>
      </c>
      <c r="C2039" s="61" t="s">
        <v>169</v>
      </c>
      <c r="D2039" s="69">
        <v>7</v>
      </c>
      <c r="E2039" s="74">
        <v>64.569999999999993</v>
      </c>
      <c r="F2039" s="80">
        <f>IFERROR(D2039*E2039,0)</f>
        <v>451.98999999999995</v>
      </c>
      <c r="G2039" s="61" t="s">
        <v>98</v>
      </c>
      <c r="H2039" s="61" t="s">
        <v>20</v>
      </c>
    </row>
    <row r="2040" spans="1:8" ht="14.25" hidden="1" customHeight="1" x14ac:dyDescent="0.3">
      <c r="A2040" s="2" t="s">
        <v>45</v>
      </c>
      <c r="B2040" s="60" t="s">
        <v>155</v>
      </c>
      <c r="C2040" s="60" t="s">
        <v>158</v>
      </c>
      <c r="D2040" s="68">
        <v>7</v>
      </c>
      <c r="E2040" s="73">
        <v>24.8613</v>
      </c>
      <c r="F2040" s="79">
        <v>174.0291</v>
      </c>
      <c r="G2040" s="60" t="str">
        <f>INDEX(SETORES!$B:$B,MATCH(A2040,SETORES!$A:$A,0))</f>
        <v>Clientes</v>
      </c>
      <c r="H2040" s="60" t="s">
        <v>20</v>
      </c>
    </row>
    <row r="2041" spans="1:8" ht="14.25" hidden="1" customHeight="1" x14ac:dyDescent="0.3">
      <c r="A2041" s="2" t="s">
        <v>45</v>
      </c>
      <c r="B2041" s="60" t="s">
        <v>162</v>
      </c>
      <c r="C2041" s="60" t="s">
        <v>163</v>
      </c>
      <c r="D2041" s="68">
        <v>1</v>
      </c>
      <c r="E2041" s="73">
        <v>132</v>
      </c>
      <c r="F2041" s="79">
        <f>IFERROR(D2041*E2041,0)</f>
        <v>132</v>
      </c>
      <c r="G2041" s="60" t="str">
        <f>INDEX(SETORES!$B:$B,MATCH(A2041,SETORES!$A:$A,0))</f>
        <v>Clientes</v>
      </c>
      <c r="H2041" s="60" t="s">
        <v>20</v>
      </c>
    </row>
    <row r="2042" spans="1:8" ht="14.25" hidden="1" customHeight="1" x14ac:dyDescent="0.3">
      <c r="A2042" s="34" t="s">
        <v>45</v>
      </c>
      <c r="B2042" s="61" t="s">
        <v>162</v>
      </c>
      <c r="C2042" s="61" t="s">
        <v>164</v>
      </c>
      <c r="D2042" s="69"/>
      <c r="E2042" s="74"/>
      <c r="F2042" s="80">
        <f>IFERROR(D2042*E2042,0)</f>
        <v>0</v>
      </c>
      <c r="G2042" s="61" t="str">
        <f>INDEX(SETORES!$B:$B,MATCH(A2042,SETORES!$A:$A,0))</f>
        <v>Clientes</v>
      </c>
      <c r="H2042" s="61" t="s">
        <v>20</v>
      </c>
    </row>
    <row r="2043" spans="1:8" ht="14.25" hidden="1" customHeight="1" x14ac:dyDescent="0.3">
      <c r="A2043" s="2" t="s">
        <v>45</v>
      </c>
      <c r="B2043" s="60" t="s">
        <v>155</v>
      </c>
      <c r="C2043" s="60" t="s">
        <v>161</v>
      </c>
      <c r="D2043" s="68">
        <v>1</v>
      </c>
      <c r="E2043" s="73">
        <v>58274.98</v>
      </c>
      <c r="F2043" s="79">
        <f>IFERROR(E2043,0)</f>
        <v>58274.98</v>
      </c>
      <c r="G2043" s="60" t="str">
        <f>INDEX(SETORES!$B:$B,MATCH(A2043,SETORES!$A:$A,0))</f>
        <v>Clientes</v>
      </c>
      <c r="H2043" s="60" t="s">
        <v>20</v>
      </c>
    </row>
    <row r="2044" spans="1:8" ht="14.25" hidden="1" customHeight="1" x14ac:dyDescent="0.3">
      <c r="A2044" s="34" t="s">
        <v>45</v>
      </c>
      <c r="B2044" s="61" t="s">
        <v>155</v>
      </c>
      <c r="C2044" s="61" t="s">
        <v>167</v>
      </c>
      <c r="D2044" s="69">
        <v>7</v>
      </c>
      <c r="E2044" s="74">
        <v>10.050000000000001</v>
      </c>
      <c r="F2044" s="80">
        <f>IFERROR(D2044*E2044,0)</f>
        <v>70.350000000000009</v>
      </c>
      <c r="G2044" s="61" t="str">
        <f>INDEX(SETORES!$B:$B,MATCH(A2044,SETORES!$A:$A,0))</f>
        <v>Clientes</v>
      </c>
      <c r="H2044" s="61" t="s">
        <v>20</v>
      </c>
    </row>
    <row r="2045" spans="1:8" ht="14.25" hidden="1" customHeight="1" x14ac:dyDescent="0.3">
      <c r="A2045" s="34" t="s">
        <v>45</v>
      </c>
      <c r="B2045" s="61" t="s">
        <v>155</v>
      </c>
      <c r="C2045" s="61" t="s">
        <v>166</v>
      </c>
      <c r="D2045" s="69">
        <v>10</v>
      </c>
      <c r="E2045" s="74">
        <v>50</v>
      </c>
      <c r="F2045" s="80">
        <f>IFERROR(D2045*E2045,0)</f>
        <v>500</v>
      </c>
      <c r="G2045" s="61" t="str">
        <f>INDEX(SETORES!$B:$B,MATCH(A2045,SETORES!$A:$A,0))</f>
        <v>Clientes</v>
      </c>
      <c r="H2045" s="61" t="s">
        <v>20</v>
      </c>
    </row>
    <row r="2046" spans="1:8" ht="14.25" hidden="1" customHeight="1" x14ac:dyDescent="0.3">
      <c r="A2046" s="2" t="s">
        <v>45</v>
      </c>
      <c r="B2046" s="60" t="s">
        <v>155</v>
      </c>
      <c r="C2046" s="60" t="s">
        <v>183</v>
      </c>
      <c r="D2046" s="68">
        <v>1</v>
      </c>
      <c r="E2046" s="73">
        <v>666.2</v>
      </c>
      <c r="F2046" s="79">
        <f>IFERROR(D2046*E2046,0)</f>
        <v>666.2</v>
      </c>
      <c r="G2046" s="60" t="str">
        <f>INDEX(SETORES!$B:$B,MATCH(A2046,SETORES!$A:$A,0))</f>
        <v>Clientes</v>
      </c>
      <c r="H2046" s="60" t="s">
        <v>20</v>
      </c>
    </row>
    <row r="2047" spans="1:8" ht="14.25" hidden="1" customHeight="1" x14ac:dyDescent="0.3">
      <c r="A2047" s="34" t="s">
        <v>45</v>
      </c>
      <c r="B2047" s="61" t="s">
        <v>155</v>
      </c>
      <c r="C2047" s="61" t="s">
        <v>156</v>
      </c>
      <c r="D2047" s="69"/>
      <c r="E2047" s="74"/>
      <c r="F2047" s="80">
        <v>0</v>
      </c>
      <c r="G2047" s="61" t="str">
        <f>INDEX(SETORES!$B:$B,MATCH(A2047,SETORES!$A:$A,0))</f>
        <v>Clientes</v>
      </c>
      <c r="H2047" s="61" t="s">
        <v>20</v>
      </c>
    </row>
    <row r="2048" spans="1:8" ht="14.25" hidden="1" customHeight="1" x14ac:dyDescent="0.3">
      <c r="A2048" s="2" t="s">
        <v>45</v>
      </c>
      <c r="B2048" s="60" t="s">
        <v>155</v>
      </c>
      <c r="C2048" s="60" t="s">
        <v>157</v>
      </c>
      <c r="D2048" s="68"/>
      <c r="E2048" s="73"/>
      <c r="F2048" s="79">
        <v>0</v>
      </c>
      <c r="G2048" s="60" t="str">
        <f>INDEX(SETORES!$B:$B,MATCH(A2048,SETORES!$A:$A,0))</f>
        <v>Clientes</v>
      </c>
      <c r="H2048" s="60" t="s">
        <v>20</v>
      </c>
    </row>
    <row r="2049" spans="1:8" ht="14.25" hidden="1" customHeight="1" x14ac:dyDescent="0.3">
      <c r="A2049" s="2" t="s">
        <v>45</v>
      </c>
      <c r="B2049" s="60" t="s">
        <v>162</v>
      </c>
      <c r="C2049" s="60" t="s">
        <v>209</v>
      </c>
      <c r="D2049" s="68">
        <v>7</v>
      </c>
      <c r="E2049" s="73">
        <v>89.55</v>
      </c>
      <c r="F2049" s="79">
        <f>IFERROR(D2049*E2049,0)</f>
        <v>626.85</v>
      </c>
      <c r="G2049" s="60" t="str">
        <f>INDEX(SETORES!$B:$B,MATCH(A2049,SETORES!$A:$A,0))</f>
        <v>Clientes</v>
      </c>
      <c r="H2049" s="60" t="s">
        <v>20</v>
      </c>
    </row>
    <row r="2050" spans="1:8" ht="14.25" hidden="1" customHeight="1" x14ac:dyDescent="0.3">
      <c r="A2050" s="34" t="s">
        <v>45</v>
      </c>
      <c r="B2050" s="61" t="s">
        <v>155</v>
      </c>
      <c r="C2050" s="61" t="s">
        <v>184</v>
      </c>
      <c r="D2050" s="69">
        <v>1</v>
      </c>
      <c r="E2050" s="74">
        <v>470</v>
      </c>
      <c r="F2050" s="80">
        <f>IFERROR(D2050*E2050,0)</f>
        <v>470</v>
      </c>
      <c r="G2050" s="61" t="str">
        <f>INDEX(SETORES!$B:$B,MATCH(A2050,SETORES!$A:$A,0))</f>
        <v>Clientes</v>
      </c>
      <c r="H2050" s="61" t="s">
        <v>20</v>
      </c>
    </row>
    <row r="2051" spans="1:8" ht="14.25" hidden="1" customHeight="1" x14ac:dyDescent="0.3">
      <c r="A2051" s="2" t="s">
        <v>45</v>
      </c>
      <c r="B2051" s="60" t="s">
        <v>155</v>
      </c>
      <c r="C2051" s="60" t="s">
        <v>168</v>
      </c>
      <c r="D2051" s="68">
        <v>7</v>
      </c>
      <c r="E2051" s="73">
        <v>2.0699999999999998</v>
      </c>
      <c r="F2051" s="79">
        <f>IFERROR(D2051*E2051,0)</f>
        <v>14.489999999999998</v>
      </c>
      <c r="G2051" s="60" t="str">
        <f>INDEX(SETORES!$B:$B,MATCH(A2051,SETORES!$A:$A,0))</f>
        <v>Clientes</v>
      </c>
      <c r="H2051" s="60" t="s">
        <v>20</v>
      </c>
    </row>
    <row r="2052" spans="1:8" ht="14.25" hidden="1" customHeight="1" x14ac:dyDescent="0.3">
      <c r="A2052" s="34" t="s">
        <v>45</v>
      </c>
      <c r="B2052" s="61" t="s">
        <v>155</v>
      </c>
      <c r="C2052" s="61" t="s">
        <v>160</v>
      </c>
      <c r="D2052" s="69"/>
      <c r="E2052" s="74"/>
      <c r="F2052" s="80">
        <f>IFERROR(D2052*E2052,0)</f>
        <v>0</v>
      </c>
      <c r="G2052" s="61" t="str">
        <f>INDEX(SETORES!$B:$B,MATCH(A2052,SETORES!$A:$A,0))</f>
        <v>Clientes</v>
      </c>
      <c r="H2052" s="61" t="s">
        <v>20</v>
      </c>
    </row>
    <row r="2053" spans="1:8" ht="14.25" hidden="1" customHeight="1" x14ac:dyDescent="0.3">
      <c r="A2053" s="34" t="s">
        <v>45</v>
      </c>
      <c r="B2053" s="61" t="s">
        <v>155</v>
      </c>
      <c r="C2053" s="61" t="s">
        <v>193</v>
      </c>
      <c r="D2053" s="69">
        <v>1</v>
      </c>
      <c r="E2053" s="74">
        <v>513.44000000000005</v>
      </c>
      <c r="F2053" s="80">
        <f>IFERROR(D2053*E2053,0)</f>
        <v>513.44000000000005</v>
      </c>
      <c r="G2053" s="61" t="str">
        <f>INDEX(SETORES!$B:$B,MATCH(A2053,SETORES!$A:$A,0))</f>
        <v>Clientes</v>
      </c>
      <c r="H2053" s="61" t="s">
        <v>20</v>
      </c>
    </row>
    <row r="2054" spans="1:8" ht="14.25" hidden="1" customHeight="1" x14ac:dyDescent="0.3">
      <c r="A2054" s="2" t="s">
        <v>50</v>
      </c>
      <c r="B2054" s="60" t="s">
        <v>155</v>
      </c>
      <c r="C2054" s="60" t="s">
        <v>159</v>
      </c>
      <c r="D2054" s="68">
        <v>12</v>
      </c>
      <c r="E2054" s="73">
        <v>0.63429999999999997</v>
      </c>
      <c r="F2054" s="80">
        <f>IFERROR(D2054*E2054,0)</f>
        <v>7.6115999999999993</v>
      </c>
      <c r="G2054" s="60" t="str">
        <f>INDEX(SETORES!$B:$B,MATCH(A2054,SETORES!$A:$A,0))</f>
        <v>Clientes</v>
      </c>
      <c r="H2054" s="60" t="s">
        <v>20</v>
      </c>
    </row>
    <row r="2055" spans="1:8" ht="14.25" hidden="1" customHeight="1" x14ac:dyDescent="0.3">
      <c r="A2055" s="34" t="s">
        <v>50</v>
      </c>
      <c r="B2055" s="61" t="s">
        <v>155</v>
      </c>
      <c r="C2055" s="61" t="s">
        <v>171</v>
      </c>
      <c r="D2055" s="69">
        <v>13</v>
      </c>
      <c r="E2055" s="74">
        <v>47.79</v>
      </c>
      <c r="F2055" s="80">
        <f>IFERROR(D2055*E2055,0)</f>
        <v>621.27</v>
      </c>
      <c r="G2055" s="60" t="s">
        <v>98</v>
      </c>
      <c r="H2055" s="61" t="s">
        <v>20</v>
      </c>
    </row>
    <row r="2056" spans="1:8" ht="14.25" hidden="1" customHeight="1" x14ac:dyDescent="0.3">
      <c r="A2056" s="2" t="s">
        <v>50</v>
      </c>
      <c r="B2056" s="60" t="s">
        <v>155</v>
      </c>
      <c r="C2056" s="60" t="s">
        <v>170</v>
      </c>
      <c r="D2056" s="68">
        <v>13</v>
      </c>
      <c r="E2056" s="73">
        <v>28.31</v>
      </c>
      <c r="F2056" s="79">
        <f>IFERROR(D2056*E2056,0)</f>
        <v>368.03</v>
      </c>
      <c r="G2056" s="61" t="s">
        <v>98</v>
      </c>
      <c r="H2056" s="60" t="s">
        <v>20</v>
      </c>
    </row>
    <row r="2057" spans="1:8" ht="14.25" customHeight="1" x14ac:dyDescent="0.3">
      <c r="A2057" s="34" t="s">
        <v>50</v>
      </c>
      <c r="B2057" s="61" t="s">
        <v>155</v>
      </c>
      <c r="C2057" s="61" t="s">
        <v>169</v>
      </c>
      <c r="D2057" s="69">
        <v>13</v>
      </c>
      <c r="E2057" s="74">
        <v>64.569999999999993</v>
      </c>
      <c r="F2057" s="80">
        <f>IFERROR(D2057*E2057,0)</f>
        <v>839.40999999999985</v>
      </c>
      <c r="G2057" s="61" t="s">
        <v>98</v>
      </c>
      <c r="H2057" s="61" t="s">
        <v>20</v>
      </c>
    </row>
    <row r="2058" spans="1:8" ht="14.25" hidden="1" customHeight="1" x14ac:dyDescent="0.3">
      <c r="A2058" s="2" t="s">
        <v>50</v>
      </c>
      <c r="B2058" s="60" t="s">
        <v>155</v>
      </c>
      <c r="C2058" s="60" t="s">
        <v>158</v>
      </c>
      <c r="D2058" s="68">
        <v>12</v>
      </c>
      <c r="E2058" s="73">
        <v>24.8613</v>
      </c>
      <c r="F2058" s="80">
        <f t="shared" ref="F2058:F2070" si="1">IFERROR(D2058*E2058,0)</f>
        <v>298.3356</v>
      </c>
      <c r="G2058" s="60" t="str">
        <f>INDEX(SETORES!$B:$B,MATCH(A2058,SETORES!$A:$A,0))</f>
        <v>Clientes</v>
      </c>
      <c r="H2058" s="60" t="s">
        <v>20</v>
      </c>
    </row>
    <row r="2059" spans="1:8" ht="14.25" hidden="1" customHeight="1" x14ac:dyDescent="0.3">
      <c r="A2059" s="34" t="s">
        <v>50</v>
      </c>
      <c r="B2059" s="61" t="s">
        <v>162</v>
      </c>
      <c r="C2059" s="61" t="s">
        <v>165</v>
      </c>
      <c r="D2059" s="69">
        <v>1</v>
      </c>
      <c r="E2059" s="74">
        <v>176</v>
      </c>
      <c r="F2059" s="80">
        <f t="shared" si="1"/>
        <v>176</v>
      </c>
      <c r="G2059" s="61" t="str">
        <f>INDEX(SETORES!$B:$B,MATCH(A2059,SETORES!$A:$A,0))</f>
        <v>Clientes</v>
      </c>
      <c r="H2059" s="61" t="s">
        <v>20</v>
      </c>
    </row>
    <row r="2060" spans="1:8" ht="14.25" hidden="1" customHeight="1" x14ac:dyDescent="0.3">
      <c r="A2060" s="2" t="s">
        <v>50</v>
      </c>
      <c r="B2060" s="60" t="s">
        <v>162</v>
      </c>
      <c r="C2060" s="60" t="s">
        <v>163</v>
      </c>
      <c r="D2060" s="68">
        <v>1</v>
      </c>
      <c r="E2060" s="73">
        <v>135</v>
      </c>
      <c r="F2060" s="80">
        <f t="shared" si="1"/>
        <v>135</v>
      </c>
      <c r="G2060" s="60" t="str">
        <f>INDEX(SETORES!$B:$B,MATCH(A2060,SETORES!$A:$A,0))</f>
        <v>Clientes</v>
      </c>
      <c r="H2060" s="60" t="s">
        <v>20</v>
      </c>
    </row>
    <row r="2061" spans="1:8" ht="14.25" hidden="1" customHeight="1" x14ac:dyDescent="0.3">
      <c r="A2061" s="34" t="s">
        <v>50</v>
      </c>
      <c r="B2061" s="61" t="s">
        <v>162</v>
      </c>
      <c r="C2061" s="61" t="s">
        <v>164</v>
      </c>
      <c r="D2061" s="69"/>
      <c r="E2061" s="74"/>
      <c r="F2061" s="80">
        <f t="shared" si="1"/>
        <v>0</v>
      </c>
      <c r="G2061" s="61" t="str">
        <f>INDEX(SETORES!$B:$B,MATCH(A2061,SETORES!$A:$A,0))</f>
        <v>Clientes</v>
      </c>
      <c r="H2061" s="61" t="s">
        <v>20</v>
      </c>
    </row>
    <row r="2062" spans="1:8" ht="14.25" hidden="1" customHeight="1" x14ac:dyDescent="0.3">
      <c r="A2062" s="2" t="s">
        <v>50</v>
      </c>
      <c r="B2062" s="60" t="s">
        <v>155</v>
      </c>
      <c r="C2062" s="60" t="s">
        <v>161</v>
      </c>
      <c r="D2062" s="68">
        <v>1</v>
      </c>
      <c r="E2062" s="73">
        <v>54038.559999999998</v>
      </c>
      <c r="F2062" s="80">
        <f t="shared" si="1"/>
        <v>54038.559999999998</v>
      </c>
      <c r="G2062" s="60" t="str">
        <f>INDEX(SETORES!$B:$B,MATCH(A2062,SETORES!$A:$A,0))</f>
        <v>Clientes</v>
      </c>
      <c r="H2062" s="60" t="s">
        <v>20</v>
      </c>
    </row>
    <row r="2063" spans="1:8" ht="14.25" hidden="1" customHeight="1" x14ac:dyDescent="0.3">
      <c r="A2063" s="34" t="s">
        <v>50</v>
      </c>
      <c r="B2063" s="61" t="s">
        <v>155</v>
      </c>
      <c r="C2063" s="61" t="s">
        <v>167</v>
      </c>
      <c r="D2063" s="69">
        <v>13</v>
      </c>
      <c r="E2063" s="74">
        <v>10.050000000000001</v>
      </c>
      <c r="F2063" s="80">
        <f t="shared" si="1"/>
        <v>130.65</v>
      </c>
      <c r="G2063" s="61" t="str">
        <f>INDEX(SETORES!$B:$B,MATCH(A2063,SETORES!$A:$A,0))</f>
        <v>Clientes</v>
      </c>
      <c r="H2063" s="61" t="s">
        <v>20</v>
      </c>
    </row>
    <row r="2064" spans="1:8" ht="14.25" hidden="1" customHeight="1" x14ac:dyDescent="0.3">
      <c r="A2064" s="34" t="s">
        <v>50</v>
      </c>
      <c r="B2064" s="61" t="s">
        <v>162</v>
      </c>
      <c r="C2064" s="61" t="s">
        <v>218</v>
      </c>
      <c r="D2064" s="69"/>
      <c r="E2064" s="74"/>
      <c r="F2064" s="80">
        <f t="shared" si="1"/>
        <v>0</v>
      </c>
      <c r="G2064" s="61" t="str">
        <f>INDEX(SETORES!$B:$B,MATCH(A2064,SETORES!$A:$A,0))</f>
        <v>Clientes</v>
      </c>
      <c r="H2064" s="61" t="s">
        <v>20</v>
      </c>
    </row>
    <row r="2065" spans="1:8" ht="14.25" hidden="1" customHeight="1" x14ac:dyDescent="0.3">
      <c r="A2065" s="2" t="s">
        <v>50</v>
      </c>
      <c r="B2065" s="60" t="s">
        <v>155</v>
      </c>
      <c r="C2065" s="60" t="s">
        <v>166</v>
      </c>
      <c r="D2065" s="68">
        <v>14</v>
      </c>
      <c r="E2065" s="73">
        <v>50</v>
      </c>
      <c r="F2065" s="80">
        <f t="shared" si="1"/>
        <v>700</v>
      </c>
      <c r="G2065" s="60" t="str">
        <f>INDEX(SETORES!$B:$B,MATCH(A2065,SETORES!$A:$A,0))</f>
        <v>Clientes</v>
      </c>
      <c r="H2065" s="60" t="s">
        <v>20</v>
      </c>
    </row>
    <row r="2066" spans="1:8" ht="14.25" hidden="1" customHeight="1" x14ac:dyDescent="0.3">
      <c r="A2066" s="2" t="s">
        <v>50</v>
      </c>
      <c r="B2066" s="60" t="s">
        <v>155</v>
      </c>
      <c r="C2066" s="60" t="s">
        <v>156</v>
      </c>
      <c r="D2066" s="68"/>
      <c r="E2066" s="73"/>
      <c r="F2066" s="80">
        <f t="shared" si="1"/>
        <v>0</v>
      </c>
      <c r="G2066" s="60" t="str">
        <f>INDEX(SETORES!$B:$B,MATCH(A2066,SETORES!$A:$A,0))</f>
        <v>Clientes</v>
      </c>
      <c r="H2066" s="60" t="s">
        <v>20</v>
      </c>
    </row>
    <row r="2067" spans="1:8" ht="14.25" hidden="1" customHeight="1" x14ac:dyDescent="0.3">
      <c r="A2067" s="34" t="s">
        <v>50</v>
      </c>
      <c r="B2067" s="61" t="s">
        <v>155</v>
      </c>
      <c r="C2067" s="61" t="s">
        <v>157</v>
      </c>
      <c r="D2067" s="69"/>
      <c r="E2067" s="74"/>
      <c r="F2067" s="80">
        <f t="shared" si="1"/>
        <v>0</v>
      </c>
      <c r="G2067" s="61" t="str">
        <f>INDEX(SETORES!$B:$B,MATCH(A2067,SETORES!$A:$A,0))</f>
        <v>Clientes</v>
      </c>
      <c r="H2067" s="61" t="s">
        <v>20</v>
      </c>
    </row>
    <row r="2068" spans="1:8" ht="14.25" hidden="1" customHeight="1" x14ac:dyDescent="0.3">
      <c r="A2068" s="2" t="s">
        <v>50</v>
      </c>
      <c r="B2068" s="60" t="s">
        <v>162</v>
      </c>
      <c r="C2068" s="60" t="s">
        <v>209</v>
      </c>
      <c r="D2068" s="68">
        <v>12</v>
      </c>
      <c r="E2068" s="73">
        <v>89.55</v>
      </c>
      <c r="F2068" s="80">
        <f t="shared" si="1"/>
        <v>1074.5999999999999</v>
      </c>
      <c r="G2068" s="60" t="str">
        <f>INDEX(SETORES!$B:$B,MATCH(A2068,SETORES!$A:$A,0))</f>
        <v>Clientes</v>
      </c>
      <c r="H2068" s="60" t="s">
        <v>20</v>
      </c>
    </row>
    <row r="2069" spans="1:8" ht="14.25" hidden="1" customHeight="1" x14ac:dyDescent="0.3">
      <c r="A2069" s="2" t="s">
        <v>50</v>
      </c>
      <c r="B2069" s="60" t="s">
        <v>155</v>
      </c>
      <c r="C2069" s="60" t="s">
        <v>168</v>
      </c>
      <c r="D2069" s="68">
        <v>13</v>
      </c>
      <c r="E2069" s="73">
        <v>2.0699999999999998</v>
      </c>
      <c r="F2069" s="80">
        <f t="shared" si="1"/>
        <v>26.909999999999997</v>
      </c>
      <c r="G2069" s="60" t="str">
        <f>INDEX(SETORES!$B:$B,MATCH(A2069,SETORES!$A:$A,0))</f>
        <v>Clientes</v>
      </c>
      <c r="H2069" s="60" t="s">
        <v>20</v>
      </c>
    </row>
    <row r="2070" spans="1:8" ht="14.25" hidden="1" customHeight="1" x14ac:dyDescent="0.3">
      <c r="A2070" s="34" t="s">
        <v>50</v>
      </c>
      <c r="B2070" s="61" t="s">
        <v>155</v>
      </c>
      <c r="C2070" s="61" t="s">
        <v>160</v>
      </c>
      <c r="D2070" s="69"/>
      <c r="E2070" s="74"/>
      <c r="F2070" s="80">
        <f t="shared" si="1"/>
        <v>0</v>
      </c>
      <c r="G2070" s="61" t="str">
        <f>INDEX(SETORES!$B:$B,MATCH(A2070,SETORES!$A:$A,0))</f>
        <v>Clientes</v>
      </c>
      <c r="H2070" s="61" t="s">
        <v>20</v>
      </c>
    </row>
    <row r="2071" spans="1:8" ht="14.25" hidden="1" customHeight="1" x14ac:dyDescent="0.3">
      <c r="A2071" s="34" t="s">
        <v>36</v>
      </c>
      <c r="B2071" s="61" t="s">
        <v>155</v>
      </c>
      <c r="C2071" s="61" t="s">
        <v>159</v>
      </c>
      <c r="D2071" s="69">
        <v>1</v>
      </c>
      <c r="E2071" s="74">
        <v>0</v>
      </c>
      <c r="F2071" s="80">
        <v>0</v>
      </c>
      <c r="G2071" s="61" t="str">
        <f>INDEX(SETORES!$B:$B,MATCH(A2071,SETORES!$A:$A,0))</f>
        <v>Clientes</v>
      </c>
      <c r="H2071" s="61" t="s">
        <v>20</v>
      </c>
    </row>
    <row r="2072" spans="1:8" ht="14.25" hidden="1" customHeight="1" x14ac:dyDescent="0.3">
      <c r="A2072" s="34" t="s">
        <v>36</v>
      </c>
      <c r="B2072" s="61" t="s">
        <v>155</v>
      </c>
      <c r="C2072" s="61" t="s">
        <v>212</v>
      </c>
      <c r="D2072" s="69">
        <v>2</v>
      </c>
      <c r="E2072" s="74">
        <v>30</v>
      </c>
      <c r="F2072" s="80">
        <f>IFERROR(D2072*E2072,0)</f>
        <v>60</v>
      </c>
      <c r="G2072" s="61" t="str">
        <f>INDEX(SETORES!$B:$B,MATCH(A2072,SETORES!$A:$A,0))</f>
        <v>Clientes</v>
      </c>
      <c r="H2072" s="61" t="s">
        <v>20</v>
      </c>
    </row>
    <row r="2073" spans="1:8" ht="14.25" hidden="1" customHeight="1" x14ac:dyDescent="0.3">
      <c r="A2073" s="2" t="s">
        <v>36</v>
      </c>
      <c r="B2073" s="60" t="s">
        <v>155</v>
      </c>
      <c r="C2073" s="60" t="s">
        <v>171</v>
      </c>
      <c r="D2073" s="68">
        <v>8</v>
      </c>
      <c r="E2073" s="73">
        <v>47.79</v>
      </c>
      <c r="F2073" s="79">
        <f>IFERROR(D2073*E2073,0)</f>
        <v>382.32</v>
      </c>
      <c r="G2073" s="60" t="s">
        <v>98</v>
      </c>
      <c r="H2073" s="60" t="s">
        <v>20</v>
      </c>
    </row>
    <row r="2074" spans="1:8" ht="14.25" hidden="1" customHeight="1" x14ac:dyDescent="0.3">
      <c r="A2074" s="34" t="s">
        <v>36</v>
      </c>
      <c r="B2074" s="61" t="s">
        <v>155</v>
      </c>
      <c r="C2074" s="61" t="s">
        <v>170</v>
      </c>
      <c r="D2074" s="69">
        <v>8</v>
      </c>
      <c r="E2074" s="74">
        <v>28.31</v>
      </c>
      <c r="F2074" s="80">
        <f>IFERROR(D2074*E2074,0)</f>
        <v>226.48</v>
      </c>
      <c r="G2074" s="61" t="s">
        <v>98</v>
      </c>
      <c r="H2074" s="61" t="s">
        <v>20</v>
      </c>
    </row>
    <row r="2075" spans="1:8" ht="14.25" customHeight="1" x14ac:dyDescent="0.3">
      <c r="A2075" s="2" t="s">
        <v>36</v>
      </c>
      <c r="B2075" s="60" t="s">
        <v>155</v>
      </c>
      <c r="C2075" s="60" t="s">
        <v>169</v>
      </c>
      <c r="D2075" s="68">
        <v>8</v>
      </c>
      <c r="E2075" s="73">
        <v>64.569999999999993</v>
      </c>
      <c r="F2075" s="79">
        <f>IFERROR(D2075*E2075,0)</f>
        <v>516.55999999999995</v>
      </c>
      <c r="G2075" s="61" t="s">
        <v>98</v>
      </c>
      <c r="H2075" s="60" t="s">
        <v>20</v>
      </c>
    </row>
    <row r="2076" spans="1:8" ht="14.25" hidden="1" customHeight="1" x14ac:dyDescent="0.3">
      <c r="A2076" s="2" t="s">
        <v>36</v>
      </c>
      <c r="B2076" s="60" t="s">
        <v>155</v>
      </c>
      <c r="C2076" s="60" t="s">
        <v>158</v>
      </c>
      <c r="D2076" s="68">
        <v>1</v>
      </c>
      <c r="E2076" s="73">
        <v>59.575600000000001</v>
      </c>
      <c r="F2076" s="79">
        <v>59.575600000000001</v>
      </c>
      <c r="G2076" s="60" t="str">
        <f>INDEX(SETORES!$B:$B,MATCH(A2076,SETORES!$A:$A,0))</f>
        <v>Clientes</v>
      </c>
      <c r="H2076" s="60" t="s">
        <v>20</v>
      </c>
    </row>
    <row r="2077" spans="1:8" ht="14.25" hidden="1" customHeight="1" x14ac:dyDescent="0.3">
      <c r="A2077" s="34" t="s">
        <v>36</v>
      </c>
      <c r="B2077" s="61" t="s">
        <v>162</v>
      </c>
      <c r="C2077" s="61" t="s">
        <v>163</v>
      </c>
      <c r="D2077" s="69"/>
      <c r="E2077" s="74"/>
      <c r="F2077" s="80">
        <f>IFERROR(D2077*E2077,0)</f>
        <v>0</v>
      </c>
      <c r="G2077" s="61" t="str">
        <f>INDEX(SETORES!$B:$B,MATCH(A2077,SETORES!$A:$A,0))</f>
        <v>Clientes</v>
      </c>
      <c r="H2077" s="61" t="s">
        <v>20</v>
      </c>
    </row>
    <row r="2078" spans="1:8" ht="14.25" hidden="1" customHeight="1" x14ac:dyDescent="0.3">
      <c r="A2078" s="2" t="s">
        <v>36</v>
      </c>
      <c r="B2078" s="60" t="s">
        <v>162</v>
      </c>
      <c r="C2078" s="60" t="s">
        <v>164</v>
      </c>
      <c r="D2078" s="68">
        <v>1</v>
      </c>
      <c r="E2078" s="73">
        <v>68</v>
      </c>
      <c r="F2078" s="79">
        <f>IFERROR(D2078*E2078,0)</f>
        <v>68</v>
      </c>
      <c r="G2078" s="60" t="str">
        <f>INDEX(SETORES!$B:$B,MATCH(A2078,SETORES!$A:$A,0))</f>
        <v>Clientes</v>
      </c>
      <c r="H2078" s="60" t="s">
        <v>20</v>
      </c>
    </row>
    <row r="2079" spans="1:8" ht="14.25" hidden="1" customHeight="1" x14ac:dyDescent="0.3">
      <c r="A2079" s="34" t="s">
        <v>36</v>
      </c>
      <c r="B2079" s="61" t="s">
        <v>155</v>
      </c>
      <c r="C2079" s="61" t="s">
        <v>161</v>
      </c>
      <c r="D2079" s="69">
        <v>1</v>
      </c>
      <c r="E2079" s="74">
        <v>38547.99</v>
      </c>
      <c r="F2079" s="80">
        <f>IFERROR(E2079,0)</f>
        <v>38547.99</v>
      </c>
      <c r="G2079" s="61" t="str">
        <f>INDEX(SETORES!$B:$B,MATCH(A2079,SETORES!$A:$A,0))</f>
        <v>Clientes</v>
      </c>
      <c r="H2079" s="61" t="s">
        <v>20</v>
      </c>
    </row>
    <row r="2080" spans="1:8" ht="14.25" hidden="1" customHeight="1" x14ac:dyDescent="0.3">
      <c r="A2080" s="2" t="s">
        <v>36</v>
      </c>
      <c r="B2080" s="60" t="s">
        <v>155</v>
      </c>
      <c r="C2080" s="60" t="s">
        <v>167</v>
      </c>
      <c r="D2080" s="68">
        <v>8</v>
      </c>
      <c r="E2080" s="73">
        <v>10.050000000000001</v>
      </c>
      <c r="F2080" s="79">
        <f>IFERROR(D2080*E2080,0)</f>
        <v>80.400000000000006</v>
      </c>
      <c r="G2080" s="60" t="str">
        <f>INDEX(SETORES!$B:$B,MATCH(A2080,SETORES!$A:$A,0))</f>
        <v>Clientes</v>
      </c>
      <c r="H2080" s="60" t="s">
        <v>20</v>
      </c>
    </row>
    <row r="2081" spans="1:8" ht="14.25" hidden="1" customHeight="1" x14ac:dyDescent="0.3">
      <c r="A2081" s="34" t="s">
        <v>36</v>
      </c>
      <c r="B2081" s="61" t="s">
        <v>155</v>
      </c>
      <c r="C2081" s="61" t="s">
        <v>166</v>
      </c>
      <c r="D2081" s="69">
        <v>8</v>
      </c>
      <c r="E2081" s="74">
        <v>50</v>
      </c>
      <c r="F2081" s="80">
        <f>IFERROR(D2081*E2081,0)</f>
        <v>400</v>
      </c>
      <c r="G2081" s="61" t="str">
        <f>INDEX(SETORES!$B:$B,MATCH(A2081,SETORES!$A:$A,0))</f>
        <v>Clientes</v>
      </c>
      <c r="H2081" s="61" t="s">
        <v>20</v>
      </c>
    </row>
    <row r="2082" spans="1:8" ht="14.25" hidden="1" customHeight="1" x14ac:dyDescent="0.3">
      <c r="A2082" s="2" t="s">
        <v>36</v>
      </c>
      <c r="B2082" s="60" t="s">
        <v>155</v>
      </c>
      <c r="C2082" s="60" t="s">
        <v>219</v>
      </c>
      <c r="D2082" s="68">
        <v>1</v>
      </c>
      <c r="E2082" s="73">
        <v>29494.720000000001</v>
      </c>
      <c r="F2082" s="79">
        <f>IFERROR(D2082*E2082,0)</f>
        <v>29494.720000000001</v>
      </c>
      <c r="G2082" s="60" t="str">
        <f>INDEX(SETORES!$B:$B,MATCH(A2082,SETORES!$A:$A,0))</f>
        <v>Clientes</v>
      </c>
      <c r="H2082" s="60" t="s">
        <v>20</v>
      </c>
    </row>
    <row r="2083" spans="1:8" ht="14.25" hidden="1" customHeight="1" x14ac:dyDescent="0.3">
      <c r="A2083" s="2" t="s">
        <v>36</v>
      </c>
      <c r="B2083" s="60" t="s">
        <v>155</v>
      </c>
      <c r="C2083" s="60" t="s">
        <v>156</v>
      </c>
      <c r="D2083" s="68"/>
      <c r="E2083" s="73"/>
      <c r="F2083" s="79">
        <v>0</v>
      </c>
      <c r="G2083" s="60" t="str">
        <f>INDEX(SETORES!$B:$B,MATCH(A2083,SETORES!$A:$A,0))</f>
        <v>Clientes</v>
      </c>
      <c r="H2083" s="60" t="s">
        <v>20</v>
      </c>
    </row>
    <row r="2084" spans="1:8" ht="14.25" hidden="1" customHeight="1" x14ac:dyDescent="0.3">
      <c r="A2084" s="34" t="s">
        <v>36</v>
      </c>
      <c r="B2084" s="61" t="s">
        <v>155</v>
      </c>
      <c r="C2084" s="61" t="s">
        <v>157</v>
      </c>
      <c r="D2084" s="69"/>
      <c r="E2084" s="74"/>
      <c r="F2084" s="80">
        <v>0</v>
      </c>
      <c r="G2084" s="61" t="str">
        <f>INDEX(SETORES!$B:$B,MATCH(A2084,SETORES!$A:$A,0))</f>
        <v>Clientes</v>
      </c>
      <c r="H2084" s="61" t="s">
        <v>20</v>
      </c>
    </row>
    <row r="2085" spans="1:8" ht="14.25" hidden="1" customHeight="1" x14ac:dyDescent="0.3">
      <c r="A2085" s="2" t="s">
        <v>36</v>
      </c>
      <c r="B2085" s="60" t="s">
        <v>155</v>
      </c>
      <c r="C2085" s="60" t="s">
        <v>173</v>
      </c>
      <c r="D2085" s="68">
        <v>1</v>
      </c>
      <c r="E2085" s="73">
        <v>1614.4</v>
      </c>
      <c r="F2085" s="79">
        <f>IFERROR(D2085*E2085,0)</f>
        <v>1614.4</v>
      </c>
      <c r="G2085" s="60" t="str">
        <f>INDEX(SETORES!$B:$B,MATCH(A2085,SETORES!$A:$A,0))</f>
        <v>Clientes</v>
      </c>
      <c r="H2085" s="60" t="s">
        <v>20</v>
      </c>
    </row>
    <row r="2086" spans="1:8" ht="14.25" hidden="1" customHeight="1" x14ac:dyDescent="0.3">
      <c r="A2086" s="34" t="s">
        <v>36</v>
      </c>
      <c r="B2086" s="61" t="s">
        <v>162</v>
      </c>
      <c r="C2086" s="61" t="s">
        <v>222</v>
      </c>
      <c r="D2086" s="69"/>
      <c r="E2086" s="74"/>
      <c r="F2086" s="80">
        <f>IFERROR(D2086*E2086,0)</f>
        <v>0</v>
      </c>
      <c r="G2086" s="61" t="str">
        <f>INDEX(SETORES!$B:$B,MATCH(A2086,SETORES!$A:$A,0))</f>
        <v>Clientes</v>
      </c>
      <c r="H2086" s="61" t="s">
        <v>20</v>
      </c>
    </row>
    <row r="2087" spans="1:8" ht="14.25" hidden="1" customHeight="1" x14ac:dyDescent="0.3">
      <c r="A2087" s="34" t="s">
        <v>36</v>
      </c>
      <c r="B2087" s="61" t="s">
        <v>155</v>
      </c>
      <c r="C2087" s="61" t="s">
        <v>168</v>
      </c>
      <c r="D2087" s="69">
        <v>8</v>
      </c>
      <c r="E2087" s="74">
        <v>2.0699999999999998</v>
      </c>
      <c r="F2087" s="80">
        <f>IFERROR(D2087*E2087,0)</f>
        <v>16.559999999999999</v>
      </c>
      <c r="G2087" s="61" t="str">
        <f>INDEX(SETORES!$B:$B,MATCH(A2087,SETORES!$A:$A,0))</f>
        <v>Clientes</v>
      </c>
      <c r="H2087" s="61" t="s">
        <v>20</v>
      </c>
    </row>
    <row r="2088" spans="1:8" ht="14.25" hidden="1" customHeight="1" x14ac:dyDescent="0.3">
      <c r="A2088" s="2" t="s">
        <v>36</v>
      </c>
      <c r="B2088" s="60" t="s">
        <v>155</v>
      </c>
      <c r="C2088" s="60" t="s">
        <v>160</v>
      </c>
      <c r="D2088" s="68"/>
      <c r="E2088" s="73"/>
      <c r="F2088" s="79">
        <f>IFERROR(D2088*E2088,0)</f>
        <v>0</v>
      </c>
      <c r="G2088" s="60" t="str">
        <f>INDEX(SETORES!$B:$B,MATCH(A2088,SETORES!$A:$A,0))</f>
        <v>Clientes</v>
      </c>
      <c r="H2088" s="60" t="s">
        <v>20</v>
      </c>
    </row>
    <row r="2089" spans="1:8" ht="14.25" hidden="1" customHeight="1" x14ac:dyDescent="0.3">
      <c r="A2089" s="2" t="s">
        <v>81</v>
      </c>
      <c r="B2089" s="60" t="s">
        <v>155</v>
      </c>
      <c r="C2089" s="60" t="s">
        <v>212</v>
      </c>
      <c r="D2089" s="68">
        <v>2</v>
      </c>
      <c r="E2089" s="73">
        <v>30</v>
      </c>
      <c r="F2089" s="79">
        <f>IFERROR(D2089*E2089,0)</f>
        <v>60</v>
      </c>
      <c r="G2089" s="60" t="str">
        <f>INDEX(SETORES!$B:$B,MATCH(A2089,SETORES!$A:$A,0))</f>
        <v>Clientes</v>
      </c>
      <c r="H2089" s="60" t="s">
        <v>20</v>
      </c>
    </row>
    <row r="2090" spans="1:8" ht="14.25" hidden="1" customHeight="1" x14ac:dyDescent="0.3">
      <c r="A2090" s="34" t="s">
        <v>81</v>
      </c>
      <c r="B2090" s="61" t="s">
        <v>155</v>
      </c>
      <c r="C2090" s="61" t="s">
        <v>171</v>
      </c>
      <c r="D2090" s="69">
        <v>2</v>
      </c>
      <c r="E2090" s="74">
        <v>47.79</v>
      </c>
      <c r="F2090" s="80">
        <f>IFERROR(D2090*E2090,0)</f>
        <v>95.58</v>
      </c>
      <c r="G2090" s="60" t="s">
        <v>98</v>
      </c>
      <c r="H2090" s="61" t="s">
        <v>20</v>
      </c>
    </row>
    <row r="2091" spans="1:8" ht="14.25" hidden="1" customHeight="1" x14ac:dyDescent="0.3">
      <c r="A2091" s="2" t="s">
        <v>81</v>
      </c>
      <c r="B2091" s="60" t="s">
        <v>155</v>
      </c>
      <c r="C2091" s="60" t="s">
        <v>170</v>
      </c>
      <c r="D2091" s="68">
        <v>2</v>
      </c>
      <c r="E2091" s="73">
        <v>28.31</v>
      </c>
      <c r="F2091" s="79">
        <f>IFERROR(D2091*E2091,0)</f>
        <v>56.62</v>
      </c>
      <c r="G2091" s="61" t="s">
        <v>98</v>
      </c>
      <c r="H2091" s="60" t="s">
        <v>20</v>
      </c>
    </row>
    <row r="2092" spans="1:8" ht="14.25" customHeight="1" x14ac:dyDescent="0.3">
      <c r="A2092" s="2" t="s">
        <v>81</v>
      </c>
      <c r="B2092" s="60" t="s">
        <v>155</v>
      </c>
      <c r="C2092" s="60" t="s">
        <v>169</v>
      </c>
      <c r="D2092" s="68">
        <v>2</v>
      </c>
      <c r="E2092" s="73">
        <v>64.569999999999993</v>
      </c>
      <c r="F2092" s="79">
        <f>IFERROR(D2092*E2092,0)</f>
        <v>129.13999999999999</v>
      </c>
      <c r="G2092" s="61" t="s">
        <v>98</v>
      </c>
      <c r="H2092" s="60" t="s">
        <v>20</v>
      </c>
    </row>
    <row r="2093" spans="1:8" ht="14.25" hidden="1" customHeight="1" x14ac:dyDescent="0.3">
      <c r="A2093" s="2" t="s">
        <v>81</v>
      </c>
      <c r="B2093" s="60" t="s">
        <v>155</v>
      </c>
      <c r="C2093" s="60" t="s">
        <v>161</v>
      </c>
      <c r="D2093" s="68">
        <v>1</v>
      </c>
      <c r="E2093" s="73">
        <v>9414.74</v>
      </c>
      <c r="F2093" s="79">
        <f>IFERROR(E2093,0)</f>
        <v>9414.74</v>
      </c>
      <c r="G2093" s="60" t="str">
        <f>INDEX(SETORES!$B:$B,MATCH(A2093,SETORES!$A:$A,0))</f>
        <v>Clientes</v>
      </c>
      <c r="H2093" s="60" t="s">
        <v>20</v>
      </c>
    </row>
    <row r="2094" spans="1:8" ht="14.25" hidden="1" customHeight="1" x14ac:dyDescent="0.3">
      <c r="A2094" s="34" t="s">
        <v>81</v>
      </c>
      <c r="B2094" s="61" t="s">
        <v>155</v>
      </c>
      <c r="C2094" s="61" t="s">
        <v>167</v>
      </c>
      <c r="D2094" s="69">
        <v>2</v>
      </c>
      <c r="E2094" s="74">
        <v>10.050000000000001</v>
      </c>
      <c r="F2094" s="80">
        <f>IFERROR(D2094*E2094,0)</f>
        <v>20.100000000000001</v>
      </c>
      <c r="G2094" s="61" t="str">
        <f>INDEX(SETORES!$B:$B,MATCH(A2094,SETORES!$A:$A,0))</f>
        <v>Clientes</v>
      </c>
      <c r="H2094" s="61" t="s">
        <v>20</v>
      </c>
    </row>
    <row r="2095" spans="1:8" ht="14.25" hidden="1" customHeight="1" x14ac:dyDescent="0.3">
      <c r="A2095" s="34" t="s">
        <v>81</v>
      </c>
      <c r="B2095" s="61" t="s">
        <v>155</v>
      </c>
      <c r="C2095" s="61" t="s">
        <v>238</v>
      </c>
      <c r="D2095" s="69">
        <v>1</v>
      </c>
      <c r="E2095" s="74">
        <v>2.2222219999999999</v>
      </c>
      <c r="F2095" s="80">
        <f>IFERROR(D2095*E2095,0)</f>
        <v>2.2222219999999999</v>
      </c>
      <c r="G2095" s="61" t="str">
        <f>INDEX(SETORES!$B:$B,MATCH(A2095,SETORES!$A:$A,0))</f>
        <v>Clientes</v>
      </c>
      <c r="H2095" s="61" t="s">
        <v>20</v>
      </c>
    </row>
    <row r="2096" spans="1:8" ht="14.25" hidden="1" customHeight="1" x14ac:dyDescent="0.3">
      <c r="A2096" s="34" t="s">
        <v>81</v>
      </c>
      <c r="B2096" s="61" t="s">
        <v>155</v>
      </c>
      <c r="C2096" s="61" t="s">
        <v>166</v>
      </c>
      <c r="D2096" s="69">
        <v>2</v>
      </c>
      <c r="E2096" s="74">
        <v>50</v>
      </c>
      <c r="F2096" s="80">
        <f>IFERROR(D2096*E2096,0)</f>
        <v>100</v>
      </c>
      <c r="G2096" s="61" t="str">
        <f>INDEX(SETORES!$B:$B,MATCH(A2096,SETORES!$A:$A,0))</f>
        <v>Clientes</v>
      </c>
      <c r="H2096" s="61" t="s">
        <v>20</v>
      </c>
    </row>
    <row r="2097" spans="1:8" ht="14.25" hidden="1" customHeight="1" x14ac:dyDescent="0.3">
      <c r="A2097" s="2" t="s">
        <v>81</v>
      </c>
      <c r="B2097" s="60" t="s">
        <v>162</v>
      </c>
      <c r="C2097" s="60" t="s">
        <v>222</v>
      </c>
      <c r="D2097" s="68"/>
      <c r="E2097" s="73"/>
      <c r="F2097" s="79">
        <f>IFERROR(D2097*E2097,0)</f>
        <v>0</v>
      </c>
      <c r="G2097" s="60" t="str">
        <f>INDEX(SETORES!$B:$B,MATCH(A2097,SETORES!$A:$A,0))</f>
        <v>Clientes</v>
      </c>
      <c r="H2097" s="60" t="s">
        <v>20</v>
      </c>
    </row>
    <row r="2098" spans="1:8" ht="14.25" hidden="1" customHeight="1" x14ac:dyDescent="0.3">
      <c r="A2098" s="2" t="s">
        <v>81</v>
      </c>
      <c r="B2098" s="60" t="s">
        <v>155</v>
      </c>
      <c r="C2098" s="60" t="s">
        <v>168</v>
      </c>
      <c r="D2098" s="68">
        <v>2</v>
      </c>
      <c r="E2098" s="73">
        <v>2.0699999999999998</v>
      </c>
      <c r="F2098" s="79">
        <f>IFERROR(D2098*E2098,0)</f>
        <v>4.1399999999999997</v>
      </c>
      <c r="G2098" s="60" t="str">
        <f>INDEX(SETORES!$B:$B,MATCH(A2098,SETORES!$A:$A,0))</f>
        <v>Clientes</v>
      </c>
      <c r="H2098" s="60" t="s">
        <v>20</v>
      </c>
    </row>
    <row r="2099" spans="1:8" ht="14.25" hidden="1" customHeight="1" x14ac:dyDescent="0.3">
      <c r="A2099" s="2" t="s">
        <v>82</v>
      </c>
      <c r="B2099" s="60" t="s">
        <v>162</v>
      </c>
      <c r="C2099" s="60" t="s">
        <v>217</v>
      </c>
      <c r="D2099" s="68">
        <v>1</v>
      </c>
      <c r="E2099" s="73">
        <v>14428.61</v>
      </c>
      <c r="F2099" s="79">
        <f>IFERROR(D2099*E2099,0)</f>
        <v>14428.61</v>
      </c>
      <c r="G2099" s="60" t="str">
        <f>INDEX(SETORES!$B:$B,MATCH(A2099,SETORES!$A:$A,0))</f>
        <v>Clientes</v>
      </c>
      <c r="H2099" s="60" t="s">
        <v>20</v>
      </c>
    </row>
    <row r="2100" spans="1:8" ht="14.25" hidden="1" customHeight="1" x14ac:dyDescent="0.3">
      <c r="A2100" s="34" t="s">
        <v>82</v>
      </c>
      <c r="B2100" s="61" t="s">
        <v>155</v>
      </c>
      <c r="C2100" s="61" t="s">
        <v>250</v>
      </c>
      <c r="D2100" s="69">
        <v>1</v>
      </c>
      <c r="E2100" s="74">
        <v>1632.05</v>
      </c>
      <c r="F2100" s="80">
        <f>IFERROR(D2100*E2100,0)</f>
        <v>1632.05</v>
      </c>
      <c r="G2100" s="61" t="str">
        <f>INDEX(SETORES!$B:$B,MATCH(A2100,SETORES!$A:$A,0))</f>
        <v>Clientes</v>
      </c>
      <c r="H2100" s="61" t="s">
        <v>20</v>
      </c>
    </row>
    <row r="2101" spans="1:8" ht="14.25" hidden="1" customHeight="1" x14ac:dyDescent="0.3">
      <c r="A2101" s="2" t="s">
        <v>82</v>
      </c>
      <c r="B2101" s="60" t="s">
        <v>155</v>
      </c>
      <c r="C2101" s="60" t="s">
        <v>251</v>
      </c>
      <c r="D2101" s="68">
        <v>1</v>
      </c>
      <c r="E2101" s="73">
        <v>3179.85</v>
      </c>
      <c r="F2101" s="79">
        <f>IFERROR(D2101*E2101,0)</f>
        <v>3179.85</v>
      </c>
      <c r="G2101" s="60" t="str">
        <f>INDEX(SETORES!$B:$B,MATCH(A2101,SETORES!$A:$A,0))</f>
        <v>Clientes</v>
      </c>
      <c r="H2101" s="60" t="s">
        <v>20</v>
      </c>
    </row>
    <row r="2102" spans="1:8" ht="14.25" hidden="1" customHeight="1" x14ac:dyDescent="0.3">
      <c r="A2102" s="34" t="s">
        <v>82</v>
      </c>
      <c r="B2102" s="61" t="s">
        <v>155</v>
      </c>
      <c r="C2102" s="61" t="s">
        <v>171</v>
      </c>
      <c r="D2102" s="69">
        <v>9</v>
      </c>
      <c r="E2102" s="74">
        <v>47.79</v>
      </c>
      <c r="F2102" s="80">
        <f>IFERROR(D2102*E2102,0)</f>
        <v>430.11</v>
      </c>
      <c r="G2102" s="60" t="s">
        <v>98</v>
      </c>
      <c r="H2102" s="61" t="s">
        <v>20</v>
      </c>
    </row>
    <row r="2103" spans="1:8" ht="14.25" hidden="1" customHeight="1" x14ac:dyDescent="0.3">
      <c r="A2103" s="2" t="s">
        <v>82</v>
      </c>
      <c r="B2103" s="60" t="s">
        <v>155</v>
      </c>
      <c r="C2103" s="60" t="s">
        <v>170</v>
      </c>
      <c r="D2103" s="68">
        <v>9</v>
      </c>
      <c r="E2103" s="73">
        <v>28.31</v>
      </c>
      <c r="F2103" s="79">
        <f>IFERROR(D2103*E2103,0)</f>
        <v>254.79</v>
      </c>
      <c r="G2103" s="61" t="s">
        <v>98</v>
      </c>
      <c r="H2103" s="60" t="s">
        <v>20</v>
      </c>
    </row>
    <row r="2104" spans="1:8" ht="14.25" customHeight="1" x14ac:dyDescent="0.3">
      <c r="A2104" s="2" t="s">
        <v>82</v>
      </c>
      <c r="B2104" s="60" t="s">
        <v>155</v>
      </c>
      <c r="C2104" s="60" t="s">
        <v>169</v>
      </c>
      <c r="D2104" s="68">
        <v>9</v>
      </c>
      <c r="E2104" s="73">
        <v>64.569999999999993</v>
      </c>
      <c r="F2104" s="79">
        <f>IFERROR(D2104*E2104,0)</f>
        <v>581.12999999999988</v>
      </c>
      <c r="G2104" s="61" t="s">
        <v>98</v>
      </c>
      <c r="H2104" s="60" t="s">
        <v>20</v>
      </c>
    </row>
    <row r="2105" spans="1:8" ht="14.25" hidden="1" customHeight="1" x14ac:dyDescent="0.3">
      <c r="A2105" s="34" t="s">
        <v>82</v>
      </c>
      <c r="B2105" s="61" t="s">
        <v>162</v>
      </c>
      <c r="C2105" s="61" t="s">
        <v>221</v>
      </c>
      <c r="D2105" s="69">
        <v>1</v>
      </c>
      <c r="E2105" s="74">
        <v>1397</v>
      </c>
      <c r="F2105" s="80">
        <f>IFERROR(D2105*E2105,0)</f>
        <v>1397</v>
      </c>
      <c r="G2105" s="61" t="str">
        <f>INDEX(SETORES!$B:$B,MATCH(A2105,SETORES!$A:$A,0))</f>
        <v>Clientes</v>
      </c>
      <c r="H2105" s="61" t="s">
        <v>20</v>
      </c>
    </row>
    <row r="2106" spans="1:8" ht="14.25" hidden="1" customHeight="1" x14ac:dyDescent="0.3">
      <c r="A2106" s="34" t="s">
        <v>82</v>
      </c>
      <c r="B2106" s="61" t="s">
        <v>155</v>
      </c>
      <c r="C2106" s="61" t="s">
        <v>161</v>
      </c>
      <c r="D2106" s="69">
        <v>1</v>
      </c>
      <c r="E2106" s="74">
        <v>51299.35</v>
      </c>
      <c r="F2106" s="80">
        <f>IFERROR(E2106,0)</f>
        <v>51299.35</v>
      </c>
      <c r="G2106" s="61" t="str">
        <f>INDEX(SETORES!$B:$B,MATCH(A2106,SETORES!$A:$A,0))</f>
        <v>Clientes</v>
      </c>
      <c r="H2106" s="61" t="s">
        <v>20</v>
      </c>
    </row>
    <row r="2107" spans="1:8" ht="14.25" hidden="1" customHeight="1" x14ac:dyDescent="0.3">
      <c r="A2107" s="34" t="s">
        <v>82</v>
      </c>
      <c r="B2107" s="61" t="s">
        <v>155</v>
      </c>
      <c r="C2107" s="61" t="s">
        <v>167</v>
      </c>
      <c r="D2107" s="69">
        <v>9</v>
      </c>
      <c r="E2107" s="74">
        <v>10.050000000000001</v>
      </c>
      <c r="F2107" s="80">
        <f>IFERROR(D2107*E2107,0)</f>
        <v>90.45</v>
      </c>
      <c r="G2107" s="61" t="str">
        <f>INDEX(SETORES!$B:$B,MATCH(A2107,SETORES!$A:$A,0))</f>
        <v>Clientes</v>
      </c>
      <c r="H2107" s="61" t="s">
        <v>20</v>
      </c>
    </row>
    <row r="2108" spans="1:8" ht="14.25" hidden="1" customHeight="1" x14ac:dyDescent="0.3">
      <c r="A2108" s="34" t="s">
        <v>82</v>
      </c>
      <c r="B2108" s="61" t="s">
        <v>155</v>
      </c>
      <c r="C2108" s="61" t="s">
        <v>166</v>
      </c>
      <c r="D2108" s="69">
        <v>10</v>
      </c>
      <c r="E2108" s="74">
        <v>50</v>
      </c>
      <c r="F2108" s="80">
        <f>IFERROR(D2108*E2108,0)</f>
        <v>500</v>
      </c>
      <c r="G2108" s="61" t="str">
        <f>INDEX(SETORES!$B:$B,MATCH(A2108,SETORES!$A:$A,0))</f>
        <v>Clientes</v>
      </c>
      <c r="H2108" s="61" t="s">
        <v>20</v>
      </c>
    </row>
    <row r="2109" spans="1:8" ht="14.25" hidden="1" customHeight="1" x14ac:dyDescent="0.3">
      <c r="A2109" s="34" t="s">
        <v>82</v>
      </c>
      <c r="B2109" s="61" t="s">
        <v>162</v>
      </c>
      <c r="C2109" s="61" t="s">
        <v>222</v>
      </c>
      <c r="D2109" s="69"/>
      <c r="E2109" s="74"/>
      <c r="F2109" s="80">
        <f>IFERROR(D2109*E2109,0)</f>
        <v>0</v>
      </c>
      <c r="G2109" s="61" t="str">
        <f>INDEX(SETORES!$B:$B,MATCH(A2109,SETORES!$A:$A,0))</f>
        <v>Clientes</v>
      </c>
      <c r="H2109" s="61" t="s">
        <v>20</v>
      </c>
    </row>
    <row r="2110" spans="1:8" ht="14.25" hidden="1" customHeight="1" x14ac:dyDescent="0.3">
      <c r="A2110" s="2" t="s">
        <v>82</v>
      </c>
      <c r="B2110" s="60" t="s">
        <v>155</v>
      </c>
      <c r="C2110" s="60" t="s">
        <v>168</v>
      </c>
      <c r="D2110" s="68">
        <v>9</v>
      </c>
      <c r="E2110" s="73">
        <v>2.0699999999999998</v>
      </c>
      <c r="F2110" s="79">
        <f>IFERROR(D2110*E2110,0)</f>
        <v>18.63</v>
      </c>
      <c r="G2110" s="60" t="str">
        <f>INDEX(SETORES!$B:$B,MATCH(A2110,SETORES!$A:$A,0))</f>
        <v>Clientes</v>
      </c>
      <c r="H2110" s="60" t="s">
        <v>20</v>
      </c>
    </row>
    <row r="2111" spans="1:8" ht="14.25" hidden="1" customHeight="1" x14ac:dyDescent="0.3">
      <c r="A2111" s="34" t="s">
        <v>34</v>
      </c>
      <c r="B2111" s="61" t="s">
        <v>155</v>
      </c>
      <c r="C2111" s="61" t="s">
        <v>159</v>
      </c>
      <c r="D2111" s="69">
        <v>1</v>
      </c>
      <c r="E2111" s="74">
        <v>0</v>
      </c>
      <c r="F2111" s="80">
        <v>0</v>
      </c>
      <c r="G2111" s="61" t="str">
        <f>INDEX(SETORES!$B:$B,MATCH(A2111,SETORES!$A:$A,0))</f>
        <v>Clientes</v>
      </c>
      <c r="H2111" s="61" t="s">
        <v>20</v>
      </c>
    </row>
    <row r="2112" spans="1:8" ht="14.25" hidden="1" customHeight="1" x14ac:dyDescent="0.3">
      <c r="A2112" s="34" t="s">
        <v>34</v>
      </c>
      <c r="B2112" s="61" t="s">
        <v>155</v>
      </c>
      <c r="C2112" s="61" t="s">
        <v>212</v>
      </c>
      <c r="D2112" s="69">
        <v>2</v>
      </c>
      <c r="E2112" s="74">
        <v>30</v>
      </c>
      <c r="F2112" s="80">
        <f>IFERROR(D2112*E2112,0)</f>
        <v>60</v>
      </c>
      <c r="G2112" s="61" t="str">
        <f>INDEX(SETORES!$B:$B,MATCH(A2112,SETORES!$A:$A,0))</f>
        <v>Clientes</v>
      </c>
      <c r="H2112" s="61" t="s">
        <v>20</v>
      </c>
    </row>
    <row r="2113" spans="1:8" ht="14.25" hidden="1" customHeight="1" x14ac:dyDescent="0.3">
      <c r="A2113" s="2" t="s">
        <v>34</v>
      </c>
      <c r="B2113" s="60" t="s">
        <v>155</v>
      </c>
      <c r="C2113" s="60" t="s">
        <v>248</v>
      </c>
      <c r="D2113" s="68">
        <v>1</v>
      </c>
      <c r="E2113" s="73">
        <v>2821.6</v>
      </c>
      <c r="F2113" s="79">
        <f>IFERROR(D2113*E2113,0)</f>
        <v>2821.6</v>
      </c>
      <c r="G2113" s="60" t="str">
        <f>INDEX(SETORES!$B:$B,MATCH(A2113,SETORES!$A:$A,0))</f>
        <v>Clientes</v>
      </c>
      <c r="H2113" s="60" t="s">
        <v>20</v>
      </c>
    </row>
    <row r="2114" spans="1:8" ht="14.25" hidden="1" customHeight="1" x14ac:dyDescent="0.3">
      <c r="A2114" s="2" t="s">
        <v>34</v>
      </c>
      <c r="B2114" s="60" t="s">
        <v>155</v>
      </c>
      <c r="C2114" s="60" t="s">
        <v>171</v>
      </c>
      <c r="D2114" s="68">
        <v>5</v>
      </c>
      <c r="E2114" s="73">
        <v>47.79</v>
      </c>
      <c r="F2114" s="79">
        <f>IFERROR(D2114*E2114,0)</f>
        <v>238.95</v>
      </c>
      <c r="G2114" s="60" t="s">
        <v>98</v>
      </c>
      <c r="H2114" s="60" t="s">
        <v>20</v>
      </c>
    </row>
    <row r="2115" spans="1:8" ht="14.25" hidden="1" customHeight="1" x14ac:dyDescent="0.3">
      <c r="A2115" s="34" t="s">
        <v>34</v>
      </c>
      <c r="B2115" s="61" t="s">
        <v>155</v>
      </c>
      <c r="C2115" s="61" t="s">
        <v>170</v>
      </c>
      <c r="D2115" s="69">
        <v>5</v>
      </c>
      <c r="E2115" s="74">
        <v>28.31</v>
      </c>
      <c r="F2115" s="80">
        <f>IFERROR(D2115*E2115,0)</f>
        <v>141.54999999999998</v>
      </c>
      <c r="G2115" s="61" t="s">
        <v>98</v>
      </c>
      <c r="H2115" s="61" t="s">
        <v>20</v>
      </c>
    </row>
    <row r="2116" spans="1:8" ht="14.25" customHeight="1" x14ac:dyDescent="0.3">
      <c r="A2116" s="2" t="s">
        <v>34</v>
      </c>
      <c r="B2116" s="60" t="s">
        <v>155</v>
      </c>
      <c r="C2116" s="60" t="s">
        <v>169</v>
      </c>
      <c r="D2116" s="68">
        <v>5</v>
      </c>
      <c r="E2116" s="73">
        <v>64.569999999999993</v>
      </c>
      <c r="F2116" s="79">
        <f>IFERROR(D2116*E2116,0)</f>
        <v>322.84999999999997</v>
      </c>
      <c r="G2116" s="61" t="s">
        <v>98</v>
      </c>
      <c r="H2116" s="60" t="s">
        <v>20</v>
      </c>
    </row>
    <row r="2117" spans="1:8" ht="14.25" hidden="1" customHeight="1" x14ac:dyDescent="0.3">
      <c r="A2117" s="2" t="s">
        <v>34</v>
      </c>
      <c r="B2117" s="60" t="s">
        <v>155</v>
      </c>
      <c r="C2117" s="60" t="s">
        <v>158</v>
      </c>
      <c r="D2117" s="68">
        <v>1</v>
      </c>
      <c r="E2117" s="73">
        <v>42.554000000000002</v>
      </c>
      <c r="F2117" s="79">
        <v>42.554000000000002</v>
      </c>
      <c r="G2117" s="60" t="str">
        <f>INDEX(SETORES!$B:$B,MATCH(A2117,SETORES!$A:$A,0))</f>
        <v>Clientes</v>
      </c>
      <c r="H2117" s="60" t="s">
        <v>20</v>
      </c>
    </row>
    <row r="2118" spans="1:8" ht="14.25" hidden="1" customHeight="1" x14ac:dyDescent="0.3">
      <c r="A2118" s="2" t="s">
        <v>34</v>
      </c>
      <c r="B2118" s="60" t="s">
        <v>162</v>
      </c>
      <c r="C2118" s="60" t="s">
        <v>165</v>
      </c>
      <c r="D2118" s="68"/>
      <c r="E2118" s="73"/>
      <c r="F2118" s="79">
        <f>IFERROR(D2118*E2118,0)</f>
        <v>0</v>
      </c>
      <c r="G2118" s="60" t="str">
        <f>INDEX(SETORES!$B:$B,MATCH(A2118,SETORES!$A:$A,0))</f>
        <v>Clientes</v>
      </c>
      <c r="H2118" s="60" t="s">
        <v>20</v>
      </c>
    </row>
    <row r="2119" spans="1:8" ht="14.25" hidden="1" customHeight="1" x14ac:dyDescent="0.3">
      <c r="A2119" s="2" t="s">
        <v>34</v>
      </c>
      <c r="B2119" s="60" t="s">
        <v>162</v>
      </c>
      <c r="C2119" s="60" t="s">
        <v>163</v>
      </c>
      <c r="D2119" s="68">
        <v>1</v>
      </c>
      <c r="E2119" s="73">
        <v>174</v>
      </c>
      <c r="F2119" s="79">
        <f>IFERROR(D2119*E2119,0)</f>
        <v>174</v>
      </c>
      <c r="G2119" s="60" t="str">
        <f>INDEX(SETORES!$B:$B,MATCH(A2119,SETORES!$A:$A,0))</f>
        <v>Clientes</v>
      </c>
      <c r="H2119" s="60" t="s">
        <v>20</v>
      </c>
    </row>
    <row r="2120" spans="1:8" ht="14.25" hidden="1" customHeight="1" x14ac:dyDescent="0.3">
      <c r="A2120" s="34" t="s">
        <v>34</v>
      </c>
      <c r="B2120" s="61" t="s">
        <v>162</v>
      </c>
      <c r="C2120" s="61" t="s">
        <v>164</v>
      </c>
      <c r="D2120" s="69">
        <v>1</v>
      </c>
      <c r="E2120" s="74">
        <v>38</v>
      </c>
      <c r="F2120" s="80">
        <f>IFERROR(D2120*E2120,0)</f>
        <v>38</v>
      </c>
      <c r="G2120" s="61" t="str">
        <f>INDEX(SETORES!$B:$B,MATCH(A2120,SETORES!$A:$A,0))</f>
        <v>Clientes</v>
      </c>
      <c r="H2120" s="61" t="s">
        <v>20</v>
      </c>
    </row>
    <row r="2121" spans="1:8" ht="14.25" hidden="1" customHeight="1" x14ac:dyDescent="0.3">
      <c r="A2121" s="34" t="s">
        <v>34</v>
      </c>
      <c r="B2121" s="61" t="s">
        <v>155</v>
      </c>
      <c r="C2121" s="61" t="s">
        <v>161</v>
      </c>
      <c r="D2121" s="69">
        <v>1</v>
      </c>
      <c r="E2121" s="74">
        <v>15762.09</v>
      </c>
      <c r="F2121" s="80">
        <f>IFERROR(E2121,0)</f>
        <v>15762.09</v>
      </c>
      <c r="G2121" s="61" t="str">
        <f>INDEX(SETORES!$B:$B,MATCH(A2121,SETORES!$A:$A,0))</f>
        <v>Clientes</v>
      </c>
      <c r="H2121" s="61" t="s">
        <v>20</v>
      </c>
    </row>
    <row r="2122" spans="1:8" ht="14.25" hidden="1" customHeight="1" x14ac:dyDescent="0.3">
      <c r="A2122" s="2" t="s">
        <v>34</v>
      </c>
      <c r="B2122" s="60" t="s">
        <v>155</v>
      </c>
      <c r="C2122" s="60" t="s">
        <v>167</v>
      </c>
      <c r="D2122" s="68">
        <v>5</v>
      </c>
      <c r="E2122" s="73">
        <v>10.050000000000001</v>
      </c>
      <c r="F2122" s="79">
        <f>IFERROR(D2122*E2122,0)</f>
        <v>50.25</v>
      </c>
      <c r="G2122" s="60" t="str">
        <f>INDEX(SETORES!$B:$B,MATCH(A2122,SETORES!$A:$A,0))</f>
        <v>Clientes</v>
      </c>
      <c r="H2122" s="60" t="s">
        <v>20</v>
      </c>
    </row>
    <row r="2123" spans="1:8" ht="14.25" hidden="1" customHeight="1" x14ac:dyDescent="0.3">
      <c r="A2123" s="34" t="s">
        <v>34</v>
      </c>
      <c r="B2123" s="61" t="s">
        <v>155</v>
      </c>
      <c r="C2123" s="61" t="s">
        <v>238</v>
      </c>
      <c r="D2123" s="69">
        <v>1</v>
      </c>
      <c r="E2123" s="74">
        <v>5.555555</v>
      </c>
      <c r="F2123" s="80">
        <f>IFERROR(D2123*E2123,0)</f>
        <v>5.555555</v>
      </c>
      <c r="G2123" s="61" t="str">
        <f>INDEX(SETORES!$B:$B,MATCH(A2123,SETORES!$A:$A,0))</f>
        <v>Clientes</v>
      </c>
      <c r="H2123" s="61" t="s">
        <v>20</v>
      </c>
    </row>
    <row r="2124" spans="1:8" ht="14.25" hidden="1" customHeight="1" x14ac:dyDescent="0.3">
      <c r="A2124" s="34" t="s">
        <v>34</v>
      </c>
      <c r="B2124" s="61" t="s">
        <v>155</v>
      </c>
      <c r="C2124" s="61" t="s">
        <v>166</v>
      </c>
      <c r="D2124" s="69">
        <v>8</v>
      </c>
      <c r="E2124" s="74">
        <v>50</v>
      </c>
      <c r="F2124" s="80">
        <f>IFERROR(D2124*E2124,0)</f>
        <v>400</v>
      </c>
      <c r="G2124" s="61" t="str">
        <f>INDEX(SETORES!$B:$B,MATCH(A2124,SETORES!$A:$A,0))</f>
        <v>Clientes</v>
      </c>
      <c r="H2124" s="61" t="s">
        <v>20</v>
      </c>
    </row>
    <row r="2125" spans="1:8" ht="14.25" hidden="1" customHeight="1" x14ac:dyDescent="0.3">
      <c r="A2125" s="2" t="s">
        <v>34</v>
      </c>
      <c r="B2125" s="60" t="s">
        <v>155</v>
      </c>
      <c r="C2125" s="60" t="s">
        <v>156</v>
      </c>
      <c r="D2125" s="68"/>
      <c r="E2125" s="73"/>
      <c r="F2125" s="79">
        <v>0</v>
      </c>
      <c r="G2125" s="60" t="str">
        <f>INDEX(SETORES!$B:$B,MATCH(A2125,SETORES!$A:$A,0))</f>
        <v>Clientes</v>
      </c>
      <c r="H2125" s="60" t="s">
        <v>20</v>
      </c>
    </row>
    <row r="2126" spans="1:8" ht="14.25" hidden="1" customHeight="1" x14ac:dyDescent="0.3">
      <c r="A2126" s="34" t="s">
        <v>34</v>
      </c>
      <c r="B2126" s="61" t="s">
        <v>155</v>
      </c>
      <c r="C2126" s="61" t="s">
        <v>157</v>
      </c>
      <c r="D2126" s="69">
        <v>1</v>
      </c>
      <c r="E2126" s="74">
        <v>130.4</v>
      </c>
      <c r="F2126" s="80">
        <v>130.4</v>
      </c>
      <c r="G2126" s="61" t="str">
        <f>INDEX(SETORES!$B:$B,MATCH(A2126,SETORES!$A:$A,0))</f>
        <v>Clientes</v>
      </c>
      <c r="H2126" s="61" t="s">
        <v>20</v>
      </c>
    </row>
    <row r="2127" spans="1:8" ht="14.25" hidden="1" customHeight="1" x14ac:dyDescent="0.3">
      <c r="A2127" s="2" t="s">
        <v>34</v>
      </c>
      <c r="B2127" s="60" t="s">
        <v>162</v>
      </c>
      <c r="C2127" s="60" t="s">
        <v>222</v>
      </c>
      <c r="D2127" s="68"/>
      <c r="E2127" s="73"/>
      <c r="F2127" s="79">
        <f>IFERROR(D2127*E2127,0)</f>
        <v>0</v>
      </c>
      <c r="G2127" s="60" t="str">
        <f>INDEX(SETORES!$B:$B,MATCH(A2127,SETORES!$A:$A,0))</f>
        <v>Clientes</v>
      </c>
      <c r="H2127" s="60" t="s">
        <v>20</v>
      </c>
    </row>
    <row r="2128" spans="1:8" ht="14.25" hidden="1" customHeight="1" x14ac:dyDescent="0.3">
      <c r="A2128" s="34" t="s">
        <v>34</v>
      </c>
      <c r="B2128" s="61" t="s">
        <v>155</v>
      </c>
      <c r="C2128" s="61" t="s">
        <v>168</v>
      </c>
      <c r="D2128" s="69">
        <v>5</v>
      </c>
      <c r="E2128" s="74">
        <v>2.0699999999999998</v>
      </c>
      <c r="F2128" s="80">
        <f>IFERROR(D2128*E2128,0)</f>
        <v>10.35</v>
      </c>
      <c r="G2128" s="61" t="str">
        <f>INDEX(SETORES!$B:$B,MATCH(A2128,SETORES!$A:$A,0))</f>
        <v>Clientes</v>
      </c>
      <c r="H2128" s="61" t="s">
        <v>20</v>
      </c>
    </row>
    <row r="2129" spans="1:8" ht="14.25" hidden="1" customHeight="1" x14ac:dyDescent="0.3">
      <c r="A2129" s="2" t="s">
        <v>34</v>
      </c>
      <c r="B2129" s="60" t="s">
        <v>155</v>
      </c>
      <c r="C2129" s="60" t="s">
        <v>160</v>
      </c>
      <c r="D2129" s="68"/>
      <c r="E2129" s="73"/>
      <c r="F2129" s="79">
        <f>IFERROR(D2129*E2129,0)</f>
        <v>0</v>
      </c>
      <c r="G2129" s="60" t="str">
        <f>INDEX(SETORES!$B:$B,MATCH(A2129,SETORES!$A:$A,0))</f>
        <v>Clientes</v>
      </c>
      <c r="H2129" s="60" t="s">
        <v>20</v>
      </c>
    </row>
    <row r="2130" spans="1:8" ht="14.25" hidden="1" customHeight="1" x14ac:dyDescent="0.3">
      <c r="A2130" s="2" t="s">
        <v>83</v>
      </c>
      <c r="B2130" s="60" t="s">
        <v>155</v>
      </c>
      <c r="C2130" s="60" t="s">
        <v>212</v>
      </c>
      <c r="D2130" s="68">
        <v>2</v>
      </c>
      <c r="E2130" s="73">
        <v>30</v>
      </c>
      <c r="F2130" s="79">
        <f>IFERROR(D2130*E2130,0)</f>
        <v>60</v>
      </c>
      <c r="G2130" s="60" t="str">
        <f>INDEX(SETORES!$B:$B,MATCH(A2130,SETORES!$A:$A,0))</f>
        <v>Clientes</v>
      </c>
      <c r="H2130" s="60" t="s">
        <v>20</v>
      </c>
    </row>
    <row r="2131" spans="1:8" ht="14.25" hidden="1" customHeight="1" x14ac:dyDescent="0.3">
      <c r="A2131" s="34" t="s">
        <v>83</v>
      </c>
      <c r="B2131" s="61" t="s">
        <v>155</v>
      </c>
      <c r="C2131" s="61" t="s">
        <v>237</v>
      </c>
      <c r="D2131" s="69">
        <v>1</v>
      </c>
      <c r="E2131" s="74">
        <v>7500</v>
      </c>
      <c r="F2131" s="80">
        <f>IFERROR(D2131*E2131,0)</f>
        <v>7500</v>
      </c>
      <c r="G2131" s="61" t="str">
        <f>INDEX(SETORES!$B:$B,MATCH(A2131,SETORES!$A:$A,0))</f>
        <v>Clientes</v>
      </c>
      <c r="H2131" s="61" t="s">
        <v>20</v>
      </c>
    </row>
    <row r="2132" spans="1:8" ht="14.25" hidden="1" customHeight="1" x14ac:dyDescent="0.3">
      <c r="A2132" s="34" t="s">
        <v>83</v>
      </c>
      <c r="B2132" s="61" t="s">
        <v>155</v>
      </c>
      <c r="C2132" s="61" t="s">
        <v>171</v>
      </c>
      <c r="D2132" s="69">
        <v>2</v>
      </c>
      <c r="E2132" s="74">
        <v>47.79</v>
      </c>
      <c r="F2132" s="80">
        <f>IFERROR(D2132*E2132,0)</f>
        <v>95.58</v>
      </c>
      <c r="G2132" s="60" t="s">
        <v>98</v>
      </c>
      <c r="H2132" s="61" t="s">
        <v>20</v>
      </c>
    </row>
    <row r="2133" spans="1:8" ht="14.25" hidden="1" customHeight="1" x14ac:dyDescent="0.3">
      <c r="A2133" s="2" t="s">
        <v>83</v>
      </c>
      <c r="B2133" s="60" t="s">
        <v>155</v>
      </c>
      <c r="C2133" s="60" t="s">
        <v>170</v>
      </c>
      <c r="D2133" s="68">
        <v>2</v>
      </c>
      <c r="E2133" s="73">
        <v>28.31</v>
      </c>
      <c r="F2133" s="79">
        <f>IFERROR(D2133*E2133,0)</f>
        <v>56.62</v>
      </c>
      <c r="G2133" s="61" t="s">
        <v>98</v>
      </c>
      <c r="H2133" s="60" t="s">
        <v>20</v>
      </c>
    </row>
    <row r="2134" spans="1:8" ht="14.25" customHeight="1" x14ac:dyDescent="0.3">
      <c r="A2134" s="2" t="s">
        <v>83</v>
      </c>
      <c r="B2134" s="60" t="s">
        <v>155</v>
      </c>
      <c r="C2134" s="60" t="s">
        <v>169</v>
      </c>
      <c r="D2134" s="68">
        <v>2</v>
      </c>
      <c r="E2134" s="73">
        <v>64.569999999999993</v>
      </c>
      <c r="F2134" s="79">
        <f>IFERROR(D2134*E2134,0)</f>
        <v>129.13999999999999</v>
      </c>
      <c r="G2134" s="61" t="s">
        <v>98</v>
      </c>
      <c r="H2134" s="60" t="s">
        <v>20</v>
      </c>
    </row>
    <row r="2135" spans="1:8" ht="14.25" hidden="1" customHeight="1" x14ac:dyDescent="0.3">
      <c r="A2135" s="34" t="s">
        <v>83</v>
      </c>
      <c r="B2135" s="61" t="s">
        <v>155</v>
      </c>
      <c r="C2135" s="61" t="s">
        <v>161</v>
      </c>
      <c r="D2135" s="69">
        <v>1</v>
      </c>
      <c r="E2135" s="74">
        <v>4665.95</v>
      </c>
      <c r="F2135" s="80">
        <f>IFERROR(E2135,0)</f>
        <v>4665.95</v>
      </c>
      <c r="G2135" s="61" t="str">
        <f>INDEX(SETORES!$B:$B,MATCH(A2135,SETORES!$A:$A,0))</f>
        <v>Clientes</v>
      </c>
      <c r="H2135" s="61" t="s">
        <v>20</v>
      </c>
    </row>
    <row r="2136" spans="1:8" ht="14.25" hidden="1" customHeight="1" x14ac:dyDescent="0.3">
      <c r="A2136" s="34" t="s">
        <v>83</v>
      </c>
      <c r="B2136" s="61" t="s">
        <v>155</v>
      </c>
      <c r="C2136" s="61" t="s">
        <v>167</v>
      </c>
      <c r="D2136" s="69">
        <v>2</v>
      </c>
      <c r="E2136" s="74">
        <v>10.050000000000001</v>
      </c>
      <c r="F2136" s="80">
        <f>IFERROR(D2136*E2136,0)</f>
        <v>20.100000000000001</v>
      </c>
      <c r="G2136" s="61" t="str">
        <f>INDEX(SETORES!$B:$B,MATCH(A2136,SETORES!$A:$A,0))</f>
        <v>Clientes</v>
      </c>
      <c r="H2136" s="61" t="s">
        <v>20</v>
      </c>
    </row>
    <row r="2137" spans="1:8" ht="14.25" hidden="1" customHeight="1" x14ac:dyDescent="0.3">
      <c r="A2137" s="34" t="s">
        <v>83</v>
      </c>
      <c r="B2137" s="61" t="s">
        <v>155</v>
      </c>
      <c r="C2137" s="61" t="s">
        <v>166</v>
      </c>
      <c r="D2137" s="69">
        <v>2</v>
      </c>
      <c r="E2137" s="74">
        <v>50</v>
      </c>
      <c r="F2137" s="80">
        <f>IFERROR(D2137*E2137,0)</f>
        <v>100</v>
      </c>
      <c r="G2137" s="61" t="str">
        <f>INDEX(SETORES!$B:$B,MATCH(A2137,SETORES!$A:$A,0))</f>
        <v>Clientes</v>
      </c>
      <c r="H2137" s="61" t="s">
        <v>20</v>
      </c>
    </row>
    <row r="2138" spans="1:8" ht="14.25" hidden="1" customHeight="1" x14ac:dyDescent="0.3">
      <c r="A2138" s="34" t="s">
        <v>83</v>
      </c>
      <c r="B2138" s="61" t="s">
        <v>162</v>
      </c>
      <c r="C2138" s="61" t="s">
        <v>222</v>
      </c>
      <c r="D2138" s="69"/>
      <c r="E2138" s="74"/>
      <c r="F2138" s="80">
        <f>IFERROR(D2138*E2138,0)</f>
        <v>0</v>
      </c>
      <c r="G2138" s="61" t="str">
        <f>INDEX(SETORES!$B:$B,MATCH(A2138,SETORES!$A:$A,0))</f>
        <v>Clientes</v>
      </c>
      <c r="H2138" s="61" t="s">
        <v>20</v>
      </c>
    </row>
    <row r="2139" spans="1:8" ht="14.25" hidden="1" customHeight="1" x14ac:dyDescent="0.3">
      <c r="A2139" s="2" t="s">
        <v>83</v>
      </c>
      <c r="B2139" s="60" t="s">
        <v>155</v>
      </c>
      <c r="C2139" s="60" t="s">
        <v>168</v>
      </c>
      <c r="D2139" s="68">
        <v>2</v>
      </c>
      <c r="E2139" s="73">
        <v>2.0699999999999998</v>
      </c>
      <c r="F2139" s="79">
        <f>IFERROR(D2139*E2139,0)</f>
        <v>4.1399999999999997</v>
      </c>
      <c r="G2139" s="60" t="str">
        <f>INDEX(SETORES!$B:$B,MATCH(A2139,SETORES!$A:$A,0))</f>
        <v>Clientes</v>
      </c>
      <c r="H2139" s="60" t="s">
        <v>20</v>
      </c>
    </row>
    <row r="2140" spans="1:8" ht="14.25" hidden="1" customHeight="1" x14ac:dyDescent="0.3">
      <c r="A2140" s="2" t="s">
        <v>84</v>
      </c>
      <c r="B2140" s="60" t="s">
        <v>162</v>
      </c>
      <c r="C2140" s="60" t="s">
        <v>217</v>
      </c>
      <c r="D2140" s="68">
        <v>1</v>
      </c>
      <c r="E2140" s="73">
        <v>13697.37</v>
      </c>
      <c r="F2140" s="79">
        <f>IFERROR(D2140*E2140,0)</f>
        <v>13697.37</v>
      </c>
      <c r="G2140" s="60" t="str">
        <f>INDEX(SETORES!$B:$B,MATCH(A2140,SETORES!$A:$A,0))</f>
        <v>Clientes</v>
      </c>
      <c r="H2140" s="60" t="s">
        <v>20</v>
      </c>
    </row>
    <row r="2141" spans="1:8" ht="14.25" hidden="1" customHeight="1" x14ac:dyDescent="0.3">
      <c r="A2141" s="2" t="s">
        <v>84</v>
      </c>
      <c r="B2141" s="60" t="s">
        <v>155</v>
      </c>
      <c r="C2141" s="60" t="s">
        <v>250</v>
      </c>
      <c r="D2141" s="68">
        <v>1</v>
      </c>
      <c r="E2141" s="73">
        <v>3989.44</v>
      </c>
      <c r="F2141" s="79">
        <f>IFERROR(D2141*E2141,0)</f>
        <v>3989.44</v>
      </c>
      <c r="G2141" s="60" t="str">
        <f>INDEX(SETORES!$B:$B,MATCH(A2141,SETORES!$A:$A,0))</f>
        <v>Clientes</v>
      </c>
      <c r="H2141" s="60" t="s">
        <v>20</v>
      </c>
    </row>
    <row r="2142" spans="1:8" ht="14.25" hidden="1" customHeight="1" x14ac:dyDescent="0.3">
      <c r="A2142" s="34" t="s">
        <v>84</v>
      </c>
      <c r="B2142" s="61" t="s">
        <v>155</v>
      </c>
      <c r="C2142" s="61" t="s">
        <v>251</v>
      </c>
      <c r="D2142" s="69">
        <v>1</v>
      </c>
      <c r="E2142" s="74">
        <v>7772.95</v>
      </c>
      <c r="F2142" s="80">
        <f>IFERROR(D2142*E2142,0)</f>
        <v>7772.95</v>
      </c>
      <c r="G2142" s="61" t="str">
        <f>INDEX(SETORES!$B:$B,MATCH(A2142,SETORES!$A:$A,0))</f>
        <v>Clientes</v>
      </c>
      <c r="H2142" s="61" t="s">
        <v>20</v>
      </c>
    </row>
    <row r="2143" spans="1:8" ht="14.25" hidden="1" customHeight="1" x14ac:dyDescent="0.3">
      <c r="A2143" s="34" t="s">
        <v>84</v>
      </c>
      <c r="B2143" s="61" t="s">
        <v>155</v>
      </c>
      <c r="C2143" s="61" t="s">
        <v>171</v>
      </c>
      <c r="D2143" s="69">
        <v>22</v>
      </c>
      <c r="E2143" s="74">
        <v>47.79</v>
      </c>
      <c r="F2143" s="80">
        <f>IFERROR(D2143*E2143,0)</f>
        <v>1051.3799999999999</v>
      </c>
      <c r="G2143" s="60" t="s">
        <v>98</v>
      </c>
      <c r="H2143" s="61" t="s">
        <v>20</v>
      </c>
    </row>
    <row r="2144" spans="1:8" ht="14.25" hidden="1" customHeight="1" x14ac:dyDescent="0.3">
      <c r="A2144" s="2" t="s">
        <v>84</v>
      </c>
      <c r="B2144" s="60" t="s">
        <v>155</v>
      </c>
      <c r="C2144" s="60" t="s">
        <v>170</v>
      </c>
      <c r="D2144" s="68">
        <v>22</v>
      </c>
      <c r="E2144" s="73">
        <v>28.31</v>
      </c>
      <c r="F2144" s="79">
        <f>IFERROR(D2144*E2144,0)</f>
        <v>622.81999999999994</v>
      </c>
      <c r="G2144" s="61" t="s">
        <v>98</v>
      </c>
      <c r="H2144" s="60" t="s">
        <v>20</v>
      </c>
    </row>
    <row r="2145" spans="1:8" ht="14.25" customHeight="1" x14ac:dyDescent="0.3">
      <c r="A2145" s="2" t="s">
        <v>84</v>
      </c>
      <c r="B2145" s="60" t="s">
        <v>155</v>
      </c>
      <c r="C2145" s="60" t="s">
        <v>169</v>
      </c>
      <c r="D2145" s="68">
        <v>22</v>
      </c>
      <c r="E2145" s="73">
        <v>64.569999999999993</v>
      </c>
      <c r="F2145" s="79">
        <f>IFERROR(D2145*E2145,0)</f>
        <v>1420.54</v>
      </c>
      <c r="G2145" s="61" t="s">
        <v>98</v>
      </c>
      <c r="H2145" s="60" t="s">
        <v>20</v>
      </c>
    </row>
    <row r="2146" spans="1:8" ht="14.25" hidden="1" customHeight="1" x14ac:dyDescent="0.3">
      <c r="A2146" s="34" t="s">
        <v>84</v>
      </c>
      <c r="B2146" s="61" t="s">
        <v>162</v>
      </c>
      <c r="C2146" s="61" t="s">
        <v>221</v>
      </c>
      <c r="D2146" s="69">
        <v>1</v>
      </c>
      <c r="E2146" s="74">
        <v>7221.35</v>
      </c>
      <c r="F2146" s="80">
        <f>IFERROR(D2146*E2146,0)</f>
        <v>7221.35</v>
      </c>
      <c r="G2146" s="61" t="str">
        <f>INDEX(SETORES!$B:$B,MATCH(A2146,SETORES!$A:$A,0))</f>
        <v>Clientes</v>
      </c>
      <c r="H2146" s="61" t="s">
        <v>20</v>
      </c>
    </row>
    <row r="2147" spans="1:8" ht="14.25" hidden="1" customHeight="1" x14ac:dyDescent="0.3">
      <c r="A2147" s="34" t="s">
        <v>84</v>
      </c>
      <c r="B2147" s="61" t="s">
        <v>155</v>
      </c>
      <c r="C2147" s="61" t="s">
        <v>161</v>
      </c>
      <c r="D2147" s="69">
        <v>1</v>
      </c>
      <c r="E2147" s="74">
        <v>107136.79</v>
      </c>
      <c r="F2147" s="80">
        <f>IFERROR(E2147,0)</f>
        <v>107136.79</v>
      </c>
      <c r="G2147" s="61" t="str">
        <f>INDEX(SETORES!$B:$B,MATCH(A2147,SETORES!$A:$A,0))</f>
        <v>Clientes</v>
      </c>
      <c r="H2147" s="61" t="s">
        <v>20</v>
      </c>
    </row>
    <row r="2148" spans="1:8" ht="14.25" hidden="1" customHeight="1" x14ac:dyDescent="0.3">
      <c r="A2148" s="34" t="s">
        <v>84</v>
      </c>
      <c r="B2148" s="61" t="s">
        <v>155</v>
      </c>
      <c r="C2148" s="61" t="s">
        <v>167</v>
      </c>
      <c r="D2148" s="69">
        <v>22</v>
      </c>
      <c r="E2148" s="74">
        <v>10.050000000000001</v>
      </c>
      <c r="F2148" s="80">
        <f>IFERROR(D2148*E2148,0)</f>
        <v>221.10000000000002</v>
      </c>
      <c r="G2148" s="61" t="str">
        <f>INDEX(SETORES!$B:$B,MATCH(A2148,SETORES!$A:$A,0))</f>
        <v>Clientes</v>
      </c>
      <c r="H2148" s="61" t="s">
        <v>20</v>
      </c>
    </row>
    <row r="2149" spans="1:8" ht="14.25" hidden="1" customHeight="1" x14ac:dyDescent="0.3">
      <c r="A2149" s="34" t="s">
        <v>84</v>
      </c>
      <c r="B2149" s="61" t="s">
        <v>155</v>
      </c>
      <c r="C2149" s="61" t="s">
        <v>166</v>
      </c>
      <c r="D2149" s="69">
        <v>22</v>
      </c>
      <c r="E2149" s="74">
        <v>50</v>
      </c>
      <c r="F2149" s="80">
        <f>IFERROR(D2149*E2149,0)</f>
        <v>1100</v>
      </c>
      <c r="G2149" s="61" t="str">
        <f>INDEX(SETORES!$B:$B,MATCH(A2149,SETORES!$A:$A,0))</f>
        <v>Clientes</v>
      </c>
      <c r="H2149" s="61" t="s">
        <v>20</v>
      </c>
    </row>
    <row r="2150" spans="1:8" ht="14.25" hidden="1" customHeight="1" x14ac:dyDescent="0.3">
      <c r="A2150" s="2" t="s">
        <v>84</v>
      </c>
      <c r="B2150" s="60" t="s">
        <v>162</v>
      </c>
      <c r="C2150" s="60" t="s">
        <v>222</v>
      </c>
      <c r="D2150" s="68">
        <v>1</v>
      </c>
      <c r="E2150" s="73">
        <v>1746.63</v>
      </c>
      <c r="F2150" s="79">
        <f>IFERROR(D2150*E2150,0)</f>
        <v>1746.63</v>
      </c>
      <c r="G2150" s="60" t="str">
        <f>INDEX(SETORES!$B:$B,MATCH(A2150,SETORES!$A:$A,0))</f>
        <v>Clientes</v>
      </c>
      <c r="H2150" s="60" t="s">
        <v>20</v>
      </c>
    </row>
    <row r="2151" spans="1:8" ht="14.25" hidden="1" customHeight="1" x14ac:dyDescent="0.3">
      <c r="A2151" s="2" t="s">
        <v>84</v>
      </c>
      <c r="B2151" s="60" t="s">
        <v>155</v>
      </c>
      <c r="C2151" s="60" t="s">
        <v>168</v>
      </c>
      <c r="D2151" s="68">
        <v>22</v>
      </c>
      <c r="E2151" s="73">
        <v>2.0699999999999998</v>
      </c>
      <c r="F2151" s="79">
        <f>IFERROR(D2151*E2151,0)</f>
        <v>45.54</v>
      </c>
      <c r="G2151" s="60" t="str">
        <f>INDEX(SETORES!$B:$B,MATCH(A2151,SETORES!$A:$A,0))</f>
        <v>Clientes</v>
      </c>
      <c r="H2151" s="60" t="s">
        <v>20</v>
      </c>
    </row>
    <row r="2152" spans="1:8" ht="14.25" hidden="1" customHeight="1" x14ac:dyDescent="0.3">
      <c r="A2152" s="2" t="s">
        <v>48</v>
      </c>
      <c r="B2152" s="60" t="s">
        <v>155</v>
      </c>
      <c r="C2152" s="60" t="s">
        <v>159</v>
      </c>
      <c r="D2152" s="68">
        <v>12</v>
      </c>
      <c r="E2152" s="73">
        <v>0.63429999999999997</v>
      </c>
      <c r="F2152" s="79">
        <v>7.6116000000000001</v>
      </c>
      <c r="G2152" s="60" t="str">
        <f>INDEX(SETORES!$B:$B,MATCH(A2152,SETORES!$A:$A,0))</f>
        <v>Clientes</v>
      </c>
      <c r="H2152" s="60" t="s">
        <v>20</v>
      </c>
    </row>
    <row r="2153" spans="1:8" ht="14.25" hidden="1" customHeight="1" x14ac:dyDescent="0.3">
      <c r="A2153" s="34" t="s">
        <v>48</v>
      </c>
      <c r="B2153" s="61" t="s">
        <v>155</v>
      </c>
      <c r="C2153" s="61" t="s">
        <v>212</v>
      </c>
      <c r="D2153" s="69">
        <v>7</v>
      </c>
      <c r="E2153" s="74">
        <v>30</v>
      </c>
      <c r="F2153" s="80">
        <f>IFERROR(D2153*E2153,0)</f>
        <v>210</v>
      </c>
      <c r="G2153" s="61" t="str">
        <f>INDEX(SETORES!$B:$B,MATCH(A2153,SETORES!$A:$A,0))</f>
        <v>Clientes</v>
      </c>
      <c r="H2153" s="61" t="s">
        <v>20</v>
      </c>
    </row>
    <row r="2154" spans="1:8" ht="14.25" hidden="1" customHeight="1" x14ac:dyDescent="0.3">
      <c r="A2154" s="2" t="s">
        <v>48</v>
      </c>
      <c r="B2154" s="60" t="s">
        <v>162</v>
      </c>
      <c r="C2154" s="60" t="s">
        <v>217</v>
      </c>
      <c r="D2154" s="68">
        <v>1</v>
      </c>
      <c r="E2154" s="73">
        <v>53498.33</v>
      </c>
      <c r="F2154" s="79">
        <f>IFERROR(D2154*E2154,0)</f>
        <v>53498.33</v>
      </c>
      <c r="G2154" s="60" t="str">
        <f>INDEX(SETORES!$B:$B,MATCH(A2154,SETORES!$A:$A,0))</f>
        <v>Clientes</v>
      </c>
      <c r="H2154" s="60" t="s">
        <v>20</v>
      </c>
    </row>
    <row r="2155" spans="1:8" ht="14.25" hidden="1" customHeight="1" x14ac:dyDescent="0.3">
      <c r="A2155" s="2" t="s">
        <v>48</v>
      </c>
      <c r="B2155" s="60" t="s">
        <v>155</v>
      </c>
      <c r="C2155" s="60" t="s">
        <v>256</v>
      </c>
      <c r="D2155" s="68">
        <v>1</v>
      </c>
      <c r="E2155" s="73">
        <v>9389.2776319999994</v>
      </c>
      <c r="F2155" s="79">
        <v>9389.2776319999994</v>
      </c>
      <c r="G2155" s="60" t="s">
        <v>96</v>
      </c>
      <c r="H2155" s="60" t="s">
        <v>20</v>
      </c>
    </row>
    <row r="2156" spans="1:8" ht="14.25" hidden="1" customHeight="1" x14ac:dyDescent="0.3">
      <c r="A2156" s="34" t="s">
        <v>48</v>
      </c>
      <c r="B2156" s="61" t="s">
        <v>155</v>
      </c>
      <c r="C2156" s="61" t="s">
        <v>171</v>
      </c>
      <c r="D2156" s="69">
        <v>12</v>
      </c>
      <c r="E2156" s="74">
        <v>47.79</v>
      </c>
      <c r="F2156" s="80">
        <v>573.48</v>
      </c>
      <c r="G2156" s="60" t="s">
        <v>98</v>
      </c>
      <c r="H2156" s="61" t="s">
        <v>20</v>
      </c>
    </row>
    <row r="2157" spans="1:8" ht="14.25" hidden="1" customHeight="1" x14ac:dyDescent="0.3">
      <c r="A2157" s="2" t="s">
        <v>48</v>
      </c>
      <c r="B2157" s="60" t="s">
        <v>155</v>
      </c>
      <c r="C2157" s="60" t="s">
        <v>170</v>
      </c>
      <c r="D2157" s="68">
        <v>12</v>
      </c>
      <c r="E2157" s="73">
        <v>28.31</v>
      </c>
      <c r="F2157" s="79">
        <v>339.72</v>
      </c>
      <c r="G2157" s="61" t="s">
        <v>98</v>
      </c>
      <c r="H2157" s="60" t="s">
        <v>20</v>
      </c>
    </row>
    <row r="2158" spans="1:8" ht="14.25" customHeight="1" x14ac:dyDescent="0.3">
      <c r="A2158" s="34" t="s">
        <v>48</v>
      </c>
      <c r="B2158" s="61" t="s">
        <v>155</v>
      </c>
      <c r="C2158" s="61" t="s">
        <v>169</v>
      </c>
      <c r="D2158" s="69">
        <v>12</v>
      </c>
      <c r="E2158" s="74">
        <v>64.569999999999993</v>
      </c>
      <c r="F2158" s="80">
        <v>774.84</v>
      </c>
      <c r="G2158" s="61" t="s">
        <v>98</v>
      </c>
      <c r="H2158" s="61" t="s">
        <v>20</v>
      </c>
    </row>
    <row r="2159" spans="1:8" ht="14.25" hidden="1" customHeight="1" x14ac:dyDescent="0.3">
      <c r="A2159" s="2" t="s">
        <v>48</v>
      </c>
      <c r="B2159" s="60" t="s">
        <v>155</v>
      </c>
      <c r="C2159" s="60" t="s">
        <v>158</v>
      </c>
      <c r="D2159" s="68">
        <v>12</v>
      </c>
      <c r="E2159" s="73">
        <v>24.8613</v>
      </c>
      <c r="F2159" s="79">
        <v>298.3356</v>
      </c>
      <c r="G2159" s="60" t="str">
        <f>INDEX(SETORES!$B:$B,MATCH(A2159,SETORES!$A:$A,0))</f>
        <v>Clientes</v>
      </c>
      <c r="H2159" s="60" t="s">
        <v>20</v>
      </c>
    </row>
    <row r="2160" spans="1:8" ht="14.25" hidden="1" customHeight="1" x14ac:dyDescent="0.3">
      <c r="A2160" s="2" t="s">
        <v>48</v>
      </c>
      <c r="B2160" s="60" t="s">
        <v>162</v>
      </c>
      <c r="C2160" s="60" t="s">
        <v>221</v>
      </c>
      <c r="D2160" s="68">
        <v>1</v>
      </c>
      <c r="E2160" s="73">
        <v>56</v>
      </c>
      <c r="F2160" s="79">
        <f>IFERROR(D2160*E2160,0)</f>
        <v>56</v>
      </c>
      <c r="G2160" s="60" t="str">
        <f>INDEX(SETORES!$B:$B,MATCH(A2160,SETORES!$A:$A,0))</f>
        <v>Clientes</v>
      </c>
      <c r="H2160" s="60" t="s">
        <v>20</v>
      </c>
    </row>
    <row r="2161" spans="1:8" ht="14.25" hidden="1" customHeight="1" x14ac:dyDescent="0.3">
      <c r="A2161" s="2" t="s">
        <v>48</v>
      </c>
      <c r="B2161" s="60" t="s">
        <v>162</v>
      </c>
      <c r="C2161" s="60" t="s">
        <v>163</v>
      </c>
      <c r="D2161" s="68">
        <v>1</v>
      </c>
      <c r="E2161" s="73">
        <v>272</v>
      </c>
      <c r="F2161" s="79">
        <f>IFERROR(D2161*E2161,0)</f>
        <v>272</v>
      </c>
      <c r="G2161" s="60" t="str">
        <f>INDEX(SETORES!$B:$B,MATCH(A2161,SETORES!$A:$A,0))</f>
        <v>Clientes</v>
      </c>
      <c r="H2161" s="60" t="s">
        <v>20</v>
      </c>
    </row>
    <row r="2162" spans="1:8" ht="14.25" hidden="1" customHeight="1" x14ac:dyDescent="0.3">
      <c r="A2162" s="34" t="s">
        <v>48</v>
      </c>
      <c r="B2162" s="61" t="s">
        <v>162</v>
      </c>
      <c r="C2162" s="61" t="s">
        <v>164</v>
      </c>
      <c r="D2162" s="69"/>
      <c r="E2162" s="74"/>
      <c r="F2162" s="80">
        <f>IFERROR(D2162*E2162,0)</f>
        <v>0</v>
      </c>
      <c r="G2162" s="61" t="str">
        <f>INDEX(SETORES!$B:$B,MATCH(A2162,SETORES!$A:$A,0))</f>
        <v>Clientes</v>
      </c>
      <c r="H2162" s="61" t="s">
        <v>20</v>
      </c>
    </row>
    <row r="2163" spans="1:8" ht="14.25" hidden="1" customHeight="1" x14ac:dyDescent="0.3">
      <c r="A2163" s="34" t="s">
        <v>48</v>
      </c>
      <c r="B2163" s="61" t="s">
        <v>155</v>
      </c>
      <c r="C2163" s="61" t="s">
        <v>161</v>
      </c>
      <c r="D2163" s="69">
        <v>1</v>
      </c>
      <c r="E2163" s="74">
        <v>49817.213156999998</v>
      </c>
      <c r="F2163" s="80">
        <v>49817.213156999998</v>
      </c>
      <c r="G2163" s="61" t="str">
        <f>INDEX(SETORES!$B:$B,MATCH(A2163,SETORES!$A:$A,0))</f>
        <v>Clientes</v>
      </c>
      <c r="H2163" s="61" t="s">
        <v>20</v>
      </c>
    </row>
    <row r="2164" spans="1:8" ht="14.25" hidden="1" customHeight="1" x14ac:dyDescent="0.3">
      <c r="A2164" s="34" t="s">
        <v>48</v>
      </c>
      <c r="B2164" s="61" t="s">
        <v>155</v>
      </c>
      <c r="C2164" s="61" t="s">
        <v>167</v>
      </c>
      <c r="D2164" s="69">
        <v>12</v>
      </c>
      <c r="E2164" s="74">
        <v>10.050000000000001</v>
      </c>
      <c r="F2164" s="80">
        <v>120.6</v>
      </c>
      <c r="G2164" s="61" t="str">
        <f>INDEX(SETORES!$B:$B,MATCH(A2164,SETORES!$A:$A,0))</f>
        <v>Clientes</v>
      </c>
      <c r="H2164" s="61" t="s">
        <v>20</v>
      </c>
    </row>
    <row r="2165" spans="1:8" ht="14.25" hidden="1" customHeight="1" x14ac:dyDescent="0.3">
      <c r="A2165" s="2" t="s">
        <v>48</v>
      </c>
      <c r="B2165" s="60" t="s">
        <v>155</v>
      </c>
      <c r="C2165" s="60" t="s">
        <v>166</v>
      </c>
      <c r="D2165" s="68">
        <v>17</v>
      </c>
      <c r="E2165" s="73">
        <v>50</v>
      </c>
      <c r="F2165" s="79">
        <f>IFERROR(D2165*E2165,0)</f>
        <v>850</v>
      </c>
      <c r="G2165" s="60" t="str">
        <f>INDEX(SETORES!$B:$B,MATCH(A2165,SETORES!$A:$A,0))</f>
        <v>Clientes</v>
      </c>
      <c r="H2165" s="60" t="s">
        <v>20</v>
      </c>
    </row>
    <row r="2166" spans="1:8" ht="14.25" hidden="1" customHeight="1" x14ac:dyDescent="0.3">
      <c r="A2166" s="34" t="s">
        <v>48</v>
      </c>
      <c r="B2166" s="61" t="s">
        <v>162</v>
      </c>
      <c r="C2166" s="61" t="s">
        <v>220</v>
      </c>
      <c r="D2166" s="69"/>
      <c r="E2166" s="74"/>
      <c r="F2166" s="80">
        <f>IFERROR(D2166*E2166,0)</f>
        <v>0</v>
      </c>
      <c r="G2166" s="61" t="str">
        <f>INDEX(SETORES!$B:$B,MATCH(A2166,SETORES!$A:$A,0))</f>
        <v>Clientes</v>
      </c>
      <c r="H2166" s="61" t="s">
        <v>20</v>
      </c>
    </row>
    <row r="2167" spans="1:8" ht="14.25" hidden="1" customHeight="1" x14ac:dyDescent="0.3">
      <c r="A2167" s="2" t="s">
        <v>48</v>
      </c>
      <c r="B2167" s="60" t="s">
        <v>155</v>
      </c>
      <c r="C2167" s="60" t="s">
        <v>156</v>
      </c>
      <c r="D2167" s="68"/>
      <c r="E2167" s="73"/>
      <c r="F2167" s="79">
        <v>0</v>
      </c>
      <c r="G2167" s="60" t="str">
        <f>INDEX(SETORES!$B:$B,MATCH(A2167,SETORES!$A:$A,0))</f>
        <v>Clientes</v>
      </c>
      <c r="H2167" s="60" t="s">
        <v>20</v>
      </c>
    </row>
    <row r="2168" spans="1:8" ht="14.25" hidden="1" customHeight="1" x14ac:dyDescent="0.3">
      <c r="A2168" s="34" t="s">
        <v>48</v>
      </c>
      <c r="B2168" s="61" t="s">
        <v>155</v>
      </c>
      <c r="C2168" s="61" t="s">
        <v>157</v>
      </c>
      <c r="D2168" s="69"/>
      <c r="E2168" s="74"/>
      <c r="F2168" s="80">
        <v>0</v>
      </c>
      <c r="G2168" s="61" t="str">
        <f>INDEX(SETORES!$B:$B,MATCH(A2168,SETORES!$A:$A,0))</f>
        <v>Clientes</v>
      </c>
      <c r="H2168" s="61" t="s">
        <v>20</v>
      </c>
    </row>
    <row r="2169" spans="1:8" ht="14.25" hidden="1" customHeight="1" x14ac:dyDescent="0.3">
      <c r="A2169" s="34" t="s">
        <v>48</v>
      </c>
      <c r="B2169" s="61" t="s">
        <v>162</v>
      </c>
      <c r="C2169" s="61" t="s">
        <v>209</v>
      </c>
      <c r="D2169" s="69">
        <v>12</v>
      </c>
      <c r="E2169" s="74">
        <v>89.55</v>
      </c>
      <c r="F2169" s="80">
        <v>1074.5999999999999</v>
      </c>
      <c r="G2169" s="61" t="str">
        <f>INDEX(SETORES!$B:$B,MATCH(A2169,SETORES!$A:$A,0))</f>
        <v>Clientes</v>
      </c>
      <c r="H2169" s="61" t="s">
        <v>20</v>
      </c>
    </row>
    <row r="2170" spans="1:8" ht="14.25" hidden="1" customHeight="1" x14ac:dyDescent="0.3">
      <c r="A2170" s="2" t="s">
        <v>48</v>
      </c>
      <c r="B2170" s="60" t="s">
        <v>162</v>
      </c>
      <c r="C2170" s="60" t="s">
        <v>222</v>
      </c>
      <c r="D2170" s="68"/>
      <c r="E2170" s="73"/>
      <c r="F2170" s="79">
        <f>IFERROR(D2170*E2170,0)</f>
        <v>0</v>
      </c>
      <c r="G2170" s="60" t="str">
        <f>INDEX(SETORES!$B:$B,MATCH(A2170,SETORES!$A:$A,0))</f>
        <v>Clientes</v>
      </c>
      <c r="H2170" s="60" t="s">
        <v>20</v>
      </c>
    </row>
    <row r="2171" spans="1:8" ht="14.25" hidden="1" customHeight="1" x14ac:dyDescent="0.3">
      <c r="A2171" s="34" t="s">
        <v>48</v>
      </c>
      <c r="B2171" s="61" t="s">
        <v>155</v>
      </c>
      <c r="C2171" s="61" t="s">
        <v>186</v>
      </c>
      <c r="D2171" s="69">
        <v>1</v>
      </c>
      <c r="E2171" s="74">
        <v>2534</v>
      </c>
      <c r="F2171" s="80">
        <f>IFERROR(D2171*E2171,0)</f>
        <v>2534</v>
      </c>
      <c r="G2171" s="61" t="str">
        <f>INDEX(SETORES!$B:$B,MATCH(A2171,SETORES!$A:$A,0))</f>
        <v>Clientes</v>
      </c>
      <c r="H2171" s="61" t="s">
        <v>20</v>
      </c>
    </row>
    <row r="2172" spans="1:8" ht="14.25" hidden="1" customHeight="1" x14ac:dyDescent="0.3">
      <c r="A2172" s="2" t="s">
        <v>48</v>
      </c>
      <c r="B2172" s="60" t="s">
        <v>155</v>
      </c>
      <c r="C2172" s="60" t="s">
        <v>168</v>
      </c>
      <c r="D2172" s="68">
        <v>12</v>
      </c>
      <c r="E2172" s="73">
        <v>2.0699999999999998</v>
      </c>
      <c r="F2172" s="79">
        <v>24.84</v>
      </c>
      <c r="G2172" s="60" t="str">
        <f>INDEX(SETORES!$B:$B,MATCH(A2172,SETORES!$A:$A,0))</f>
        <v>Clientes</v>
      </c>
      <c r="H2172" s="60" t="s">
        <v>20</v>
      </c>
    </row>
    <row r="2173" spans="1:8" ht="14.25" hidden="1" customHeight="1" x14ac:dyDescent="0.3">
      <c r="A2173" s="2" t="s">
        <v>48</v>
      </c>
      <c r="B2173" s="60" t="s">
        <v>155</v>
      </c>
      <c r="C2173" s="60" t="s">
        <v>160</v>
      </c>
      <c r="D2173" s="68"/>
      <c r="E2173" s="73"/>
      <c r="F2173" s="79">
        <f>IFERROR(D2173*E2173,0)</f>
        <v>0</v>
      </c>
      <c r="G2173" s="60" t="str">
        <f>INDEX(SETORES!$B:$B,MATCH(A2173,SETORES!$A:$A,0))</f>
        <v>Clientes</v>
      </c>
      <c r="H2173" s="60" t="s">
        <v>20</v>
      </c>
    </row>
    <row r="2174" spans="1:8" ht="14.25" hidden="1" customHeight="1" x14ac:dyDescent="0.3">
      <c r="A2174" s="2" t="s">
        <v>47</v>
      </c>
      <c r="B2174" s="60" t="s">
        <v>155</v>
      </c>
      <c r="C2174" s="60" t="s">
        <v>159</v>
      </c>
      <c r="D2174" s="68"/>
      <c r="E2174" s="73"/>
      <c r="F2174" s="79">
        <f>IFERROR(D2174*E2174,0)</f>
        <v>0</v>
      </c>
      <c r="G2174" s="60" t="str">
        <f>INDEX(SETORES!$B:$B,MATCH(A2174,SETORES!$A:$A,0))</f>
        <v>Clientes</v>
      </c>
      <c r="H2174" s="60" t="s">
        <v>20</v>
      </c>
    </row>
    <row r="2175" spans="1:8" ht="14.25" hidden="1" customHeight="1" x14ac:dyDescent="0.3">
      <c r="A2175" s="2" t="s">
        <v>47</v>
      </c>
      <c r="B2175" s="60" t="s">
        <v>155</v>
      </c>
      <c r="C2175" s="60" t="s">
        <v>212</v>
      </c>
      <c r="D2175" s="68">
        <v>7</v>
      </c>
      <c r="E2175" s="73">
        <v>30</v>
      </c>
      <c r="F2175" s="79">
        <f>IFERROR(D2175*E2175,0)</f>
        <v>210</v>
      </c>
      <c r="G2175" s="60" t="str">
        <f>INDEX(SETORES!$B:$B,MATCH(A2175,SETORES!$A:$A,0))</f>
        <v>Clientes</v>
      </c>
      <c r="H2175" s="60" t="s">
        <v>20</v>
      </c>
    </row>
    <row r="2176" spans="1:8" ht="14.25" hidden="1" customHeight="1" x14ac:dyDescent="0.3">
      <c r="A2176" s="34" t="s">
        <v>47</v>
      </c>
      <c r="B2176" s="61" t="s">
        <v>162</v>
      </c>
      <c r="C2176" s="61" t="s">
        <v>217</v>
      </c>
      <c r="D2176" s="69">
        <v>1</v>
      </c>
      <c r="E2176" s="74">
        <v>14366.59</v>
      </c>
      <c r="F2176" s="80">
        <f>IFERROR(D2176*E2176,0)</f>
        <v>14366.59</v>
      </c>
      <c r="G2176" s="61" t="str">
        <f>INDEX(SETORES!$B:$B,MATCH(A2176,SETORES!$A:$A,0))</f>
        <v>Clientes</v>
      </c>
      <c r="H2176" s="61" t="s">
        <v>20</v>
      </c>
    </row>
    <row r="2177" spans="1:8" ht="14.25" hidden="1" customHeight="1" x14ac:dyDescent="0.3">
      <c r="A2177" s="34" t="s">
        <v>47</v>
      </c>
      <c r="B2177" s="61" t="s">
        <v>155</v>
      </c>
      <c r="C2177" s="61" t="s">
        <v>250</v>
      </c>
      <c r="D2177" s="69">
        <v>1</v>
      </c>
      <c r="E2177" s="74">
        <v>2176.06</v>
      </c>
      <c r="F2177" s="80">
        <f>IFERROR(D2177*E2177,0)</f>
        <v>2176.06</v>
      </c>
      <c r="G2177" s="61" t="str">
        <f>INDEX(SETORES!$B:$B,MATCH(A2177,SETORES!$A:$A,0))</f>
        <v>Clientes</v>
      </c>
      <c r="H2177" s="61" t="s">
        <v>20</v>
      </c>
    </row>
    <row r="2178" spans="1:8" ht="14.25" hidden="1" customHeight="1" x14ac:dyDescent="0.3">
      <c r="A2178" s="2" t="s">
        <v>47</v>
      </c>
      <c r="B2178" s="60" t="s">
        <v>155</v>
      </c>
      <c r="C2178" s="60" t="s">
        <v>171</v>
      </c>
      <c r="D2178" s="68">
        <v>12</v>
      </c>
      <c r="E2178" s="73">
        <v>47.79</v>
      </c>
      <c r="F2178" s="79">
        <f>IFERROR(D2178*E2178,0)</f>
        <v>573.48</v>
      </c>
      <c r="G2178" s="60" t="s">
        <v>98</v>
      </c>
      <c r="H2178" s="60" t="s">
        <v>20</v>
      </c>
    </row>
    <row r="2179" spans="1:8" ht="14.25" hidden="1" customHeight="1" x14ac:dyDescent="0.3">
      <c r="A2179" s="34" t="s">
        <v>47</v>
      </c>
      <c r="B2179" s="61" t="s">
        <v>155</v>
      </c>
      <c r="C2179" s="61" t="s">
        <v>170</v>
      </c>
      <c r="D2179" s="69">
        <v>12</v>
      </c>
      <c r="E2179" s="74">
        <v>28.31</v>
      </c>
      <c r="F2179" s="80">
        <f>IFERROR(D2179*E2179,0)</f>
        <v>339.71999999999997</v>
      </c>
      <c r="G2179" s="61" t="s">
        <v>98</v>
      </c>
      <c r="H2179" s="61" t="s">
        <v>20</v>
      </c>
    </row>
    <row r="2180" spans="1:8" ht="14.25" customHeight="1" x14ac:dyDescent="0.3">
      <c r="A2180" s="2" t="s">
        <v>47</v>
      </c>
      <c r="B2180" s="60" t="s">
        <v>155</v>
      </c>
      <c r="C2180" s="60" t="s">
        <v>169</v>
      </c>
      <c r="D2180" s="68">
        <v>12</v>
      </c>
      <c r="E2180" s="73">
        <v>64.569999999999993</v>
      </c>
      <c r="F2180" s="79">
        <f>IFERROR(D2180*E2180,0)</f>
        <v>774.83999999999992</v>
      </c>
      <c r="G2180" s="61" t="s">
        <v>98</v>
      </c>
      <c r="H2180" s="60" t="s">
        <v>20</v>
      </c>
    </row>
    <row r="2181" spans="1:8" ht="14.25" hidden="1" customHeight="1" x14ac:dyDescent="0.3">
      <c r="A2181" s="2" t="s">
        <v>47</v>
      </c>
      <c r="B2181" s="60" t="s">
        <v>162</v>
      </c>
      <c r="C2181" s="60" t="s">
        <v>221</v>
      </c>
      <c r="D2181" s="68">
        <v>1</v>
      </c>
      <c r="E2181" s="73">
        <v>1478.5</v>
      </c>
      <c r="F2181" s="79">
        <f>IFERROR(D2181*E2181,0)</f>
        <v>1478.5</v>
      </c>
      <c r="G2181" s="60" t="str">
        <f>INDEX(SETORES!$B:$B,MATCH(A2181,SETORES!$A:$A,0))</f>
        <v>Clientes</v>
      </c>
      <c r="H2181" s="60" t="s">
        <v>20</v>
      </c>
    </row>
    <row r="2182" spans="1:8" ht="14.25" hidden="1" customHeight="1" x14ac:dyDescent="0.3">
      <c r="A2182" s="2" t="s">
        <v>47</v>
      </c>
      <c r="B2182" s="60" t="s">
        <v>155</v>
      </c>
      <c r="C2182" s="60" t="s">
        <v>161</v>
      </c>
      <c r="D2182" s="68">
        <v>1</v>
      </c>
      <c r="E2182" s="73">
        <v>115351.05</v>
      </c>
      <c r="F2182" s="79">
        <f>IFERROR(E2182,0)</f>
        <v>115351.05</v>
      </c>
      <c r="G2182" s="60" t="str">
        <f>INDEX(SETORES!$B:$B,MATCH(A2182,SETORES!$A:$A,0))</f>
        <v>Clientes</v>
      </c>
      <c r="H2182" s="60" t="s">
        <v>20</v>
      </c>
    </row>
    <row r="2183" spans="1:8" ht="14.25" hidden="1" customHeight="1" x14ac:dyDescent="0.3">
      <c r="A2183" s="2" t="s">
        <v>47</v>
      </c>
      <c r="B2183" s="60" t="s">
        <v>155</v>
      </c>
      <c r="C2183" s="60" t="s">
        <v>167</v>
      </c>
      <c r="D2183" s="68">
        <v>12</v>
      </c>
      <c r="E2183" s="73">
        <v>10.050000000000001</v>
      </c>
      <c r="F2183" s="79">
        <f>IFERROR(D2183*E2183,0)</f>
        <v>120.60000000000001</v>
      </c>
      <c r="G2183" s="60" t="str">
        <f>INDEX(SETORES!$B:$B,MATCH(A2183,SETORES!$A:$A,0))</f>
        <v>Clientes</v>
      </c>
      <c r="H2183" s="60" t="s">
        <v>20</v>
      </c>
    </row>
    <row r="2184" spans="1:8" ht="14.25" hidden="1" customHeight="1" x14ac:dyDescent="0.3">
      <c r="A2184" s="34" t="s">
        <v>47</v>
      </c>
      <c r="B2184" s="61" t="s">
        <v>162</v>
      </c>
      <c r="C2184" s="61" t="s">
        <v>218</v>
      </c>
      <c r="D2184" s="69"/>
      <c r="E2184" s="74"/>
      <c r="F2184" s="80">
        <f>IFERROR(D2184*E2184,0)</f>
        <v>0</v>
      </c>
      <c r="G2184" s="61" t="str">
        <f>INDEX(SETORES!$B:$B,MATCH(A2184,SETORES!$A:$A,0))</f>
        <v>Clientes</v>
      </c>
      <c r="H2184" s="61" t="s">
        <v>20</v>
      </c>
    </row>
    <row r="2185" spans="1:8" ht="14.25" hidden="1" customHeight="1" x14ac:dyDescent="0.3">
      <c r="A2185" s="2" t="s">
        <v>47</v>
      </c>
      <c r="B2185" s="60" t="s">
        <v>155</v>
      </c>
      <c r="C2185" s="60" t="s">
        <v>166</v>
      </c>
      <c r="D2185" s="68">
        <v>1</v>
      </c>
      <c r="E2185" s="73">
        <v>50</v>
      </c>
      <c r="F2185" s="79">
        <f>IFERROR(D2185*E2185,0)</f>
        <v>50</v>
      </c>
      <c r="G2185" s="60" t="str">
        <f>INDEX(SETORES!$B:$B,MATCH(A2185,SETORES!$A:$A,0))</f>
        <v>Clientes</v>
      </c>
      <c r="H2185" s="60" t="s">
        <v>20</v>
      </c>
    </row>
    <row r="2186" spans="1:8" ht="14.25" hidden="1" customHeight="1" x14ac:dyDescent="0.3">
      <c r="A2186" s="2" t="s">
        <v>47</v>
      </c>
      <c r="B2186" s="60" t="s">
        <v>155</v>
      </c>
      <c r="C2186" s="60" t="s">
        <v>156</v>
      </c>
      <c r="D2186" s="68"/>
      <c r="E2186" s="73"/>
      <c r="F2186" s="79">
        <v>0</v>
      </c>
      <c r="G2186" s="60" t="str">
        <f>INDEX(SETORES!$B:$B,MATCH(A2186,SETORES!$A:$A,0))</f>
        <v>Clientes</v>
      </c>
      <c r="H2186" s="60" t="s">
        <v>20</v>
      </c>
    </row>
    <row r="2187" spans="1:8" ht="14.25" hidden="1" customHeight="1" x14ac:dyDescent="0.3">
      <c r="A2187" s="34" t="s">
        <v>47</v>
      </c>
      <c r="B2187" s="61" t="s">
        <v>155</v>
      </c>
      <c r="C2187" s="61" t="s">
        <v>157</v>
      </c>
      <c r="D2187" s="69"/>
      <c r="E2187" s="74"/>
      <c r="F2187" s="80">
        <v>0</v>
      </c>
      <c r="G2187" s="61" t="str">
        <f>INDEX(SETORES!$B:$B,MATCH(A2187,SETORES!$A:$A,0))</f>
        <v>Clientes</v>
      </c>
      <c r="H2187" s="61" t="s">
        <v>20</v>
      </c>
    </row>
    <row r="2188" spans="1:8" ht="14.25" hidden="1" customHeight="1" x14ac:dyDescent="0.3">
      <c r="A2188" s="34" t="s">
        <v>47</v>
      </c>
      <c r="B2188" s="61" t="s">
        <v>162</v>
      </c>
      <c r="C2188" s="61" t="s">
        <v>222</v>
      </c>
      <c r="D2188" s="69">
        <v>1</v>
      </c>
      <c r="E2188" s="74">
        <v>1954.84</v>
      </c>
      <c r="F2188" s="80">
        <f>IFERROR(D2188*E2188,0)</f>
        <v>1954.84</v>
      </c>
      <c r="G2188" s="61" t="str">
        <f>INDEX(SETORES!$B:$B,MATCH(A2188,SETORES!$A:$A,0))</f>
        <v>Clientes</v>
      </c>
      <c r="H2188" s="61" t="s">
        <v>20</v>
      </c>
    </row>
    <row r="2189" spans="1:8" ht="14.25" hidden="1" customHeight="1" x14ac:dyDescent="0.3">
      <c r="A2189" s="34" t="s">
        <v>47</v>
      </c>
      <c r="B2189" s="61" t="s">
        <v>155</v>
      </c>
      <c r="C2189" s="61" t="s">
        <v>168</v>
      </c>
      <c r="D2189" s="69">
        <v>12</v>
      </c>
      <c r="E2189" s="74">
        <v>2.0699999999999998</v>
      </c>
      <c r="F2189" s="80">
        <f>IFERROR(D2189*E2189,0)</f>
        <v>24.839999999999996</v>
      </c>
      <c r="G2189" s="61" t="str">
        <f>INDEX(SETORES!$B:$B,MATCH(A2189,SETORES!$A:$A,0))</f>
        <v>Clientes</v>
      </c>
      <c r="H2189" s="61" t="s">
        <v>20</v>
      </c>
    </row>
    <row r="2190" spans="1:8" ht="14.25" hidden="1" customHeight="1" x14ac:dyDescent="0.3">
      <c r="A2190" s="34" t="s">
        <v>47</v>
      </c>
      <c r="B2190" s="61" t="s">
        <v>155</v>
      </c>
      <c r="C2190" s="61" t="s">
        <v>160</v>
      </c>
      <c r="D2190" s="69"/>
      <c r="E2190" s="74"/>
      <c r="F2190" s="80">
        <f>IFERROR(D2190*E2190,0)</f>
        <v>0</v>
      </c>
      <c r="G2190" s="61" t="str">
        <f>INDEX(SETORES!$B:$B,MATCH(A2190,SETORES!$A:$A,0))</f>
        <v>Clientes</v>
      </c>
      <c r="H2190" s="61" t="s">
        <v>20</v>
      </c>
    </row>
    <row r="2191" spans="1:8" ht="14.25" hidden="1" customHeight="1" x14ac:dyDescent="0.3">
      <c r="A2191" s="34" t="s">
        <v>85</v>
      </c>
      <c r="B2191" s="61" t="s">
        <v>155</v>
      </c>
      <c r="C2191" s="61" t="s">
        <v>212</v>
      </c>
      <c r="D2191" s="69">
        <v>10</v>
      </c>
      <c r="E2191" s="74">
        <v>30</v>
      </c>
      <c r="F2191" s="80">
        <f>IFERROR(D2191*E2191,0)</f>
        <v>300</v>
      </c>
      <c r="G2191" s="61" t="str">
        <f>INDEX(SETORES!$B:$B,MATCH(A2191,SETORES!$A:$A,0))</f>
        <v>Clientes</v>
      </c>
      <c r="H2191" s="61" t="s">
        <v>20</v>
      </c>
    </row>
    <row r="2192" spans="1:8" ht="14.25" hidden="1" customHeight="1" x14ac:dyDescent="0.3">
      <c r="A2192" s="34" t="s">
        <v>85</v>
      </c>
      <c r="B2192" s="61" t="s">
        <v>162</v>
      </c>
      <c r="C2192" s="61" t="s">
        <v>217</v>
      </c>
      <c r="D2192" s="69">
        <v>1</v>
      </c>
      <c r="E2192" s="74">
        <v>2716.71</v>
      </c>
      <c r="F2192" s="80">
        <f>IFERROR(D2192*E2192,0)</f>
        <v>2716.71</v>
      </c>
      <c r="G2192" s="61" t="str">
        <f>INDEX(SETORES!$B:$B,MATCH(A2192,SETORES!$A:$A,0))</f>
        <v>Clientes</v>
      </c>
      <c r="H2192" s="61" t="s">
        <v>20</v>
      </c>
    </row>
    <row r="2193" spans="1:8" ht="14.25" hidden="1" customHeight="1" x14ac:dyDescent="0.3">
      <c r="A2193" s="34" t="s">
        <v>85</v>
      </c>
      <c r="B2193" s="61" t="s">
        <v>155</v>
      </c>
      <c r="C2193" s="61" t="s">
        <v>171</v>
      </c>
      <c r="D2193" s="69">
        <v>12</v>
      </c>
      <c r="E2193" s="74">
        <v>47.79</v>
      </c>
      <c r="F2193" s="80">
        <f>IFERROR(D2193*E2193,0)</f>
        <v>573.48</v>
      </c>
      <c r="G2193" s="60" t="s">
        <v>98</v>
      </c>
      <c r="H2193" s="61" t="s">
        <v>20</v>
      </c>
    </row>
    <row r="2194" spans="1:8" ht="14.25" hidden="1" customHeight="1" x14ac:dyDescent="0.3">
      <c r="A2194" s="2" t="s">
        <v>85</v>
      </c>
      <c r="B2194" s="60" t="s">
        <v>155</v>
      </c>
      <c r="C2194" s="60" t="s">
        <v>170</v>
      </c>
      <c r="D2194" s="68">
        <v>12</v>
      </c>
      <c r="E2194" s="73">
        <v>28.31</v>
      </c>
      <c r="F2194" s="79">
        <f>IFERROR(D2194*E2194,0)</f>
        <v>339.71999999999997</v>
      </c>
      <c r="G2194" s="61" t="s">
        <v>98</v>
      </c>
      <c r="H2194" s="60" t="s">
        <v>20</v>
      </c>
    </row>
    <row r="2195" spans="1:8" ht="14.25" customHeight="1" x14ac:dyDescent="0.3">
      <c r="A2195" s="2" t="s">
        <v>85</v>
      </c>
      <c r="B2195" s="60" t="s">
        <v>155</v>
      </c>
      <c r="C2195" s="60" t="s">
        <v>169</v>
      </c>
      <c r="D2195" s="68">
        <v>12</v>
      </c>
      <c r="E2195" s="73">
        <v>64.569999999999993</v>
      </c>
      <c r="F2195" s="79">
        <f>IFERROR(D2195*E2195,0)</f>
        <v>774.83999999999992</v>
      </c>
      <c r="G2195" s="61" t="s">
        <v>98</v>
      </c>
      <c r="H2195" s="60" t="s">
        <v>20</v>
      </c>
    </row>
    <row r="2196" spans="1:8" ht="14.25" hidden="1" customHeight="1" x14ac:dyDescent="0.3">
      <c r="A2196" s="2" t="s">
        <v>85</v>
      </c>
      <c r="B2196" s="60" t="s">
        <v>155</v>
      </c>
      <c r="C2196" s="60" t="s">
        <v>158</v>
      </c>
      <c r="D2196" s="68">
        <v>1</v>
      </c>
      <c r="E2196" s="73">
        <v>102.12949999999999</v>
      </c>
      <c r="F2196" s="79">
        <v>102.12949999999999</v>
      </c>
      <c r="G2196" s="60" t="s">
        <v>96</v>
      </c>
      <c r="H2196" s="60" t="s">
        <v>20</v>
      </c>
    </row>
    <row r="2197" spans="1:8" ht="14.25" hidden="1" customHeight="1" x14ac:dyDescent="0.3">
      <c r="A2197" s="2" t="s">
        <v>85</v>
      </c>
      <c r="B2197" s="60" t="s">
        <v>155</v>
      </c>
      <c r="C2197" s="60" t="s">
        <v>161</v>
      </c>
      <c r="D2197" s="68">
        <v>1</v>
      </c>
      <c r="E2197" s="73">
        <v>55569.77</v>
      </c>
      <c r="F2197" s="79">
        <f>IFERROR(E2197,0)</f>
        <v>55569.77</v>
      </c>
      <c r="G2197" s="60" t="str">
        <f>INDEX(SETORES!$B:$B,MATCH(A2197,SETORES!$A:$A,0))</f>
        <v>Clientes</v>
      </c>
      <c r="H2197" s="60" t="s">
        <v>20</v>
      </c>
    </row>
    <row r="2198" spans="1:8" ht="14.25" hidden="1" customHeight="1" x14ac:dyDescent="0.3">
      <c r="A2198" s="34" t="s">
        <v>85</v>
      </c>
      <c r="B2198" s="61" t="s">
        <v>155</v>
      </c>
      <c r="C2198" s="61" t="s">
        <v>167</v>
      </c>
      <c r="D2198" s="69">
        <v>12</v>
      </c>
      <c r="E2198" s="74">
        <v>10.050000000000001</v>
      </c>
      <c r="F2198" s="80">
        <f>IFERROR(D2198*E2198,0)</f>
        <v>120.60000000000001</v>
      </c>
      <c r="G2198" s="61" t="str">
        <f>INDEX(SETORES!$B:$B,MATCH(A2198,SETORES!$A:$A,0))</f>
        <v>Clientes</v>
      </c>
      <c r="H2198" s="61" t="s">
        <v>20</v>
      </c>
    </row>
    <row r="2199" spans="1:8" ht="14.25" hidden="1" customHeight="1" x14ac:dyDescent="0.3">
      <c r="A2199" s="34" t="s">
        <v>85</v>
      </c>
      <c r="B2199" s="61" t="s">
        <v>155</v>
      </c>
      <c r="C2199" s="61" t="s">
        <v>166</v>
      </c>
      <c r="D2199" s="69">
        <v>12</v>
      </c>
      <c r="E2199" s="74">
        <v>50</v>
      </c>
      <c r="F2199" s="80">
        <f>IFERROR(D2199*E2199,0)</f>
        <v>600</v>
      </c>
      <c r="G2199" s="61" t="str">
        <f>INDEX(SETORES!$B:$B,MATCH(A2199,SETORES!$A:$A,0))</f>
        <v>Clientes</v>
      </c>
      <c r="H2199" s="61" t="s">
        <v>20</v>
      </c>
    </row>
    <row r="2200" spans="1:8" ht="14.25" hidden="1" customHeight="1" x14ac:dyDescent="0.3">
      <c r="A2200" s="34" t="s">
        <v>85</v>
      </c>
      <c r="B2200" s="61" t="s">
        <v>162</v>
      </c>
      <c r="C2200" s="61" t="s">
        <v>222</v>
      </c>
      <c r="D2200" s="69"/>
      <c r="E2200" s="74"/>
      <c r="F2200" s="80">
        <f>IFERROR(D2200*E2200,0)</f>
        <v>0</v>
      </c>
      <c r="G2200" s="61" t="str">
        <f>INDEX(SETORES!$B:$B,MATCH(A2200,SETORES!$A:$A,0))</f>
        <v>Clientes</v>
      </c>
      <c r="H2200" s="61" t="s">
        <v>20</v>
      </c>
    </row>
    <row r="2201" spans="1:8" ht="14.25" hidden="1" customHeight="1" x14ac:dyDescent="0.3">
      <c r="A2201" s="2" t="s">
        <v>85</v>
      </c>
      <c r="B2201" s="60" t="s">
        <v>155</v>
      </c>
      <c r="C2201" s="60" t="s">
        <v>168</v>
      </c>
      <c r="D2201" s="68">
        <v>12</v>
      </c>
      <c r="E2201" s="73">
        <v>2.0699999999999998</v>
      </c>
      <c r="F2201" s="79">
        <f>IFERROR(D2201*E2201,0)</f>
        <v>24.839999999999996</v>
      </c>
      <c r="G2201" s="60" t="str">
        <f>INDEX(SETORES!$B:$B,MATCH(A2201,SETORES!$A:$A,0))</f>
        <v>Clientes</v>
      </c>
      <c r="H2201" s="60" t="s">
        <v>20</v>
      </c>
    </row>
    <row r="2202" spans="1:8" ht="14.25" hidden="1" customHeight="1" x14ac:dyDescent="0.3">
      <c r="A2202" s="2" t="s">
        <v>31</v>
      </c>
      <c r="B2202" s="60" t="s">
        <v>155</v>
      </c>
      <c r="C2202" s="60" t="s">
        <v>159</v>
      </c>
      <c r="D2202" s="68">
        <v>1</v>
      </c>
      <c r="E2202" s="73">
        <v>0</v>
      </c>
      <c r="F2202" s="79">
        <v>0</v>
      </c>
      <c r="G2202" s="60" t="str">
        <f>INDEX(SETORES!$B:$B,MATCH(A2202,SETORES!$A:$A,0))</f>
        <v>Clientes</v>
      </c>
      <c r="H2202" s="60" t="s">
        <v>20</v>
      </c>
    </row>
    <row r="2203" spans="1:8" ht="14.25" hidden="1" customHeight="1" x14ac:dyDescent="0.3">
      <c r="A2203" s="2" t="s">
        <v>31</v>
      </c>
      <c r="B2203" s="60" t="s">
        <v>155</v>
      </c>
      <c r="C2203" s="60" t="s">
        <v>212</v>
      </c>
      <c r="D2203" s="68">
        <v>3</v>
      </c>
      <c r="E2203" s="73">
        <v>30</v>
      </c>
      <c r="F2203" s="79">
        <f>IFERROR(D2203*E2203,0)</f>
        <v>90</v>
      </c>
      <c r="G2203" s="60" t="str">
        <f>INDEX(SETORES!$B:$B,MATCH(A2203,SETORES!$A:$A,0))</f>
        <v>Clientes</v>
      </c>
      <c r="H2203" s="60" t="s">
        <v>20</v>
      </c>
    </row>
    <row r="2204" spans="1:8" ht="14.25" hidden="1" customHeight="1" x14ac:dyDescent="0.3">
      <c r="A2204" s="2" t="s">
        <v>31</v>
      </c>
      <c r="B2204" s="60" t="s">
        <v>162</v>
      </c>
      <c r="C2204" s="60" t="s">
        <v>217</v>
      </c>
      <c r="D2204" s="68">
        <v>1</v>
      </c>
      <c r="E2204" s="73">
        <v>2859.16</v>
      </c>
      <c r="F2204" s="79">
        <f>IFERROR(D2204*E2204,0)</f>
        <v>2859.16</v>
      </c>
      <c r="G2204" s="60" t="str">
        <f>INDEX(SETORES!$B:$B,MATCH(A2204,SETORES!$A:$A,0))</f>
        <v>Clientes</v>
      </c>
      <c r="H2204" s="60" t="s">
        <v>20</v>
      </c>
    </row>
    <row r="2205" spans="1:8" ht="14.25" hidden="1" customHeight="1" x14ac:dyDescent="0.3">
      <c r="A2205" s="34" t="s">
        <v>31</v>
      </c>
      <c r="B2205" s="61" t="s">
        <v>155</v>
      </c>
      <c r="C2205" s="61" t="s">
        <v>171</v>
      </c>
      <c r="D2205" s="69">
        <v>4</v>
      </c>
      <c r="E2205" s="74">
        <v>47.79</v>
      </c>
      <c r="F2205" s="80">
        <f>IFERROR(D2205*E2205,0)</f>
        <v>191.16</v>
      </c>
      <c r="G2205" s="60" t="s">
        <v>98</v>
      </c>
      <c r="H2205" s="61" t="s">
        <v>20</v>
      </c>
    </row>
    <row r="2206" spans="1:8" ht="14.25" hidden="1" customHeight="1" x14ac:dyDescent="0.3">
      <c r="A2206" s="2" t="s">
        <v>31</v>
      </c>
      <c r="B2206" s="60" t="s">
        <v>155</v>
      </c>
      <c r="C2206" s="60" t="s">
        <v>170</v>
      </c>
      <c r="D2206" s="68">
        <v>4</v>
      </c>
      <c r="E2206" s="73">
        <v>28.31</v>
      </c>
      <c r="F2206" s="79">
        <f>IFERROR(D2206*E2206,0)</f>
        <v>113.24</v>
      </c>
      <c r="G2206" s="61" t="s">
        <v>98</v>
      </c>
      <c r="H2206" s="60" t="s">
        <v>20</v>
      </c>
    </row>
    <row r="2207" spans="1:8" ht="14.25" customHeight="1" x14ac:dyDescent="0.3">
      <c r="A2207" s="34" t="s">
        <v>31</v>
      </c>
      <c r="B2207" s="61" t="s">
        <v>155</v>
      </c>
      <c r="C2207" s="61" t="s">
        <v>169</v>
      </c>
      <c r="D2207" s="69">
        <v>4</v>
      </c>
      <c r="E2207" s="74">
        <v>64.569999999999993</v>
      </c>
      <c r="F2207" s="80">
        <f>IFERROR(D2207*E2207,0)</f>
        <v>258.27999999999997</v>
      </c>
      <c r="G2207" s="61" t="s">
        <v>98</v>
      </c>
      <c r="H2207" s="61" t="s">
        <v>20</v>
      </c>
    </row>
    <row r="2208" spans="1:8" ht="14.25" hidden="1" customHeight="1" x14ac:dyDescent="0.3">
      <c r="A2208" s="34" t="s">
        <v>31</v>
      </c>
      <c r="B2208" s="61" t="s">
        <v>155</v>
      </c>
      <c r="C2208" s="61" t="s">
        <v>158</v>
      </c>
      <c r="D2208" s="69">
        <v>1</v>
      </c>
      <c r="E2208" s="74">
        <v>34.043199999999999</v>
      </c>
      <c r="F2208" s="80">
        <v>34.043199999999999</v>
      </c>
      <c r="G2208" s="61" t="str">
        <f>INDEX(SETORES!$B:$B,MATCH(A2208,SETORES!$A:$A,0))</f>
        <v>Clientes</v>
      </c>
      <c r="H2208" s="61" t="s">
        <v>20</v>
      </c>
    </row>
    <row r="2209" spans="1:8" ht="14.25" hidden="1" customHeight="1" x14ac:dyDescent="0.3">
      <c r="A2209" s="2" t="s">
        <v>31</v>
      </c>
      <c r="B2209" s="60" t="s">
        <v>155</v>
      </c>
      <c r="C2209" s="60" t="s">
        <v>161</v>
      </c>
      <c r="D2209" s="68">
        <v>1</v>
      </c>
      <c r="E2209" s="73">
        <v>44988.49</v>
      </c>
      <c r="F2209" s="79">
        <f>IFERROR(E2209,0)</f>
        <v>44988.49</v>
      </c>
      <c r="G2209" s="60" t="str">
        <f>INDEX(SETORES!$B:$B,MATCH(A2209,SETORES!$A:$A,0))</f>
        <v>Clientes</v>
      </c>
      <c r="H2209" s="60" t="s">
        <v>20</v>
      </c>
    </row>
    <row r="2210" spans="1:8" ht="14.25" hidden="1" customHeight="1" x14ac:dyDescent="0.3">
      <c r="A2210" s="34" t="s">
        <v>31</v>
      </c>
      <c r="B2210" s="61" t="s">
        <v>155</v>
      </c>
      <c r="C2210" s="61" t="s">
        <v>167</v>
      </c>
      <c r="D2210" s="69">
        <v>4</v>
      </c>
      <c r="E2210" s="74">
        <v>10.050000000000001</v>
      </c>
      <c r="F2210" s="80">
        <f>IFERROR(D2210*E2210,0)</f>
        <v>40.200000000000003</v>
      </c>
      <c r="G2210" s="61" t="str">
        <f>INDEX(SETORES!$B:$B,MATCH(A2210,SETORES!$A:$A,0))</f>
        <v>Clientes</v>
      </c>
      <c r="H2210" s="61" t="s">
        <v>20</v>
      </c>
    </row>
    <row r="2211" spans="1:8" ht="14.25" hidden="1" customHeight="1" x14ac:dyDescent="0.3">
      <c r="A2211" s="34" t="s">
        <v>31</v>
      </c>
      <c r="B2211" s="61" t="s">
        <v>155</v>
      </c>
      <c r="C2211" s="61" t="s">
        <v>166</v>
      </c>
      <c r="D2211" s="69">
        <v>4</v>
      </c>
      <c r="E2211" s="74">
        <v>50</v>
      </c>
      <c r="F2211" s="80">
        <f>IFERROR(D2211*E2211,0)</f>
        <v>200</v>
      </c>
      <c r="G2211" s="61" t="str">
        <f>INDEX(SETORES!$B:$B,MATCH(A2211,SETORES!$A:$A,0))</f>
        <v>Clientes</v>
      </c>
      <c r="H2211" s="61" t="s">
        <v>20</v>
      </c>
    </row>
    <row r="2212" spans="1:8" ht="14.25" hidden="1" customHeight="1" x14ac:dyDescent="0.3">
      <c r="A2212" s="34" t="s">
        <v>31</v>
      </c>
      <c r="B2212" s="61" t="s">
        <v>155</v>
      </c>
      <c r="C2212" s="61" t="s">
        <v>172</v>
      </c>
      <c r="D2212" s="69"/>
      <c r="E2212" s="74"/>
      <c r="F2212" s="80">
        <f>IFERROR(D2212*E2212,0)</f>
        <v>0</v>
      </c>
      <c r="G2212" s="61" t="str">
        <f>INDEX(SETORES!$B:$B,MATCH(A2212,SETORES!$A:$A,0))</f>
        <v>Clientes</v>
      </c>
      <c r="H2212" s="61" t="s">
        <v>20</v>
      </c>
    </row>
    <row r="2213" spans="1:8" ht="14.25" hidden="1" customHeight="1" x14ac:dyDescent="0.3">
      <c r="A2213" s="34" t="s">
        <v>31</v>
      </c>
      <c r="B2213" s="61" t="s">
        <v>155</v>
      </c>
      <c r="C2213" s="61" t="s">
        <v>156</v>
      </c>
      <c r="D2213" s="69"/>
      <c r="E2213" s="74"/>
      <c r="F2213" s="80">
        <v>0</v>
      </c>
      <c r="G2213" s="61" t="str">
        <f>INDEX(SETORES!$B:$B,MATCH(A2213,SETORES!$A:$A,0))</f>
        <v>Clientes</v>
      </c>
      <c r="H2213" s="61" t="s">
        <v>20</v>
      </c>
    </row>
    <row r="2214" spans="1:8" ht="14.25" hidden="1" customHeight="1" x14ac:dyDescent="0.3">
      <c r="A2214" s="2" t="s">
        <v>31</v>
      </c>
      <c r="B2214" s="60" t="s">
        <v>155</v>
      </c>
      <c r="C2214" s="60" t="s">
        <v>157</v>
      </c>
      <c r="D2214" s="68"/>
      <c r="E2214" s="73"/>
      <c r="F2214" s="79">
        <v>0</v>
      </c>
      <c r="G2214" s="60" t="str">
        <f>INDEX(SETORES!$B:$B,MATCH(A2214,SETORES!$A:$A,0))</f>
        <v>Clientes</v>
      </c>
      <c r="H2214" s="60" t="s">
        <v>20</v>
      </c>
    </row>
    <row r="2215" spans="1:8" ht="14.25" hidden="1" customHeight="1" x14ac:dyDescent="0.3">
      <c r="A2215" s="2" t="s">
        <v>31</v>
      </c>
      <c r="B2215" s="60" t="s">
        <v>155</v>
      </c>
      <c r="C2215" s="60" t="s">
        <v>168</v>
      </c>
      <c r="D2215" s="68">
        <v>4</v>
      </c>
      <c r="E2215" s="73">
        <v>2.0699999999999998</v>
      </c>
      <c r="F2215" s="79">
        <f>IFERROR(D2215*E2215,0)</f>
        <v>8.2799999999999994</v>
      </c>
      <c r="G2215" s="60" t="str">
        <f>INDEX(SETORES!$B:$B,MATCH(A2215,SETORES!$A:$A,0))</f>
        <v>Clientes</v>
      </c>
      <c r="H2215" s="60" t="s">
        <v>20</v>
      </c>
    </row>
    <row r="2216" spans="1:8" ht="14.25" hidden="1" customHeight="1" x14ac:dyDescent="0.3">
      <c r="A2216" s="34" t="s">
        <v>31</v>
      </c>
      <c r="B2216" s="61" t="s">
        <v>155</v>
      </c>
      <c r="C2216" s="61" t="s">
        <v>160</v>
      </c>
      <c r="D2216" s="69"/>
      <c r="E2216" s="74"/>
      <c r="F2216" s="80">
        <f>IFERROR(D2216*E2216,0)</f>
        <v>0</v>
      </c>
      <c r="G2216" s="61" t="str">
        <f>INDEX(SETORES!$B:$B,MATCH(A2216,SETORES!$A:$A,0))</f>
        <v>Clientes</v>
      </c>
      <c r="H2216" s="61" t="s">
        <v>20</v>
      </c>
    </row>
    <row r="2217" spans="1:8" ht="14.25" hidden="1" customHeight="1" x14ac:dyDescent="0.3">
      <c r="A2217" s="34" t="s">
        <v>37</v>
      </c>
      <c r="B2217" s="61" t="s">
        <v>155</v>
      </c>
      <c r="C2217" s="61" t="s">
        <v>159</v>
      </c>
      <c r="D2217" s="69">
        <v>1</v>
      </c>
      <c r="E2217" s="74">
        <v>0</v>
      </c>
      <c r="F2217" s="80">
        <v>0</v>
      </c>
      <c r="G2217" s="61" t="str">
        <f>INDEX(SETORES!$B:$B,MATCH(A2217,SETORES!$A:$A,0))</f>
        <v>Clientes</v>
      </c>
      <c r="H2217" s="61" t="s">
        <v>20</v>
      </c>
    </row>
    <row r="2218" spans="1:8" ht="14.25" hidden="1" customHeight="1" x14ac:dyDescent="0.3">
      <c r="A2218" s="34" t="s">
        <v>37</v>
      </c>
      <c r="B2218" s="61" t="s">
        <v>155</v>
      </c>
      <c r="C2218" s="61" t="s">
        <v>249</v>
      </c>
      <c r="D2218" s="69">
        <v>1</v>
      </c>
      <c r="E2218" s="74">
        <v>4985.26</v>
      </c>
      <c r="F2218" s="80">
        <f>IFERROR(D2218*E2218,0)</f>
        <v>4985.26</v>
      </c>
      <c r="G2218" s="61" t="str">
        <f>INDEX(SETORES!$B:$B,MATCH(A2218,SETORES!$A:$A,0))</f>
        <v>Clientes</v>
      </c>
      <c r="H2218" s="61" t="s">
        <v>20</v>
      </c>
    </row>
    <row r="2219" spans="1:8" ht="14.25" hidden="1" customHeight="1" x14ac:dyDescent="0.3">
      <c r="A2219" s="34" t="s">
        <v>37</v>
      </c>
      <c r="B2219" s="61" t="s">
        <v>155</v>
      </c>
      <c r="C2219" s="61" t="s">
        <v>171</v>
      </c>
      <c r="D2219" s="69">
        <v>41</v>
      </c>
      <c r="E2219" s="74">
        <v>47.79</v>
      </c>
      <c r="F2219" s="80">
        <f>IFERROR(D2219*E2219,0)</f>
        <v>1959.3899999999999</v>
      </c>
      <c r="G2219" s="60" t="s">
        <v>98</v>
      </c>
      <c r="H2219" s="61" t="s">
        <v>20</v>
      </c>
    </row>
    <row r="2220" spans="1:8" ht="14.25" hidden="1" customHeight="1" x14ac:dyDescent="0.3">
      <c r="A2220" s="2" t="s">
        <v>37</v>
      </c>
      <c r="B2220" s="60" t="s">
        <v>155</v>
      </c>
      <c r="C2220" s="60" t="s">
        <v>170</v>
      </c>
      <c r="D2220" s="68">
        <v>41</v>
      </c>
      <c r="E2220" s="73">
        <v>28.31</v>
      </c>
      <c r="F2220" s="79">
        <f>IFERROR(D2220*E2220,0)</f>
        <v>1160.71</v>
      </c>
      <c r="G2220" s="61" t="s">
        <v>98</v>
      </c>
      <c r="H2220" s="60" t="s">
        <v>20</v>
      </c>
    </row>
    <row r="2221" spans="1:8" ht="14.25" customHeight="1" x14ac:dyDescent="0.3">
      <c r="A2221" s="34" t="s">
        <v>37</v>
      </c>
      <c r="B2221" s="61" t="s">
        <v>155</v>
      </c>
      <c r="C2221" s="61" t="s">
        <v>169</v>
      </c>
      <c r="D2221" s="69">
        <v>41</v>
      </c>
      <c r="E2221" s="74">
        <v>64.569999999999993</v>
      </c>
      <c r="F2221" s="80">
        <f>IFERROR(D2221*E2221,0)</f>
        <v>2647.37</v>
      </c>
      <c r="G2221" s="61" t="s">
        <v>98</v>
      </c>
      <c r="H2221" s="61" t="s">
        <v>20</v>
      </c>
    </row>
    <row r="2222" spans="1:8" ht="14.25" hidden="1" customHeight="1" x14ac:dyDescent="0.3">
      <c r="A2222" s="2" t="s">
        <v>37</v>
      </c>
      <c r="B2222" s="60" t="s">
        <v>162</v>
      </c>
      <c r="C2222" s="60" t="s">
        <v>192</v>
      </c>
      <c r="D2222" s="68">
        <v>1</v>
      </c>
      <c r="E2222" s="73">
        <v>242.73</v>
      </c>
      <c r="F2222" s="79">
        <f>IFERROR(D2222*E2222,0)</f>
        <v>242.73</v>
      </c>
      <c r="G2222" s="60" t="str">
        <f>INDEX(SETORES!$B:$B,MATCH(A2222,SETORES!$A:$A,0))</f>
        <v>Clientes</v>
      </c>
      <c r="H2222" s="60" t="s">
        <v>20</v>
      </c>
    </row>
    <row r="2223" spans="1:8" ht="14.25" hidden="1" customHeight="1" x14ac:dyDescent="0.3">
      <c r="A2223" s="2" t="s">
        <v>37</v>
      </c>
      <c r="B2223" s="60" t="s">
        <v>162</v>
      </c>
      <c r="C2223" s="60" t="s">
        <v>194</v>
      </c>
      <c r="D2223" s="68">
        <v>1</v>
      </c>
      <c r="E2223" s="73">
        <v>23.5</v>
      </c>
      <c r="F2223" s="79">
        <f>IFERROR(D2223*E2223,0)</f>
        <v>23.5</v>
      </c>
      <c r="G2223" s="60" t="str">
        <f>INDEX(SETORES!$B:$B,MATCH(A2223,SETORES!$A:$A,0))</f>
        <v>Clientes</v>
      </c>
      <c r="H2223" s="60" t="s">
        <v>20</v>
      </c>
    </row>
    <row r="2224" spans="1:8" ht="14.25" hidden="1" customHeight="1" x14ac:dyDescent="0.3">
      <c r="A2224" s="2" t="s">
        <v>37</v>
      </c>
      <c r="B2224" s="60" t="s">
        <v>155</v>
      </c>
      <c r="C2224" s="60" t="s">
        <v>158</v>
      </c>
      <c r="D2224" s="68">
        <v>1</v>
      </c>
      <c r="E2224" s="73">
        <v>348.9425</v>
      </c>
      <c r="F2224" s="79">
        <v>348.9425</v>
      </c>
      <c r="G2224" s="60" t="str">
        <f>INDEX(SETORES!$B:$B,MATCH(A2224,SETORES!$A:$A,0))</f>
        <v>Clientes</v>
      </c>
      <c r="H2224" s="60" t="s">
        <v>20</v>
      </c>
    </row>
    <row r="2225" spans="1:8" ht="14.25" hidden="1" customHeight="1" x14ac:dyDescent="0.3">
      <c r="A2225" s="34" t="s">
        <v>37</v>
      </c>
      <c r="B2225" s="61" t="s">
        <v>162</v>
      </c>
      <c r="C2225" s="61" t="s">
        <v>165</v>
      </c>
      <c r="D2225" s="69">
        <v>1</v>
      </c>
      <c r="E2225" s="74">
        <v>316.67</v>
      </c>
      <c r="F2225" s="80">
        <f>IFERROR(D2225*E2225,0)</f>
        <v>316.67</v>
      </c>
      <c r="G2225" s="61" t="str">
        <f>INDEX(SETORES!$B:$B,MATCH(A2225,SETORES!$A:$A,0))</f>
        <v>Clientes</v>
      </c>
      <c r="H2225" s="61" t="s">
        <v>20</v>
      </c>
    </row>
    <row r="2226" spans="1:8" ht="14.25" hidden="1" customHeight="1" x14ac:dyDescent="0.3">
      <c r="A2226" s="34" t="s">
        <v>37</v>
      </c>
      <c r="B2226" s="61" t="s">
        <v>162</v>
      </c>
      <c r="C2226" s="61" t="s">
        <v>163</v>
      </c>
      <c r="D2226" s="69">
        <v>1</v>
      </c>
      <c r="E2226" s="74">
        <v>340</v>
      </c>
      <c r="F2226" s="80">
        <f>IFERROR(D2226*E2226,0)</f>
        <v>340</v>
      </c>
      <c r="G2226" s="61" t="str">
        <f>INDEX(SETORES!$B:$B,MATCH(A2226,SETORES!$A:$A,0))</f>
        <v>Clientes</v>
      </c>
      <c r="H2226" s="61" t="s">
        <v>20</v>
      </c>
    </row>
    <row r="2227" spans="1:8" ht="14.25" hidden="1" customHeight="1" x14ac:dyDescent="0.3">
      <c r="A2227" s="2" t="s">
        <v>37</v>
      </c>
      <c r="B2227" s="60" t="s">
        <v>162</v>
      </c>
      <c r="C2227" s="60" t="s">
        <v>164</v>
      </c>
      <c r="D2227" s="68">
        <v>1</v>
      </c>
      <c r="E2227" s="73">
        <v>181.33</v>
      </c>
      <c r="F2227" s="79">
        <f>IFERROR(D2227*E2227,0)</f>
        <v>181.33</v>
      </c>
      <c r="G2227" s="60" t="str">
        <f>INDEX(SETORES!$B:$B,MATCH(A2227,SETORES!$A:$A,0))</f>
        <v>Clientes</v>
      </c>
      <c r="H2227" s="60" t="s">
        <v>20</v>
      </c>
    </row>
    <row r="2228" spans="1:8" ht="14.25" hidden="1" customHeight="1" x14ac:dyDescent="0.3">
      <c r="A2228" s="34" t="s">
        <v>37</v>
      </c>
      <c r="B2228" s="61" t="s">
        <v>155</v>
      </c>
      <c r="C2228" s="61" t="s">
        <v>161</v>
      </c>
      <c r="D2228" s="69">
        <v>1</v>
      </c>
      <c r="E2228" s="74">
        <v>132451.46</v>
      </c>
      <c r="F2228" s="80">
        <f>IFERROR(E2228,0)</f>
        <v>132451.46</v>
      </c>
      <c r="G2228" s="61" t="str">
        <f>INDEX(SETORES!$B:$B,MATCH(A2228,SETORES!$A:$A,0))</f>
        <v>Clientes</v>
      </c>
      <c r="H2228" s="61" t="s">
        <v>20</v>
      </c>
    </row>
    <row r="2229" spans="1:8" ht="14.25" hidden="1" customHeight="1" x14ac:dyDescent="0.3">
      <c r="A2229" s="34" t="s">
        <v>37</v>
      </c>
      <c r="B2229" s="61" t="s">
        <v>155</v>
      </c>
      <c r="C2229" s="61" t="s">
        <v>167</v>
      </c>
      <c r="D2229" s="69">
        <v>41</v>
      </c>
      <c r="E2229" s="74">
        <v>10.050000000000001</v>
      </c>
      <c r="F2229" s="80">
        <f>IFERROR(D2229*E2229,0)</f>
        <v>412.05</v>
      </c>
      <c r="G2229" s="61" t="str">
        <f>INDEX(SETORES!$B:$B,MATCH(A2229,SETORES!$A:$A,0))</f>
        <v>Clientes</v>
      </c>
      <c r="H2229" s="61" t="s">
        <v>20</v>
      </c>
    </row>
    <row r="2230" spans="1:8" ht="14.25" hidden="1" customHeight="1" x14ac:dyDescent="0.3">
      <c r="A2230" s="2" t="s">
        <v>37</v>
      </c>
      <c r="B2230" s="60" t="s">
        <v>155</v>
      </c>
      <c r="C2230" s="60" t="s">
        <v>166</v>
      </c>
      <c r="D2230" s="68">
        <v>43</v>
      </c>
      <c r="E2230" s="73">
        <v>50</v>
      </c>
      <c r="F2230" s="79">
        <f>IFERROR(D2230*E2230,0)</f>
        <v>2150</v>
      </c>
      <c r="G2230" s="60" t="str">
        <f>INDEX(SETORES!$B:$B,MATCH(A2230,SETORES!$A:$A,0))</f>
        <v>Clientes</v>
      </c>
      <c r="H2230" s="60" t="s">
        <v>20</v>
      </c>
    </row>
    <row r="2231" spans="1:8" ht="14.25" hidden="1" customHeight="1" x14ac:dyDescent="0.3">
      <c r="A2231" s="2" t="s">
        <v>37</v>
      </c>
      <c r="B2231" s="60" t="s">
        <v>155</v>
      </c>
      <c r="C2231" s="60" t="s">
        <v>223</v>
      </c>
      <c r="D2231" s="68"/>
      <c r="E2231" s="73"/>
      <c r="F2231" s="79">
        <f>IFERROR(D2231*E2231,0)</f>
        <v>0</v>
      </c>
      <c r="G2231" s="60" t="str">
        <f>INDEX(SETORES!$B:$B,MATCH(A2231,SETORES!$A:$A,0))</f>
        <v>Clientes</v>
      </c>
      <c r="H2231" s="60" t="s">
        <v>20</v>
      </c>
    </row>
    <row r="2232" spans="1:8" ht="14.25" hidden="1" customHeight="1" x14ac:dyDescent="0.3">
      <c r="A2232" s="2" t="s">
        <v>37</v>
      </c>
      <c r="B2232" s="60" t="s">
        <v>155</v>
      </c>
      <c r="C2232" s="60" t="s">
        <v>156</v>
      </c>
      <c r="D2232" s="68">
        <v>41</v>
      </c>
      <c r="E2232" s="73">
        <v>0.36480000000000001</v>
      </c>
      <c r="F2232" s="79">
        <v>14.956799999999999</v>
      </c>
      <c r="G2232" s="60" t="str">
        <f>INDEX(SETORES!$B:$B,MATCH(A2232,SETORES!$A:$A,0))</f>
        <v>Clientes</v>
      </c>
      <c r="H2232" s="60" t="s">
        <v>20</v>
      </c>
    </row>
    <row r="2233" spans="1:8" ht="14.25" hidden="1" customHeight="1" x14ac:dyDescent="0.3">
      <c r="A2233" s="34" t="s">
        <v>37</v>
      </c>
      <c r="B2233" s="61" t="s">
        <v>155</v>
      </c>
      <c r="C2233" s="61" t="s">
        <v>157</v>
      </c>
      <c r="D2233" s="69">
        <v>1</v>
      </c>
      <c r="E2233" s="74">
        <v>1160.2222409999999</v>
      </c>
      <c r="F2233" s="80">
        <v>1160.2222409999999</v>
      </c>
      <c r="G2233" s="61" t="str">
        <f>INDEX(SETORES!$B:$B,MATCH(A2233,SETORES!$A:$A,0))</f>
        <v>Clientes</v>
      </c>
      <c r="H2233" s="61" t="s">
        <v>20</v>
      </c>
    </row>
    <row r="2234" spans="1:8" ht="14.25" hidden="1" customHeight="1" x14ac:dyDescent="0.3">
      <c r="A2234" s="34" t="s">
        <v>37</v>
      </c>
      <c r="B2234" s="61" t="s">
        <v>155</v>
      </c>
      <c r="C2234" s="61" t="s">
        <v>189</v>
      </c>
      <c r="D2234" s="69">
        <v>1</v>
      </c>
      <c r="E2234" s="74">
        <v>883.62068399999998</v>
      </c>
      <c r="F2234" s="80">
        <f>IFERROR(D2234*E2234,0)</f>
        <v>883.62068399999998</v>
      </c>
      <c r="G2234" s="61" t="str">
        <f>INDEX(SETORES!$B:$B,MATCH(A2234,SETORES!$A:$A,0))</f>
        <v>Clientes</v>
      </c>
      <c r="H2234" s="61" t="s">
        <v>20</v>
      </c>
    </row>
    <row r="2235" spans="1:8" ht="14.25" hidden="1" customHeight="1" x14ac:dyDescent="0.3">
      <c r="A2235" s="2" t="s">
        <v>37</v>
      </c>
      <c r="B2235" s="60" t="s">
        <v>155</v>
      </c>
      <c r="C2235" s="60" t="s">
        <v>190</v>
      </c>
      <c r="D2235" s="68">
        <v>1</v>
      </c>
      <c r="E2235" s="73">
        <v>117.814894</v>
      </c>
      <c r="F2235" s="79">
        <f>IFERROR(D2235*E2235,0)</f>
        <v>117.814894</v>
      </c>
      <c r="G2235" s="60" t="str">
        <f>INDEX(SETORES!$B:$B,MATCH(A2235,SETORES!$A:$A,0))</f>
        <v>Clientes</v>
      </c>
      <c r="H2235" s="60" t="s">
        <v>20</v>
      </c>
    </row>
    <row r="2236" spans="1:8" ht="14.25" hidden="1" customHeight="1" x14ac:dyDescent="0.3">
      <c r="A2236" s="34" t="s">
        <v>37</v>
      </c>
      <c r="B2236" s="61" t="s">
        <v>162</v>
      </c>
      <c r="C2236" s="61" t="s">
        <v>191</v>
      </c>
      <c r="D2236" s="69">
        <v>1</v>
      </c>
      <c r="E2236" s="74">
        <v>326.52613200000002</v>
      </c>
      <c r="F2236" s="80">
        <f>IFERROR(D2236*E2236,0)</f>
        <v>326.52613200000002</v>
      </c>
      <c r="G2236" s="61" t="str">
        <f>INDEX(SETORES!$B:$B,MATCH(A2236,SETORES!$A:$A,0))</f>
        <v>Clientes</v>
      </c>
      <c r="H2236" s="61" t="s">
        <v>20</v>
      </c>
    </row>
    <row r="2237" spans="1:8" ht="14.25" hidden="1" customHeight="1" x14ac:dyDescent="0.3">
      <c r="A2237" s="34" t="s">
        <v>37</v>
      </c>
      <c r="B2237" s="61" t="s">
        <v>155</v>
      </c>
      <c r="C2237" s="61" t="s">
        <v>187</v>
      </c>
      <c r="D2237" s="69">
        <v>1</v>
      </c>
      <c r="E2237" s="74">
        <v>1879.493013</v>
      </c>
      <c r="F2237" s="80">
        <f>IFERROR(D2237*E2237,0)</f>
        <v>1879.493013</v>
      </c>
      <c r="G2237" s="61" t="str">
        <f>INDEX(SETORES!$B:$B,MATCH(A2237,SETORES!$A:$A,0))</f>
        <v>Clientes</v>
      </c>
      <c r="H2237" s="61" t="s">
        <v>20</v>
      </c>
    </row>
    <row r="2238" spans="1:8" ht="14.25" hidden="1" customHeight="1" x14ac:dyDescent="0.3">
      <c r="A2238" s="2" t="s">
        <v>37</v>
      </c>
      <c r="B2238" s="60" t="s">
        <v>155</v>
      </c>
      <c r="C2238" s="60" t="s">
        <v>168</v>
      </c>
      <c r="D2238" s="68">
        <v>41</v>
      </c>
      <c r="E2238" s="73">
        <v>2.0699999999999998</v>
      </c>
      <c r="F2238" s="79">
        <f>IFERROR(D2238*E2238,0)</f>
        <v>84.86999999999999</v>
      </c>
      <c r="G2238" s="60" t="str">
        <f>INDEX(SETORES!$B:$B,MATCH(A2238,SETORES!$A:$A,0))</f>
        <v>Clientes</v>
      </c>
      <c r="H2238" s="60" t="s">
        <v>20</v>
      </c>
    </row>
    <row r="2239" spans="1:8" ht="14.25" hidden="1" customHeight="1" x14ac:dyDescent="0.3">
      <c r="A2239" s="2" t="s">
        <v>37</v>
      </c>
      <c r="B2239" s="60" t="s">
        <v>155</v>
      </c>
      <c r="C2239" s="60" t="s">
        <v>188</v>
      </c>
      <c r="D2239" s="68">
        <v>1</v>
      </c>
      <c r="E2239" s="73">
        <v>1641.88</v>
      </c>
      <c r="F2239" s="79">
        <f>IFERROR(D2239*E2239,0)</f>
        <v>1641.88</v>
      </c>
      <c r="G2239" s="60" t="str">
        <f>INDEX(SETORES!$B:$B,MATCH(A2239,SETORES!$A:$A,0))</f>
        <v>Clientes</v>
      </c>
      <c r="H2239" s="60" t="s">
        <v>20</v>
      </c>
    </row>
    <row r="2240" spans="1:8" ht="14.25" hidden="1" customHeight="1" x14ac:dyDescent="0.3">
      <c r="A2240" s="2" t="s">
        <v>37</v>
      </c>
      <c r="B2240" s="60" t="s">
        <v>155</v>
      </c>
      <c r="C2240" s="60" t="s">
        <v>160</v>
      </c>
      <c r="D2240" s="68"/>
      <c r="E2240" s="73"/>
      <c r="F2240" s="79">
        <f>IFERROR(D2240*E2240,0)</f>
        <v>0</v>
      </c>
      <c r="G2240" s="60" t="str">
        <f>INDEX(SETORES!$B:$B,MATCH(A2240,SETORES!$A:$A,0))</f>
        <v>Clientes</v>
      </c>
      <c r="H2240" s="60" t="s">
        <v>20</v>
      </c>
    </row>
    <row r="2241" spans="1:8" ht="14.25" hidden="1" customHeight="1" x14ac:dyDescent="0.3">
      <c r="A2241" s="34" t="s">
        <v>37</v>
      </c>
      <c r="B2241" s="61" t="s">
        <v>155</v>
      </c>
      <c r="C2241" s="61" t="s">
        <v>193</v>
      </c>
      <c r="D2241" s="69">
        <v>1</v>
      </c>
      <c r="E2241" s="74">
        <v>52</v>
      </c>
      <c r="F2241" s="80">
        <f>IFERROR(D2241*E2241,0)</f>
        <v>52</v>
      </c>
      <c r="G2241" s="61" t="str">
        <f>INDEX(SETORES!$B:$B,MATCH(A2241,SETORES!$A:$A,0))</f>
        <v>Clientes</v>
      </c>
      <c r="H2241" s="61" t="s">
        <v>20</v>
      </c>
    </row>
    <row r="2242" spans="1:8" ht="14.25" hidden="1" customHeight="1" x14ac:dyDescent="0.3">
      <c r="A2242" s="2" t="s">
        <v>46</v>
      </c>
      <c r="B2242" s="60" t="s">
        <v>155</v>
      </c>
      <c r="C2242" s="60" t="s">
        <v>159</v>
      </c>
      <c r="D2242" s="68"/>
      <c r="E2242" s="73"/>
      <c r="F2242" s="79">
        <f>IFERROR(D2242*E2242,0)</f>
        <v>0</v>
      </c>
      <c r="G2242" s="60" t="str">
        <f>INDEX(SETORES!$B:$B,MATCH(A2242,SETORES!$A:$A,0))</f>
        <v>Clientes</v>
      </c>
      <c r="H2242" s="60" t="s">
        <v>20</v>
      </c>
    </row>
    <row r="2243" spans="1:8" ht="14.25" hidden="1" customHeight="1" x14ac:dyDescent="0.3">
      <c r="A2243" s="34" t="s">
        <v>46</v>
      </c>
      <c r="B2243" s="61" t="s">
        <v>155</v>
      </c>
      <c r="C2243" s="61" t="s">
        <v>212</v>
      </c>
      <c r="D2243" s="69">
        <v>4</v>
      </c>
      <c r="E2243" s="74">
        <v>30</v>
      </c>
      <c r="F2243" s="80">
        <f>IFERROR(D2243*E2243,0)</f>
        <v>120</v>
      </c>
      <c r="G2243" s="61" t="str">
        <f>INDEX(SETORES!$B:$B,MATCH(A2243,SETORES!$A:$A,0))</f>
        <v>Clientes</v>
      </c>
      <c r="H2243" s="61" t="s">
        <v>20</v>
      </c>
    </row>
    <row r="2244" spans="1:8" ht="14.25" hidden="1" customHeight="1" x14ac:dyDescent="0.3">
      <c r="A2244" s="2" t="s">
        <v>46</v>
      </c>
      <c r="B2244" s="60" t="s">
        <v>162</v>
      </c>
      <c r="C2244" s="60" t="s">
        <v>217</v>
      </c>
      <c r="D2244" s="68">
        <v>1</v>
      </c>
      <c r="E2244" s="73">
        <v>14279.2</v>
      </c>
      <c r="F2244" s="79">
        <f>IFERROR(D2244*E2244,0)</f>
        <v>14279.2</v>
      </c>
      <c r="G2244" s="60" t="str">
        <f>INDEX(SETORES!$B:$B,MATCH(A2244,SETORES!$A:$A,0))</f>
        <v>Clientes</v>
      </c>
      <c r="H2244" s="60" t="s">
        <v>20</v>
      </c>
    </row>
    <row r="2245" spans="1:8" ht="14.25" hidden="1" customHeight="1" x14ac:dyDescent="0.3">
      <c r="A2245" s="2" t="s">
        <v>46</v>
      </c>
      <c r="B2245" s="60" t="s">
        <v>155</v>
      </c>
      <c r="C2245" s="60" t="s">
        <v>250</v>
      </c>
      <c r="D2245" s="68">
        <v>1</v>
      </c>
      <c r="E2245" s="73">
        <v>4170.78</v>
      </c>
      <c r="F2245" s="79">
        <f>IFERROR(D2245*E2245,0)</f>
        <v>4170.78</v>
      </c>
      <c r="G2245" s="60" t="str">
        <f>INDEX(SETORES!$B:$B,MATCH(A2245,SETORES!$A:$A,0))</f>
        <v>Clientes</v>
      </c>
      <c r="H2245" s="60" t="s">
        <v>20</v>
      </c>
    </row>
    <row r="2246" spans="1:8" ht="14.25" hidden="1" customHeight="1" x14ac:dyDescent="0.3">
      <c r="A2246" s="34" t="s">
        <v>46</v>
      </c>
      <c r="B2246" s="61" t="s">
        <v>155</v>
      </c>
      <c r="C2246" s="61" t="s">
        <v>171</v>
      </c>
      <c r="D2246" s="69">
        <v>23</v>
      </c>
      <c r="E2246" s="74">
        <v>47.79</v>
      </c>
      <c r="F2246" s="80">
        <f>IFERROR(D2246*E2246,0)</f>
        <v>1099.17</v>
      </c>
      <c r="G2246" s="60" t="s">
        <v>98</v>
      </c>
      <c r="H2246" s="61" t="s">
        <v>20</v>
      </c>
    </row>
    <row r="2247" spans="1:8" ht="14.25" hidden="1" customHeight="1" x14ac:dyDescent="0.3">
      <c r="A2247" s="2" t="s">
        <v>46</v>
      </c>
      <c r="B2247" s="60" t="s">
        <v>155</v>
      </c>
      <c r="C2247" s="60" t="s">
        <v>170</v>
      </c>
      <c r="D2247" s="68">
        <v>23</v>
      </c>
      <c r="E2247" s="73">
        <v>28.31</v>
      </c>
      <c r="F2247" s="79">
        <f>IFERROR(D2247*E2247,0)</f>
        <v>651.13</v>
      </c>
      <c r="G2247" s="61" t="s">
        <v>98</v>
      </c>
      <c r="H2247" s="60" t="s">
        <v>20</v>
      </c>
    </row>
    <row r="2248" spans="1:8" ht="14.25" customHeight="1" x14ac:dyDescent="0.3">
      <c r="A2248" s="34" t="s">
        <v>46</v>
      </c>
      <c r="B2248" s="61" t="s">
        <v>155</v>
      </c>
      <c r="C2248" s="61" t="s">
        <v>169</v>
      </c>
      <c r="D2248" s="69">
        <v>23</v>
      </c>
      <c r="E2248" s="74">
        <v>64.569999999999993</v>
      </c>
      <c r="F2248" s="80">
        <f>IFERROR(D2248*E2248,0)</f>
        <v>1485.11</v>
      </c>
      <c r="G2248" s="61" t="s">
        <v>98</v>
      </c>
      <c r="H2248" s="61" t="s">
        <v>20</v>
      </c>
    </row>
    <row r="2249" spans="1:8" ht="14.25" hidden="1" customHeight="1" x14ac:dyDescent="0.3">
      <c r="A2249" s="2" t="s">
        <v>46</v>
      </c>
      <c r="B2249" s="60" t="s">
        <v>162</v>
      </c>
      <c r="C2249" s="60" t="s">
        <v>221</v>
      </c>
      <c r="D2249" s="68">
        <v>1</v>
      </c>
      <c r="E2249" s="73">
        <v>4422.3900000000003</v>
      </c>
      <c r="F2249" s="79">
        <f>IFERROR(D2249*E2249,0)</f>
        <v>4422.3900000000003</v>
      </c>
      <c r="G2249" s="60" t="str">
        <f>INDEX(SETORES!$B:$B,MATCH(A2249,SETORES!$A:$A,0))</f>
        <v>Clientes</v>
      </c>
      <c r="H2249" s="60" t="s">
        <v>20</v>
      </c>
    </row>
    <row r="2250" spans="1:8" ht="14.25" hidden="1" customHeight="1" x14ac:dyDescent="0.3">
      <c r="A2250" s="2" t="s">
        <v>46</v>
      </c>
      <c r="B2250" s="60" t="s">
        <v>155</v>
      </c>
      <c r="C2250" s="60" t="s">
        <v>161</v>
      </c>
      <c r="D2250" s="68">
        <v>1</v>
      </c>
      <c r="E2250" s="73">
        <v>158228.71</v>
      </c>
      <c r="F2250" s="79">
        <f>IFERROR(E2250,0)</f>
        <v>158228.71</v>
      </c>
      <c r="G2250" s="60" t="str">
        <f>INDEX(SETORES!$B:$B,MATCH(A2250,SETORES!$A:$A,0))</f>
        <v>Clientes</v>
      </c>
      <c r="H2250" s="60" t="s">
        <v>20</v>
      </c>
    </row>
    <row r="2251" spans="1:8" ht="14.25" hidden="1" customHeight="1" x14ac:dyDescent="0.3">
      <c r="A2251" s="34" t="s">
        <v>46</v>
      </c>
      <c r="B2251" s="61" t="s">
        <v>155</v>
      </c>
      <c r="C2251" s="61" t="s">
        <v>167</v>
      </c>
      <c r="D2251" s="69">
        <v>23</v>
      </c>
      <c r="E2251" s="74">
        <v>10.050000000000001</v>
      </c>
      <c r="F2251" s="80">
        <f>IFERROR(D2251*E2251,0)</f>
        <v>231.15</v>
      </c>
      <c r="G2251" s="61" t="str">
        <f>INDEX(SETORES!$B:$B,MATCH(A2251,SETORES!$A:$A,0))</f>
        <v>Clientes</v>
      </c>
      <c r="H2251" s="61" t="s">
        <v>20</v>
      </c>
    </row>
    <row r="2252" spans="1:8" ht="14.25" hidden="1" customHeight="1" x14ac:dyDescent="0.3">
      <c r="A2252" s="34" t="s">
        <v>46</v>
      </c>
      <c r="B2252" s="61" t="s">
        <v>162</v>
      </c>
      <c r="C2252" s="61" t="s">
        <v>218</v>
      </c>
      <c r="D2252" s="69"/>
      <c r="E2252" s="74"/>
      <c r="F2252" s="80">
        <f>IFERROR(D2252*E2252,0)</f>
        <v>0</v>
      </c>
      <c r="G2252" s="61" t="str">
        <f>INDEX(SETORES!$B:$B,MATCH(A2252,SETORES!$A:$A,0))</f>
        <v>Clientes</v>
      </c>
      <c r="H2252" s="61" t="s">
        <v>20</v>
      </c>
    </row>
    <row r="2253" spans="1:8" ht="14.25" hidden="1" customHeight="1" x14ac:dyDescent="0.3">
      <c r="A2253" s="34" t="s">
        <v>46</v>
      </c>
      <c r="B2253" s="61" t="s">
        <v>155</v>
      </c>
      <c r="C2253" s="61" t="s">
        <v>166</v>
      </c>
      <c r="D2253" s="69"/>
      <c r="E2253" s="74"/>
      <c r="F2253" s="80">
        <f>IFERROR(D2253*E2253,0)</f>
        <v>0</v>
      </c>
      <c r="G2253" s="61" t="str">
        <f>INDEX(SETORES!$B:$B,MATCH(A2253,SETORES!$A:$A,0))</f>
        <v>Clientes</v>
      </c>
      <c r="H2253" s="61" t="s">
        <v>20</v>
      </c>
    </row>
    <row r="2254" spans="1:8" ht="14.25" hidden="1" customHeight="1" x14ac:dyDescent="0.3">
      <c r="A2254" s="2" t="s">
        <v>46</v>
      </c>
      <c r="B2254" s="60" t="s">
        <v>155</v>
      </c>
      <c r="C2254" s="60" t="s">
        <v>156</v>
      </c>
      <c r="D2254" s="68"/>
      <c r="E2254" s="73"/>
      <c r="F2254" s="79">
        <v>0</v>
      </c>
      <c r="G2254" s="60" t="str">
        <f>INDEX(SETORES!$B:$B,MATCH(A2254,SETORES!$A:$A,0))</f>
        <v>Clientes</v>
      </c>
      <c r="H2254" s="60" t="s">
        <v>20</v>
      </c>
    </row>
    <row r="2255" spans="1:8" ht="14.25" hidden="1" customHeight="1" x14ac:dyDescent="0.3">
      <c r="A2255" s="34" t="s">
        <v>46</v>
      </c>
      <c r="B2255" s="61" t="s">
        <v>155</v>
      </c>
      <c r="C2255" s="61" t="s">
        <v>157</v>
      </c>
      <c r="D2255" s="69"/>
      <c r="E2255" s="74"/>
      <c r="F2255" s="80">
        <v>0</v>
      </c>
      <c r="G2255" s="61" t="str">
        <f>INDEX(SETORES!$B:$B,MATCH(A2255,SETORES!$A:$A,0))</f>
        <v>Clientes</v>
      </c>
      <c r="H2255" s="61" t="s">
        <v>20</v>
      </c>
    </row>
    <row r="2256" spans="1:8" ht="14.25" hidden="1" customHeight="1" x14ac:dyDescent="0.3">
      <c r="A2256" s="2" t="s">
        <v>46</v>
      </c>
      <c r="B2256" s="60" t="s">
        <v>155</v>
      </c>
      <c r="C2256" s="60" t="s">
        <v>168</v>
      </c>
      <c r="D2256" s="68">
        <v>23</v>
      </c>
      <c r="E2256" s="73">
        <v>2.0699999999999998</v>
      </c>
      <c r="F2256" s="79">
        <f>IFERROR(D2256*E2256,0)</f>
        <v>47.61</v>
      </c>
      <c r="G2256" s="60" t="str">
        <f>INDEX(SETORES!$B:$B,MATCH(A2256,SETORES!$A:$A,0))</f>
        <v>Clientes</v>
      </c>
      <c r="H2256" s="60" t="s">
        <v>20</v>
      </c>
    </row>
    <row r="2257" spans="1:8" ht="14.25" hidden="1" customHeight="1" x14ac:dyDescent="0.3">
      <c r="A2257" s="34" t="s">
        <v>46</v>
      </c>
      <c r="B2257" s="61" t="s">
        <v>155</v>
      </c>
      <c r="C2257" s="61" t="s">
        <v>160</v>
      </c>
      <c r="D2257" s="69"/>
      <c r="E2257" s="74"/>
      <c r="F2257" s="80">
        <f>IFERROR(D2257*E2257,0)</f>
        <v>0</v>
      </c>
      <c r="G2257" s="61" t="str">
        <f>INDEX(SETORES!$B:$B,MATCH(A2257,SETORES!$A:$A,0))</f>
        <v>Clientes</v>
      </c>
      <c r="H2257" s="61" t="s">
        <v>20</v>
      </c>
    </row>
    <row r="2258" spans="1:8" ht="14.25" hidden="1" customHeight="1" x14ac:dyDescent="0.3">
      <c r="A2258" s="2" t="s">
        <v>49</v>
      </c>
      <c r="B2258" s="60" t="s">
        <v>155</v>
      </c>
      <c r="C2258" s="60" t="s">
        <v>159</v>
      </c>
      <c r="D2258" s="68">
        <v>4</v>
      </c>
      <c r="E2258" s="73">
        <v>0.63429999999999997</v>
      </c>
      <c r="F2258" s="79">
        <v>2.5371999999999999</v>
      </c>
      <c r="G2258" s="60" t="str">
        <f>INDEX(SETORES!$B:$B,MATCH(A2258,SETORES!$A:$A,0))</f>
        <v>Clientes</v>
      </c>
      <c r="H2258" s="60" t="s">
        <v>20</v>
      </c>
    </row>
    <row r="2259" spans="1:8" ht="14.25" hidden="1" customHeight="1" x14ac:dyDescent="0.3">
      <c r="A2259" s="2" t="s">
        <v>49</v>
      </c>
      <c r="B2259" s="60" t="s">
        <v>162</v>
      </c>
      <c r="C2259" s="60" t="s">
        <v>217</v>
      </c>
      <c r="D2259" s="68"/>
      <c r="E2259" s="73"/>
      <c r="F2259" s="79">
        <f>IFERROR(D2259*E2259,0)</f>
        <v>0</v>
      </c>
      <c r="G2259" s="60" t="str">
        <f>INDEX(SETORES!$B:$B,MATCH(A2259,SETORES!$A:$A,0))</f>
        <v>Clientes</v>
      </c>
      <c r="H2259" s="60" t="s">
        <v>20</v>
      </c>
    </row>
    <row r="2260" spans="1:8" ht="14.25" hidden="1" customHeight="1" x14ac:dyDescent="0.3">
      <c r="A2260" s="2" t="s">
        <v>49</v>
      </c>
      <c r="B2260" s="60" t="s">
        <v>155</v>
      </c>
      <c r="C2260" s="60" t="s">
        <v>256</v>
      </c>
      <c r="D2260" s="68">
        <v>1</v>
      </c>
      <c r="E2260" s="73">
        <v>3129.7592110000001</v>
      </c>
      <c r="F2260" s="79">
        <v>3129.7592110000001</v>
      </c>
      <c r="G2260" s="60" t="s">
        <v>96</v>
      </c>
      <c r="H2260" s="60" t="s">
        <v>20</v>
      </c>
    </row>
    <row r="2261" spans="1:8" ht="14.25" hidden="1" customHeight="1" x14ac:dyDescent="0.3">
      <c r="A2261" s="2" t="s">
        <v>49</v>
      </c>
      <c r="B2261" s="60" t="s">
        <v>155</v>
      </c>
      <c r="C2261" s="60" t="s">
        <v>171</v>
      </c>
      <c r="D2261" s="68">
        <v>4</v>
      </c>
      <c r="E2261" s="73">
        <v>47.79</v>
      </c>
      <c r="F2261" s="79">
        <f>IFERROR(D2261*E2261,0)</f>
        <v>191.16</v>
      </c>
      <c r="G2261" s="60" t="s">
        <v>98</v>
      </c>
      <c r="H2261" s="60" t="s">
        <v>20</v>
      </c>
    </row>
    <row r="2262" spans="1:8" ht="14.25" hidden="1" customHeight="1" x14ac:dyDescent="0.3">
      <c r="A2262" s="34" t="s">
        <v>49</v>
      </c>
      <c r="B2262" s="61" t="s">
        <v>155</v>
      </c>
      <c r="C2262" s="61" t="s">
        <v>170</v>
      </c>
      <c r="D2262" s="69">
        <v>4</v>
      </c>
      <c r="E2262" s="74">
        <v>28.31</v>
      </c>
      <c r="F2262" s="80">
        <f>IFERROR(D2262*E2262,0)</f>
        <v>113.24</v>
      </c>
      <c r="G2262" s="61" t="s">
        <v>98</v>
      </c>
      <c r="H2262" s="61" t="s">
        <v>20</v>
      </c>
    </row>
    <row r="2263" spans="1:8" ht="14.25" customHeight="1" x14ac:dyDescent="0.3">
      <c r="A2263" s="2" t="s">
        <v>49</v>
      </c>
      <c r="B2263" s="60" t="s">
        <v>155</v>
      </c>
      <c r="C2263" s="60" t="s">
        <v>169</v>
      </c>
      <c r="D2263" s="68">
        <v>4</v>
      </c>
      <c r="E2263" s="73">
        <v>64.569999999999993</v>
      </c>
      <c r="F2263" s="79">
        <f>IFERROR(D2263*E2263,0)</f>
        <v>258.27999999999997</v>
      </c>
      <c r="G2263" s="61" t="s">
        <v>98</v>
      </c>
      <c r="H2263" s="60" t="s">
        <v>20</v>
      </c>
    </row>
    <row r="2264" spans="1:8" ht="14.25" hidden="1" customHeight="1" x14ac:dyDescent="0.3">
      <c r="A2264" s="34" t="s">
        <v>49</v>
      </c>
      <c r="B2264" s="61" t="s">
        <v>155</v>
      </c>
      <c r="C2264" s="61" t="s">
        <v>158</v>
      </c>
      <c r="D2264" s="69">
        <v>4</v>
      </c>
      <c r="E2264" s="74">
        <v>24.8613</v>
      </c>
      <c r="F2264" s="80">
        <v>99.4452</v>
      </c>
      <c r="G2264" s="61" t="str">
        <f>INDEX(SETORES!$B:$B,MATCH(A2264,SETORES!$A:$A,0))</f>
        <v>Clientes</v>
      </c>
      <c r="H2264" s="61" t="s">
        <v>20</v>
      </c>
    </row>
    <row r="2265" spans="1:8" ht="14.25" hidden="1" customHeight="1" x14ac:dyDescent="0.3">
      <c r="A2265" s="34" t="s">
        <v>49</v>
      </c>
      <c r="B2265" s="61" t="s">
        <v>162</v>
      </c>
      <c r="C2265" s="61" t="s">
        <v>165</v>
      </c>
      <c r="D2265" s="69">
        <v>1</v>
      </c>
      <c r="E2265" s="74">
        <v>184</v>
      </c>
      <c r="F2265" s="80">
        <f>IFERROR(D2265*E2265,0)</f>
        <v>184</v>
      </c>
      <c r="G2265" s="61" t="str">
        <f>INDEX(SETORES!$B:$B,MATCH(A2265,SETORES!$A:$A,0))</f>
        <v>Clientes</v>
      </c>
      <c r="H2265" s="61" t="s">
        <v>20</v>
      </c>
    </row>
    <row r="2266" spans="1:8" ht="14.25" hidden="1" customHeight="1" x14ac:dyDescent="0.3">
      <c r="A2266" s="2" t="s">
        <v>49</v>
      </c>
      <c r="B2266" s="60" t="s">
        <v>155</v>
      </c>
      <c r="C2266" s="60" t="s">
        <v>161</v>
      </c>
      <c r="D2266" s="68">
        <v>1</v>
      </c>
      <c r="E2266" s="73">
        <v>23497.040000000001</v>
      </c>
      <c r="F2266" s="79">
        <f>IFERROR(E2266,0)</f>
        <v>23497.040000000001</v>
      </c>
      <c r="G2266" s="60" t="str">
        <f>INDEX(SETORES!$B:$B,MATCH(A2266,SETORES!$A:$A,0))</f>
        <v>Clientes</v>
      </c>
      <c r="H2266" s="60" t="s">
        <v>20</v>
      </c>
    </row>
    <row r="2267" spans="1:8" ht="14.25" hidden="1" customHeight="1" x14ac:dyDescent="0.3">
      <c r="A2267" s="2" t="s">
        <v>49</v>
      </c>
      <c r="B2267" s="60" t="s">
        <v>155</v>
      </c>
      <c r="C2267" s="60" t="s">
        <v>167</v>
      </c>
      <c r="D2267" s="68">
        <v>4</v>
      </c>
      <c r="E2267" s="73">
        <v>10.050000000000001</v>
      </c>
      <c r="F2267" s="79">
        <f>IFERROR(D2267*E2267,0)</f>
        <v>40.200000000000003</v>
      </c>
      <c r="G2267" s="60" t="str">
        <f>INDEX(SETORES!$B:$B,MATCH(A2267,SETORES!$A:$A,0))</f>
        <v>Clientes</v>
      </c>
      <c r="H2267" s="60" t="s">
        <v>20</v>
      </c>
    </row>
    <row r="2268" spans="1:8" ht="14.25" hidden="1" customHeight="1" x14ac:dyDescent="0.3">
      <c r="A2268" s="34" t="s">
        <v>49</v>
      </c>
      <c r="B2268" s="61" t="s">
        <v>162</v>
      </c>
      <c r="C2268" s="61" t="s">
        <v>220</v>
      </c>
      <c r="D2268" s="69"/>
      <c r="E2268" s="74"/>
      <c r="F2268" s="80">
        <f>IFERROR(D2268*E2268,0)</f>
        <v>0</v>
      </c>
      <c r="G2268" s="61" t="str">
        <f>INDEX(SETORES!$B:$B,MATCH(A2268,SETORES!$A:$A,0))</f>
        <v>Clientes</v>
      </c>
      <c r="H2268" s="61" t="s">
        <v>20</v>
      </c>
    </row>
    <row r="2269" spans="1:8" ht="14.25" hidden="1" customHeight="1" x14ac:dyDescent="0.3">
      <c r="A2269" s="34" t="s">
        <v>49</v>
      </c>
      <c r="B2269" s="61" t="s">
        <v>155</v>
      </c>
      <c r="C2269" s="61" t="s">
        <v>156</v>
      </c>
      <c r="D2269" s="69"/>
      <c r="E2269" s="74"/>
      <c r="F2269" s="80">
        <v>0</v>
      </c>
      <c r="G2269" s="61" t="str">
        <f>INDEX(SETORES!$B:$B,MATCH(A2269,SETORES!$A:$A,0))</f>
        <v>Clientes</v>
      </c>
      <c r="H2269" s="61" t="s">
        <v>20</v>
      </c>
    </row>
    <row r="2270" spans="1:8" ht="14.25" hidden="1" customHeight="1" x14ac:dyDescent="0.3">
      <c r="A2270" s="2" t="s">
        <v>49</v>
      </c>
      <c r="B2270" s="60" t="s">
        <v>155</v>
      </c>
      <c r="C2270" s="60" t="s">
        <v>157</v>
      </c>
      <c r="D2270" s="68"/>
      <c r="E2270" s="73"/>
      <c r="F2270" s="79">
        <v>0</v>
      </c>
      <c r="G2270" s="60" t="str">
        <f>INDEX(SETORES!$B:$B,MATCH(A2270,SETORES!$A:$A,0))</f>
        <v>Clientes</v>
      </c>
      <c r="H2270" s="60" t="s">
        <v>20</v>
      </c>
    </row>
    <row r="2271" spans="1:8" ht="14.25" hidden="1" customHeight="1" x14ac:dyDescent="0.3">
      <c r="A2271" s="2" t="s">
        <v>49</v>
      </c>
      <c r="B2271" s="60" t="s">
        <v>162</v>
      </c>
      <c r="C2271" s="60" t="s">
        <v>209</v>
      </c>
      <c r="D2271" s="68">
        <v>4</v>
      </c>
      <c r="E2271" s="73">
        <v>89.55</v>
      </c>
      <c r="F2271" s="79">
        <f>IFERROR(D2271*E2271,0)</f>
        <v>358.2</v>
      </c>
      <c r="G2271" s="60" t="str">
        <f>INDEX(SETORES!$B:$B,MATCH(A2271,SETORES!$A:$A,0))</f>
        <v>Clientes</v>
      </c>
      <c r="H2271" s="60" t="s">
        <v>20</v>
      </c>
    </row>
    <row r="2272" spans="1:8" ht="14.25" hidden="1" customHeight="1" x14ac:dyDescent="0.3">
      <c r="A2272" s="2" t="s">
        <v>49</v>
      </c>
      <c r="B2272" s="60" t="s">
        <v>162</v>
      </c>
      <c r="C2272" s="60" t="s">
        <v>222</v>
      </c>
      <c r="D2272" s="68"/>
      <c r="E2272" s="73"/>
      <c r="F2272" s="79">
        <f>IFERROR(D2272*E2272,0)</f>
        <v>0</v>
      </c>
      <c r="G2272" s="60" t="str">
        <f>INDEX(SETORES!$B:$B,MATCH(A2272,SETORES!$A:$A,0))</f>
        <v>Clientes</v>
      </c>
      <c r="H2272" s="60" t="s">
        <v>20</v>
      </c>
    </row>
    <row r="2273" spans="1:8" ht="14.25" hidden="1" customHeight="1" x14ac:dyDescent="0.3">
      <c r="A2273" s="34" t="s">
        <v>49</v>
      </c>
      <c r="B2273" s="61" t="s">
        <v>155</v>
      </c>
      <c r="C2273" s="61" t="s">
        <v>224</v>
      </c>
      <c r="D2273" s="69">
        <v>1</v>
      </c>
      <c r="E2273" s="74">
        <v>1800</v>
      </c>
      <c r="F2273" s="80">
        <f>IFERROR(D2273*E2273,0)</f>
        <v>1800</v>
      </c>
      <c r="G2273" s="61" t="str">
        <f>INDEX(SETORES!$B:$B,MATCH(A2273,SETORES!$A:$A,0))</f>
        <v>Clientes</v>
      </c>
      <c r="H2273" s="61" t="s">
        <v>20</v>
      </c>
    </row>
    <row r="2274" spans="1:8" ht="14.25" hidden="1" customHeight="1" x14ac:dyDescent="0.3">
      <c r="A2274" s="34" t="s">
        <v>49</v>
      </c>
      <c r="B2274" s="61" t="s">
        <v>155</v>
      </c>
      <c r="C2274" s="61" t="s">
        <v>168</v>
      </c>
      <c r="D2274" s="69">
        <v>4</v>
      </c>
      <c r="E2274" s="74">
        <v>2.0699999999999998</v>
      </c>
      <c r="F2274" s="80">
        <f>IFERROR(D2274*E2274,0)</f>
        <v>8.2799999999999994</v>
      </c>
      <c r="G2274" s="61" t="str">
        <f>INDEX(SETORES!$B:$B,MATCH(A2274,SETORES!$A:$A,0))</f>
        <v>Clientes</v>
      </c>
      <c r="H2274" s="61" t="s">
        <v>20</v>
      </c>
    </row>
    <row r="2275" spans="1:8" ht="14.25" hidden="1" customHeight="1" x14ac:dyDescent="0.3">
      <c r="A2275" s="34" t="s">
        <v>49</v>
      </c>
      <c r="B2275" s="61" t="s">
        <v>155</v>
      </c>
      <c r="C2275" s="61" t="s">
        <v>160</v>
      </c>
      <c r="D2275" s="69"/>
      <c r="E2275" s="74"/>
      <c r="F2275" s="80">
        <f>IFERROR(D2275*E2275,0)</f>
        <v>0</v>
      </c>
      <c r="G2275" s="61" t="str">
        <f>INDEX(SETORES!$B:$B,MATCH(A2275,SETORES!$A:$A,0))</f>
        <v>Clientes</v>
      </c>
      <c r="H2275" s="61" t="s">
        <v>20</v>
      </c>
    </row>
    <row r="2276" spans="1:8" ht="14.25" hidden="1" customHeight="1" x14ac:dyDescent="0.3">
      <c r="A2276" s="35" t="s">
        <v>146</v>
      </c>
      <c r="B2276" s="66" t="s">
        <v>155</v>
      </c>
      <c r="C2276" s="66" t="s">
        <v>161</v>
      </c>
      <c r="D2276" s="66">
        <v>1</v>
      </c>
      <c r="E2276" s="78">
        <v>15936.7</v>
      </c>
      <c r="F2276" s="78">
        <f>IFERROR(D2276*E2276,0)</f>
        <v>15936.7</v>
      </c>
      <c r="G2276" s="66" t="str">
        <f>INDEX(SETORES!$B:$B,MATCH(A2276,SETORES!$A:$A,0))</f>
        <v>Clientes</v>
      </c>
      <c r="H2276" s="66" t="s">
        <v>20</v>
      </c>
    </row>
    <row r="2277" spans="1:8" ht="14.25" hidden="1" customHeight="1" x14ac:dyDescent="0.3">
      <c r="A2277" s="2" t="s">
        <v>86</v>
      </c>
      <c r="B2277" s="60" t="s">
        <v>155</v>
      </c>
      <c r="C2277" s="60" t="s">
        <v>212</v>
      </c>
      <c r="D2277" s="68">
        <v>4</v>
      </c>
      <c r="E2277" s="73">
        <v>30</v>
      </c>
      <c r="F2277" s="79">
        <f>IFERROR(D2277*E2277,0)</f>
        <v>120</v>
      </c>
      <c r="G2277" s="60" t="str">
        <f>INDEX(SETORES!$B:$B,MATCH(A2277,SETORES!$A:$A,0))</f>
        <v>Clientes</v>
      </c>
      <c r="H2277" s="60" t="s">
        <v>20</v>
      </c>
    </row>
    <row r="2278" spans="1:8" ht="14.25" hidden="1" customHeight="1" x14ac:dyDescent="0.3">
      <c r="A2278" s="34" t="s">
        <v>86</v>
      </c>
      <c r="B2278" s="61" t="s">
        <v>155</v>
      </c>
      <c r="C2278" s="61" t="s">
        <v>171</v>
      </c>
      <c r="D2278" s="69">
        <v>7</v>
      </c>
      <c r="E2278" s="74">
        <v>47.79</v>
      </c>
      <c r="F2278" s="80">
        <f>IFERROR(D2278*E2278,0)</f>
        <v>334.53</v>
      </c>
      <c r="G2278" s="60" t="s">
        <v>98</v>
      </c>
      <c r="H2278" s="61" t="s">
        <v>20</v>
      </c>
    </row>
    <row r="2279" spans="1:8" ht="14.25" hidden="1" customHeight="1" x14ac:dyDescent="0.3">
      <c r="A2279" s="2" t="s">
        <v>86</v>
      </c>
      <c r="B2279" s="60" t="s">
        <v>155</v>
      </c>
      <c r="C2279" s="60" t="s">
        <v>170</v>
      </c>
      <c r="D2279" s="68">
        <v>7</v>
      </c>
      <c r="E2279" s="73">
        <v>28.31</v>
      </c>
      <c r="F2279" s="79">
        <f>IFERROR(D2279*E2279,0)</f>
        <v>198.17</v>
      </c>
      <c r="G2279" s="61" t="s">
        <v>98</v>
      </c>
      <c r="H2279" s="60" t="s">
        <v>20</v>
      </c>
    </row>
    <row r="2280" spans="1:8" ht="14.25" customHeight="1" x14ac:dyDescent="0.3">
      <c r="A2280" s="2" t="s">
        <v>86</v>
      </c>
      <c r="B2280" s="60" t="s">
        <v>155</v>
      </c>
      <c r="C2280" s="60" t="s">
        <v>169</v>
      </c>
      <c r="D2280" s="68">
        <v>7</v>
      </c>
      <c r="E2280" s="73">
        <v>64.569999999999993</v>
      </c>
      <c r="F2280" s="79">
        <f>IFERROR(D2280*E2280,0)</f>
        <v>451.98999999999995</v>
      </c>
      <c r="G2280" s="61" t="s">
        <v>98</v>
      </c>
      <c r="H2280" s="60" t="s">
        <v>20</v>
      </c>
    </row>
    <row r="2281" spans="1:8" ht="14.25" hidden="1" customHeight="1" x14ac:dyDescent="0.3">
      <c r="A2281" s="34" t="s">
        <v>86</v>
      </c>
      <c r="B2281" s="61" t="s">
        <v>155</v>
      </c>
      <c r="C2281" s="61" t="s">
        <v>161</v>
      </c>
      <c r="D2281" s="69">
        <v>1</v>
      </c>
      <c r="E2281" s="74">
        <v>24142.91</v>
      </c>
      <c r="F2281" s="80">
        <f>IFERROR(E2281,0)</f>
        <v>24142.91</v>
      </c>
      <c r="G2281" s="61" t="str">
        <f>INDEX(SETORES!$B:$B,MATCH(A2281,SETORES!$A:$A,0))</f>
        <v>Clientes</v>
      </c>
      <c r="H2281" s="61" t="s">
        <v>20</v>
      </c>
    </row>
    <row r="2282" spans="1:8" ht="14.25" hidden="1" customHeight="1" x14ac:dyDescent="0.3">
      <c r="A2282" s="34" t="s">
        <v>86</v>
      </c>
      <c r="B2282" s="61" t="s">
        <v>155</v>
      </c>
      <c r="C2282" s="61" t="s">
        <v>167</v>
      </c>
      <c r="D2282" s="69">
        <v>7</v>
      </c>
      <c r="E2282" s="74">
        <v>10.050000000000001</v>
      </c>
      <c r="F2282" s="80">
        <f>IFERROR(D2282*E2282,0)</f>
        <v>70.350000000000009</v>
      </c>
      <c r="G2282" s="61" t="str">
        <f>INDEX(SETORES!$B:$B,MATCH(A2282,SETORES!$A:$A,0))</f>
        <v>Clientes</v>
      </c>
      <c r="H2282" s="61" t="s">
        <v>20</v>
      </c>
    </row>
    <row r="2283" spans="1:8" ht="14.25" hidden="1" customHeight="1" x14ac:dyDescent="0.3">
      <c r="A2283" s="34" t="s">
        <v>86</v>
      </c>
      <c r="B2283" s="61" t="s">
        <v>155</v>
      </c>
      <c r="C2283" s="61" t="s">
        <v>238</v>
      </c>
      <c r="D2283" s="69">
        <v>1</v>
      </c>
      <c r="E2283" s="74">
        <v>7.7777770000000004</v>
      </c>
      <c r="F2283" s="80">
        <f>IFERROR(D2283*E2283,0)</f>
        <v>7.7777770000000004</v>
      </c>
      <c r="G2283" s="61" t="str">
        <f>INDEX(SETORES!$B:$B,MATCH(A2283,SETORES!$A:$A,0))</f>
        <v>Clientes</v>
      </c>
      <c r="H2283" s="61" t="s">
        <v>20</v>
      </c>
    </row>
    <row r="2284" spans="1:8" ht="14.25" hidden="1" customHeight="1" x14ac:dyDescent="0.3">
      <c r="A2284" s="34" t="s">
        <v>86</v>
      </c>
      <c r="B2284" s="61" t="s">
        <v>155</v>
      </c>
      <c r="C2284" s="61" t="s">
        <v>166</v>
      </c>
      <c r="D2284" s="69">
        <v>8</v>
      </c>
      <c r="E2284" s="74">
        <v>50</v>
      </c>
      <c r="F2284" s="80">
        <f>IFERROR(D2284*E2284,0)</f>
        <v>400</v>
      </c>
      <c r="G2284" s="61" t="str">
        <f>INDEX(SETORES!$B:$B,MATCH(A2284,SETORES!$A:$A,0))</f>
        <v>Clientes</v>
      </c>
      <c r="H2284" s="61" t="s">
        <v>20</v>
      </c>
    </row>
    <row r="2285" spans="1:8" ht="14.25" hidden="1" customHeight="1" x14ac:dyDescent="0.3">
      <c r="A2285" s="2" t="s">
        <v>86</v>
      </c>
      <c r="B2285" s="60" t="s">
        <v>155</v>
      </c>
      <c r="C2285" s="60" t="s">
        <v>157</v>
      </c>
      <c r="D2285" s="68">
        <v>1</v>
      </c>
      <c r="E2285" s="73">
        <v>160.86000000000001</v>
      </c>
      <c r="F2285" s="79">
        <v>160.86000000000001</v>
      </c>
      <c r="G2285" s="60" t="str">
        <f>INDEX(SETORES!$B:$B,MATCH(A2285,SETORES!$A:$A,0))</f>
        <v>Clientes</v>
      </c>
      <c r="H2285" s="60" t="s">
        <v>20</v>
      </c>
    </row>
    <row r="2286" spans="1:8" ht="14.25" hidden="1" customHeight="1" x14ac:dyDescent="0.3">
      <c r="A2286" s="34" t="s">
        <v>86</v>
      </c>
      <c r="B2286" s="61" t="s">
        <v>162</v>
      </c>
      <c r="C2286" s="61" t="s">
        <v>222</v>
      </c>
      <c r="D2286" s="69"/>
      <c r="E2286" s="74"/>
      <c r="F2286" s="80">
        <f>IFERROR(D2286*E2286,0)</f>
        <v>0</v>
      </c>
      <c r="G2286" s="61" t="str">
        <f>INDEX(SETORES!$B:$B,MATCH(A2286,SETORES!$A:$A,0))</f>
        <v>Clientes</v>
      </c>
      <c r="H2286" s="61" t="s">
        <v>20</v>
      </c>
    </row>
    <row r="2287" spans="1:8" ht="14.25" hidden="1" customHeight="1" x14ac:dyDescent="0.3">
      <c r="A2287" s="2" t="s">
        <v>86</v>
      </c>
      <c r="B2287" s="60" t="s">
        <v>155</v>
      </c>
      <c r="C2287" s="60" t="s">
        <v>168</v>
      </c>
      <c r="D2287" s="68">
        <v>7</v>
      </c>
      <c r="E2287" s="73">
        <v>2.0699999999999998</v>
      </c>
      <c r="F2287" s="79">
        <f>IFERROR(D2287*E2287,0)</f>
        <v>14.489999999999998</v>
      </c>
      <c r="G2287" s="60" t="str">
        <f>INDEX(SETORES!$B:$B,MATCH(A2287,SETORES!$A:$A,0))</f>
        <v>Clientes</v>
      </c>
      <c r="H2287" s="60" t="s">
        <v>20</v>
      </c>
    </row>
    <row r="2288" spans="1:8" ht="14.25" hidden="1" customHeight="1" x14ac:dyDescent="0.3">
      <c r="A2288" s="2" t="s">
        <v>39</v>
      </c>
      <c r="B2288" s="60" t="s">
        <v>155</v>
      </c>
      <c r="C2288" s="60" t="s">
        <v>159</v>
      </c>
      <c r="D2288" s="68">
        <v>1</v>
      </c>
      <c r="E2288" s="73">
        <v>0</v>
      </c>
      <c r="F2288" s="79">
        <v>0</v>
      </c>
      <c r="G2288" s="60" t="str">
        <f>INDEX(SETORES!$B:$B,MATCH(A2288,SETORES!$A:$A,0))</f>
        <v>Clientes</v>
      </c>
      <c r="H2288" s="60" t="s">
        <v>20</v>
      </c>
    </row>
    <row r="2289" spans="1:8" ht="14.25" hidden="1" customHeight="1" x14ac:dyDescent="0.3">
      <c r="A2289" s="34" t="s">
        <v>39</v>
      </c>
      <c r="B2289" s="61" t="s">
        <v>155</v>
      </c>
      <c r="C2289" s="61" t="s">
        <v>249</v>
      </c>
      <c r="D2289" s="69">
        <v>1</v>
      </c>
      <c r="E2289" s="74">
        <v>1215.92</v>
      </c>
      <c r="F2289" s="80">
        <f>IFERROR(D2289*E2289,0)</f>
        <v>1215.92</v>
      </c>
      <c r="G2289" s="61" t="str">
        <f>INDEX(SETORES!$B:$B,MATCH(A2289,SETORES!$A:$A,0))</f>
        <v>Clientes</v>
      </c>
      <c r="H2289" s="61" t="s">
        <v>20</v>
      </c>
    </row>
    <row r="2290" spans="1:8" ht="14.25" hidden="1" customHeight="1" x14ac:dyDescent="0.3">
      <c r="A2290" s="34" t="s">
        <v>39</v>
      </c>
      <c r="B2290" s="61" t="s">
        <v>155</v>
      </c>
      <c r="C2290" s="61" t="s">
        <v>171</v>
      </c>
      <c r="D2290" s="69">
        <v>10</v>
      </c>
      <c r="E2290" s="74">
        <v>47.79</v>
      </c>
      <c r="F2290" s="80">
        <f>IFERROR(D2290*E2290,0)</f>
        <v>477.9</v>
      </c>
      <c r="G2290" s="60" t="s">
        <v>98</v>
      </c>
      <c r="H2290" s="61" t="s">
        <v>20</v>
      </c>
    </row>
    <row r="2291" spans="1:8" ht="14.25" hidden="1" customHeight="1" x14ac:dyDescent="0.3">
      <c r="A2291" s="2" t="s">
        <v>39</v>
      </c>
      <c r="B2291" s="60" t="s">
        <v>155</v>
      </c>
      <c r="C2291" s="60" t="s">
        <v>170</v>
      </c>
      <c r="D2291" s="68">
        <v>10</v>
      </c>
      <c r="E2291" s="73">
        <v>28.31</v>
      </c>
      <c r="F2291" s="79">
        <f>IFERROR(D2291*E2291,0)</f>
        <v>283.09999999999997</v>
      </c>
      <c r="G2291" s="61" t="s">
        <v>98</v>
      </c>
      <c r="H2291" s="60" t="s">
        <v>20</v>
      </c>
    </row>
    <row r="2292" spans="1:8" ht="14.25" customHeight="1" x14ac:dyDescent="0.3">
      <c r="A2292" s="34" t="s">
        <v>39</v>
      </c>
      <c r="B2292" s="61" t="s">
        <v>155</v>
      </c>
      <c r="C2292" s="61" t="s">
        <v>169</v>
      </c>
      <c r="D2292" s="69">
        <v>10</v>
      </c>
      <c r="E2292" s="74">
        <v>64.569999999999993</v>
      </c>
      <c r="F2292" s="80">
        <f>IFERROR(D2292*E2292,0)</f>
        <v>645.69999999999993</v>
      </c>
      <c r="G2292" s="61" t="s">
        <v>98</v>
      </c>
      <c r="H2292" s="61" t="s">
        <v>20</v>
      </c>
    </row>
    <row r="2293" spans="1:8" ht="14.25" hidden="1" customHeight="1" x14ac:dyDescent="0.3">
      <c r="A2293" s="2" t="s">
        <v>39</v>
      </c>
      <c r="B2293" s="60" t="s">
        <v>162</v>
      </c>
      <c r="C2293" s="60" t="s">
        <v>192</v>
      </c>
      <c r="D2293" s="68">
        <v>1</v>
      </c>
      <c r="E2293" s="73">
        <v>242.73</v>
      </c>
      <c r="F2293" s="79">
        <f>IFERROR(D2293*E2293,0)</f>
        <v>242.73</v>
      </c>
      <c r="G2293" s="60" t="str">
        <f>INDEX(SETORES!$B:$B,MATCH(A2293,SETORES!$A:$A,0))</f>
        <v>Clientes</v>
      </c>
      <c r="H2293" s="60" t="s">
        <v>20</v>
      </c>
    </row>
    <row r="2294" spans="1:8" ht="14.25" hidden="1" customHeight="1" x14ac:dyDescent="0.3">
      <c r="A2294" s="2" t="s">
        <v>39</v>
      </c>
      <c r="B2294" s="60" t="s">
        <v>162</v>
      </c>
      <c r="C2294" s="60" t="s">
        <v>194</v>
      </c>
      <c r="D2294" s="68">
        <v>1</v>
      </c>
      <c r="E2294" s="73">
        <v>23.5</v>
      </c>
      <c r="F2294" s="79">
        <f>IFERROR(D2294*E2294,0)</f>
        <v>23.5</v>
      </c>
      <c r="G2294" s="60" t="str">
        <f>INDEX(SETORES!$B:$B,MATCH(A2294,SETORES!$A:$A,0))</f>
        <v>Clientes</v>
      </c>
      <c r="H2294" s="60" t="s">
        <v>20</v>
      </c>
    </row>
    <row r="2295" spans="1:8" ht="14.25" hidden="1" customHeight="1" x14ac:dyDescent="0.3">
      <c r="A2295" s="34" t="s">
        <v>39</v>
      </c>
      <c r="B2295" s="61" t="s">
        <v>155</v>
      </c>
      <c r="C2295" s="61" t="s">
        <v>158</v>
      </c>
      <c r="D2295" s="69">
        <v>1</v>
      </c>
      <c r="E2295" s="74">
        <v>85.107900000000001</v>
      </c>
      <c r="F2295" s="80">
        <v>85.107900000000001</v>
      </c>
      <c r="G2295" s="61" t="str">
        <f>INDEX(SETORES!$B:$B,MATCH(A2295,SETORES!$A:$A,0))</f>
        <v>Clientes</v>
      </c>
      <c r="H2295" s="61" t="s">
        <v>20</v>
      </c>
    </row>
    <row r="2296" spans="1:8" ht="14.25" hidden="1" customHeight="1" x14ac:dyDescent="0.3">
      <c r="A2296" s="34" t="s">
        <v>39</v>
      </c>
      <c r="B2296" s="61" t="s">
        <v>162</v>
      </c>
      <c r="C2296" s="61" t="s">
        <v>165</v>
      </c>
      <c r="D2296" s="69">
        <v>1</v>
      </c>
      <c r="E2296" s="74">
        <v>316.67</v>
      </c>
      <c r="F2296" s="80">
        <f>IFERROR(D2296*E2296,0)</f>
        <v>316.67</v>
      </c>
      <c r="G2296" s="61" t="str">
        <f>INDEX(SETORES!$B:$B,MATCH(A2296,SETORES!$A:$A,0))</f>
        <v>Clientes</v>
      </c>
      <c r="H2296" s="61" t="s">
        <v>20</v>
      </c>
    </row>
    <row r="2297" spans="1:8" ht="14.25" hidden="1" customHeight="1" x14ac:dyDescent="0.3">
      <c r="A2297" s="34" t="s">
        <v>39</v>
      </c>
      <c r="B2297" s="61" t="s">
        <v>162</v>
      </c>
      <c r="C2297" s="61" t="s">
        <v>163</v>
      </c>
      <c r="D2297" s="69">
        <v>1</v>
      </c>
      <c r="E2297" s="74">
        <v>340</v>
      </c>
      <c r="F2297" s="80">
        <f>IFERROR(D2297*E2297,0)</f>
        <v>340</v>
      </c>
      <c r="G2297" s="61" t="str">
        <f>INDEX(SETORES!$B:$B,MATCH(A2297,SETORES!$A:$A,0))</f>
        <v>Clientes</v>
      </c>
      <c r="H2297" s="61" t="s">
        <v>20</v>
      </c>
    </row>
    <row r="2298" spans="1:8" ht="14.25" hidden="1" customHeight="1" x14ac:dyDescent="0.3">
      <c r="A2298" s="2" t="s">
        <v>39</v>
      </c>
      <c r="B2298" s="60" t="s">
        <v>162</v>
      </c>
      <c r="C2298" s="60" t="s">
        <v>164</v>
      </c>
      <c r="D2298" s="68">
        <v>1</v>
      </c>
      <c r="E2298" s="73">
        <v>181.33</v>
      </c>
      <c r="F2298" s="79">
        <f>IFERROR(D2298*E2298,0)</f>
        <v>181.33</v>
      </c>
      <c r="G2298" s="60" t="str">
        <f>INDEX(SETORES!$B:$B,MATCH(A2298,SETORES!$A:$A,0))</f>
        <v>Clientes</v>
      </c>
      <c r="H2298" s="60" t="s">
        <v>20</v>
      </c>
    </row>
    <row r="2299" spans="1:8" ht="14.25" hidden="1" customHeight="1" x14ac:dyDescent="0.3">
      <c r="A2299" s="2" t="s">
        <v>39</v>
      </c>
      <c r="B2299" s="60" t="s">
        <v>155</v>
      </c>
      <c r="C2299" s="60" t="s">
        <v>161</v>
      </c>
      <c r="D2299" s="68">
        <v>1</v>
      </c>
      <c r="E2299" s="73">
        <v>30713.94</v>
      </c>
      <c r="F2299" s="79">
        <f>IFERROR(E2299,0)</f>
        <v>30713.94</v>
      </c>
      <c r="G2299" s="60" t="str">
        <f>INDEX(SETORES!$B:$B,MATCH(A2299,SETORES!$A:$A,0))</f>
        <v>Clientes</v>
      </c>
      <c r="H2299" s="60" t="s">
        <v>20</v>
      </c>
    </row>
    <row r="2300" spans="1:8" ht="14.25" hidden="1" customHeight="1" x14ac:dyDescent="0.3">
      <c r="A2300" s="34" t="s">
        <v>39</v>
      </c>
      <c r="B2300" s="61" t="s">
        <v>155</v>
      </c>
      <c r="C2300" s="61" t="s">
        <v>167</v>
      </c>
      <c r="D2300" s="69">
        <v>10</v>
      </c>
      <c r="E2300" s="74">
        <v>10.050000000000001</v>
      </c>
      <c r="F2300" s="80">
        <f>IFERROR(D2300*E2300,0)</f>
        <v>100.5</v>
      </c>
      <c r="G2300" s="61" t="str">
        <f>INDEX(SETORES!$B:$B,MATCH(A2300,SETORES!$A:$A,0))</f>
        <v>Clientes</v>
      </c>
      <c r="H2300" s="61" t="s">
        <v>20</v>
      </c>
    </row>
    <row r="2301" spans="1:8" ht="14.25" hidden="1" customHeight="1" x14ac:dyDescent="0.3">
      <c r="A2301" s="2" t="s">
        <v>39</v>
      </c>
      <c r="B2301" s="60" t="s">
        <v>155</v>
      </c>
      <c r="C2301" s="60" t="s">
        <v>166</v>
      </c>
      <c r="D2301" s="68">
        <v>11</v>
      </c>
      <c r="E2301" s="73">
        <v>50</v>
      </c>
      <c r="F2301" s="79">
        <f>IFERROR(D2301*E2301,0)</f>
        <v>550</v>
      </c>
      <c r="G2301" s="60" t="str">
        <f>INDEX(SETORES!$B:$B,MATCH(A2301,SETORES!$A:$A,0))</f>
        <v>Clientes</v>
      </c>
      <c r="H2301" s="60" t="s">
        <v>20</v>
      </c>
    </row>
    <row r="2302" spans="1:8" ht="14.25" hidden="1" customHeight="1" x14ac:dyDescent="0.3">
      <c r="A2302" s="34" t="s">
        <v>39</v>
      </c>
      <c r="B2302" s="61" t="s">
        <v>155</v>
      </c>
      <c r="C2302" s="61" t="s">
        <v>223</v>
      </c>
      <c r="D2302" s="69"/>
      <c r="E2302" s="74"/>
      <c r="F2302" s="80">
        <f>IFERROR(D2302*E2302,0)</f>
        <v>0</v>
      </c>
      <c r="G2302" s="61" t="str">
        <f>INDEX(SETORES!$B:$B,MATCH(A2302,SETORES!$A:$A,0))</f>
        <v>Clientes</v>
      </c>
      <c r="H2302" s="61" t="s">
        <v>20</v>
      </c>
    </row>
    <row r="2303" spans="1:8" ht="14.25" hidden="1" customHeight="1" x14ac:dyDescent="0.3">
      <c r="A2303" s="34" t="s">
        <v>39</v>
      </c>
      <c r="B2303" s="61" t="s">
        <v>155</v>
      </c>
      <c r="C2303" s="61" t="s">
        <v>156</v>
      </c>
      <c r="D2303" s="69">
        <v>10</v>
      </c>
      <c r="E2303" s="74">
        <v>0.36480000000000001</v>
      </c>
      <c r="F2303" s="80">
        <v>3.6480000000000001</v>
      </c>
      <c r="G2303" s="61" t="str">
        <f>INDEX(SETORES!$B:$B,MATCH(A2303,SETORES!$A:$A,0))</f>
        <v>Clientes</v>
      </c>
      <c r="H2303" s="61" t="s">
        <v>20</v>
      </c>
    </row>
    <row r="2304" spans="1:8" ht="14.25" hidden="1" customHeight="1" x14ac:dyDescent="0.3">
      <c r="A2304" s="2" t="s">
        <v>39</v>
      </c>
      <c r="B2304" s="60" t="s">
        <v>155</v>
      </c>
      <c r="C2304" s="60" t="s">
        <v>157</v>
      </c>
      <c r="D2304" s="68">
        <v>1</v>
      </c>
      <c r="E2304" s="73">
        <v>282.98103400000002</v>
      </c>
      <c r="F2304" s="79">
        <v>282.98103400000002</v>
      </c>
      <c r="G2304" s="60" t="str">
        <f>INDEX(SETORES!$B:$B,MATCH(A2304,SETORES!$A:$A,0))</f>
        <v>Clientes</v>
      </c>
      <c r="H2304" s="60" t="s">
        <v>20</v>
      </c>
    </row>
    <row r="2305" spans="1:8" ht="14.25" hidden="1" customHeight="1" x14ac:dyDescent="0.3">
      <c r="A2305" s="2" t="s">
        <v>39</v>
      </c>
      <c r="B2305" s="60" t="s">
        <v>162</v>
      </c>
      <c r="C2305" s="60" t="s">
        <v>231</v>
      </c>
      <c r="D2305" s="68"/>
      <c r="E2305" s="73"/>
      <c r="F2305" s="79">
        <f>IFERROR(D2305*E2305,0)</f>
        <v>0</v>
      </c>
      <c r="G2305" s="60" t="str">
        <f>INDEX(SETORES!$B:$B,MATCH(A2305,SETORES!$A:$A,0))</f>
        <v>Clientes</v>
      </c>
      <c r="H2305" s="60" t="s">
        <v>20</v>
      </c>
    </row>
    <row r="2306" spans="1:8" ht="14.25" hidden="1" customHeight="1" x14ac:dyDescent="0.3">
      <c r="A2306" s="34" t="s">
        <v>39</v>
      </c>
      <c r="B2306" s="61" t="s">
        <v>155</v>
      </c>
      <c r="C2306" s="61" t="s">
        <v>189</v>
      </c>
      <c r="D2306" s="69">
        <v>1</v>
      </c>
      <c r="E2306" s="74">
        <v>215.51723999999999</v>
      </c>
      <c r="F2306" s="80">
        <f>IFERROR(D2306*E2306,0)</f>
        <v>215.51723999999999</v>
      </c>
      <c r="G2306" s="61" t="str">
        <f>INDEX(SETORES!$B:$B,MATCH(A2306,SETORES!$A:$A,0))</f>
        <v>Clientes</v>
      </c>
      <c r="H2306" s="61" t="s">
        <v>20</v>
      </c>
    </row>
    <row r="2307" spans="1:8" ht="14.25" hidden="1" customHeight="1" x14ac:dyDescent="0.3">
      <c r="A2307" s="2" t="s">
        <v>39</v>
      </c>
      <c r="B2307" s="60" t="s">
        <v>155</v>
      </c>
      <c r="C2307" s="60" t="s">
        <v>190</v>
      </c>
      <c r="D2307" s="68">
        <v>1</v>
      </c>
      <c r="E2307" s="73">
        <v>28.735340000000001</v>
      </c>
      <c r="F2307" s="79">
        <f>IFERROR(D2307*E2307,0)</f>
        <v>28.735340000000001</v>
      </c>
      <c r="G2307" s="60" t="str">
        <f>INDEX(SETORES!$B:$B,MATCH(A2307,SETORES!$A:$A,0))</f>
        <v>Clientes</v>
      </c>
      <c r="H2307" s="60" t="s">
        <v>20</v>
      </c>
    </row>
    <row r="2308" spans="1:8" ht="14.25" hidden="1" customHeight="1" x14ac:dyDescent="0.3">
      <c r="A2308" s="34" t="s">
        <v>39</v>
      </c>
      <c r="B2308" s="61" t="s">
        <v>162</v>
      </c>
      <c r="C2308" s="61" t="s">
        <v>191</v>
      </c>
      <c r="D2308" s="69">
        <v>1</v>
      </c>
      <c r="E2308" s="74">
        <v>79.640519999999995</v>
      </c>
      <c r="F2308" s="80">
        <f>IFERROR(D2308*E2308,0)</f>
        <v>79.640519999999995</v>
      </c>
      <c r="G2308" s="61" t="str">
        <f>INDEX(SETORES!$B:$B,MATCH(A2308,SETORES!$A:$A,0))</f>
        <v>Clientes</v>
      </c>
      <c r="H2308" s="61" t="s">
        <v>20</v>
      </c>
    </row>
    <row r="2309" spans="1:8" ht="14.25" hidden="1" customHeight="1" x14ac:dyDescent="0.3">
      <c r="A2309" s="34" t="s">
        <v>39</v>
      </c>
      <c r="B2309" s="61" t="s">
        <v>155</v>
      </c>
      <c r="C2309" s="61" t="s">
        <v>187</v>
      </c>
      <c r="D2309" s="69">
        <v>1</v>
      </c>
      <c r="E2309" s="74">
        <v>458.41293000000002</v>
      </c>
      <c r="F2309" s="80">
        <f>IFERROR(D2309*E2309,0)</f>
        <v>458.41293000000002</v>
      </c>
      <c r="G2309" s="61" t="str">
        <f>INDEX(SETORES!$B:$B,MATCH(A2309,SETORES!$A:$A,0))</f>
        <v>Clientes</v>
      </c>
      <c r="H2309" s="61" t="s">
        <v>20</v>
      </c>
    </row>
    <row r="2310" spans="1:8" ht="14.25" hidden="1" customHeight="1" x14ac:dyDescent="0.3">
      <c r="A2310" s="2" t="s">
        <v>39</v>
      </c>
      <c r="B2310" s="60" t="s">
        <v>155</v>
      </c>
      <c r="C2310" s="60" t="s">
        <v>168</v>
      </c>
      <c r="D2310" s="68">
        <v>10</v>
      </c>
      <c r="E2310" s="73">
        <v>2.0699999999999998</v>
      </c>
      <c r="F2310" s="79">
        <f>IFERROR(D2310*E2310,0)</f>
        <v>20.7</v>
      </c>
      <c r="G2310" s="60" t="str">
        <f>INDEX(SETORES!$B:$B,MATCH(A2310,SETORES!$A:$A,0))</f>
        <v>Clientes</v>
      </c>
      <c r="H2310" s="60" t="s">
        <v>20</v>
      </c>
    </row>
    <row r="2311" spans="1:8" ht="14.25" hidden="1" customHeight="1" x14ac:dyDescent="0.3">
      <c r="A2311" s="2" t="s">
        <v>39</v>
      </c>
      <c r="B2311" s="60" t="s">
        <v>155</v>
      </c>
      <c r="C2311" s="60" t="s">
        <v>188</v>
      </c>
      <c r="D2311" s="68">
        <v>1</v>
      </c>
      <c r="E2311" s="73">
        <v>1641.85</v>
      </c>
      <c r="F2311" s="79">
        <f>IFERROR(D2311*E2311,0)</f>
        <v>1641.85</v>
      </c>
      <c r="G2311" s="60" t="str">
        <f>INDEX(SETORES!$B:$B,MATCH(A2311,SETORES!$A:$A,0))</f>
        <v>Clientes</v>
      </c>
      <c r="H2311" s="60" t="s">
        <v>20</v>
      </c>
    </row>
    <row r="2312" spans="1:8" ht="14.25" hidden="1" customHeight="1" x14ac:dyDescent="0.3">
      <c r="A2312" s="34" t="s">
        <v>39</v>
      </c>
      <c r="B2312" s="61" t="s">
        <v>155</v>
      </c>
      <c r="C2312" s="61" t="s">
        <v>160</v>
      </c>
      <c r="D2312" s="69"/>
      <c r="E2312" s="74"/>
      <c r="F2312" s="80">
        <f>IFERROR(D2312*E2312,0)</f>
        <v>0</v>
      </c>
      <c r="G2312" s="61" t="str">
        <f>INDEX(SETORES!$B:$B,MATCH(A2312,SETORES!$A:$A,0))</f>
        <v>Clientes</v>
      </c>
      <c r="H2312" s="61" t="s">
        <v>20</v>
      </c>
    </row>
    <row r="2313" spans="1:8" ht="14.25" hidden="1" customHeight="1" x14ac:dyDescent="0.3">
      <c r="A2313" s="34" t="s">
        <v>39</v>
      </c>
      <c r="B2313" s="61" t="s">
        <v>155</v>
      </c>
      <c r="C2313" s="61" t="s">
        <v>193</v>
      </c>
      <c r="D2313" s="69">
        <v>1</v>
      </c>
      <c r="E2313" s="74">
        <v>52</v>
      </c>
      <c r="F2313" s="80">
        <f>IFERROR(D2313*E2313,0)</f>
        <v>52</v>
      </c>
      <c r="G2313" s="61" t="str">
        <f>INDEX(SETORES!$B:$B,MATCH(A2313,SETORES!$A:$A,0))</f>
        <v>Clientes</v>
      </c>
      <c r="H2313" s="61" t="s">
        <v>20</v>
      </c>
    </row>
    <row r="2314" spans="1:8" ht="14.25" hidden="1" customHeight="1" x14ac:dyDescent="0.3">
      <c r="A2314" s="34" t="s">
        <v>32</v>
      </c>
      <c r="B2314" s="61" t="s">
        <v>155</v>
      </c>
      <c r="C2314" s="61" t="s">
        <v>229</v>
      </c>
      <c r="D2314" s="69"/>
      <c r="E2314" s="74"/>
      <c r="F2314" s="80">
        <f>IFERROR(D2314*E2314,0)</f>
        <v>0</v>
      </c>
      <c r="G2314" s="61" t="str">
        <f>INDEX(SETORES!$B:$B,MATCH(A2314,SETORES!$A:$A,0))</f>
        <v>Funcionários</v>
      </c>
      <c r="H2314" s="61" t="s">
        <v>20</v>
      </c>
    </row>
    <row r="2315" spans="1:8" ht="14.25" hidden="1" customHeight="1" x14ac:dyDescent="0.3">
      <c r="A2315" s="2" t="s">
        <v>32</v>
      </c>
      <c r="B2315" s="60" t="s">
        <v>155</v>
      </c>
      <c r="C2315" s="60" t="s">
        <v>159</v>
      </c>
      <c r="D2315" s="68">
        <v>1</v>
      </c>
      <c r="E2315" s="73">
        <v>0</v>
      </c>
      <c r="F2315" s="79">
        <v>0</v>
      </c>
      <c r="G2315" s="60" t="str">
        <f>INDEX(SETORES!$B:$B,MATCH(A2315,SETORES!$A:$A,0))</f>
        <v>Funcionários</v>
      </c>
      <c r="H2315" s="60" t="s">
        <v>20</v>
      </c>
    </row>
    <row r="2316" spans="1:8" ht="14.25" hidden="1" customHeight="1" x14ac:dyDescent="0.3">
      <c r="A2316" s="34" t="s">
        <v>32</v>
      </c>
      <c r="B2316" s="61" t="s">
        <v>155</v>
      </c>
      <c r="C2316" s="61" t="s">
        <v>212</v>
      </c>
      <c r="D2316" s="69">
        <v>3</v>
      </c>
      <c r="E2316" s="74">
        <v>30</v>
      </c>
      <c r="F2316" s="80">
        <f>IFERROR(D2316*E2316,0)</f>
        <v>90</v>
      </c>
      <c r="G2316" s="61" t="str">
        <f>INDEX(SETORES!$B:$B,MATCH(A2316,SETORES!$A:$A,0))</f>
        <v>Funcionários</v>
      </c>
      <c r="H2316" s="61" t="s">
        <v>20</v>
      </c>
    </row>
    <row r="2317" spans="1:8" ht="14.25" hidden="1" customHeight="1" x14ac:dyDescent="0.3">
      <c r="A2317" s="2" t="s">
        <v>32</v>
      </c>
      <c r="B2317" s="60" t="s">
        <v>155</v>
      </c>
      <c r="C2317" s="60" t="s">
        <v>171</v>
      </c>
      <c r="D2317" s="68">
        <v>4</v>
      </c>
      <c r="E2317" s="73">
        <v>47.79</v>
      </c>
      <c r="F2317" s="79">
        <f>IFERROR(D2317*E2317,0)</f>
        <v>191.16</v>
      </c>
      <c r="G2317" s="60" t="s">
        <v>98</v>
      </c>
      <c r="H2317" s="60" t="s">
        <v>20</v>
      </c>
    </row>
    <row r="2318" spans="1:8" ht="14.25" hidden="1" customHeight="1" x14ac:dyDescent="0.3">
      <c r="A2318" s="34" t="s">
        <v>32</v>
      </c>
      <c r="B2318" s="61" t="s">
        <v>155</v>
      </c>
      <c r="C2318" s="61" t="s">
        <v>170</v>
      </c>
      <c r="D2318" s="69">
        <v>4</v>
      </c>
      <c r="E2318" s="74">
        <v>28.31</v>
      </c>
      <c r="F2318" s="80">
        <f>IFERROR(D2318*E2318,0)</f>
        <v>113.24</v>
      </c>
      <c r="G2318" s="61" t="s">
        <v>98</v>
      </c>
      <c r="H2318" s="61" t="s">
        <v>20</v>
      </c>
    </row>
    <row r="2319" spans="1:8" ht="14.25" customHeight="1" x14ac:dyDescent="0.3">
      <c r="A2319" s="2" t="s">
        <v>32</v>
      </c>
      <c r="B2319" s="60" t="s">
        <v>155</v>
      </c>
      <c r="C2319" s="60" t="s">
        <v>169</v>
      </c>
      <c r="D2319" s="68">
        <f>D2039</f>
        <v>7</v>
      </c>
      <c r="E2319" s="73">
        <v>64.569999999999993</v>
      </c>
      <c r="F2319" s="79">
        <f>IFERROR(D2319*E2319,0)</f>
        <v>451.98999999999995</v>
      </c>
      <c r="G2319" s="61" t="s">
        <v>98</v>
      </c>
      <c r="H2319" s="60" t="s">
        <v>20</v>
      </c>
    </row>
    <row r="2320" spans="1:8" ht="14.25" hidden="1" customHeight="1" x14ac:dyDescent="0.3">
      <c r="A2320" s="34" t="s">
        <v>32</v>
      </c>
      <c r="B2320" s="61" t="s">
        <v>155</v>
      </c>
      <c r="C2320" s="61" t="s">
        <v>158</v>
      </c>
      <c r="D2320" s="69">
        <v>1</v>
      </c>
      <c r="E2320" s="74">
        <v>34.043199999999999</v>
      </c>
      <c r="F2320" s="80">
        <v>34.043199999999999</v>
      </c>
      <c r="G2320" s="61" t="str">
        <f>INDEX(SETORES!$B:$B,MATCH(A2320,SETORES!$A:$A,0))</f>
        <v>Funcionários</v>
      </c>
      <c r="H2320" s="61" t="s">
        <v>20</v>
      </c>
    </row>
    <row r="2321" spans="1:8" ht="14.25" hidden="1" customHeight="1" x14ac:dyDescent="0.3">
      <c r="A2321" s="34" t="s">
        <v>32</v>
      </c>
      <c r="B2321" s="61" t="s">
        <v>162</v>
      </c>
      <c r="C2321" s="61" t="s">
        <v>225</v>
      </c>
      <c r="D2321" s="69"/>
      <c r="E2321" s="74"/>
      <c r="F2321" s="80">
        <f>IFERROR(D2321*E2321,0)</f>
        <v>0</v>
      </c>
      <c r="G2321" s="61" t="str">
        <f>INDEX(SETORES!$B:$B,MATCH(A2321,SETORES!$A:$A,0))</f>
        <v>Funcionários</v>
      </c>
      <c r="H2321" s="61" t="s">
        <v>20</v>
      </c>
    </row>
    <row r="2322" spans="1:8" ht="14.25" hidden="1" customHeight="1" x14ac:dyDescent="0.3">
      <c r="A2322" s="2" t="s">
        <v>32</v>
      </c>
      <c r="B2322" s="60" t="s">
        <v>162</v>
      </c>
      <c r="C2322" s="60" t="s">
        <v>226</v>
      </c>
      <c r="D2322" s="68"/>
      <c r="E2322" s="73"/>
      <c r="F2322" s="79">
        <f>IFERROR(D2322*E2322,0)</f>
        <v>0</v>
      </c>
      <c r="G2322" s="60" t="str">
        <f>INDEX(SETORES!$B:$B,MATCH(A2322,SETORES!$A:$A,0))</f>
        <v>Funcionários</v>
      </c>
      <c r="H2322" s="60" t="s">
        <v>20</v>
      </c>
    </row>
    <row r="2323" spans="1:8" ht="14.25" hidden="1" customHeight="1" x14ac:dyDescent="0.3">
      <c r="A2323" s="2" t="s">
        <v>32</v>
      </c>
      <c r="B2323" s="60" t="s">
        <v>155</v>
      </c>
      <c r="C2323" s="60" t="s">
        <v>161</v>
      </c>
      <c r="D2323" s="68">
        <v>1</v>
      </c>
      <c r="E2323" s="73">
        <v>21711.439999999999</v>
      </c>
      <c r="F2323" s="79">
        <f>IFERROR(E2323,0)</f>
        <v>21711.439999999999</v>
      </c>
      <c r="G2323" s="60" t="str">
        <f>INDEX(SETORES!$B:$B,MATCH(A2323,SETORES!$A:$A,0))</f>
        <v>Funcionários</v>
      </c>
      <c r="H2323" s="60" t="s">
        <v>20</v>
      </c>
    </row>
    <row r="2324" spans="1:8" ht="14.25" hidden="1" customHeight="1" x14ac:dyDescent="0.3">
      <c r="A2324" s="2" t="s">
        <v>32</v>
      </c>
      <c r="B2324" s="60" t="s">
        <v>155</v>
      </c>
      <c r="C2324" s="60" t="s">
        <v>167</v>
      </c>
      <c r="D2324" s="68">
        <v>4</v>
      </c>
      <c r="E2324" s="73">
        <v>10.050000000000001</v>
      </c>
      <c r="F2324" s="79">
        <f>IFERROR(D2324*E2324,0)</f>
        <v>40.200000000000003</v>
      </c>
      <c r="G2324" s="60" t="str">
        <f>INDEX(SETORES!$B:$B,MATCH(A2324,SETORES!$A:$A,0))</f>
        <v>Funcionários</v>
      </c>
      <c r="H2324" s="60" t="s">
        <v>20</v>
      </c>
    </row>
    <row r="2325" spans="1:8" ht="14.25" hidden="1" customHeight="1" x14ac:dyDescent="0.3">
      <c r="A2325" s="2" t="s">
        <v>32</v>
      </c>
      <c r="B2325" s="60" t="s">
        <v>155</v>
      </c>
      <c r="C2325" s="60" t="s">
        <v>238</v>
      </c>
      <c r="D2325" s="68">
        <v>1</v>
      </c>
      <c r="E2325" s="73">
        <v>4.4444439999999998</v>
      </c>
      <c r="F2325" s="79">
        <f>IFERROR(D2325*E2325,0)</f>
        <v>4.4444439999999998</v>
      </c>
      <c r="G2325" s="60" t="str">
        <f>INDEX(SETORES!$B:$B,MATCH(A2325,SETORES!$A:$A,0))</f>
        <v>Funcionários</v>
      </c>
      <c r="H2325" s="60" t="s">
        <v>20</v>
      </c>
    </row>
    <row r="2326" spans="1:8" ht="14.25" hidden="1" customHeight="1" x14ac:dyDescent="0.3">
      <c r="A2326" s="34" t="s">
        <v>32</v>
      </c>
      <c r="B2326" s="61" t="s">
        <v>155</v>
      </c>
      <c r="C2326" s="61" t="s">
        <v>166</v>
      </c>
      <c r="D2326" s="69">
        <v>4</v>
      </c>
      <c r="E2326" s="74">
        <v>50</v>
      </c>
      <c r="F2326" s="80">
        <f>IFERROR(D2326*E2326,0)</f>
        <v>200</v>
      </c>
      <c r="G2326" s="61" t="str">
        <f>INDEX(SETORES!$B:$B,MATCH(A2326,SETORES!$A:$A,0))</f>
        <v>Funcionários</v>
      </c>
      <c r="H2326" s="61" t="s">
        <v>20</v>
      </c>
    </row>
    <row r="2327" spans="1:8" ht="14.25" hidden="1" customHeight="1" x14ac:dyDescent="0.3">
      <c r="A2327" s="34" t="s">
        <v>32</v>
      </c>
      <c r="B2327" s="61" t="s">
        <v>155</v>
      </c>
      <c r="C2327" s="61" t="s">
        <v>156</v>
      </c>
      <c r="D2327" s="69"/>
      <c r="E2327" s="74"/>
      <c r="F2327" s="80">
        <v>0</v>
      </c>
      <c r="G2327" s="61" t="str">
        <f>INDEX(SETORES!$B:$B,MATCH(A2327,SETORES!$A:$A,0))</f>
        <v>Funcionários</v>
      </c>
      <c r="H2327" s="61" t="s">
        <v>20</v>
      </c>
    </row>
    <row r="2328" spans="1:8" ht="14.25" hidden="1" customHeight="1" x14ac:dyDescent="0.3">
      <c r="A2328" s="2" t="s">
        <v>32</v>
      </c>
      <c r="B2328" s="60" t="s">
        <v>155</v>
      </c>
      <c r="C2328" s="60" t="s">
        <v>157</v>
      </c>
      <c r="D2328" s="68">
        <v>1</v>
      </c>
      <c r="E2328" s="73">
        <v>65.7</v>
      </c>
      <c r="F2328" s="79">
        <v>65.7</v>
      </c>
      <c r="G2328" s="60" t="str">
        <f>INDEX(SETORES!$B:$B,MATCH(A2328,SETORES!$A:$A,0))</f>
        <v>Funcionários</v>
      </c>
      <c r="H2328" s="60" t="s">
        <v>20</v>
      </c>
    </row>
    <row r="2329" spans="1:8" ht="14.25" hidden="1" customHeight="1" x14ac:dyDescent="0.3">
      <c r="A2329" s="2" t="s">
        <v>32</v>
      </c>
      <c r="B2329" s="60" t="s">
        <v>155</v>
      </c>
      <c r="C2329" s="60" t="s">
        <v>230</v>
      </c>
      <c r="D2329" s="68"/>
      <c r="E2329" s="73"/>
      <c r="F2329" s="79">
        <f>IFERROR(D2329*E2329,0)</f>
        <v>0</v>
      </c>
      <c r="G2329" s="60" t="str">
        <f>INDEX(SETORES!$B:$B,MATCH(A2329,SETORES!$A:$A,0))</f>
        <v>Funcionários</v>
      </c>
      <c r="H2329" s="60" t="s">
        <v>20</v>
      </c>
    </row>
    <row r="2330" spans="1:8" ht="14.25" hidden="1" customHeight="1" x14ac:dyDescent="0.3">
      <c r="A2330" s="34" t="s">
        <v>32</v>
      </c>
      <c r="B2330" s="61" t="s">
        <v>155</v>
      </c>
      <c r="C2330" s="61" t="s">
        <v>174</v>
      </c>
      <c r="D2330" s="69">
        <v>1</v>
      </c>
      <c r="E2330" s="74">
        <v>2000</v>
      </c>
      <c r="F2330" s="80">
        <f>IFERROR(D2330*E2330,0)</f>
        <v>2000</v>
      </c>
      <c r="G2330" s="61" t="s">
        <v>98</v>
      </c>
      <c r="H2330" s="61" t="s">
        <v>20</v>
      </c>
    </row>
    <row r="2331" spans="1:8" ht="14.25" hidden="1" customHeight="1" x14ac:dyDescent="0.3">
      <c r="A2331" s="2" t="s">
        <v>32</v>
      </c>
      <c r="B2331" s="60" t="s">
        <v>162</v>
      </c>
      <c r="C2331" s="60" t="s">
        <v>228</v>
      </c>
      <c r="D2331" s="68"/>
      <c r="E2331" s="73"/>
      <c r="F2331" s="79">
        <f>IFERROR(D2331*E2331,0)</f>
        <v>0</v>
      </c>
      <c r="G2331" s="60" t="str">
        <f>INDEX(SETORES!$B:$B,MATCH(A2331,SETORES!$A:$A,0))</f>
        <v>Funcionários</v>
      </c>
      <c r="H2331" s="60" t="s">
        <v>20</v>
      </c>
    </row>
    <row r="2332" spans="1:8" ht="14.25" hidden="1" customHeight="1" x14ac:dyDescent="0.3">
      <c r="A2332" s="2" t="s">
        <v>32</v>
      </c>
      <c r="B2332" s="60" t="s">
        <v>162</v>
      </c>
      <c r="C2332" s="60" t="s">
        <v>222</v>
      </c>
      <c r="D2332" s="68"/>
      <c r="E2332" s="73"/>
      <c r="F2332" s="79">
        <f>IFERROR(D2332*E2332,0)</f>
        <v>0</v>
      </c>
      <c r="G2332" s="60" t="str">
        <f>INDEX(SETORES!$B:$B,MATCH(A2332,SETORES!$A:$A,0))</f>
        <v>Funcionários</v>
      </c>
      <c r="H2332" s="60" t="s">
        <v>20</v>
      </c>
    </row>
    <row r="2333" spans="1:8" ht="14.25" hidden="1" customHeight="1" x14ac:dyDescent="0.3">
      <c r="A2333" s="2" t="s">
        <v>32</v>
      </c>
      <c r="B2333" s="60" t="s">
        <v>155</v>
      </c>
      <c r="C2333" s="60" t="s">
        <v>175</v>
      </c>
      <c r="D2333" s="68">
        <v>1</v>
      </c>
      <c r="E2333" s="73">
        <v>2500</v>
      </c>
      <c r="F2333" s="79">
        <f>IFERROR(D2333*E2333,0)</f>
        <v>2500</v>
      </c>
      <c r="G2333" s="61" t="s">
        <v>98</v>
      </c>
      <c r="H2333" s="60" t="s">
        <v>20</v>
      </c>
    </row>
    <row r="2334" spans="1:8" ht="14.25" hidden="1" customHeight="1" x14ac:dyDescent="0.3">
      <c r="A2334" s="34" t="s">
        <v>32</v>
      </c>
      <c r="B2334" s="61" t="s">
        <v>155</v>
      </c>
      <c r="C2334" s="61" t="s">
        <v>176</v>
      </c>
      <c r="D2334" s="69">
        <v>1</v>
      </c>
      <c r="E2334" s="74">
        <v>2612.9</v>
      </c>
      <c r="F2334" s="80">
        <f>IFERROR(D2334*E2334,0)</f>
        <v>2612.9</v>
      </c>
      <c r="G2334" s="61" t="s">
        <v>98</v>
      </c>
      <c r="H2334" s="61" t="s">
        <v>20</v>
      </c>
    </row>
    <row r="2335" spans="1:8" ht="14.25" hidden="1" customHeight="1" x14ac:dyDescent="0.3">
      <c r="A2335" s="34" t="s">
        <v>32</v>
      </c>
      <c r="B2335" s="61" t="s">
        <v>155</v>
      </c>
      <c r="C2335" s="61" t="s">
        <v>168</v>
      </c>
      <c r="D2335" s="69">
        <v>4</v>
      </c>
      <c r="E2335" s="74">
        <v>2.0699999999999998</v>
      </c>
      <c r="F2335" s="80">
        <f>IFERROR(D2335*E2335,0)</f>
        <v>8.2799999999999994</v>
      </c>
      <c r="G2335" s="61" t="str">
        <f>INDEX(SETORES!$B:$B,MATCH(A2335,SETORES!$A:$A,0))</f>
        <v>Funcionários</v>
      </c>
      <c r="H2335" s="61" t="s">
        <v>20</v>
      </c>
    </row>
    <row r="2336" spans="1:8" ht="14.25" hidden="1" customHeight="1" x14ac:dyDescent="0.3">
      <c r="A2336" s="34" t="s">
        <v>32</v>
      </c>
      <c r="B2336" s="61" t="s">
        <v>155</v>
      </c>
      <c r="C2336" s="61" t="s">
        <v>160</v>
      </c>
      <c r="D2336" s="69"/>
      <c r="E2336" s="74"/>
      <c r="F2336" s="80">
        <f>IFERROR(D2336*E2336,0)</f>
        <v>0</v>
      </c>
      <c r="G2336" s="61" t="str">
        <f>INDEX(SETORES!$B:$B,MATCH(A2336,SETORES!$A:$A,0))</f>
        <v>Funcionários</v>
      </c>
      <c r="H2336" s="61" t="s">
        <v>20</v>
      </c>
    </row>
    <row r="2337" spans="1:8" ht="14.25" hidden="1" customHeight="1" x14ac:dyDescent="0.3">
      <c r="A2337" s="34" t="s">
        <v>32</v>
      </c>
      <c r="B2337" s="61" t="s">
        <v>155</v>
      </c>
      <c r="C2337" s="61" t="s">
        <v>227</v>
      </c>
      <c r="D2337" s="69"/>
      <c r="E2337" s="74"/>
      <c r="F2337" s="80">
        <f>IFERROR(D2337*E2337,0)</f>
        <v>0</v>
      </c>
      <c r="G2337" s="61" t="str">
        <f>INDEX(SETORES!$B:$B,MATCH(A2337,SETORES!$A:$A,0))</f>
        <v>Funcionários</v>
      </c>
      <c r="H2337" s="61" t="s">
        <v>20</v>
      </c>
    </row>
    <row r="2338" spans="1:8" ht="14.25" hidden="1" customHeight="1" x14ac:dyDescent="0.3">
      <c r="A2338" s="2" t="s">
        <v>44</v>
      </c>
      <c r="B2338" s="60" t="s">
        <v>155</v>
      </c>
      <c r="C2338" s="60" t="s">
        <v>159</v>
      </c>
      <c r="D2338" s="68">
        <v>6</v>
      </c>
      <c r="E2338" s="73">
        <v>0.63429999999999997</v>
      </c>
      <c r="F2338" s="79">
        <v>3.8058000000000001</v>
      </c>
      <c r="G2338" s="60" t="str">
        <f>INDEX(SETORES!$B:$B,MATCH(A2338,SETORES!$A:$A,0))</f>
        <v>Funcionários</v>
      </c>
      <c r="H2338" s="60" t="s">
        <v>20</v>
      </c>
    </row>
    <row r="2339" spans="1:8" ht="14.25" hidden="1" customHeight="1" x14ac:dyDescent="0.3">
      <c r="A2339" s="2" t="s">
        <v>44</v>
      </c>
      <c r="B2339" s="60" t="s">
        <v>155</v>
      </c>
      <c r="C2339" s="60" t="s">
        <v>212</v>
      </c>
      <c r="D2339" s="68">
        <v>4</v>
      </c>
      <c r="E2339" s="73">
        <v>30</v>
      </c>
      <c r="F2339" s="79">
        <v>120</v>
      </c>
      <c r="G2339" s="60" t="str">
        <f>INDEX(SETORES!$B:$B,MATCH(A2339,SETORES!$A:$A,0))</f>
        <v>Funcionários</v>
      </c>
      <c r="H2339" s="60" t="s">
        <v>20</v>
      </c>
    </row>
    <row r="2340" spans="1:8" ht="14.25" hidden="1" customHeight="1" x14ac:dyDescent="0.3">
      <c r="A2340" s="2" t="s">
        <v>44</v>
      </c>
      <c r="B2340" s="60" t="s">
        <v>162</v>
      </c>
      <c r="C2340" s="60" t="s">
        <v>217</v>
      </c>
      <c r="D2340" s="68">
        <v>1</v>
      </c>
      <c r="E2340" s="73">
        <v>4445.72</v>
      </c>
      <c r="F2340" s="79">
        <v>4445.72</v>
      </c>
      <c r="G2340" s="60" t="str">
        <f>INDEX(SETORES!$B:$B,MATCH(A2340,SETORES!$A:$A,0))</f>
        <v>Funcionários</v>
      </c>
      <c r="H2340" s="60" t="s">
        <v>20</v>
      </c>
    </row>
    <row r="2341" spans="1:8" ht="14.25" hidden="1" customHeight="1" x14ac:dyDescent="0.3">
      <c r="A2341" s="34" t="s">
        <v>44</v>
      </c>
      <c r="B2341" s="61" t="s">
        <v>155</v>
      </c>
      <c r="C2341" s="61" t="s">
        <v>171</v>
      </c>
      <c r="D2341" s="69">
        <v>6</v>
      </c>
      <c r="E2341" s="74">
        <v>47.79</v>
      </c>
      <c r="F2341" s="80">
        <f>IFERROR(D2341*E2341,0)</f>
        <v>286.74</v>
      </c>
      <c r="G2341" s="60" t="s">
        <v>98</v>
      </c>
      <c r="H2341" s="61" t="s">
        <v>20</v>
      </c>
    </row>
    <row r="2342" spans="1:8" ht="14.25" hidden="1" customHeight="1" x14ac:dyDescent="0.3">
      <c r="A2342" s="2" t="s">
        <v>44</v>
      </c>
      <c r="B2342" s="60" t="s">
        <v>155</v>
      </c>
      <c r="C2342" s="60" t="s">
        <v>170</v>
      </c>
      <c r="D2342" s="68">
        <v>6</v>
      </c>
      <c r="E2342" s="73">
        <v>28.31</v>
      </c>
      <c r="F2342" s="79">
        <f>IFERROR(D2342*E2342,0)</f>
        <v>169.85999999999999</v>
      </c>
      <c r="G2342" s="61" t="s">
        <v>98</v>
      </c>
      <c r="H2342" s="60" t="s">
        <v>20</v>
      </c>
    </row>
    <row r="2343" spans="1:8" ht="14.25" customHeight="1" x14ac:dyDescent="0.3">
      <c r="A2343" s="34" t="s">
        <v>44</v>
      </c>
      <c r="B2343" s="61" t="s">
        <v>155</v>
      </c>
      <c r="C2343" s="61" t="s">
        <v>169</v>
      </c>
      <c r="D2343" s="69">
        <v>6</v>
      </c>
      <c r="E2343" s="74">
        <v>64.569999999999993</v>
      </c>
      <c r="F2343" s="80">
        <f>IFERROR(D2343*E2343,0)</f>
        <v>387.41999999999996</v>
      </c>
      <c r="G2343" s="61" t="s">
        <v>98</v>
      </c>
      <c r="H2343" s="61" t="s">
        <v>20</v>
      </c>
    </row>
    <row r="2344" spans="1:8" ht="14.25" hidden="1" customHeight="1" x14ac:dyDescent="0.3">
      <c r="A2344" s="34" t="s">
        <v>44</v>
      </c>
      <c r="B2344" s="61" t="s">
        <v>155</v>
      </c>
      <c r="C2344" s="61" t="s">
        <v>158</v>
      </c>
      <c r="D2344" s="69">
        <v>6</v>
      </c>
      <c r="E2344" s="74">
        <v>24.8613</v>
      </c>
      <c r="F2344" s="80">
        <v>149.1678</v>
      </c>
      <c r="G2344" s="61" t="str">
        <f>INDEX(SETORES!$B:$B,MATCH(A2344,SETORES!$A:$A,0))</f>
        <v>Funcionários</v>
      </c>
      <c r="H2344" s="61" t="s">
        <v>20</v>
      </c>
    </row>
    <row r="2345" spans="1:8" ht="14.25" hidden="1" customHeight="1" x14ac:dyDescent="0.3">
      <c r="A2345" s="34" t="s">
        <v>44</v>
      </c>
      <c r="B2345" s="61" t="s">
        <v>162</v>
      </c>
      <c r="C2345" s="61" t="s">
        <v>221</v>
      </c>
      <c r="D2345" s="69"/>
      <c r="E2345" s="74"/>
      <c r="F2345" s="80">
        <f>IFERROR(D2345*E2345,0)</f>
        <v>0</v>
      </c>
      <c r="G2345" s="61" t="str">
        <f>INDEX(SETORES!$B:$B,MATCH(A2345,SETORES!$A:$A,0))</f>
        <v>Funcionários</v>
      </c>
      <c r="H2345" s="61" t="s">
        <v>20</v>
      </c>
    </row>
    <row r="2346" spans="1:8" ht="14.25" hidden="1" customHeight="1" x14ac:dyDescent="0.3">
      <c r="A2346" s="2" t="s">
        <v>44</v>
      </c>
      <c r="B2346" s="60" t="s">
        <v>162</v>
      </c>
      <c r="C2346" s="60" t="s">
        <v>165</v>
      </c>
      <c r="D2346" s="68"/>
      <c r="E2346" s="73"/>
      <c r="F2346" s="79">
        <f>IFERROR(D2346*E2346,0)</f>
        <v>0</v>
      </c>
      <c r="G2346" s="60" t="str">
        <f>INDEX(SETORES!$B:$B,MATCH(A2346,SETORES!$A:$A,0))</f>
        <v>Funcionários</v>
      </c>
      <c r="H2346" s="60" t="s">
        <v>20</v>
      </c>
    </row>
    <row r="2347" spans="1:8" ht="14.25" hidden="1" customHeight="1" x14ac:dyDescent="0.3">
      <c r="A2347" s="34" t="s">
        <v>44</v>
      </c>
      <c r="B2347" s="61" t="s">
        <v>162</v>
      </c>
      <c r="C2347" s="61" t="s">
        <v>163</v>
      </c>
      <c r="D2347" s="69"/>
      <c r="E2347" s="74"/>
      <c r="F2347" s="80">
        <f>IFERROR(D2347*E2347,0)</f>
        <v>0</v>
      </c>
      <c r="G2347" s="61" t="str">
        <f>INDEX(SETORES!$B:$B,MATCH(A2347,SETORES!$A:$A,0))</f>
        <v>Funcionários</v>
      </c>
      <c r="H2347" s="61" t="s">
        <v>20</v>
      </c>
    </row>
    <row r="2348" spans="1:8" ht="14.25" hidden="1" customHeight="1" x14ac:dyDescent="0.3">
      <c r="A2348" s="2" t="s">
        <v>44</v>
      </c>
      <c r="B2348" s="60" t="s">
        <v>162</v>
      </c>
      <c r="C2348" s="60" t="s">
        <v>164</v>
      </c>
      <c r="D2348" s="68"/>
      <c r="E2348" s="73"/>
      <c r="F2348" s="79">
        <f>IFERROR(D2348*E2348,0)</f>
        <v>0</v>
      </c>
      <c r="G2348" s="60" t="str">
        <f>INDEX(SETORES!$B:$B,MATCH(A2348,SETORES!$A:$A,0))</f>
        <v>Funcionários</v>
      </c>
      <c r="H2348" s="60" t="s">
        <v>20</v>
      </c>
    </row>
    <row r="2349" spans="1:8" ht="14.25" hidden="1" customHeight="1" x14ac:dyDescent="0.3">
      <c r="A2349" s="2" t="s">
        <v>44</v>
      </c>
      <c r="B2349" s="60" t="s">
        <v>155</v>
      </c>
      <c r="C2349" s="60" t="s">
        <v>161</v>
      </c>
      <c r="D2349" s="68">
        <v>1</v>
      </c>
      <c r="E2349" s="73">
        <v>38002.07</v>
      </c>
      <c r="F2349" s="79">
        <f>IFERROR(E2349,0)</f>
        <v>38002.07</v>
      </c>
      <c r="G2349" s="60" t="str">
        <f>INDEX(SETORES!$B:$B,MATCH(A2349,SETORES!$A:$A,0))</f>
        <v>Funcionários</v>
      </c>
      <c r="H2349" s="60" t="s">
        <v>20</v>
      </c>
    </row>
    <row r="2350" spans="1:8" ht="14.25" hidden="1" customHeight="1" x14ac:dyDescent="0.3">
      <c r="A2350" s="34" t="s">
        <v>44</v>
      </c>
      <c r="B2350" s="61" t="s">
        <v>155</v>
      </c>
      <c r="C2350" s="61" t="s">
        <v>167</v>
      </c>
      <c r="D2350" s="69">
        <v>6</v>
      </c>
      <c r="E2350" s="74">
        <v>10.050000000000001</v>
      </c>
      <c r="F2350" s="80">
        <f>IFERROR(D2350*E2350,0)</f>
        <v>60.300000000000004</v>
      </c>
      <c r="G2350" s="61" t="str">
        <f>INDEX(SETORES!$B:$B,MATCH(A2350,SETORES!$A:$A,0))</f>
        <v>Funcionários</v>
      </c>
      <c r="H2350" s="61" t="s">
        <v>20</v>
      </c>
    </row>
    <row r="2351" spans="1:8" ht="14.25" hidden="1" customHeight="1" x14ac:dyDescent="0.3">
      <c r="A2351" s="34" t="s">
        <v>44</v>
      </c>
      <c r="B2351" s="61" t="s">
        <v>155</v>
      </c>
      <c r="C2351" s="61" t="s">
        <v>166</v>
      </c>
      <c r="D2351" s="69">
        <v>9</v>
      </c>
      <c r="E2351" s="74">
        <v>50</v>
      </c>
      <c r="F2351" s="80">
        <f>IFERROR(D2351*E2351,0)</f>
        <v>450</v>
      </c>
      <c r="G2351" s="61" t="str">
        <f>INDEX(SETORES!$B:$B,MATCH(A2351,SETORES!$A:$A,0))</f>
        <v>Funcionários</v>
      </c>
      <c r="H2351" s="61" t="s">
        <v>20</v>
      </c>
    </row>
    <row r="2352" spans="1:8" ht="14.25" hidden="1" customHeight="1" x14ac:dyDescent="0.3">
      <c r="A2352" s="34" t="s">
        <v>44</v>
      </c>
      <c r="B2352" s="61" t="s">
        <v>155</v>
      </c>
      <c r="C2352" s="61" t="s">
        <v>156</v>
      </c>
      <c r="D2352" s="69"/>
      <c r="E2352" s="74"/>
      <c r="F2352" s="80">
        <v>0</v>
      </c>
      <c r="G2352" s="61" t="str">
        <f>INDEX(SETORES!$B:$B,MATCH(A2352,SETORES!$A:$A,0))</f>
        <v>Funcionários</v>
      </c>
      <c r="H2352" s="61" t="s">
        <v>20</v>
      </c>
    </row>
    <row r="2353" spans="1:8" ht="14.25" hidden="1" customHeight="1" x14ac:dyDescent="0.3">
      <c r="A2353" s="2" t="s">
        <v>44</v>
      </c>
      <c r="B2353" s="60" t="s">
        <v>155</v>
      </c>
      <c r="C2353" s="60" t="s">
        <v>157</v>
      </c>
      <c r="D2353" s="68"/>
      <c r="E2353" s="73"/>
      <c r="F2353" s="79">
        <v>0</v>
      </c>
      <c r="G2353" s="60" t="str">
        <f>INDEX(SETORES!$B:$B,MATCH(A2353,SETORES!$A:$A,0))</f>
        <v>Funcionários</v>
      </c>
      <c r="H2353" s="60" t="s">
        <v>20</v>
      </c>
    </row>
    <row r="2354" spans="1:8" ht="14.25" hidden="1" customHeight="1" x14ac:dyDescent="0.3">
      <c r="A2354" s="2" t="s">
        <v>44</v>
      </c>
      <c r="B2354" s="60" t="s">
        <v>162</v>
      </c>
      <c r="C2354" s="60" t="s">
        <v>232</v>
      </c>
      <c r="D2354" s="68">
        <v>1</v>
      </c>
      <c r="E2354" s="73">
        <v>7689.8</v>
      </c>
      <c r="F2354" s="79">
        <f>IFERROR(D2354*E2354,0)</f>
        <v>7689.8</v>
      </c>
      <c r="G2354" s="60" t="str">
        <f>INDEX(SETORES!$B:$B,MATCH(A2354,SETORES!$A:$A,0))</f>
        <v>Funcionários</v>
      </c>
      <c r="H2354" s="60" t="s">
        <v>20</v>
      </c>
    </row>
    <row r="2355" spans="1:8" ht="14.25" hidden="1" customHeight="1" x14ac:dyDescent="0.3">
      <c r="A2355" s="34" t="s">
        <v>44</v>
      </c>
      <c r="B2355" s="61" t="s">
        <v>162</v>
      </c>
      <c r="C2355" s="61" t="s">
        <v>209</v>
      </c>
      <c r="D2355" s="69">
        <v>6</v>
      </c>
      <c r="E2355" s="74">
        <v>89.55</v>
      </c>
      <c r="F2355" s="80">
        <f>IFERROR(D2355*E2355,0)</f>
        <v>537.29999999999995</v>
      </c>
      <c r="G2355" s="61" t="str">
        <f>INDEX(SETORES!$B:$B,MATCH(A2355,SETORES!$A:$A,0))</f>
        <v>Funcionários</v>
      </c>
      <c r="H2355" s="61" t="s">
        <v>20</v>
      </c>
    </row>
    <row r="2356" spans="1:8" ht="14.25" hidden="1" customHeight="1" x14ac:dyDescent="0.3">
      <c r="A2356" s="2" t="s">
        <v>44</v>
      </c>
      <c r="B2356" s="60" t="s">
        <v>155</v>
      </c>
      <c r="C2356" s="60" t="s">
        <v>168</v>
      </c>
      <c r="D2356" s="68">
        <v>6</v>
      </c>
      <c r="E2356" s="73">
        <v>2.0699999999999998</v>
      </c>
      <c r="F2356" s="79">
        <f>IFERROR(D2356*E2356,0)</f>
        <v>12.419999999999998</v>
      </c>
      <c r="G2356" s="60" t="str">
        <f>INDEX(SETORES!$B:$B,MATCH(A2356,SETORES!$A:$A,0))</f>
        <v>Funcionários</v>
      </c>
      <c r="H2356" s="60" t="s">
        <v>20</v>
      </c>
    </row>
    <row r="2357" spans="1:8" ht="14.25" hidden="1" customHeight="1" x14ac:dyDescent="0.3">
      <c r="A2357" s="34" t="s">
        <v>44</v>
      </c>
      <c r="B2357" s="61" t="s">
        <v>155</v>
      </c>
      <c r="C2357" s="61" t="s">
        <v>160</v>
      </c>
      <c r="D2357" s="69"/>
      <c r="E2357" s="74"/>
      <c r="F2357" s="80">
        <f>IFERROR(D2357*E2357,0)</f>
        <v>0</v>
      </c>
      <c r="G2357" s="61" t="str">
        <f>INDEX(SETORES!$B:$B,MATCH(A2357,SETORES!$A:$A,0))</f>
        <v>Funcionários</v>
      </c>
      <c r="H2357" s="61" t="s">
        <v>20</v>
      </c>
    </row>
    <row r="2358" spans="1:8" ht="14.25" hidden="1" customHeight="1" x14ac:dyDescent="0.3">
      <c r="A2358" s="2" t="s">
        <v>139</v>
      </c>
      <c r="B2358" s="60" t="s">
        <v>155</v>
      </c>
      <c r="C2358" s="60" t="s">
        <v>250</v>
      </c>
      <c r="D2358" s="68">
        <v>1</v>
      </c>
      <c r="E2358" s="73">
        <v>906.69</v>
      </c>
      <c r="F2358" s="79">
        <f>IFERROR(D2358*E2358,0)</f>
        <v>906.69</v>
      </c>
      <c r="G2358" s="60" t="str">
        <f>INDEX(SETORES!$B:$B,MATCH(A2358,SETORES!$A:$A,0))</f>
        <v>Funcionários</v>
      </c>
      <c r="H2358" s="60" t="s">
        <v>20</v>
      </c>
    </row>
    <row r="2359" spans="1:8" ht="14.25" hidden="1" customHeight="1" x14ac:dyDescent="0.3">
      <c r="A2359" s="2" t="s">
        <v>139</v>
      </c>
      <c r="B2359" s="60" t="s">
        <v>155</v>
      </c>
      <c r="C2359" s="60" t="s">
        <v>171</v>
      </c>
      <c r="D2359" s="68">
        <v>5</v>
      </c>
      <c r="E2359" s="73">
        <v>47.79</v>
      </c>
      <c r="F2359" s="79">
        <f>IFERROR(D2359*E2359,0)</f>
        <v>238.95</v>
      </c>
      <c r="G2359" s="60" t="s">
        <v>98</v>
      </c>
      <c r="H2359" s="60" t="s">
        <v>20</v>
      </c>
    </row>
    <row r="2360" spans="1:8" ht="14.25" hidden="1" customHeight="1" x14ac:dyDescent="0.3">
      <c r="A2360" s="2" t="s">
        <v>139</v>
      </c>
      <c r="B2360" s="60" t="s">
        <v>155</v>
      </c>
      <c r="C2360" s="60" t="s">
        <v>170</v>
      </c>
      <c r="D2360" s="68">
        <v>5</v>
      </c>
      <c r="E2360" s="73">
        <v>28.31</v>
      </c>
      <c r="F2360" s="79">
        <f>IFERROR(D2360*E2360,0)</f>
        <v>141.54999999999998</v>
      </c>
      <c r="G2360" s="61" t="s">
        <v>98</v>
      </c>
      <c r="H2360" s="60" t="s">
        <v>20</v>
      </c>
    </row>
    <row r="2361" spans="1:8" ht="14.25" customHeight="1" x14ac:dyDescent="0.3">
      <c r="A2361" s="2" t="s">
        <v>139</v>
      </c>
      <c r="B2361" s="60" t="s">
        <v>155</v>
      </c>
      <c r="C2361" s="60" t="s">
        <v>169</v>
      </c>
      <c r="D2361" s="68">
        <v>5</v>
      </c>
      <c r="E2361" s="73">
        <v>64.569999999999993</v>
      </c>
      <c r="F2361" s="79">
        <f>IFERROR(D2361*E2361,0)</f>
        <v>322.84999999999997</v>
      </c>
      <c r="G2361" s="61" t="s">
        <v>98</v>
      </c>
      <c r="H2361" s="60" t="s">
        <v>20</v>
      </c>
    </row>
    <row r="2362" spans="1:8" ht="14.25" hidden="1" customHeight="1" x14ac:dyDescent="0.3">
      <c r="A2362" s="34" t="s">
        <v>139</v>
      </c>
      <c r="B2362" s="61" t="s">
        <v>155</v>
      </c>
      <c r="C2362" s="61" t="s">
        <v>161</v>
      </c>
      <c r="D2362" s="69">
        <v>1</v>
      </c>
      <c r="E2362" s="74">
        <v>13579.53</v>
      </c>
      <c r="F2362" s="80">
        <v>13579.53</v>
      </c>
      <c r="G2362" s="61" t="str">
        <f>INDEX(SETORES!$B:$B,MATCH(A2362,SETORES!$A:$A,0))</f>
        <v>Funcionários</v>
      </c>
      <c r="H2362" s="61" t="s">
        <v>20</v>
      </c>
    </row>
    <row r="2363" spans="1:8" ht="14.25" hidden="1" customHeight="1" x14ac:dyDescent="0.3">
      <c r="A2363" s="2" t="s">
        <v>139</v>
      </c>
      <c r="B2363" s="60" t="s">
        <v>155</v>
      </c>
      <c r="C2363" s="60" t="s">
        <v>167</v>
      </c>
      <c r="D2363" s="68">
        <v>5</v>
      </c>
      <c r="E2363" s="73">
        <v>10.050000000000001</v>
      </c>
      <c r="F2363" s="79">
        <f>IFERROR(D2363*E2363,0)</f>
        <v>50.25</v>
      </c>
      <c r="G2363" s="60" t="str">
        <f>INDEX(SETORES!$B:$B,MATCH(A2363,SETORES!$A:$A,0))</f>
        <v>Funcionários</v>
      </c>
      <c r="H2363" s="60" t="s">
        <v>20</v>
      </c>
    </row>
    <row r="2364" spans="1:8" ht="14.25" hidden="1" customHeight="1" x14ac:dyDescent="0.3">
      <c r="A2364" s="34" t="s">
        <v>139</v>
      </c>
      <c r="B2364" s="61" t="s">
        <v>155</v>
      </c>
      <c r="C2364" s="61" t="s">
        <v>168</v>
      </c>
      <c r="D2364" s="69">
        <v>5</v>
      </c>
      <c r="E2364" s="74">
        <v>2.0699999999999998</v>
      </c>
      <c r="F2364" s="80">
        <f>IFERROR(D2364*E2364,0)</f>
        <v>10.35</v>
      </c>
      <c r="G2364" s="61" t="str">
        <f>INDEX(SETORES!$B:$B,MATCH(A2364,SETORES!$A:$A,0))</f>
        <v>Funcionários</v>
      </c>
      <c r="H2364" s="61" t="s">
        <v>20</v>
      </c>
    </row>
    <row r="2365" spans="1:8" ht="14.25" hidden="1" customHeight="1" x14ac:dyDescent="0.3">
      <c r="A2365" s="2" t="s">
        <v>53</v>
      </c>
      <c r="B2365" s="60" t="s">
        <v>155</v>
      </c>
      <c r="C2365" s="60" t="s">
        <v>159</v>
      </c>
      <c r="D2365" s="68">
        <v>1</v>
      </c>
      <c r="E2365" s="73">
        <v>0</v>
      </c>
      <c r="F2365" s="79">
        <v>0</v>
      </c>
      <c r="G2365" s="60" t="str">
        <f>INDEX(SETORES!$B:$B,MATCH(A2365,SETORES!$A:$A,0))</f>
        <v>Clientes</v>
      </c>
      <c r="H2365" s="60" t="s">
        <v>20</v>
      </c>
    </row>
    <row r="2366" spans="1:8" ht="14.25" hidden="1" customHeight="1" x14ac:dyDescent="0.3">
      <c r="A2366" s="2" t="s">
        <v>53</v>
      </c>
      <c r="B2366" s="60" t="s">
        <v>162</v>
      </c>
      <c r="C2366" s="60" t="s">
        <v>217</v>
      </c>
      <c r="D2366" s="68"/>
      <c r="E2366" s="73"/>
      <c r="F2366" s="79">
        <f>IFERROR(D2366*E2366,0)</f>
        <v>0</v>
      </c>
      <c r="G2366" s="60" t="str">
        <f>INDEX(SETORES!$B:$B,MATCH(A2366,SETORES!$A:$A,0))</f>
        <v>Clientes</v>
      </c>
      <c r="H2366" s="60" t="s">
        <v>20</v>
      </c>
    </row>
    <row r="2367" spans="1:8" ht="14.25" hidden="1" customHeight="1" x14ac:dyDescent="0.3">
      <c r="A2367" s="34" t="s">
        <v>53</v>
      </c>
      <c r="B2367" s="61" t="s">
        <v>155</v>
      </c>
      <c r="C2367" s="61" t="s">
        <v>249</v>
      </c>
      <c r="D2367" s="69">
        <v>1</v>
      </c>
      <c r="E2367" s="74">
        <v>3769.34</v>
      </c>
      <c r="F2367" s="80">
        <f>IFERROR(D2367*E2367,0)</f>
        <v>3769.34</v>
      </c>
      <c r="G2367" s="61" t="str">
        <f>INDEX(SETORES!$B:$B,MATCH(A2367,SETORES!$A:$A,0))</f>
        <v>Clientes</v>
      </c>
      <c r="H2367" s="61" t="s">
        <v>20</v>
      </c>
    </row>
    <row r="2368" spans="1:8" ht="14.25" hidden="1" customHeight="1" x14ac:dyDescent="0.3">
      <c r="A2368" s="2" t="s">
        <v>53</v>
      </c>
      <c r="B2368" s="60" t="s">
        <v>155</v>
      </c>
      <c r="C2368" s="60" t="s">
        <v>171</v>
      </c>
      <c r="D2368" s="68">
        <v>31</v>
      </c>
      <c r="E2368" s="73">
        <v>47.79</v>
      </c>
      <c r="F2368" s="79">
        <f>IFERROR(D2368*E2368,0)</f>
        <v>1481.49</v>
      </c>
      <c r="G2368" s="60" t="s">
        <v>98</v>
      </c>
      <c r="H2368" s="60" t="s">
        <v>20</v>
      </c>
    </row>
    <row r="2369" spans="1:8" ht="14.25" hidden="1" customHeight="1" x14ac:dyDescent="0.3">
      <c r="A2369" s="34" t="s">
        <v>53</v>
      </c>
      <c r="B2369" s="61" t="s">
        <v>155</v>
      </c>
      <c r="C2369" s="61" t="s">
        <v>170</v>
      </c>
      <c r="D2369" s="69">
        <v>31</v>
      </c>
      <c r="E2369" s="74">
        <v>28.31</v>
      </c>
      <c r="F2369" s="80">
        <f>IFERROR(D2369*E2369,0)</f>
        <v>877.61</v>
      </c>
      <c r="G2369" s="61" t="s">
        <v>98</v>
      </c>
      <c r="H2369" s="61" t="s">
        <v>20</v>
      </c>
    </row>
    <row r="2370" spans="1:8" ht="14.25" customHeight="1" x14ac:dyDescent="0.3">
      <c r="A2370" s="2" t="s">
        <v>53</v>
      </c>
      <c r="B2370" s="60" t="s">
        <v>155</v>
      </c>
      <c r="C2370" s="60" t="s">
        <v>169</v>
      </c>
      <c r="D2370" s="68">
        <v>31</v>
      </c>
      <c r="E2370" s="73">
        <v>64.569999999999993</v>
      </c>
      <c r="F2370" s="79">
        <f>IFERROR(D2370*E2370,0)</f>
        <v>2001.6699999999998</v>
      </c>
      <c r="G2370" s="61" t="s">
        <v>98</v>
      </c>
      <c r="H2370" s="60" t="s">
        <v>20</v>
      </c>
    </row>
    <row r="2371" spans="1:8" ht="14.25" hidden="1" customHeight="1" x14ac:dyDescent="0.3">
      <c r="A2371" s="34" t="s">
        <v>53</v>
      </c>
      <c r="B2371" s="61" t="s">
        <v>162</v>
      </c>
      <c r="C2371" s="61" t="s">
        <v>192</v>
      </c>
      <c r="D2371" s="69">
        <v>1</v>
      </c>
      <c r="E2371" s="74">
        <v>242.73</v>
      </c>
      <c r="F2371" s="80">
        <f>IFERROR(D2371*E2371,0)</f>
        <v>242.73</v>
      </c>
      <c r="G2371" s="61" t="str">
        <f>INDEX(SETORES!$B:$B,MATCH(A2371,SETORES!$A:$A,0))</f>
        <v>Clientes</v>
      </c>
      <c r="H2371" s="61" t="s">
        <v>20</v>
      </c>
    </row>
    <row r="2372" spans="1:8" ht="14.25" hidden="1" customHeight="1" x14ac:dyDescent="0.3">
      <c r="A2372" s="34" t="s">
        <v>53</v>
      </c>
      <c r="B2372" s="61" t="s">
        <v>162</v>
      </c>
      <c r="C2372" s="61" t="s">
        <v>194</v>
      </c>
      <c r="D2372" s="69">
        <v>1</v>
      </c>
      <c r="E2372" s="74">
        <v>23.5</v>
      </c>
      <c r="F2372" s="80">
        <f>IFERROR(D2372*E2372,0)</f>
        <v>23.5</v>
      </c>
      <c r="G2372" s="61" t="str">
        <f>INDEX(SETORES!$B:$B,MATCH(A2372,SETORES!$A:$A,0))</f>
        <v>Clientes</v>
      </c>
      <c r="H2372" s="61" t="s">
        <v>20</v>
      </c>
    </row>
    <row r="2373" spans="1:8" ht="14.25" hidden="1" customHeight="1" x14ac:dyDescent="0.3">
      <c r="A2373" s="34" t="s">
        <v>53</v>
      </c>
      <c r="B2373" s="61" t="s">
        <v>155</v>
      </c>
      <c r="C2373" s="61" t="s">
        <v>158</v>
      </c>
      <c r="D2373" s="69">
        <v>1</v>
      </c>
      <c r="E2373" s="74">
        <v>263.83460000000002</v>
      </c>
      <c r="F2373" s="80">
        <v>263.83460000000002</v>
      </c>
      <c r="G2373" s="61" t="str">
        <f>INDEX(SETORES!$B:$B,MATCH(A2373,SETORES!$A:$A,0))</f>
        <v>Clientes</v>
      </c>
      <c r="H2373" s="61" t="s">
        <v>20</v>
      </c>
    </row>
    <row r="2374" spans="1:8" ht="14.25" hidden="1" customHeight="1" x14ac:dyDescent="0.3">
      <c r="A2374" s="34" t="s">
        <v>53</v>
      </c>
      <c r="B2374" s="61" t="s">
        <v>162</v>
      </c>
      <c r="C2374" s="61" t="s">
        <v>165</v>
      </c>
      <c r="D2374" s="69">
        <v>1</v>
      </c>
      <c r="E2374" s="74">
        <v>9622.9</v>
      </c>
      <c r="F2374" s="80">
        <f>IFERROR(D2374*E2374,0)</f>
        <v>9622.9</v>
      </c>
      <c r="G2374" s="61" t="str">
        <f>INDEX(SETORES!$B:$B,MATCH(A2374,SETORES!$A:$A,0))</f>
        <v>Clientes</v>
      </c>
      <c r="H2374" s="61" t="s">
        <v>20</v>
      </c>
    </row>
    <row r="2375" spans="1:8" ht="14.25" hidden="1" customHeight="1" x14ac:dyDescent="0.3">
      <c r="A2375" s="2" t="s">
        <v>53</v>
      </c>
      <c r="B2375" s="60" t="s">
        <v>155</v>
      </c>
      <c r="C2375" s="60" t="s">
        <v>161</v>
      </c>
      <c r="D2375" s="68">
        <v>1</v>
      </c>
      <c r="E2375" s="73">
        <v>92773.57</v>
      </c>
      <c r="F2375" s="79">
        <f>IFERROR(E2375,0)</f>
        <v>92773.57</v>
      </c>
      <c r="G2375" s="60" t="str">
        <f>INDEX(SETORES!$B:$B,MATCH(A2375,SETORES!$A:$A,0))</f>
        <v>Clientes</v>
      </c>
      <c r="H2375" s="60" t="s">
        <v>20</v>
      </c>
    </row>
    <row r="2376" spans="1:8" ht="14.25" hidden="1" customHeight="1" x14ac:dyDescent="0.3">
      <c r="A2376" s="2" t="s">
        <v>53</v>
      </c>
      <c r="B2376" s="60" t="s">
        <v>155</v>
      </c>
      <c r="C2376" s="60" t="s">
        <v>167</v>
      </c>
      <c r="D2376" s="68">
        <v>31</v>
      </c>
      <c r="E2376" s="73">
        <v>10.050000000000001</v>
      </c>
      <c r="F2376" s="79">
        <f>IFERROR(D2376*E2376,0)</f>
        <v>311.55</v>
      </c>
      <c r="G2376" s="60" t="str">
        <f>INDEX(SETORES!$B:$B,MATCH(A2376,SETORES!$A:$A,0))</f>
        <v>Clientes</v>
      </c>
      <c r="H2376" s="60" t="s">
        <v>20</v>
      </c>
    </row>
    <row r="2377" spans="1:8" ht="14.25" hidden="1" customHeight="1" x14ac:dyDescent="0.3">
      <c r="A2377" s="34" t="s">
        <v>53</v>
      </c>
      <c r="B2377" s="61" t="s">
        <v>155</v>
      </c>
      <c r="C2377" s="61" t="s">
        <v>166</v>
      </c>
      <c r="D2377" s="69">
        <v>31</v>
      </c>
      <c r="E2377" s="74"/>
      <c r="F2377" s="80">
        <f>IFERROR(D2377*E2377,0)</f>
        <v>0</v>
      </c>
      <c r="G2377" s="61" t="str">
        <f>INDEX(SETORES!$B:$B,MATCH(A2377,SETORES!$A:$A,0))</f>
        <v>Clientes</v>
      </c>
      <c r="H2377" s="61" t="s">
        <v>20</v>
      </c>
    </row>
    <row r="2378" spans="1:8" ht="14.25" hidden="1" customHeight="1" x14ac:dyDescent="0.3">
      <c r="A2378" s="34" t="s">
        <v>53</v>
      </c>
      <c r="B2378" s="61" t="s">
        <v>155</v>
      </c>
      <c r="C2378" s="61" t="s">
        <v>156</v>
      </c>
      <c r="D2378" s="69">
        <v>31</v>
      </c>
      <c r="E2378" s="74">
        <v>0.36480000000000001</v>
      </c>
      <c r="F2378" s="80">
        <v>11.3088</v>
      </c>
      <c r="G2378" s="61" t="str">
        <f>INDEX(SETORES!$B:$B,MATCH(A2378,SETORES!$A:$A,0))</f>
        <v>Clientes</v>
      </c>
      <c r="H2378" s="61" t="s">
        <v>20</v>
      </c>
    </row>
    <row r="2379" spans="1:8" ht="14.25" hidden="1" customHeight="1" x14ac:dyDescent="0.3">
      <c r="A2379" s="2" t="s">
        <v>53</v>
      </c>
      <c r="B2379" s="60" t="s">
        <v>155</v>
      </c>
      <c r="C2379" s="60" t="s">
        <v>157</v>
      </c>
      <c r="D2379" s="68">
        <v>1</v>
      </c>
      <c r="E2379" s="73">
        <v>877.24120700000003</v>
      </c>
      <c r="F2379" s="79">
        <v>877.24120700000003</v>
      </c>
      <c r="G2379" s="60" t="str">
        <f>INDEX(SETORES!$B:$B,MATCH(A2379,SETORES!$A:$A,0))</f>
        <v>Clientes</v>
      </c>
      <c r="H2379" s="60" t="s">
        <v>20</v>
      </c>
    </row>
    <row r="2380" spans="1:8" ht="14.25" hidden="1" customHeight="1" x14ac:dyDescent="0.3">
      <c r="A2380" s="2" t="s">
        <v>53</v>
      </c>
      <c r="B2380" s="60" t="s">
        <v>162</v>
      </c>
      <c r="C2380" s="60" t="s">
        <v>222</v>
      </c>
      <c r="D2380" s="68"/>
      <c r="E2380" s="73"/>
      <c r="F2380" s="79">
        <f>IFERROR(D2380*E2380,0)</f>
        <v>0</v>
      </c>
      <c r="G2380" s="60" t="str">
        <f>INDEX(SETORES!$B:$B,MATCH(A2380,SETORES!$A:$A,0))</f>
        <v>Clientes</v>
      </c>
      <c r="H2380" s="60" t="s">
        <v>20</v>
      </c>
    </row>
    <row r="2381" spans="1:8" ht="14.25" hidden="1" customHeight="1" x14ac:dyDescent="0.3">
      <c r="A2381" s="2" t="s">
        <v>53</v>
      </c>
      <c r="B2381" s="60" t="s">
        <v>155</v>
      </c>
      <c r="C2381" s="60" t="s">
        <v>189</v>
      </c>
      <c r="D2381" s="68">
        <v>1</v>
      </c>
      <c r="E2381" s="73">
        <v>668.10344399999997</v>
      </c>
      <c r="F2381" s="79">
        <f>IFERROR(D2381*E2381,0)</f>
        <v>668.10344399999997</v>
      </c>
      <c r="G2381" s="60" t="str">
        <f>INDEX(SETORES!$B:$B,MATCH(A2381,SETORES!$A:$A,0))</f>
        <v>Clientes</v>
      </c>
      <c r="H2381" s="60" t="s">
        <v>20</v>
      </c>
    </row>
    <row r="2382" spans="1:8" ht="14.25" hidden="1" customHeight="1" x14ac:dyDescent="0.3">
      <c r="A2382" s="34" t="s">
        <v>53</v>
      </c>
      <c r="B2382" s="61" t="s">
        <v>155</v>
      </c>
      <c r="C2382" s="61" t="s">
        <v>190</v>
      </c>
      <c r="D2382" s="69">
        <v>1</v>
      </c>
      <c r="E2382" s="74">
        <v>89.079554000000002</v>
      </c>
      <c r="F2382" s="80">
        <f>IFERROR(D2382*E2382,0)</f>
        <v>89.079554000000002</v>
      </c>
      <c r="G2382" s="61" t="str">
        <f>INDEX(SETORES!$B:$B,MATCH(A2382,SETORES!$A:$A,0))</f>
        <v>Clientes</v>
      </c>
      <c r="H2382" s="61" t="s">
        <v>20</v>
      </c>
    </row>
    <row r="2383" spans="1:8" ht="14.25" hidden="1" customHeight="1" x14ac:dyDescent="0.3">
      <c r="A2383" s="2" t="s">
        <v>53</v>
      </c>
      <c r="B2383" s="60" t="s">
        <v>162</v>
      </c>
      <c r="C2383" s="60" t="s">
        <v>191</v>
      </c>
      <c r="D2383" s="68">
        <v>1</v>
      </c>
      <c r="E2383" s="73">
        <v>246.88561200000001</v>
      </c>
      <c r="F2383" s="79">
        <f>IFERROR(D2383*E2383,0)</f>
        <v>246.88561200000001</v>
      </c>
      <c r="G2383" s="60" t="str">
        <f>INDEX(SETORES!$B:$B,MATCH(A2383,SETORES!$A:$A,0))</f>
        <v>Clientes</v>
      </c>
      <c r="H2383" s="60" t="s">
        <v>20</v>
      </c>
    </row>
    <row r="2384" spans="1:8" ht="14.25" hidden="1" customHeight="1" x14ac:dyDescent="0.3">
      <c r="A2384" s="2" t="s">
        <v>53</v>
      </c>
      <c r="B2384" s="60" t="s">
        <v>155</v>
      </c>
      <c r="C2384" s="60" t="s">
        <v>187</v>
      </c>
      <c r="D2384" s="68">
        <v>1</v>
      </c>
      <c r="E2384" s="73">
        <v>1421.0800830000001</v>
      </c>
      <c r="F2384" s="79">
        <f>IFERROR(D2384*E2384,0)</f>
        <v>1421.0800830000001</v>
      </c>
      <c r="G2384" s="60" t="str">
        <f>INDEX(SETORES!$B:$B,MATCH(A2384,SETORES!$A:$A,0))</f>
        <v>Clientes</v>
      </c>
      <c r="H2384" s="60" t="s">
        <v>20</v>
      </c>
    </row>
    <row r="2385" spans="1:8" ht="14.25" hidden="1" customHeight="1" x14ac:dyDescent="0.3">
      <c r="A2385" s="34" t="s">
        <v>53</v>
      </c>
      <c r="B2385" s="61" t="s">
        <v>155</v>
      </c>
      <c r="C2385" s="61" t="s">
        <v>168</v>
      </c>
      <c r="D2385" s="69">
        <v>31</v>
      </c>
      <c r="E2385" s="74">
        <v>2.0699999999999998</v>
      </c>
      <c r="F2385" s="80">
        <f>IFERROR(D2385*E2385,0)</f>
        <v>64.17</v>
      </c>
      <c r="G2385" s="61" t="str">
        <f>INDEX(SETORES!$B:$B,MATCH(A2385,SETORES!$A:$A,0))</f>
        <v>Clientes</v>
      </c>
      <c r="H2385" s="61" t="s">
        <v>20</v>
      </c>
    </row>
    <row r="2386" spans="1:8" ht="14.25" hidden="1" customHeight="1" x14ac:dyDescent="0.3">
      <c r="A2386" s="34" t="s">
        <v>53</v>
      </c>
      <c r="B2386" s="61" t="s">
        <v>155</v>
      </c>
      <c r="C2386" s="61" t="s">
        <v>188</v>
      </c>
      <c r="D2386" s="69">
        <v>1</v>
      </c>
      <c r="E2386" s="74">
        <v>1641.85</v>
      </c>
      <c r="F2386" s="80">
        <f>IFERROR(D2386*E2386,0)</f>
        <v>1641.85</v>
      </c>
      <c r="G2386" s="61" t="str">
        <f>INDEX(SETORES!$B:$B,MATCH(A2386,SETORES!$A:$A,0))</f>
        <v>Clientes</v>
      </c>
      <c r="H2386" s="61" t="s">
        <v>20</v>
      </c>
    </row>
    <row r="2387" spans="1:8" ht="14.25" hidden="1" customHeight="1" x14ac:dyDescent="0.3">
      <c r="A2387" s="34" t="s">
        <v>53</v>
      </c>
      <c r="B2387" s="61" t="s">
        <v>155</v>
      </c>
      <c r="C2387" s="61" t="s">
        <v>160</v>
      </c>
      <c r="D2387" s="69"/>
      <c r="E2387" s="74"/>
      <c r="F2387" s="80">
        <f>IFERROR(D2387*E2387,0)</f>
        <v>0</v>
      </c>
      <c r="G2387" s="61" t="str">
        <f>INDEX(SETORES!$B:$B,MATCH(A2387,SETORES!$A:$A,0))</f>
        <v>Clientes</v>
      </c>
      <c r="H2387" s="61" t="s">
        <v>20</v>
      </c>
    </row>
    <row r="2388" spans="1:8" ht="14.25" hidden="1" customHeight="1" x14ac:dyDescent="0.3">
      <c r="A2388" s="2" t="s">
        <v>53</v>
      </c>
      <c r="B2388" s="60" t="s">
        <v>155</v>
      </c>
      <c r="C2388" s="60" t="s">
        <v>193</v>
      </c>
      <c r="D2388" s="68">
        <v>1</v>
      </c>
      <c r="E2388" s="73">
        <v>52</v>
      </c>
      <c r="F2388" s="79">
        <f>IFERROR(D2388*E2388,0)</f>
        <v>52</v>
      </c>
      <c r="G2388" s="60" t="str">
        <f>INDEX(SETORES!$B:$B,MATCH(A2388,SETORES!$A:$A,0))</f>
        <v>Clientes</v>
      </c>
      <c r="H2388" s="60" t="s">
        <v>20</v>
      </c>
    </row>
    <row r="2389" spans="1:8" ht="14.25" hidden="1" customHeight="1" x14ac:dyDescent="0.3">
      <c r="A2389" s="34" t="s">
        <v>52</v>
      </c>
      <c r="B2389" s="61" t="s">
        <v>155</v>
      </c>
      <c r="C2389" s="61" t="s">
        <v>159</v>
      </c>
      <c r="D2389" s="69">
        <v>1</v>
      </c>
      <c r="E2389" s="74">
        <v>0</v>
      </c>
      <c r="F2389" s="80">
        <v>0</v>
      </c>
      <c r="G2389" s="61" t="str">
        <f>INDEX(SETORES!$B:$B,MATCH(A2389,SETORES!$A:$A,0))</f>
        <v>Clientes</v>
      </c>
      <c r="H2389" s="61" t="s">
        <v>20</v>
      </c>
    </row>
    <row r="2390" spans="1:8" ht="14.25" hidden="1" customHeight="1" x14ac:dyDescent="0.3">
      <c r="A2390" s="2" t="s">
        <v>52</v>
      </c>
      <c r="B2390" s="60" t="s">
        <v>155</v>
      </c>
      <c r="C2390" s="60" t="s">
        <v>249</v>
      </c>
      <c r="D2390" s="68">
        <v>1</v>
      </c>
      <c r="E2390" s="73">
        <v>1094.33</v>
      </c>
      <c r="F2390" s="79">
        <f>IFERROR(D2390*E2390,0)</f>
        <v>1094.33</v>
      </c>
      <c r="G2390" s="60" t="str">
        <f>INDEX(SETORES!$B:$B,MATCH(A2390,SETORES!$A:$A,0))</f>
        <v>Clientes</v>
      </c>
      <c r="H2390" s="60" t="s">
        <v>20</v>
      </c>
    </row>
    <row r="2391" spans="1:8" ht="14.25" hidden="1" customHeight="1" x14ac:dyDescent="0.3">
      <c r="A2391" s="2" t="s">
        <v>52</v>
      </c>
      <c r="B2391" s="60" t="s">
        <v>155</v>
      </c>
      <c r="C2391" s="60" t="s">
        <v>171</v>
      </c>
      <c r="D2391" s="68">
        <v>9</v>
      </c>
      <c r="E2391" s="73">
        <v>47.79</v>
      </c>
      <c r="F2391" s="79">
        <f>IFERROR(D2391*E2391,0)</f>
        <v>430.11</v>
      </c>
      <c r="G2391" s="60" t="s">
        <v>98</v>
      </c>
      <c r="H2391" s="60" t="s">
        <v>20</v>
      </c>
    </row>
    <row r="2392" spans="1:8" ht="14.25" hidden="1" customHeight="1" x14ac:dyDescent="0.3">
      <c r="A2392" s="34" t="s">
        <v>52</v>
      </c>
      <c r="B2392" s="61" t="s">
        <v>155</v>
      </c>
      <c r="C2392" s="61" t="s">
        <v>170</v>
      </c>
      <c r="D2392" s="69">
        <v>9</v>
      </c>
      <c r="E2392" s="74">
        <v>28.31</v>
      </c>
      <c r="F2392" s="80">
        <f>IFERROR(D2392*E2392,0)</f>
        <v>254.79</v>
      </c>
      <c r="G2392" s="61" t="s">
        <v>98</v>
      </c>
      <c r="H2392" s="61" t="s">
        <v>20</v>
      </c>
    </row>
    <row r="2393" spans="1:8" ht="14.25" customHeight="1" x14ac:dyDescent="0.3">
      <c r="A2393" s="2" t="s">
        <v>52</v>
      </c>
      <c r="B2393" s="60" t="s">
        <v>155</v>
      </c>
      <c r="C2393" s="60" t="s">
        <v>169</v>
      </c>
      <c r="D2393" s="68">
        <v>9</v>
      </c>
      <c r="E2393" s="73">
        <v>64.569999999999993</v>
      </c>
      <c r="F2393" s="79">
        <f>IFERROR(D2393*E2393,0)</f>
        <v>581.12999999999988</v>
      </c>
      <c r="G2393" s="61" t="s">
        <v>98</v>
      </c>
      <c r="H2393" s="60" t="s">
        <v>20</v>
      </c>
    </row>
    <row r="2394" spans="1:8" ht="14.25" hidden="1" customHeight="1" x14ac:dyDescent="0.3">
      <c r="A2394" s="34" t="s">
        <v>52</v>
      </c>
      <c r="B2394" s="61" t="s">
        <v>162</v>
      </c>
      <c r="C2394" s="61" t="s">
        <v>192</v>
      </c>
      <c r="D2394" s="69">
        <v>1</v>
      </c>
      <c r="E2394" s="74">
        <v>242.73</v>
      </c>
      <c r="F2394" s="80">
        <f>IFERROR(D2394*E2394,0)</f>
        <v>242.73</v>
      </c>
      <c r="G2394" s="61" t="str">
        <f>INDEX(SETORES!$B:$B,MATCH(A2394,SETORES!$A:$A,0))</f>
        <v>Clientes</v>
      </c>
      <c r="H2394" s="61" t="s">
        <v>20</v>
      </c>
    </row>
    <row r="2395" spans="1:8" ht="14.25" hidden="1" customHeight="1" x14ac:dyDescent="0.3">
      <c r="A2395" s="34" t="s">
        <v>52</v>
      </c>
      <c r="B2395" s="61" t="s">
        <v>162</v>
      </c>
      <c r="C2395" s="61" t="s">
        <v>194</v>
      </c>
      <c r="D2395" s="69">
        <v>1</v>
      </c>
      <c r="E2395" s="74">
        <v>23.5</v>
      </c>
      <c r="F2395" s="80">
        <f>IFERROR(D2395*E2395,0)</f>
        <v>23.5</v>
      </c>
      <c r="G2395" s="61" t="str">
        <f>INDEX(SETORES!$B:$B,MATCH(A2395,SETORES!$A:$A,0))</f>
        <v>Clientes</v>
      </c>
      <c r="H2395" s="61" t="s">
        <v>20</v>
      </c>
    </row>
    <row r="2396" spans="1:8" ht="14.25" hidden="1" customHeight="1" x14ac:dyDescent="0.3">
      <c r="A2396" s="2" t="s">
        <v>52</v>
      </c>
      <c r="B2396" s="60" t="s">
        <v>155</v>
      </c>
      <c r="C2396" s="60" t="s">
        <v>158</v>
      </c>
      <c r="D2396" s="68">
        <v>1</v>
      </c>
      <c r="E2396" s="73">
        <v>76.597099999999998</v>
      </c>
      <c r="F2396" s="79">
        <v>76.597099999999998</v>
      </c>
      <c r="G2396" s="60" t="str">
        <f>INDEX(SETORES!$B:$B,MATCH(A2396,SETORES!$A:$A,0))</f>
        <v>Clientes</v>
      </c>
      <c r="H2396" s="60" t="s">
        <v>20</v>
      </c>
    </row>
    <row r="2397" spans="1:8" ht="14.25" hidden="1" customHeight="1" x14ac:dyDescent="0.3">
      <c r="A2397" s="34" t="s">
        <v>52</v>
      </c>
      <c r="B2397" s="61" t="s">
        <v>155</v>
      </c>
      <c r="C2397" s="61" t="s">
        <v>161</v>
      </c>
      <c r="D2397" s="69">
        <v>1</v>
      </c>
      <c r="E2397" s="74">
        <v>29920.5</v>
      </c>
      <c r="F2397" s="80">
        <f>IFERROR(E2397,0)</f>
        <v>29920.5</v>
      </c>
      <c r="G2397" s="61" t="str">
        <f>INDEX(SETORES!$B:$B,MATCH(A2397,SETORES!$A:$A,0))</f>
        <v>Clientes</v>
      </c>
      <c r="H2397" s="61" t="s">
        <v>20</v>
      </c>
    </row>
    <row r="2398" spans="1:8" ht="14.25" hidden="1" customHeight="1" x14ac:dyDescent="0.3">
      <c r="A2398" s="2" t="s">
        <v>52</v>
      </c>
      <c r="B2398" s="60" t="s">
        <v>155</v>
      </c>
      <c r="C2398" s="60" t="s">
        <v>167</v>
      </c>
      <c r="D2398" s="68">
        <v>9</v>
      </c>
      <c r="E2398" s="73">
        <v>10.050000000000001</v>
      </c>
      <c r="F2398" s="79">
        <f>IFERROR(D2398*E2398,0)</f>
        <v>90.45</v>
      </c>
      <c r="G2398" s="60" t="str">
        <f>INDEX(SETORES!$B:$B,MATCH(A2398,SETORES!$A:$A,0))</f>
        <v>Clientes</v>
      </c>
      <c r="H2398" s="60" t="s">
        <v>20</v>
      </c>
    </row>
    <row r="2399" spans="1:8" ht="14.25" hidden="1" customHeight="1" x14ac:dyDescent="0.3">
      <c r="A2399" s="2" t="s">
        <v>52</v>
      </c>
      <c r="B2399" s="60" t="s">
        <v>155</v>
      </c>
      <c r="C2399" s="60" t="s">
        <v>166</v>
      </c>
      <c r="D2399" s="68">
        <v>8</v>
      </c>
      <c r="E2399" s="73">
        <v>50</v>
      </c>
      <c r="F2399" s="79">
        <f>IFERROR(D2399*E2399,0)</f>
        <v>400</v>
      </c>
      <c r="G2399" s="60" t="str">
        <f>INDEX(SETORES!$B:$B,MATCH(A2399,SETORES!$A:$A,0))</f>
        <v>Clientes</v>
      </c>
      <c r="H2399" s="60" t="s">
        <v>20</v>
      </c>
    </row>
    <row r="2400" spans="1:8" ht="14.25" hidden="1" customHeight="1" x14ac:dyDescent="0.3">
      <c r="A2400" s="2" t="s">
        <v>52</v>
      </c>
      <c r="B2400" s="60" t="s">
        <v>155</v>
      </c>
      <c r="C2400" s="60" t="s">
        <v>156</v>
      </c>
      <c r="D2400" s="68">
        <v>9</v>
      </c>
      <c r="E2400" s="73">
        <v>0.36480000000000001</v>
      </c>
      <c r="F2400" s="79">
        <v>3.2831999999999999</v>
      </c>
      <c r="G2400" s="60" t="str">
        <f>INDEX(SETORES!$B:$B,MATCH(A2400,SETORES!$A:$A,0))</f>
        <v>Clientes</v>
      </c>
      <c r="H2400" s="60" t="s">
        <v>20</v>
      </c>
    </row>
    <row r="2401" spans="1:8" ht="14.25" hidden="1" customHeight="1" x14ac:dyDescent="0.3">
      <c r="A2401" s="34" t="s">
        <v>52</v>
      </c>
      <c r="B2401" s="61" t="s">
        <v>155</v>
      </c>
      <c r="C2401" s="61" t="s">
        <v>157</v>
      </c>
      <c r="D2401" s="69">
        <v>1</v>
      </c>
      <c r="E2401" s="74">
        <v>254.682931</v>
      </c>
      <c r="F2401" s="80">
        <v>254.682931</v>
      </c>
      <c r="G2401" s="61" t="str">
        <f>INDEX(SETORES!$B:$B,MATCH(A2401,SETORES!$A:$A,0))</f>
        <v>Clientes</v>
      </c>
      <c r="H2401" s="61" t="s">
        <v>20</v>
      </c>
    </row>
    <row r="2402" spans="1:8" ht="14.25" hidden="1" customHeight="1" x14ac:dyDescent="0.3">
      <c r="A2402" s="2" t="s">
        <v>52</v>
      </c>
      <c r="B2402" s="60" t="s">
        <v>155</v>
      </c>
      <c r="C2402" s="60" t="s">
        <v>189</v>
      </c>
      <c r="D2402" s="68">
        <v>1</v>
      </c>
      <c r="E2402" s="73">
        <v>193.96551600000001</v>
      </c>
      <c r="F2402" s="79">
        <f>IFERROR(D2402*E2402,0)</f>
        <v>193.96551600000001</v>
      </c>
      <c r="G2402" s="60" t="str">
        <f>INDEX(SETORES!$B:$B,MATCH(A2402,SETORES!$A:$A,0))</f>
        <v>Clientes</v>
      </c>
      <c r="H2402" s="60" t="s">
        <v>20</v>
      </c>
    </row>
    <row r="2403" spans="1:8" ht="14.25" hidden="1" customHeight="1" x14ac:dyDescent="0.3">
      <c r="A2403" s="34" t="s">
        <v>52</v>
      </c>
      <c r="B2403" s="61" t="s">
        <v>155</v>
      </c>
      <c r="C2403" s="61" t="s">
        <v>190</v>
      </c>
      <c r="D2403" s="69">
        <v>1</v>
      </c>
      <c r="E2403" s="74">
        <v>25.861806000000001</v>
      </c>
      <c r="F2403" s="80">
        <f>IFERROR(D2403*E2403,0)</f>
        <v>25.861806000000001</v>
      </c>
      <c r="G2403" s="61" t="str">
        <f>INDEX(SETORES!$B:$B,MATCH(A2403,SETORES!$A:$A,0))</f>
        <v>Clientes</v>
      </c>
      <c r="H2403" s="61" t="s">
        <v>20</v>
      </c>
    </row>
    <row r="2404" spans="1:8" ht="14.25" hidden="1" customHeight="1" x14ac:dyDescent="0.3">
      <c r="A2404" s="2" t="s">
        <v>52</v>
      </c>
      <c r="B2404" s="60" t="s">
        <v>162</v>
      </c>
      <c r="C2404" s="60" t="s">
        <v>191</v>
      </c>
      <c r="D2404" s="68">
        <v>1</v>
      </c>
      <c r="E2404" s="73">
        <v>71.676468</v>
      </c>
      <c r="F2404" s="79">
        <f>IFERROR(D2404*E2404,0)</f>
        <v>71.676468</v>
      </c>
      <c r="G2404" s="60" t="str">
        <f>INDEX(SETORES!$B:$B,MATCH(A2404,SETORES!$A:$A,0))</f>
        <v>Clientes</v>
      </c>
      <c r="H2404" s="60" t="s">
        <v>20</v>
      </c>
    </row>
    <row r="2405" spans="1:8" ht="14.25" hidden="1" customHeight="1" x14ac:dyDescent="0.3">
      <c r="A2405" s="2" t="s">
        <v>52</v>
      </c>
      <c r="B2405" s="60" t="s">
        <v>155</v>
      </c>
      <c r="C2405" s="60" t="s">
        <v>187</v>
      </c>
      <c r="D2405" s="68">
        <v>1</v>
      </c>
      <c r="E2405" s="73">
        <v>412.57163700000001</v>
      </c>
      <c r="F2405" s="79">
        <f>IFERROR(D2405*E2405,0)</f>
        <v>412.57163700000001</v>
      </c>
      <c r="G2405" s="60" t="str">
        <f>INDEX(SETORES!$B:$B,MATCH(A2405,SETORES!$A:$A,0))</f>
        <v>Clientes</v>
      </c>
      <c r="H2405" s="60" t="s">
        <v>20</v>
      </c>
    </row>
    <row r="2406" spans="1:8" ht="14.25" hidden="1" customHeight="1" x14ac:dyDescent="0.3">
      <c r="A2406" s="34" t="s">
        <v>52</v>
      </c>
      <c r="B2406" s="61" t="s">
        <v>155</v>
      </c>
      <c r="C2406" s="61" t="s">
        <v>168</v>
      </c>
      <c r="D2406" s="69">
        <v>9</v>
      </c>
      <c r="E2406" s="74">
        <v>2.0699999999999998</v>
      </c>
      <c r="F2406" s="80">
        <f>IFERROR(D2406*E2406,0)</f>
        <v>18.63</v>
      </c>
      <c r="G2406" s="61" t="str">
        <f>INDEX(SETORES!$B:$B,MATCH(A2406,SETORES!$A:$A,0))</f>
        <v>Clientes</v>
      </c>
      <c r="H2406" s="61" t="s">
        <v>20</v>
      </c>
    </row>
    <row r="2407" spans="1:8" ht="14.25" hidden="1" customHeight="1" x14ac:dyDescent="0.3">
      <c r="A2407" s="34" t="s">
        <v>52</v>
      </c>
      <c r="B2407" s="61" t="s">
        <v>155</v>
      </c>
      <c r="C2407" s="61" t="s">
        <v>233</v>
      </c>
      <c r="D2407" s="69"/>
      <c r="E2407" s="74"/>
      <c r="F2407" s="80">
        <f>IFERROR(D2407*E2407,0)</f>
        <v>0</v>
      </c>
      <c r="G2407" s="61" t="str">
        <f>INDEX(SETORES!$B:$B,MATCH(A2407,SETORES!$A:$A,0))</f>
        <v>Clientes</v>
      </c>
      <c r="H2407" s="61" t="s">
        <v>20</v>
      </c>
    </row>
    <row r="2408" spans="1:8" ht="14.25" hidden="1" customHeight="1" x14ac:dyDescent="0.3">
      <c r="A2408" s="34" t="s">
        <v>52</v>
      </c>
      <c r="B2408" s="61" t="s">
        <v>155</v>
      </c>
      <c r="C2408" s="61" t="s">
        <v>188</v>
      </c>
      <c r="D2408" s="69">
        <v>1</v>
      </c>
      <c r="E2408" s="74">
        <v>1641.85</v>
      </c>
      <c r="F2408" s="80">
        <f>IFERROR(D2408*E2408,0)</f>
        <v>1641.85</v>
      </c>
      <c r="G2408" s="61" t="str">
        <f>INDEX(SETORES!$B:$B,MATCH(A2408,SETORES!$A:$A,0))</f>
        <v>Clientes</v>
      </c>
      <c r="H2408" s="61" t="s">
        <v>20</v>
      </c>
    </row>
    <row r="2409" spans="1:8" ht="14.25" hidden="1" customHeight="1" x14ac:dyDescent="0.3">
      <c r="A2409" s="2" t="s">
        <v>52</v>
      </c>
      <c r="B2409" s="60" t="s">
        <v>155</v>
      </c>
      <c r="C2409" s="60" t="s">
        <v>160</v>
      </c>
      <c r="D2409" s="68"/>
      <c r="E2409" s="73"/>
      <c r="F2409" s="79">
        <f>IFERROR(D2409*E2409,0)</f>
        <v>0</v>
      </c>
      <c r="G2409" s="60" t="str">
        <f>INDEX(SETORES!$B:$B,MATCH(A2409,SETORES!$A:$A,0))</f>
        <v>Clientes</v>
      </c>
      <c r="H2409" s="60" t="s">
        <v>20</v>
      </c>
    </row>
    <row r="2410" spans="1:8" ht="14.25" hidden="1" customHeight="1" x14ac:dyDescent="0.3">
      <c r="A2410" s="2" t="s">
        <v>52</v>
      </c>
      <c r="B2410" s="60" t="s">
        <v>155</v>
      </c>
      <c r="C2410" s="60" t="s">
        <v>193</v>
      </c>
      <c r="D2410" s="68">
        <v>1</v>
      </c>
      <c r="E2410" s="73">
        <v>52</v>
      </c>
      <c r="F2410" s="79">
        <f>IFERROR(D2410*E2410,0)</f>
        <v>52</v>
      </c>
      <c r="G2410" s="60" t="str">
        <f>INDEX(SETORES!$B:$B,MATCH(A2410,SETORES!$A:$A,0))</f>
        <v>Clientes</v>
      </c>
      <c r="H2410" s="60" t="s">
        <v>20</v>
      </c>
    </row>
    <row r="2411" spans="1:8" ht="14.25" hidden="1" customHeight="1" x14ac:dyDescent="0.3">
      <c r="A2411" s="2" t="s">
        <v>51</v>
      </c>
      <c r="B2411" s="60" t="s">
        <v>155</v>
      </c>
      <c r="C2411" s="60" t="s">
        <v>159</v>
      </c>
      <c r="D2411" s="68">
        <v>1</v>
      </c>
      <c r="E2411" s="73">
        <v>0</v>
      </c>
      <c r="F2411" s="79">
        <v>0</v>
      </c>
      <c r="G2411" s="60" t="str">
        <f>INDEX(SETORES!$B:$B,MATCH(A2411,SETORES!$A:$A,0))</f>
        <v>Clientes</v>
      </c>
      <c r="H2411" s="60" t="s">
        <v>20</v>
      </c>
    </row>
    <row r="2412" spans="1:8" ht="14.25" hidden="1" customHeight="1" x14ac:dyDescent="0.3">
      <c r="A2412" s="34" t="s">
        <v>51</v>
      </c>
      <c r="B2412" s="61" t="s">
        <v>162</v>
      </c>
      <c r="C2412" s="61" t="s">
        <v>217</v>
      </c>
      <c r="D2412" s="69"/>
      <c r="E2412" s="74"/>
      <c r="F2412" s="80">
        <f>IFERROR(D2412*E2412,0)</f>
        <v>0</v>
      </c>
      <c r="G2412" s="61" t="str">
        <f>INDEX(SETORES!$B:$B,MATCH(A2412,SETORES!$A:$A,0))</f>
        <v>Clientes</v>
      </c>
      <c r="H2412" s="61" t="s">
        <v>20</v>
      </c>
    </row>
    <row r="2413" spans="1:8" ht="14.25" hidden="1" customHeight="1" x14ac:dyDescent="0.3">
      <c r="A2413" s="2" t="s">
        <v>51</v>
      </c>
      <c r="B2413" s="60" t="s">
        <v>155</v>
      </c>
      <c r="C2413" s="60" t="s">
        <v>249</v>
      </c>
      <c r="D2413" s="68">
        <v>1</v>
      </c>
      <c r="E2413" s="73">
        <v>1215.92</v>
      </c>
      <c r="F2413" s="79">
        <f>IFERROR(D2413*E2413,0)</f>
        <v>1215.92</v>
      </c>
      <c r="G2413" s="60" t="str">
        <f>INDEX(SETORES!$B:$B,MATCH(A2413,SETORES!$A:$A,0))</f>
        <v>Clientes</v>
      </c>
      <c r="H2413" s="60" t="s">
        <v>20</v>
      </c>
    </row>
    <row r="2414" spans="1:8" ht="14.25" hidden="1" customHeight="1" x14ac:dyDescent="0.3">
      <c r="A2414" s="34" t="s">
        <v>51</v>
      </c>
      <c r="B2414" s="61" t="s">
        <v>155</v>
      </c>
      <c r="C2414" s="61" t="s">
        <v>171</v>
      </c>
      <c r="D2414" s="69">
        <v>13</v>
      </c>
      <c r="E2414" s="74">
        <v>47.79</v>
      </c>
      <c r="F2414" s="80">
        <v>621.27</v>
      </c>
      <c r="G2414" s="60" t="s">
        <v>98</v>
      </c>
      <c r="H2414" s="61" t="s">
        <v>20</v>
      </c>
    </row>
    <row r="2415" spans="1:8" ht="14.25" hidden="1" customHeight="1" x14ac:dyDescent="0.3">
      <c r="A2415" s="2" t="s">
        <v>51</v>
      </c>
      <c r="B2415" s="60" t="s">
        <v>155</v>
      </c>
      <c r="C2415" s="60" t="s">
        <v>170</v>
      </c>
      <c r="D2415" s="68">
        <v>13</v>
      </c>
      <c r="E2415" s="73">
        <v>28.31</v>
      </c>
      <c r="F2415" s="79">
        <v>368.03</v>
      </c>
      <c r="G2415" s="61" t="s">
        <v>98</v>
      </c>
      <c r="H2415" s="60" t="s">
        <v>20</v>
      </c>
    </row>
    <row r="2416" spans="1:8" ht="14.25" customHeight="1" x14ac:dyDescent="0.3">
      <c r="A2416" s="34" t="s">
        <v>51</v>
      </c>
      <c r="B2416" s="61" t="s">
        <v>155</v>
      </c>
      <c r="C2416" s="61" t="s">
        <v>169</v>
      </c>
      <c r="D2416" s="69">
        <v>13</v>
      </c>
      <c r="E2416" s="74">
        <v>64.569999999999993</v>
      </c>
      <c r="F2416" s="79">
        <f>IFERROR(D2416*E2416,0)</f>
        <v>839.40999999999985</v>
      </c>
      <c r="G2416" s="61" t="s">
        <v>98</v>
      </c>
      <c r="H2416" s="61" t="s">
        <v>20</v>
      </c>
    </row>
    <row r="2417" spans="1:8" ht="14.25" hidden="1" customHeight="1" x14ac:dyDescent="0.3">
      <c r="A2417" s="2" t="s">
        <v>51</v>
      </c>
      <c r="B2417" s="60" t="s">
        <v>162</v>
      </c>
      <c r="C2417" s="60" t="s">
        <v>192</v>
      </c>
      <c r="D2417" s="68">
        <v>1</v>
      </c>
      <c r="E2417" s="73">
        <v>242.73</v>
      </c>
      <c r="F2417" s="79">
        <f>IFERROR(D2417*E2417,0)</f>
        <v>242.73</v>
      </c>
      <c r="G2417" s="60" t="str">
        <f>INDEX(SETORES!$B:$B,MATCH(A2417,SETORES!$A:$A,0))</f>
        <v>Clientes</v>
      </c>
      <c r="H2417" s="60" t="s">
        <v>20</v>
      </c>
    </row>
    <row r="2418" spans="1:8" ht="14.25" hidden="1" customHeight="1" x14ac:dyDescent="0.3">
      <c r="A2418" s="2" t="s">
        <v>51</v>
      </c>
      <c r="B2418" s="60" t="s">
        <v>162</v>
      </c>
      <c r="C2418" s="60" t="s">
        <v>194</v>
      </c>
      <c r="D2418" s="68">
        <v>1</v>
      </c>
      <c r="E2418" s="73">
        <v>23.5</v>
      </c>
      <c r="F2418" s="79">
        <f>IFERROR(D2418*E2418,0)</f>
        <v>23.5</v>
      </c>
      <c r="G2418" s="60" t="str">
        <f>INDEX(SETORES!$B:$B,MATCH(A2418,SETORES!$A:$A,0))</f>
        <v>Clientes</v>
      </c>
      <c r="H2418" s="60" t="s">
        <v>20</v>
      </c>
    </row>
    <row r="2419" spans="1:8" ht="14.25" hidden="1" customHeight="1" x14ac:dyDescent="0.3">
      <c r="A2419" s="34" t="s">
        <v>51</v>
      </c>
      <c r="B2419" s="61" t="s">
        <v>155</v>
      </c>
      <c r="C2419" s="61" t="s">
        <v>158</v>
      </c>
      <c r="D2419" s="69">
        <v>1</v>
      </c>
      <c r="E2419" s="74">
        <v>110.6403</v>
      </c>
      <c r="F2419" s="80">
        <v>110.6403</v>
      </c>
      <c r="G2419" s="61" t="str">
        <f>INDEX(SETORES!$B:$B,MATCH(A2419,SETORES!$A:$A,0))</f>
        <v>Clientes</v>
      </c>
      <c r="H2419" s="61" t="s">
        <v>20</v>
      </c>
    </row>
    <row r="2420" spans="1:8" ht="14.25" hidden="1" customHeight="1" x14ac:dyDescent="0.3">
      <c r="A2420" s="2" t="s">
        <v>51</v>
      </c>
      <c r="B2420" s="60" t="s">
        <v>155</v>
      </c>
      <c r="C2420" s="60" t="s">
        <v>161</v>
      </c>
      <c r="D2420" s="68">
        <v>1</v>
      </c>
      <c r="E2420" s="73">
        <v>56398.229955555602</v>
      </c>
      <c r="F2420" s="79">
        <v>56398.229955555602</v>
      </c>
      <c r="G2420" s="60" t="str">
        <f>INDEX(SETORES!$B:$B,MATCH(A2420,SETORES!$A:$A,0))</f>
        <v>Clientes</v>
      </c>
      <c r="H2420" s="60" t="s">
        <v>20</v>
      </c>
    </row>
    <row r="2421" spans="1:8" ht="14.25" hidden="1" customHeight="1" x14ac:dyDescent="0.3">
      <c r="A2421" s="34" t="s">
        <v>51</v>
      </c>
      <c r="B2421" s="61" t="s">
        <v>155</v>
      </c>
      <c r="C2421" s="61" t="s">
        <v>167</v>
      </c>
      <c r="D2421" s="69">
        <v>13</v>
      </c>
      <c r="E2421" s="74">
        <v>10.050000000000001</v>
      </c>
      <c r="F2421" s="80">
        <v>130.65</v>
      </c>
      <c r="G2421" s="61" t="str">
        <f>INDEX(SETORES!$B:$B,MATCH(A2421,SETORES!$A:$A,0))</f>
        <v>Clientes</v>
      </c>
      <c r="H2421" s="61" t="s">
        <v>20</v>
      </c>
    </row>
    <row r="2422" spans="1:8" ht="14.25" hidden="1" customHeight="1" x14ac:dyDescent="0.3">
      <c r="A2422" s="34" t="s">
        <v>51</v>
      </c>
      <c r="B2422" s="61" t="s">
        <v>155</v>
      </c>
      <c r="C2422" s="61" t="s">
        <v>166</v>
      </c>
      <c r="D2422" s="69">
        <v>14</v>
      </c>
      <c r="E2422" s="74">
        <v>50</v>
      </c>
      <c r="F2422" s="80">
        <f>IFERROR(D2422*E2422,0)</f>
        <v>700</v>
      </c>
      <c r="G2422" s="61" t="str">
        <f>INDEX(SETORES!$B:$B,MATCH(A2422,SETORES!$A:$A,0))</f>
        <v>Clientes</v>
      </c>
      <c r="H2422" s="61" t="s">
        <v>20</v>
      </c>
    </row>
    <row r="2423" spans="1:8" ht="14.25" hidden="1" customHeight="1" x14ac:dyDescent="0.3">
      <c r="A2423" s="34" t="s">
        <v>51</v>
      </c>
      <c r="B2423" s="61" t="s">
        <v>155</v>
      </c>
      <c r="C2423" s="61" t="s">
        <v>156</v>
      </c>
      <c r="D2423" s="69">
        <v>13</v>
      </c>
      <c r="E2423" s="74">
        <v>0.36480000000000001</v>
      </c>
      <c r="F2423" s="80">
        <v>4.7423999999999999</v>
      </c>
      <c r="G2423" s="61" t="str">
        <f>INDEX(SETORES!$B:$B,MATCH(A2423,SETORES!$A:$A,0))</f>
        <v>Clientes</v>
      </c>
      <c r="H2423" s="61" t="s">
        <v>20</v>
      </c>
    </row>
    <row r="2424" spans="1:8" ht="14.25" hidden="1" customHeight="1" x14ac:dyDescent="0.3">
      <c r="A2424" s="2" t="s">
        <v>51</v>
      </c>
      <c r="B2424" s="60" t="s">
        <v>155</v>
      </c>
      <c r="C2424" s="60" t="s">
        <v>157</v>
      </c>
      <c r="D2424" s="68">
        <v>1</v>
      </c>
      <c r="E2424" s="73">
        <v>367.87534499999998</v>
      </c>
      <c r="F2424" s="79">
        <v>367.87534499999998</v>
      </c>
      <c r="G2424" s="60" t="str">
        <f>INDEX(SETORES!$B:$B,MATCH(A2424,SETORES!$A:$A,0))</f>
        <v>Clientes</v>
      </c>
      <c r="H2424" s="60" t="s">
        <v>20</v>
      </c>
    </row>
    <row r="2425" spans="1:8" ht="14.25" hidden="1" customHeight="1" x14ac:dyDescent="0.3">
      <c r="A2425" s="34" t="s">
        <v>51</v>
      </c>
      <c r="B2425" s="61" t="s">
        <v>162</v>
      </c>
      <c r="C2425" s="61" t="s">
        <v>222</v>
      </c>
      <c r="D2425" s="69"/>
      <c r="E2425" s="74"/>
      <c r="F2425" s="80">
        <f>IFERROR(D2425*E2425,0)</f>
        <v>0</v>
      </c>
      <c r="G2425" s="61" t="str">
        <f>INDEX(SETORES!$B:$B,MATCH(A2425,SETORES!$A:$A,0))</f>
        <v>Clientes</v>
      </c>
      <c r="H2425" s="61" t="s">
        <v>20</v>
      </c>
    </row>
    <row r="2426" spans="1:8" ht="14.25" hidden="1" customHeight="1" x14ac:dyDescent="0.3">
      <c r="A2426" s="34" t="s">
        <v>51</v>
      </c>
      <c r="B2426" s="61" t="s">
        <v>155</v>
      </c>
      <c r="C2426" s="61" t="s">
        <v>189</v>
      </c>
      <c r="D2426" s="69">
        <v>1</v>
      </c>
      <c r="E2426" s="74">
        <v>280.17241200000001</v>
      </c>
      <c r="F2426" s="80">
        <f>IFERROR(D2426*E2426,0)</f>
        <v>280.17241200000001</v>
      </c>
      <c r="G2426" s="61" t="str">
        <f>INDEX(SETORES!$B:$B,MATCH(A2426,SETORES!$A:$A,0))</f>
        <v>Clientes</v>
      </c>
      <c r="H2426" s="61" t="s">
        <v>20</v>
      </c>
    </row>
    <row r="2427" spans="1:8" ht="14.25" hidden="1" customHeight="1" x14ac:dyDescent="0.3">
      <c r="A2427" s="2" t="s">
        <v>51</v>
      </c>
      <c r="B2427" s="60" t="s">
        <v>155</v>
      </c>
      <c r="C2427" s="60" t="s">
        <v>190</v>
      </c>
      <c r="D2427" s="68">
        <v>1</v>
      </c>
      <c r="E2427" s="73">
        <v>37.355941999999999</v>
      </c>
      <c r="F2427" s="79">
        <f>IFERROR(D2427*E2427,0)</f>
        <v>37.355941999999999</v>
      </c>
      <c r="G2427" s="60" t="str">
        <f>INDEX(SETORES!$B:$B,MATCH(A2427,SETORES!$A:$A,0))</f>
        <v>Clientes</v>
      </c>
      <c r="H2427" s="60" t="s">
        <v>20</v>
      </c>
    </row>
    <row r="2428" spans="1:8" ht="14.25" hidden="1" customHeight="1" x14ac:dyDescent="0.3">
      <c r="A2428" s="34" t="s">
        <v>51</v>
      </c>
      <c r="B2428" s="61" t="s">
        <v>162</v>
      </c>
      <c r="C2428" s="61" t="s">
        <v>191</v>
      </c>
      <c r="D2428" s="69">
        <v>1</v>
      </c>
      <c r="E2428" s="74">
        <v>103.532676</v>
      </c>
      <c r="F2428" s="80">
        <f>IFERROR(D2428*E2428,0)</f>
        <v>103.532676</v>
      </c>
      <c r="G2428" s="61" t="str">
        <f>INDEX(SETORES!$B:$B,MATCH(A2428,SETORES!$A:$A,0))</f>
        <v>Clientes</v>
      </c>
      <c r="H2428" s="61" t="s">
        <v>20</v>
      </c>
    </row>
    <row r="2429" spans="1:8" ht="14.25" hidden="1" customHeight="1" x14ac:dyDescent="0.3">
      <c r="A2429" s="34" t="s">
        <v>51</v>
      </c>
      <c r="B2429" s="61" t="s">
        <v>155</v>
      </c>
      <c r="C2429" s="61" t="s">
        <v>235</v>
      </c>
      <c r="D2429" s="69">
        <v>1</v>
      </c>
      <c r="E2429" s="74">
        <v>595.93680900000004</v>
      </c>
      <c r="F2429" s="80">
        <f>IFERROR(D2429*E2429,0)</f>
        <v>595.93680900000004</v>
      </c>
      <c r="G2429" s="61" t="str">
        <f>INDEX(SETORES!$B:$B,MATCH(A2429,SETORES!$A:$A,0))</f>
        <v>Clientes</v>
      </c>
      <c r="H2429" s="61" t="s">
        <v>20</v>
      </c>
    </row>
    <row r="2430" spans="1:8" ht="14.25" hidden="1" customHeight="1" x14ac:dyDescent="0.3">
      <c r="A2430" s="2" t="s">
        <v>51</v>
      </c>
      <c r="B2430" s="60" t="s">
        <v>155</v>
      </c>
      <c r="C2430" s="60" t="s">
        <v>168</v>
      </c>
      <c r="D2430" s="68">
        <v>13</v>
      </c>
      <c r="E2430" s="73">
        <v>2.0699999999999998</v>
      </c>
      <c r="F2430" s="79">
        <v>26.91</v>
      </c>
      <c r="G2430" s="60" t="str">
        <f>INDEX(SETORES!$B:$B,MATCH(A2430,SETORES!$A:$A,0))</f>
        <v>Clientes</v>
      </c>
      <c r="H2430" s="60" t="s">
        <v>20</v>
      </c>
    </row>
    <row r="2431" spans="1:8" ht="14.25" hidden="1" customHeight="1" x14ac:dyDescent="0.3">
      <c r="A2431" s="2" t="s">
        <v>51</v>
      </c>
      <c r="B2431" s="60" t="s">
        <v>155</v>
      </c>
      <c r="C2431" s="60" t="s">
        <v>188</v>
      </c>
      <c r="D2431" s="68">
        <v>1</v>
      </c>
      <c r="E2431" s="73">
        <v>1641.85</v>
      </c>
      <c r="F2431" s="79">
        <f>IFERROR(D2431*E2431,0)</f>
        <v>1641.85</v>
      </c>
      <c r="G2431" s="60" t="str">
        <f>INDEX(SETORES!$B:$B,MATCH(A2431,SETORES!$A:$A,0))</f>
        <v>Clientes</v>
      </c>
      <c r="H2431" s="60" t="s">
        <v>20</v>
      </c>
    </row>
    <row r="2432" spans="1:8" ht="14.25" hidden="1" customHeight="1" x14ac:dyDescent="0.3">
      <c r="A2432" s="34" t="s">
        <v>51</v>
      </c>
      <c r="B2432" s="61" t="s">
        <v>155</v>
      </c>
      <c r="C2432" s="61" t="s">
        <v>160</v>
      </c>
      <c r="D2432" s="69"/>
      <c r="E2432" s="74"/>
      <c r="F2432" s="80">
        <f>IFERROR(D2432*E2432,0)</f>
        <v>0</v>
      </c>
      <c r="G2432" s="61" t="str">
        <f>INDEX(SETORES!$B:$B,MATCH(A2432,SETORES!$A:$A,0))</f>
        <v>Clientes</v>
      </c>
      <c r="H2432" s="61" t="s">
        <v>20</v>
      </c>
    </row>
    <row r="2433" spans="1:8" ht="14.25" hidden="1" customHeight="1" x14ac:dyDescent="0.3">
      <c r="A2433" s="2" t="s">
        <v>51</v>
      </c>
      <c r="B2433" s="60" t="s">
        <v>162</v>
      </c>
      <c r="C2433" s="60" t="s">
        <v>234</v>
      </c>
      <c r="D2433" s="68"/>
      <c r="E2433" s="73"/>
      <c r="F2433" s="79">
        <f>IFERROR(D2433*E2433,0)</f>
        <v>0</v>
      </c>
      <c r="G2433" s="60" t="str">
        <f>INDEX(SETORES!$B:$B,MATCH(A2433,SETORES!$A:$A,0))</f>
        <v>Clientes</v>
      </c>
      <c r="H2433" s="60" t="s">
        <v>20</v>
      </c>
    </row>
    <row r="2434" spans="1:8" ht="14.25" hidden="1" customHeight="1" x14ac:dyDescent="0.3">
      <c r="A2434" s="34" t="s">
        <v>51</v>
      </c>
      <c r="B2434" s="61" t="s">
        <v>155</v>
      </c>
      <c r="C2434" s="61" t="s">
        <v>193</v>
      </c>
      <c r="D2434" s="69">
        <v>1</v>
      </c>
      <c r="E2434" s="74">
        <v>52</v>
      </c>
      <c r="F2434" s="80">
        <f>IFERROR(D2434*E2434,0)</f>
        <v>52</v>
      </c>
      <c r="G2434" s="61" t="str">
        <f>INDEX(SETORES!$B:$B,MATCH(A2434,SETORES!$A:$A,0))</f>
        <v>Clientes</v>
      </c>
      <c r="H2434" s="61" t="s">
        <v>20</v>
      </c>
    </row>
    <row r="2435" spans="1:8" ht="14.25" hidden="1" customHeight="1" x14ac:dyDescent="0.3">
      <c r="A2435" s="34" t="s">
        <v>87</v>
      </c>
      <c r="B2435" s="61" t="s">
        <v>155</v>
      </c>
      <c r="C2435" s="61" t="s">
        <v>212</v>
      </c>
      <c r="D2435" s="69">
        <v>5</v>
      </c>
      <c r="E2435" s="74">
        <v>30</v>
      </c>
      <c r="F2435" s="80">
        <f>IFERROR(D2435*E2435,0)</f>
        <v>150</v>
      </c>
      <c r="G2435" s="61" t="str">
        <f>INDEX(SETORES!$B:$B,MATCH(A2435,SETORES!$A:$A,0))</f>
        <v>Clientes</v>
      </c>
      <c r="H2435" s="61" t="s">
        <v>20</v>
      </c>
    </row>
    <row r="2436" spans="1:8" ht="14.25" hidden="1" customHeight="1" x14ac:dyDescent="0.3">
      <c r="A2436" s="34" t="s">
        <v>87</v>
      </c>
      <c r="B2436" s="61" t="s">
        <v>155</v>
      </c>
      <c r="C2436" s="61" t="s">
        <v>171</v>
      </c>
      <c r="D2436" s="69">
        <v>6</v>
      </c>
      <c r="E2436" s="74">
        <v>47.79</v>
      </c>
      <c r="F2436" s="80">
        <f>IFERROR(D2436*E2436,0)</f>
        <v>286.74</v>
      </c>
      <c r="G2436" s="60" t="s">
        <v>98</v>
      </c>
      <c r="H2436" s="61" t="s">
        <v>20</v>
      </c>
    </row>
    <row r="2437" spans="1:8" ht="14.25" hidden="1" customHeight="1" x14ac:dyDescent="0.3">
      <c r="A2437" s="2" t="s">
        <v>87</v>
      </c>
      <c r="B2437" s="60" t="s">
        <v>155</v>
      </c>
      <c r="C2437" s="60" t="s">
        <v>170</v>
      </c>
      <c r="D2437" s="68">
        <v>6</v>
      </c>
      <c r="E2437" s="73">
        <v>28.31</v>
      </c>
      <c r="F2437" s="79">
        <f>IFERROR(D2437*E2437,0)</f>
        <v>169.85999999999999</v>
      </c>
      <c r="G2437" s="61" t="s">
        <v>98</v>
      </c>
      <c r="H2437" s="60" t="s">
        <v>20</v>
      </c>
    </row>
    <row r="2438" spans="1:8" ht="14.25" customHeight="1" x14ac:dyDescent="0.3">
      <c r="A2438" s="2" t="s">
        <v>87</v>
      </c>
      <c r="B2438" s="60" t="s">
        <v>155</v>
      </c>
      <c r="C2438" s="60" t="s">
        <v>169</v>
      </c>
      <c r="D2438" s="68">
        <v>6</v>
      </c>
      <c r="E2438" s="73">
        <v>64.569999999999993</v>
      </c>
      <c r="F2438" s="79">
        <f>IFERROR(D2438*E2438,0)</f>
        <v>387.41999999999996</v>
      </c>
      <c r="G2438" s="61" t="s">
        <v>98</v>
      </c>
      <c r="H2438" s="60" t="s">
        <v>20</v>
      </c>
    </row>
    <row r="2439" spans="1:8" ht="14.25" hidden="1" customHeight="1" x14ac:dyDescent="0.3">
      <c r="A2439" s="57" t="s">
        <v>87</v>
      </c>
      <c r="B2439" s="63" t="s">
        <v>155</v>
      </c>
      <c r="C2439" s="63" t="s">
        <v>158</v>
      </c>
      <c r="D2439" s="71">
        <v>1</v>
      </c>
      <c r="E2439" s="76">
        <v>51.064799999999998</v>
      </c>
      <c r="F2439" s="82">
        <v>51.064799999999998</v>
      </c>
      <c r="G2439" s="63" t="s">
        <v>96</v>
      </c>
      <c r="H2439" s="63" t="s">
        <v>20</v>
      </c>
    </row>
    <row r="2440" spans="1:8" ht="14.25" hidden="1" customHeight="1" x14ac:dyDescent="0.3">
      <c r="A2440" s="57" t="s">
        <v>87</v>
      </c>
      <c r="B2440" s="63" t="s">
        <v>155</v>
      </c>
      <c r="C2440" s="63" t="s">
        <v>161</v>
      </c>
      <c r="D2440" s="71">
        <v>1</v>
      </c>
      <c r="E2440" s="76">
        <v>26750.76</v>
      </c>
      <c r="F2440" s="82">
        <f>IFERROR(E2440,0)</f>
        <v>26750.76</v>
      </c>
      <c r="G2440" s="63" t="str">
        <f>INDEX(SETORES!$B:$B,MATCH(A2440,SETORES!$A:$A,0))</f>
        <v>Clientes</v>
      </c>
      <c r="H2440" s="60" t="s">
        <v>20</v>
      </c>
    </row>
    <row r="2441" spans="1:8" ht="14.25" hidden="1" customHeight="1" x14ac:dyDescent="0.3">
      <c r="A2441" s="58" t="s">
        <v>87</v>
      </c>
      <c r="B2441" s="62" t="s">
        <v>155</v>
      </c>
      <c r="C2441" s="62" t="s">
        <v>167</v>
      </c>
      <c r="D2441" s="70">
        <v>6</v>
      </c>
      <c r="E2441" s="75">
        <v>10.050000000000001</v>
      </c>
      <c r="F2441" s="81">
        <f>IFERROR(D2441*E2441,0)</f>
        <v>60.300000000000004</v>
      </c>
      <c r="G2441" s="62" t="str">
        <f>INDEX(SETORES!$B:$B,MATCH(A2441,SETORES!$A:$A,0))</f>
        <v>Clientes</v>
      </c>
      <c r="H2441" s="62" t="s">
        <v>20</v>
      </c>
    </row>
    <row r="2442" spans="1:8" ht="14.25" hidden="1" customHeight="1" x14ac:dyDescent="0.3">
      <c r="A2442" s="57" t="s">
        <v>87</v>
      </c>
      <c r="B2442" s="63" t="s">
        <v>155</v>
      </c>
      <c r="C2442" s="63" t="s">
        <v>238</v>
      </c>
      <c r="D2442" s="71">
        <v>1</v>
      </c>
      <c r="E2442" s="76">
        <v>6.6666660000000002</v>
      </c>
      <c r="F2442" s="82">
        <f>IFERROR(D2442*E2442,0)</f>
        <v>6.6666660000000002</v>
      </c>
      <c r="G2442" s="63" t="str">
        <f>INDEX(SETORES!$B:$B,MATCH(A2442,SETORES!$A:$A,0))</f>
        <v>Clientes</v>
      </c>
      <c r="H2442" s="63" t="s">
        <v>20</v>
      </c>
    </row>
    <row r="2443" spans="1:8" ht="14.25" hidden="1" customHeight="1" x14ac:dyDescent="0.3">
      <c r="A2443" s="58" t="s">
        <v>87</v>
      </c>
      <c r="B2443" s="62" t="s">
        <v>155</v>
      </c>
      <c r="C2443" s="62" t="s">
        <v>166</v>
      </c>
      <c r="D2443" s="70">
        <v>6</v>
      </c>
      <c r="E2443" s="75">
        <v>100</v>
      </c>
      <c r="F2443" s="81">
        <f>IFERROR(D2443*E2443,0)</f>
        <v>600</v>
      </c>
      <c r="G2443" s="62" t="str">
        <f>INDEX(SETORES!$B:$B,MATCH(A2443,SETORES!$A:$A,0))</f>
        <v>Clientes</v>
      </c>
      <c r="H2443" s="62" t="s">
        <v>20</v>
      </c>
    </row>
    <row r="2444" spans="1:8" ht="14.25" hidden="1" customHeight="1" x14ac:dyDescent="0.3">
      <c r="A2444" s="57" t="s">
        <v>87</v>
      </c>
      <c r="B2444" s="63" t="s">
        <v>155</v>
      </c>
      <c r="C2444" s="63" t="s">
        <v>168</v>
      </c>
      <c r="D2444" s="71">
        <v>6</v>
      </c>
      <c r="E2444" s="76">
        <v>2.0699999999999998</v>
      </c>
      <c r="F2444" s="82">
        <f>IFERROR(D2444*E2444,0)</f>
        <v>12.419999999999998</v>
      </c>
      <c r="G2444" s="63" t="str">
        <f>INDEX(SETORES!$B:$B,MATCH(A2444,SETORES!$A:$A,0))</f>
        <v>Clientes</v>
      </c>
      <c r="H2444" s="63" t="s">
        <v>20</v>
      </c>
    </row>
  </sheetData>
  <mergeCells count="1">
    <mergeCell ref="A1:G1"/>
  </mergeCells>
  <phoneticPr fontId="20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showGridLines="0" topLeftCell="A26" zoomScaleNormal="100" workbookViewId="0">
      <selection activeCell="B4" sqref="B4"/>
    </sheetView>
  </sheetViews>
  <sheetFormatPr defaultColWidth="8.6640625" defaultRowHeight="14.4" x14ac:dyDescent="0.3"/>
  <cols>
    <col min="1" max="1" width="33.88671875" customWidth="1"/>
    <col min="2" max="2" width="20" customWidth="1"/>
    <col min="3" max="3" width="17" customWidth="1"/>
    <col min="4" max="5" width="18" customWidth="1"/>
    <col min="6" max="7" width="13" customWidth="1"/>
  </cols>
  <sheetData>
    <row r="1" spans="1:7" ht="25.5" customHeight="1" x14ac:dyDescent="0.3">
      <c r="A1" s="50" t="s">
        <v>259</v>
      </c>
      <c r="B1" s="50"/>
      <c r="C1" s="50"/>
      <c r="D1" s="50"/>
    </row>
    <row r="3" spans="1:7" ht="27.75" customHeight="1" x14ac:dyDescent="0.3">
      <c r="A3" s="6" t="s">
        <v>3</v>
      </c>
      <c r="B3" s="6" t="s">
        <v>260</v>
      </c>
      <c r="C3" s="6" t="s">
        <v>261</v>
      </c>
      <c r="D3" s="6" t="s">
        <v>262</v>
      </c>
      <c r="E3" s="6" t="s">
        <v>263</v>
      </c>
      <c r="F3" s="6" t="s">
        <v>264</v>
      </c>
      <c r="G3" t="s">
        <v>9</v>
      </c>
    </row>
    <row r="4" spans="1:7" ht="15" customHeight="1" x14ac:dyDescent="0.3">
      <c r="A4" s="11" t="s">
        <v>10</v>
      </c>
      <c r="B4" s="20">
        <f>SUMIFS(PARÂMETROS!$F:$F,PARÂMETROS!$C:$C,A4,PARÂMETROS!$J:$J,G4)</f>
        <v>76157.099918019114</v>
      </c>
      <c r="C4" s="20">
        <f>SUMIFS(PARÂMETROS!$H:$H,PARÂMETROS!$C:$C,A4,PARÂMETROS!$J:$J,G4)</f>
        <v>0</v>
      </c>
      <c r="D4" s="20">
        <f>SUMIFS('COMERCIAL VAREJO'!$H:$H,'COMERCIAL VAREJO'!$B:$B,A4,'COMERCIAL VAREJO'!$A:$A,G4,'COMERCIAL VAREJO'!$C:$C,"&lt;&gt;")</f>
        <v>0</v>
      </c>
      <c r="E4" s="20">
        <f t="shared" ref="E4:E11" si="0">B4+C4+D4</f>
        <v>76157.099918019114</v>
      </c>
      <c r="F4" s="11">
        <f t="shared" ref="F4:F11" si="1">IFERROR(B4/B$12,0)</f>
        <v>3.1841629345309583E-2</v>
      </c>
      <c r="G4" s="35" t="s">
        <v>11</v>
      </c>
    </row>
    <row r="5" spans="1:7" ht="15" customHeight="1" x14ac:dyDescent="0.3">
      <c r="A5" s="2" t="s">
        <v>12</v>
      </c>
      <c r="B5" s="21">
        <f>SUMIFS(PARÂMETROS!$F:$F,PARÂMETROS!$C:$C,A5,PARÂMETROS!$J:$J,G5)</f>
        <v>150715.62952957107</v>
      </c>
      <c r="C5" s="21">
        <f>SUMIFS(PARÂMETROS!$H:$H,PARÂMETROS!$C:$C,A5,PARÂMETROS!$J:$J,G5)</f>
        <v>0</v>
      </c>
      <c r="D5" s="21">
        <f>SUMIFS('COMERCIAL VAREJO'!$H:$H,'COMERCIAL VAREJO'!$B:$B,A5,'COMERCIAL VAREJO'!$A:$A,G5,'COMERCIAL VAREJO'!$C:$C,"&lt;&gt;")</f>
        <v>0</v>
      </c>
      <c r="E5" s="21">
        <f t="shared" si="0"/>
        <v>150715.62952957107</v>
      </c>
      <c r="F5" s="2">
        <f t="shared" si="1"/>
        <v>6.3014889185533787E-2</v>
      </c>
      <c r="G5" s="36" t="s">
        <v>11</v>
      </c>
    </row>
    <row r="6" spans="1:7" ht="15" customHeight="1" x14ac:dyDescent="0.3">
      <c r="A6" s="11" t="s">
        <v>13</v>
      </c>
      <c r="B6" s="20">
        <f>SUMIFS(PARÂMETROS!$F:$F,PARÂMETROS!$C:$C,A6,PARÂMETROS!$J:$J,G6)</f>
        <v>171875.74248547273</v>
      </c>
      <c r="C6" s="20">
        <f>SUMIFS(PARÂMETROS!$H:$H,PARÂMETROS!$C:$C,A6,PARÂMETROS!$J:$J,G6)</f>
        <v>0</v>
      </c>
      <c r="D6" s="20">
        <f>SUMIFS('COMERCIAL VAREJO'!$H:$H,'COMERCIAL VAREJO'!$B:$B,A6,'COMERCIAL VAREJO'!$A:$A,G6,'COMERCIAL VAREJO'!$C:$C,"&lt;&gt;")</f>
        <v>0</v>
      </c>
      <c r="E6" s="20">
        <f t="shared" si="0"/>
        <v>171875.74248547273</v>
      </c>
      <c r="F6" s="11">
        <f t="shared" si="1"/>
        <v>7.1862028511637324E-2</v>
      </c>
      <c r="G6" s="35" t="s">
        <v>11</v>
      </c>
    </row>
    <row r="7" spans="1:7" ht="15" customHeight="1" x14ac:dyDescent="0.3">
      <c r="A7" s="2" t="s">
        <v>14</v>
      </c>
      <c r="B7" s="21">
        <f>SUMIFS(PARÂMETROS!$F:$F,PARÂMETROS!$C:$C,A7,PARÂMETROS!$J:$J,G7)</f>
        <v>44130.681488380862</v>
      </c>
      <c r="C7" s="21">
        <f>SUMIFS(PARÂMETROS!$H:$H,PARÂMETROS!$C:$C,A7,PARÂMETROS!$J:$J,G7)</f>
        <v>0</v>
      </c>
      <c r="D7" s="21">
        <f>SUMIFS('COMERCIAL VAREJO'!$H:$H,'COMERCIAL VAREJO'!$B:$B,A7,'COMERCIAL VAREJO'!$A:$A,G7,'COMERCIAL VAREJO'!$C:$C,"&lt;&gt;")</f>
        <v>0</v>
      </c>
      <c r="E7" s="21">
        <f t="shared" si="0"/>
        <v>44130.681488380862</v>
      </c>
      <c r="F7" s="2">
        <f t="shared" si="1"/>
        <v>1.8451238351008474E-2</v>
      </c>
      <c r="G7" s="36" t="s">
        <v>11</v>
      </c>
    </row>
    <row r="8" spans="1:7" ht="15" customHeight="1" x14ac:dyDescent="0.3">
      <c r="A8" s="11" t="s">
        <v>15</v>
      </c>
      <c r="B8" s="20">
        <f>SUMIFS(PARÂMETROS!$F:$F,PARÂMETROS!$C:$C,A8,PARÂMETROS!$J:$J,G8)</f>
        <v>81282.875250132493</v>
      </c>
      <c r="C8" s="20">
        <f>SUMIFS(PARÂMETROS!$H:$H,PARÂMETROS!$C:$C,A8,PARÂMETROS!$J:$J,G8)</f>
        <v>0</v>
      </c>
      <c r="D8" s="20">
        <f>SUMIFS('COMERCIAL VAREJO'!$H:$H,'COMERCIAL VAREJO'!$B:$B,A8,'COMERCIAL VAREJO'!$A:$A,G8,'COMERCIAL VAREJO'!$C:$C,"&lt;&gt;")</f>
        <v>0</v>
      </c>
      <c r="E8" s="20">
        <f t="shared" si="0"/>
        <v>81282.875250132493</v>
      </c>
      <c r="F8" s="11">
        <f t="shared" si="1"/>
        <v>3.3984739290517312E-2</v>
      </c>
      <c r="G8" s="35" t="s">
        <v>11</v>
      </c>
    </row>
    <row r="9" spans="1:7" ht="15" customHeight="1" x14ac:dyDescent="0.3">
      <c r="A9" s="2" t="s">
        <v>16</v>
      </c>
      <c r="B9" s="21">
        <f>SUMIFS(PARÂMETROS!$F:$F,PARÂMETROS!$C:$C,A9,PARÂMETROS!$J:$J,G9)</f>
        <v>54691.144992856425</v>
      </c>
      <c r="C9" s="21">
        <f>SUMIFS(PARÂMETROS!$H:$H,PARÂMETROS!$C:$C,A9,PARÂMETROS!$J:$J,G9)</f>
        <v>0</v>
      </c>
      <c r="D9" s="21">
        <f>SUMIFS('COMERCIAL VAREJO'!$H:$H,'COMERCIAL VAREJO'!$B:$B,A9,'COMERCIAL VAREJO'!$A:$A,G9,'COMERCIAL VAREJO'!$C:$C,"&lt;&gt;")</f>
        <v>0</v>
      </c>
      <c r="E9" s="21">
        <f t="shared" si="0"/>
        <v>54691.144992856425</v>
      </c>
      <c r="F9" s="2">
        <f t="shared" si="1"/>
        <v>2.2866616102868203E-2</v>
      </c>
      <c r="G9" s="36" t="s">
        <v>11</v>
      </c>
    </row>
    <row r="10" spans="1:7" ht="15" customHeight="1" x14ac:dyDescent="0.3">
      <c r="A10" s="11" t="s">
        <v>17</v>
      </c>
      <c r="B10" s="20">
        <f>SUMIFS(PARÂMETROS!$F:$F,PARÂMETROS!$C:$C,A10,PARÂMETROS!$J:$J,G10)</f>
        <v>57686.94828282902</v>
      </c>
      <c r="C10" s="20">
        <f>SUMIFS(PARÂMETROS!$H:$H,PARÂMETROS!$C:$C,A10,PARÂMETROS!$J:$J,G10)</f>
        <v>0</v>
      </c>
      <c r="D10" s="20">
        <f>SUMIFS('COMERCIAL VAREJO'!$H:$H,'COMERCIAL VAREJO'!$B:$B,A10,'COMERCIAL VAREJO'!$A:$A,G10,'COMERCIAL VAREJO'!$C:$C,"&lt;&gt;")</f>
        <v>0</v>
      </c>
      <c r="E10" s="20">
        <f t="shared" si="0"/>
        <v>57686.94828282902</v>
      </c>
      <c r="F10" s="11">
        <f t="shared" si="1"/>
        <v>2.4119175063929642E-2</v>
      </c>
      <c r="G10" s="35" t="s">
        <v>11</v>
      </c>
    </row>
    <row r="11" spans="1:7" ht="15" customHeight="1" x14ac:dyDescent="0.3">
      <c r="A11" s="2" t="s">
        <v>18</v>
      </c>
      <c r="B11" s="21">
        <f>SUMIFS(PARÂMETROS!$F:$F,PARÂMETROS!$C:$C,A11,PARÂMETROS!$J:$J,G11)</f>
        <v>1755206.2014624537</v>
      </c>
      <c r="C11" s="21">
        <f>SUMIFS(PARÂMETROS!$H:$H,PARÂMETROS!$C:$C,A11,PARÂMETROS!$J:$J,G11)</f>
        <v>0</v>
      </c>
      <c r="D11" s="21">
        <f>SUMIFS('COMERCIAL VAREJO'!$H:$H,'COMERCIAL VAREJO'!$B:$B,A11,'COMERCIAL VAREJO'!$A:$A,G11,'COMERCIAL VAREJO'!$C:$C,"&lt;&gt;")</f>
        <v>0</v>
      </c>
      <c r="E11" s="21">
        <f t="shared" si="0"/>
        <v>1755206.2014624537</v>
      </c>
      <c r="F11" s="2">
        <f t="shared" si="1"/>
        <v>0.73385968414919556</v>
      </c>
      <c r="G11" s="36" t="s">
        <v>11</v>
      </c>
    </row>
    <row r="12" spans="1:7" ht="15" customHeight="1" x14ac:dyDescent="0.3">
      <c r="A12" s="30" t="s">
        <v>135</v>
      </c>
      <c r="B12" s="32">
        <f>SUM(B4:B11)</f>
        <v>2391746.3234097157</v>
      </c>
      <c r="C12" s="32">
        <f>SUM(C4:C11)</f>
        <v>0</v>
      </c>
      <c r="D12" s="32">
        <f>SUM(D4:D11)</f>
        <v>0</v>
      </c>
      <c r="E12" s="32">
        <f>SUM(E4:E11)</f>
        <v>2391746.3234097157</v>
      </c>
      <c r="F12" s="30"/>
      <c r="G12" s="18"/>
    </row>
    <row r="14" spans="1:7" ht="15" customHeight="1" x14ac:dyDescent="0.3">
      <c r="A14" s="11" t="s">
        <v>10</v>
      </c>
      <c r="B14" s="20">
        <f>SUMIFS(PARÂMETROS!$F:$F,PARÂMETROS!$C:$C,A14,PARÂMETROS!$J:$J,G14)</f>
        <v>65465.084840911804</v>
      </c>
      <c r="C14" s="20">
        <f>SUMIFS(PARÂMETROS!$H:$H,PARÂMETROS!$C:$C,A14,PARÂMETROS!$J:$J,G14)</f>
        <v>0</v>
      </c>
      <c r="D14" s="20">
        <f>SUMIFS('COMERCIAL VAREJO'!$H:$H,'COMERCIAL VAREJO'!$B:$B,A14,'COMERCIAL VAREJO'!$A:$A,G14,'COMERCIAL VAREJO'!$C:$C,"&lt;&gt;")</f>
        <v>0</v>
      </c>
      <c r="E14" s="20">
        <f t="shared" ref="E14:E21" si="2">B14+C14+D14</f>
        <v>65465.084840911804</v>
      </c>
      <c r="F14" s="11">
        <f t="shared" ref="F14:F21" si="3">IFERROR(B14/B$22,0)</f>
        <v>3.1665912279196261E-2</v>
      </c>
      <c r="G14" s="35" t="s">
        <v>20</v>
      </c>
    </row>
    <row r="15" spans="1:7" ht="15" customHeight="1" x14ac:dyDescent="0.3">
      <c r="A15" s="2" t="s">
        <v>12</v>
      </c>
      <c r="B15" s="21">
        <f>SUMIFS(PARÂMETROS!$F:$F,PARÂMETROS!$C:$C,A15,PARÂMETROS!$J:$J,G15)</f>
        <v>132760.3875147349</v>
      </c>
      <c r="C15" s="21">
        <f>SUMIFS(PARÂMETROS!$H:$H,PARÂMETROS!$C:$C,A15,PARÂMETROS!$J:$J,G15)</f>
        <v>0</v>
      </c>
      <c r="D15" s="21">
        <f>SUMIFS('COMERCIAL VAREJO'!$H:$H,'COMERCIAL VAREJO'!$B:$B,A15,'COMERCIAL VAREJO'!$A:$A,G15,'COMERCIAL VAREJO'!$C:$C,"&lt;&gt;")</f>
        <v>0</v>
      </c>
      <c r="E15" s="21">
        <f t="shared" si="2"/>
        <v>132760.3875147349</v>
      </c>
      <c r="F15" s="2">
        <f t="shared" si="3"/>
        <v>6.4217113525627936E-2</v>
      </c>
      <c r="G15" s="36" t="s">
        <v>20</v>
      </c>
    </row>
    <row r="16" spans="1:7" ht="15" customHeight="1" x14ac:dyDescent="0.3">
      <c r="A16" s="11" t="s">
        <v>13</v>
      </c>
      <c r="B16" s="20">
        <f>SUMIFS(PARÂMETROS!$F:$F,PARÂMETROS!$C:$C,A16,PARÂMETROS!$J:$J,G16)</f>
        <v>150306.28530707618</v>
      </c>
      <c r="C16" s="20">
        <f>SUMIFS(PARÂMETROS!$H:$H,PARÂMETROS!$C:$C,A16,PARÂMETROS!$J:$J,G16)</f>
        <v>0</v>
      </c>
      <c r="D16" s="20">
        <f>SUMIFS('COMERCIAL VAREJO'!$H:$H,'COMERCIAL VAREJO'!$B:$B,A16,'COMERCIAL VAREJO'!$A:$A,G16,'COMERCIAL VAREJO'!$C:$C,"&lt;&gt;")</f>
        <v>0</v>
      </c>
      <c r="E16" s="20">
        <f t="shared" si="2"/>
        <v>150306.28530707618</v>
      </c>
      <c r="F16" s="11">
        <f t="shared" si="3"/>
        <v>7.2704185095186197E-2</v>
      </c>
      <c r="G16" s="35" t="s">
        <v>20</v>
      </c>
    </row>
    <row r="17" spans="1:7" ht="15" customHeight="1" x14ac:dyDescent="0.3">
      <c r="A17" s="2" t="s">
        <v>14</v>
      </c>
      <c r="B17" s="21">
        <f>SUMIFS(PARÂMETROS!$F:$F,PARÂMETROS!$C:$C,A17,PARÂMETROS!$J:$J,G17)</f>
        <v>38334.918288060791</v>
      </c>
      <c r="C17" s="21">
        <f>SUMIFS(PARÂMETROS!$H:$H,PARÂMETROS!$C:$C,A17,PARÂMETROS!$J:$J,G17)</f>
        <v>0</v>
      </c>
      <c r="D17" s="21">
        <f>SUMIFS('COMERCIAL VAREJO'!$H:$H,'COMERCIAL VAREJO'!$B:$B,A17,'COMERCIAL VAREJO'!$A:$A,G17,'COMERCIAL VAREJO'!$C:$C,"&lt;&gt;")</f>
        <v>0</v>
      </c>
      <c r="E17" s="21">
        <f t="shared" si="2"/>
        <v>38334.918288060791</v>
      </c>
      <c r="F17" s="2">
        <f t="shared" si="3"/>
        <v>1.8542863920360607E-2</v>
      </c>
      <c r="G17" s="36" t="s">
        <v>20</v>
      </c>
    </row>
    <row r="18" spans="1:7" ht="15" customHeight="1" x14ac:dyDescent="0.3">
      <c r="A18" s="11" t="s">
        <v>15</v>
      </c>
      <c r="B18" s="20">
        <f>SUMIFS(PARÂMETROS!$F:$F,PARÂMETROS!$C:$C,A18,PARÂMETROS!$J:$J,G18)</f>
        <v>71152.656193317918</v>
      </c>
      <c r="C18" s="20">
        <f>SUMIFS(PARÂMETROS!$H:$H,PARÂMETROS!$C:$C,A18,PARÂMETROS!$J:$J,G18)</f>
        <v>0</v>
      </c>
      <c r="D18" s="20">
        <f>SUMIFS('COMERCIAL VAREJO'!$H:$H,'COMERCIAL VAREJO'!$B:$B,A18,'COMERCIAL VAREJO'!$A:$A,G18,'COMERCIAL VAREJO'!$C:$C,"&lt;&gt;")</f>
        <v>0</v>
      </c>
      <c r="E18" s="20">
        <f t="shared" si="2"/>
        <v>71152.656193317918</v>
      </c>
      <c r="F18" s="11">
        <f t="shared" si="3"/>
        <v>3.4417029702546918E-2</v>
      </c>
      <c r="G18" s="35" t="s">
        <v>20</v>
      </c>
    </row>
    <row r="19" spans="1:7" ht="15" customHeight="1" x14ac:dyDescent="0.3">
      <c r="A19" s="2" t="s">
        <v>16</v>
      </c>
      <c r="B19" s="21">
        <f>SUMIFS(PARÂMETROS!$F:$F,PARÂMETROS!$C:$C,A19,PARÂMETROS!$J:$J,G19)</f>
        <v>47843.857502579456</v>
      </c>
      <c r="C19" s="21">
        <f>SUMIFS(PARÂMETROS!$H:$H,PARÂMETROS!$C:$C,A19,PARÂMETROS!$J:$J,G19)</f>
        <v>0</v>
      </c>
      <c r="D19" s="21">
        <f>SUMIFS('COMERCIAL VAREJO'!$H:$H,'COMERCIAL VAREJO'!$B:$B,A19,'COMERCIAL VAREJO'!$A:$A,G19,'COMERCIAL VAREJO'!$C:$C,"&lt;&gt;")</f>
        <v>0</v>
      </c>
      <c r="E19" s="21">
        <f t="shared" si="2"/>
        <v>47843.857502579456</v>
      </c>
      <c r="F19" s="2">
        <f t="shared" si="3"/>
        <v>2.3142403289581462E-2</v>
      </c>
      <c r="G19" s="36" t="s">
        <v>20</v>
      </c>
    </row>
    <row r="20" spans="1:7" ht="15" customHeight="1" x14ac:dyDescent="0.3">
      <c r="A20" s="11" t="s">
        <v>17</v>
      </c>
      <c r="B20" s="20">
        <f>SUMIFS(PARÂMETROS!$F:$F,PARÂMETROS!$C:$C,A20,PARÂMETROS!$J:$J,G20)</f>
        <v>51202.105730445182</v>
      </c>
      <c r="C20" s="20">
        <f>SUMIFS(PARÂMETROS!$H:$H,PARÂMETROS!$C:$C,A20,PARÂMETROS!$J:$J,G20)</f>
        <v>0</v>
      </c>
      <c r="D20" s="20">
        <f>SUMIFS('COMERCIAL VAREJO'!$H:$H,'COMERCIAL VAREJO'!$B:$B,A20,'COMERCIAL VAREJO'!$A:$A,G20,'COMERCIAL VAREJO'!$C:$C,"&lt;&gt;")</f>
        <v>0</v>
      </c>
      <c r="E20" s="20">
        <f t="shared" si="2"/>
        <v>51202.105730445182</v>
      </c>
      <c r="F20" s="11">
        <f t="shared" si="3"/>
        <v>2.4766811079684942E-2</v>
      </c>
      <c r="G20" s="35" t="s">
        <v>20</v>
      </c>
    </row>
    <row r="21" spans="1:7" ht="15" customHeight="1" x14ac:dyDescent="0.3">
      <c r="A21" s="2" t="s">
        <v>18</v>
      </c>
      <c r="B21" s="21">
        <f>SUMIFS(PARÂMETROS!$F:$F,PARÂMETROS!$C:$C,A21,PARÂMETROS!$J:$J,G21)</f>
        <v>1510302.4236928462</v>
      </c>
      <c r="C21" s="21">
        <f>SUMIFS(PARÂMETROS!$H:$H,PARÂMETROS!$C:$C,A21,PARÂMETROS!$J:$J,G21)</f>
        <v>0</v>
      </c>
      <c r="D21" s="21">
        <f>SUMIFS('COMERCIAL VAREJO'!$H:$H,'COMERCIAL VAREJO'!$B:$B,A21,'COMERCIAL VAREJO'!$A:$A,G21,'COMERCIAL VAREJO'!$C:$C,"&lt;&gt;")</f>
        <v>0</v>
      </c>
      <c r="E21" s="21">
        <f t="shared" si="2"/>
        <v>1510302.4236928462</v>
      </c>
      <c r="F21" s="2">
        <f t="shared" si="3"/>
        <v>0.73054368110781565</v>
      </c>
      <c r="G21" s="36" t="s">
        <v>20</v>
      </c>
    </row>
    <row r="22" spans="1:7" ht="15" customHeight="1" x14ac:dyDescent="0.3">
      <c r="A22" s="30" t="s">
        <v>133</v>
      </c>
      <c r="B22" s="32">
        <f>SUM(B14:B21)</f>
        <v>2067367.7190699724</v>
      </c>
      <c r="C22" s="32">
        <f>SUM(C14:C21)</f>
        <v>0</v>
      </c>
      <c r="D22" s="32">
        <f>SUM(D14:D21)</f>
        <v>0</v>
      </c>
      <c r="E22" s="32">
        <f>SUM(E14:E21)</f>
        <v>2067367.7190699724</v>
      </c>
      <c r="F22" s="30"/>
      <c r="G22" s="18"/>
    </row>
    <row r="24" spans="1:7" ht="15" customHeight="1" x14ac:dyDescent="0.3">
      <c r="A24" s="11" t="s">
        <v>10</v>
      </c>
      <c r="B24" s="20">
        <f>SUMIFS(PARÂMETROS!$F:$F,PARÂMETROS!$C:$C,A24,PARÂMETROS!$J:$J,G24)</f>
        <v>81468.122678562097</v>
      </c>
      <c r="C24" s="20">
        <f>SUMIFS(PARÂMETROS!$H:$H,PARÂMETROS!$C:$C,A24,PARÂMETROS!$J:$J,G24)</f>
        <v>0</v>
      </c>
      <c r="D24" s="20">
        <f>SUMIFS('COMERCIAL VAREJO'!$H:$H,'COMERCIAL VAREJO'!$B:$B,A24,'COMERCIAL VAREJO'!$A:$A,G24,'COMERCIAL VAREJO'!$C:$C,"&lt;&gt;")</f>
        <v>0</v>
      </c>
      <c r="E24" s="20">
        <f t="shared" ref="E24:E31" si="4">B24+C24+D24</f>
        <v>81468.122678562097</v>
      </c>
      <c r="F24" s="11">
        <f t="shared" ref="F24:F31" si="5">IFERROR(B24/B$32,0)</f>
        <v>3.1662513593094688E-2</v>
      </c>
      <c r="G24" s="35" t="s">
        <v>21</v>
      </c>
    </row>
    <row r="25" spans="1:7" ht="15" customHeight="1" x14ac:dyDescent="0.3">
      <c r="A25" s="2" t="s">
        <v>12</v>
      </c>
      <c r="B25" s="21">
        <f>SUMIFS(PARÂMETROS!$F:$F,PARÂMETROS!$C:$C,A25,PARÂMETROS!$J:$J,G25)</f>
        <v>147726.91840145376</v>
      </c>
      <c r="C25" s="21">
        <f>SUMIFS(PARÂMETROS!$H:$H,PARÂMETROS!$C:$C,A25,PARÂMETROS!$J:$J,G25)</f>
        <v>0</v>
      </c>
      <c r="D25" s="21">
        <f>SUMIFS('COMERCIAL VAREJO'!$H:$H,'COMERCIAL VAREJO'!$B:$B,A25,'COMERCIAL VAREJO'!$A:$A,G25,'COMERCIAL VAREJO'!$C:$C,"&lt;&gt;")</f>
        <v>0</v>
      </c>
      <c r="E25" s="21">
        <f t="shared" si="4"/>
        <v>147726.91840145376</v>
      </c>
      <c r="F25" s="2">
        <f t="shared" si="5"/>
        <v>5.7413935759966318E-2</v>
      </c>
      <c r="G25" s="36" t="s">
        <v>21</v>
      </c>
    </row>
    <row r="26" spans="1:7" ht="15" customHeight="1" x14ac:dyDescent="0.3">
      <c r="A26" s="11" t="s">
        <v>13</v>
      </c>
      <c r="B26" s="20">
        <f>SUMIFS(PARÂMETROS!$F:$F,PARÂMETROS!$C:$C,A26,PARÂMETROS!$J:$J,G26)</f>
        <v>179881.51876295885</v>
      </c>
      <c r="C26" s="20">
        <f>SUMIFS(PARÂMETROS!$H:$H,PARÂMETROS!$C:$C,A26,PARÂMETROS!$J:$J,G26)</f>
        <v>0</v>
      </c>
      <c r="D26" s="20">
        <f>SUMIFS('COMERCIAL VAREJO'!$H:$H,'COMERCIAL VAREJO'!$B:$B,A26,'COMERCIAL VAREJO'!$A:$A,G26,'COMERCIAL VAREJO'!$C:$C,"&lt;&gt;")</f>
        <v>0</v>
      </c>
      <c r="E26" s="20">
        <f t="shared" si="4"/>
        <v>179881.51876295885</v>
      </c>
      <c r="F26" s="11">
        <f t="shared" si="5"/>
        <v>6.9910792659979168E-2</v>
      </c>
      <c r="G26" s="35" t="s">
        <v>21</v>
      </c>
    </row>
    <row r="27" spans="1:7" ht="15" customHeight="1" x14ac:dyDescent="0.3">
      <c r="A27" s="2" t="s">
        <v>14</v>
      </c>
      <c r="B27" s="21">
        <f>SUMIFS(PARÂMETROS!$F:$F,PARÂMETROS!$C:$C,A27,PARÂMETROS!$J:$J,G27)</f>
        <v>45812.570277605198</v>
      </c>
      <c r="C27" s="21">
        <f>SUMIFS(PARÂMETROS!$H:$H,PARÂMETROS!$C:$C,A27,PARÂMETROS!$J:$J,G27)</f>
        <v>0</v>
      </c>
      <c r="D27" s="21">
        <f>SUMIFS('COMERCIAL VAREJO'!$H:$H,'COMERCIAL VAREJO'!$B:$B,A27,'COMERCIAL VAREJO'!$A:$A,G27,'COMERCIAL VAREJO'!$C:$C,"&lt;&gt;")</f>
        <v>0</v>
      </c>
      <c r="E27" s="21">
        <f t="shared" si="4"/>
        <v>45812.570277605198</v>
      </c>
      <c r="F27" s="2">
        <f t="shared" si="5"/>
        <v>1.7805014789311974E-2</v>
      </c>
      <c r="G27" s="36" t="s">
        <v>21</v>
      </c>
    </row>
    <row r="28" spans="1:7" ht="15" customHeight="1" x14ac:dyDescent="0.3">
      <c r="A28" s="11" t="s">
        <v>15</v>
      </c>
      <c r="B28" s="20">
        <f>SUMIFS(PARÂMETROS!$F:$F,PARÂMETROS!$C:$C,A28,PARÂMETROS!$J:$J,G28)</f>
        <v>85737.862859601402</v>
      </c>
      <c r="C28" s="20">
        <f>SUMIFS(PARÂMETROS!$H:$H,PARÂMETROS!$C:$C,A28,PARÂMETROS!$J:$J,G28)</f>
        <v>0</v>
      </c>
      <c r="D28" s="20">
        <f>SUMIFS('COMERCIAL VAREJO'!$H:$H,'COMERCIAL VAREJO'!$B:$B,A28,'COMERCIAL VAREJO'!$A:$A,G28,'COMERCIAL VAREJO'!$C:$C,"&lt;&gt;")</f>
        <v>0</v>
      </c>
      <c r="E28" s="20">
        <f t="shared" si="4"/>
        <v>85737.862859601402</v>
      </c>
      <c r="F28" s="11">
        <f t="shared" si="5"/>
        <v>3.3321944325953763E-2</v>
      </c>
      <c r="G28" s="35" t="s">
        <v>21</v>
      </c>
    </row>
    <row r="29" spans="1:7" ht="15" customHeight="1" x14ac:dyDescent="0.3">
      <c r="A29" s="2" t="s">
        <v>16</v>
      </c>
      <c r="B29" s="21">
        <f>SUMIFS(PARÂMETROS!$F:$F,PARÂMETROS!$C:$C,A29,PARÂMETROS!$J:$J,G29)</f>
        <v>57512.378515422206</v>
      </c>
      <c r="C29" s="21">
        <f>SUMIFS(PARÂMETROS!$H:$H,PARÂMETROS!$C:$C,A29,PARÂMETROS!$J:$J,G29)</f>
        <v>0</v>
      </c>
      <c r="D29" s="21">
        <f>SUMIFS('COMERCIAL VAREJO'!$H:$H,'COMERCIAL VAREJO'!$B:$B,A29,'COMERCIAL VAREJO'!$A:$A,G29,'COMERCIAL VAREJO'!$C:$C,"&lt;&gt;")</f>
        <v>0</v>
      </c>
      <c r="E29" s="21">
        <f t="shared" si="4"/>
        <v>57512.378515422206</v>
      </c>
      <c r="F29" s="2">
        <f t="shared" si="5"/>
        <v>2.2352134879805516E-2</v>
      </c>
      <c r="G29" s="36" t="s">
        <v>21</v>
      </c>
    </row>
    <row r="30" spans="1:7" ht="15" customHeight="1" x14ac:dyDescent="0.3">
      <c r="A30" s="11" t="s">
        <v>17</v>
      </c>
      <c r="B30" s="20">
        <f>SUMIFS(PARÂMETROS!$F:$F,PARÂMETROS!$C:$C,A30,PARÂMETROS!$J:$J,G30)</f>
        <v>61272.918090437757</v>
      </c>
      <c r="C30" s="20">
        <f>SUMIFS(PARÂMETROS!$H:$H,PARÂMETROS!$C:$C,A30,PARÂMETROS!$J:$J,G30)</f>
        <v>0</v>
      </c>
      <c r="D30" s="20">
        <f>SUMIFS('COMERCIAL VAREJO'!$H:$H,'COMERCIAL VAREJO'!$B:$B,A30,'COMERCIAL VAREJO'!$A:$A,G30,'COMERCIAL VAREJO'!$C:$C,"&lt;&gt;")</f>
        <v>0</v>
      </c>
      <c r="E30" s="20">
        <f t="shared" si="4"/>
        <v>61272.918090437757</v>
      </c>
      <c r="F30" s="11">
        <f t="shared" si="5"/>
        <v>2.3813665248942552E-2</v>
      </c>
      <c r="G30" s="35" t="s">
        <v>21</v>
      </c>
    </row>
    <row r="31" spans="1:7" ht="15" customHeight="1" x14ac:dyDescent="0.3">
      <c r="A31" s="2" t="s">
        <v>18</v>
      </c>
      <c r="B31" s="21">
        <f>SUMIFS(PARÂMETROS!$F:$F,PARÂMETROS!$C:$C,A31,PARÂMETROS!$J:$J,G31)</f>
        <v>1913602.7188095513</v>
      </c>
      <c r="C31" s="21">
        <f>SUMIFS(PARÂMETROS!$H:$H,PARÂMETROS!$C:$C,A31,PARÂMETROS!$J:$J,G31)</f>
        <v>0</v>
      </c>
      <c r="D31" s="21">
        <f>SUMIFS('COMERCIAL VAREJO'!$H:$H,'COMERCIAL VAREJO'!$B:$B,A31,'COMERCIAL VAREJO'!$A:$A,G31,'COMERCIAL VAREJO'!$C:$C,"&lt;&gt;")</f>
        <v>0</v>
      </c>
      <c r="E31" s="21">
        <f t="shared" si="4"/>
        <v>1913602.7188095513</v>
      </c>
      <c r="F31" s="2">
        <f t="shared" si="5"/>
        <v>0.74371999874294603</v>
      </c>
      <c r="G31" s="36" t="s">
        <v>21</v>
      </c>
    </row>
    <row r="32" spans="1:7" ht="15" customHeight="1" x14ac:dyDescent="0.3">
      <c r="A32" s="30" t="s">
        <v>136</v>
      </c>
      <c r="B32" s="32">
        <f>SUM(B24:B31)</f>
        <v>2573015.0083955927</v>
      </c>
      <c r="C32" s="32">
        <f>SUM(C24:C31)</f>
        <v>0</v>
      </c>
      <c r="D32" s="32">
        <f>SUM(D24:D31)</f>
        <v>0</v>
      </c>
      <c r="E32" s="32">
        <f>SUM(E24:E31)</f>
        <v>2573015.0083955927</v>
      </c>
      <c r="F32" s="30"/>
      <c r="G32" s="18"/>
    </row>
    <row r="33" spans="1:7" ht="14.25" customHeight="1" x14ac:dyDescent="0.3">
      <c r="A33" s="11" t="s">
        <v>10</v>
      </c>
      <c r="B33" s="20">
        <f>SUMIFS(PARÂMETROS!$F:$F,PARÂMETROS!$C:$C,A33,PARÂMETROS!$J:$J,G33)</f>
        <v>80480.05439276059</v>
      </c>
      <c r="C33" s="20">
        <f>SUMIFS(PARÂMETROS!$H:$H,PARÂMETROS!$C:$C,A33,PARÂMETROS!$J:$J,G33)</f>
        <v>0</v>
      </c>
      <c r="D33" s="20">
        <f>SUMIFS('COMERCIAL VAREJO'!$H:$H,'COMERCIAL VAREJO'!$B:$B,A33,'COMERCIAL VAREJO'!$A:$A,G33,'COMERCIAL VAREJO'!$C:$C,"&lt;&gt;")</f>
        <v>0</v>
      </c>
      <c r="E33" s="20">
        <f>B33+C33+D33</f>
        <v>80480.05439276059</v>
      </c>
      <c r="F33" s="11">
        <f>IFERROR(B33/B$32,0)</f>
        <v>3.127850173052199E-2</v>
      </c>
      <c r="G33" s="35" t="s">
        <v>88</v>
      </c>
    </row>
    <row r="34" spans="1:7" ht="14.25" customHeight="1" x14ac:dyDescent="0.3">
      <c r="A34" s="53" t="s">
        <v>12</v>
      </c>
      <c r="B34" s="53"/>
      <c r="C34" s="53"/>
      <c r="D34" s="53"/>
      <c r="E34" s="53"/>
      <c r="F34" s="53"/>
      <c r="G34" s="36" t="s">
        <v>88</v>
      </c>
    </row>
    <row r="35" spans="1:7" ht="14.25" customHeight="1" x14ac:dyDescent="0.3">
      <c r="A35" s="11" t="s">
        <v>13</v>
      </c>
      <c r="B35" s="20">
        <f>SUMIFS(PARÂMETROS!$F:$F,PARÂMETROS!$C:$C,A35,PARÂMETROS!$J:$J,G35)</f>
        <v>180230.56017832787</v>
      </c>
      <c r="C35" s="20">
        <f>SUMIFS(PARÂMETROS!$H:$H,PARÂMETROS!$C:$C,A35,PARÂMETROS!$J:$J,G35)</f>
        <v>0</v>
      </c>
      <c r="D35" s="20">
        <f>SUMIFS('COMERCIAL VAREJO'!$H:$H,'COMERCIAL VAREJO'!$B:$B,A35,'COMERCIAL VAREJO'!$A:$A,G35,'COMERCIAL VAREJO'!$C:$C,"&lt;&gt;")</f>
        <v>0</v>
      </c>
      <c r="E35" s="20">
        <f t="shared" ref="E35:E40" si="6">B35+C35+D35</f>
        <v>180230.56017832787</v>
      </c>
      <c r="F35" s="11">
        <f t="shared" ref="F35:F40" si="7">IFERROR(B35/B$32,0)</f>
        <v>7.0046447296361045E-2</v>
      </c>
      <c r="G35" s="35" t="s">
        <v>88</v>
      </c>
    </row>
    <row r="36" spans="1:7" ht="14.25" customHeight="1" x14ac:dyDescent="0.3">
      <c r="A36" s="2" t="s">
        <v>14</v>
      </c>
      <c r="B36" s="21">
        <f>SUMIFS(PARÂMETROS!$F:$F,PARÂMETROS!$C:$C,A36,PARÂMETROS!$J:$J,G36)</f>
        <v>45544.912116922133</v>
      </c>
      <c r="C36" s="21">
        <f>SUMIFS(PARÂMETROS!$H:$H,PARÂMETROS!$C:$C,A36,PARÂMETROS!$J:$J,G36)</f>
        <v>0</v>
      </c>
      <c r="D36" s="21">
        <f>SUMIFS('COMERCIAL VAREJO'!$H:$H,'COMERCIAL VAREJO'!$B:$B,A36,'COMERCIAL VAREJO'!$A:$A,G36,'COMERCIAL VAREJO'!$C:$C,"&lt;&gt;")</f>
        <v>0</v>
      </c>
      <c r="E36" s="21">
        <f t="shared" si="6"/>
        <v>45544.912116922133</v>
      </c>
      <c r="F36" s="2">
        <f t="shared" si="7"/>
        <v>1.7700989682653163E-2</v>
      </c>
      <c r="G36" s="36" t="s">
        <v>88</v>
      </c>
    </row>
    <row r="37" spans="1:7" ht="14.25" customHeight="1" x14ac:dyDescent="0.3">
      <c r="A37" s="11" t="s">
        <v>15</v>
      </c>
      <c r="B37" s="20">
        <f>SUMIFS(PARÂMETROS!$F:$F,PARÂMETROS!$C:$C,A37,PARÂMETROS!$J:$J,G37)</f>
        <v>82987.231328956084</v>
      </c>
      <c r="C37" s="20">
        <f>SUMIFS(PARÂMETROS!$H:$H,PARÂMETROS!$C:$C,A37,PARÂMETROS!$J:$J,G37)</f>
        <v>0</v>
      </c>
      <c r="D37" s="20">
        <f>SUMIFS('COMERCIAL VAREJO'!$H:$H,'COMERCIAL VAREJO'!$B:$B,A37,'COMERCIAL VAREJO'!$A:$A,G37,'COMERCIAL VAREJO'!$C:$C,"&lt;&gt;")</f>
        <v>0</v>
      </c>
      <c r="E37" s="20">
        <f t="shared" si="6"/>
        <v>82987.231328956084</v>
      </c>
      <c r="F37" s="11">
        <f t="shared" si="7"/>
        <v>3.2252913822178944E-2</v>
      </c>
      <c r="G37" s="35" t="s">
        <v>88</v>
      </c>
    </row>
    <row r="38" spans="1:7" ht="14.25" customHeight="1" x14ac:dyDescent="0.3">
      <c r="A38" s="2" t="s">
        <v>16</v>
      </c>
      <c r="B38" s="21">
        <f>SUMIFS(PARÂMETROS!$F:$F,PARÂMETROS!$C:$C,A38,PARÂMETROS!$J:$J,G38)</f>
        <v>57111.549646492931</v>
      </c>
      <c r="C38" s="21">
        <f>SUMIFS(PARÂMETROS!$H:$H,PARÂMETROS!$C:$C,A38,PARÂMETROS!$J:$J,G38)</f>
        <v>0</v>
      </c>
      <c r="D38" s="21">
        <f>SUMIFS('COMERCIAL VAREJO'!$H:$H,'COMERCIAL VAREJO'!$B:$B,A38,'COMERCIAL VAREJO'!$A:$A,G38,'COMERCIAL VAREJO'!$C:$C,"&lt;&gt;")</f>
        <v>0</v>
      </c>
      <c r="E38" s="21">
        <f t="shared" si="6"/>
        <v>57111.549646492931</v>
      </c>
      <c r="F38" s="2">
        <f t="shared" si="7"/>
        <v>2.2196353095547981E-2</v>
      </c>
      <c r="G38" s="36" t="s">
        <v>88</v>
      </c>
    </row>
    <row r="39" spans="1:7" ht="14.25" customHeight="1" x14ac:dyDescent="0.3">
      <c r="A39" s="11" t="s">
        <v>17</v>
      </c>
      <c r="B39" s="20">
        <f>SUMIFS(PARÂMETROS!$F:$F,PARÂMETROS!$C:$C,A39,PARÂMETROS!$J:$J,G39)</f>
        <v>60391.241670006246</v>
      </c>
      <c r="C39" s="20">
        <f>SUMIFS(PARÂMETROS!$H:$H,PARÂMETROS!$C:$C,A39,PARÂMETROS!$J:$J,G39)</f>
        <v>0</v>
      </c>
      <c r="D39" s="20">
        <f>SUMIFS('COMERCIAL VAREJO'!$H:$H,'COMERCIAL VAREJO'!$B:$B,A39,'COMERCIAL VAREJO'!$A:$A,G39,'COMERCIAL VAREJO'!$C:$C,"&lt;&gt;")</f>
        <v>0</v>
      </c>
      <c r="E39" s="20">
        <f t="shared" si="6"/>
        <v>60391.241670006246</v>
      </c>
      <c r="F39" s="11">
        <f t="shared" si="7"/>
        <v>2.3471002490445359E-2</v>
      </c>
      <c r="G39" s="35" t="s">
        <v>88</v>
      </c>
    </row>
    <row r="40" spans="1:7" ht="14.25" customHeight="1" x14ac:dyDescent="0.3">
      <c r="A40" s="2" t="s">
        <v>18</v>
      </c>
      <c r="B40" s="21">
        <f>SUMIFS(PARÂMETROS!$F:$F,PARÂMETROS!$C:$C,A40,PARÂMETROS!$J:$J,G40)</f>
        <v>1822826.7805077881</v>
      </c>
      <c r="C40" s="21">
        <f>SUMIFS(PARÂMETROS!$H:$H,PARÂMETROS!$C:$C,A40,PARÂMETROS!$J:$J,G40)</f>
        <v>0</v>
      </c>
      <c r="D40" s="21">
        <f>SUMIFS('COMERCIAL VAREJO'!$H:$H,'COMERCIAL VAREJO'!$B:$B,A40,'COMERCIAL VAREJO'!$A:$A,G40,'COMERCIAL VAREJO'!$C:$C,"&lt;&gt;")</f>
        <v>0</v>
      </c>
      <c r="E40" s="21">
        <f t="shared" si="6"/>
        <v>1822826.7805077881</v>
      </c>
      <c r="F40" s="2">
        <f t="shared" si="7"/>
        <v>0.70844001086663477</v>
      </c>
      <c r="G40" s="36" t="s">
        <v>88</v>
      </c>
    </row>
    <row r="41" spans="1:7" ht="14.25" customHeight="1" x14ac:dyDescent="0.3">
      <c r="A41" s="30" t="s">
        <v>145</v>
      </c>
      <c r="B41" s="32">
        <f>SUM(B33:B40)</f>
        <v>2329572.3298412538</v>
      </c>
      <c r="C41" s="32">
        <f>SUM(C33:C40)</f>
        <v>0</v>
      </c>
      <c r="D41" s="32">
        <f>SUM(D33:D40)</f>
        <v>0</v>
      </c>
      <c r="E41" s="32">
        <f>SUM(E33:E40)</f>
        <v>2329572.3298412538</v>
      </c>
      <c r="F41" s="30"/>
      <c r="G41" s="18"/>
    </row>
    <row r="44" spans="1:7" ht="14.25" customHeight="1" x14ac:dyDescent="0.3">
      <c r="A44" t="s">
        <v>265</v>
      </c>
    </row>
  </sheetData>
  <mergeCells count="2">
    <mergeCell ref="A1:D1"/>
    <mergeCell ref="A34:F3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11"/>
  <sheetViews>
    <sheetView zoomScaleNormal="100" workbookViewId="0">
      <pane ySplit="4" topLeftCell="A408" activePane="bottomLeft" state="frozen"/>
      <selection pane="bottomLeft" activeCell="H241" sqref="H241"/>
    </sheetView>
  </sheetViews>
  <sheetFormatPr defaultColWidth="8.6640625" defaultRowHeight="14.4" x14ac:dyDescent="0.3"/>
  <cols>
    <col min="1" max="1" width="30" customWidth="1"/>
    <col min="2" max="2" width="33.21875" customWidth="1"/>
    <col min="3" max="3" width="36.77734375" customWidth="1"/>
    <col min="4" max="4" width="39.33203125" customWidth="1"/>
    <col min="5" max="5" width="25.21875" customWidth="1"/>
    <col min="6" max="6" width="11.77734375" customWidth="1"/>
    <col min="7" max="11" width="20" customWidth="1"/>
    <col min="12" max="12" width="12" customWidth="1"/>
    <col min="13" max="13" width="14" customWidth="1"/>
  </cols>
  <sheetData>
    <row r="1" spans="1:15" ht="15" customHeight="1" x14ac:dyDescent="0.3">
      <c r="A1" s="54" t="s">
        <v>266</v>
      </c>
      <c r="B1" s="54"/>
      <c r="C1" s="54"/>
      <c r="D1" s="54"/>
      <c r="E1" s="54"/>
      <c r="F1" s="54"/>
      <c r="G1" s="54"/>
      <c r="H1" s="54"/>
      <c r="I1" s="54"/>
      <c r="J1" s="37"/>
      <c r="K1" s="37"/>
      <c r="L1" s="37"/>
      <c r="M1" s="37"/>
      <c r="N1" s="37"/>
      <c r="O1" s="37"/>
    </row>
    <row r="2" spans="1:15" ht="60" customHeight="1" x14ac:dyDescent="0.3">
      <c r="A2" s="55" t="s">
        <v>267</v>
      </c>
      <c r="B2" s="55"/>
      <c r="C2" s="55"/>
      <c r="D2" s="55"/>
      <c r="E2" s="55"/>
      <c r="F2" s="55"/>
      <c r="G2" s="55"/>
      <c r="H2" s="55"/>
      <c r="I2" s="55"/>
      <c r="J2" s="37"/>
      <c r="K2" s="37"/>
      <c r="L2" s="37"/>
      <c r="M2" s="37"/>
      <c r="N2" s="37"/>
      <c r="O2" s="37"/>
    </row>
    <row r="3" spans="1:15" ht="15" customHeight="1" x14ac:dyDescent="0.3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1:15" ht="15" customHeight="1" x14ac:dyDescent="0.3">
      <c r="A4" s="56" t="s">
        <v>268</v>
      </c>
      <c r="B4" s="56"/>
      <c r="C4" s="56"/>
      <c r="D4" s="56"/>
      <c r="E4" s="56"/>
      <c r="F4" s="56"/>
      <c r="G4" s="56"/>
      <c r="H4" s="56"/>
      <c r="I4" s="56"/>
      <c r="J4" s="37"/>
      <c r="K4" s="37"/>
      <c r="L4" s="37"/>
      <c r="M4" s="37"/>
      <c r="N4" s="37"/>
      <c r="O4" s="37"/>
    </row>
    <row r="5" spans="1:15" ht="15" customHeight="1" x14ac:dyDescent="0.3">
      <c r="A5" s="38" t="s">
        <v>269</v>
      </c>
      <c r="B5" s="38" t="s">
        <v>3</v>
      </c>
      <c r="C5" s="38" t="s">
        <v>270</v>
      </c>
      <c r="D5" s="38" t="s">
        <v>271</v>
      </c>
      <c r="E5" s="38" t="s">
        <v>272</v>
      </c>
      <c r="F5" s="38" t="s">
        <v>273</v>
      </c>
      <c r="G5" s="37"/>
      <c r="H5" s="37"/>
      <c r="I5" s="37"/>
      <c r="J5" s="37"/>
      <c r="K5" s="37"/>
      <c r="L5" s="37"/>
      <c r="M5" s="37"/>
      <c r="N5" s="37"/>
      <c r="O5" s="37"/>
    </row>
    <row r="6" spans="1:15" ht="15" customHeight="1" x14ac:dyDescent="0.3">
      <c r="A6" s="39" t="s">
        <v>274</v>
      </c>
      <c r="B6" s="39" t="s">
        <v>275</v>
      </c>
      <c r="C6" s="39">
        <v>39</v>
      </c>
      <c r="D6" s="39">
        <v>33</v>
      </c>
      <c r="E6" s="39">
        <v>2</v>
      </c>
      <c r="F6" s="39" t="s">
        <v>276</v>
      </c>
      <c r="G6" s="37"/>
      <c r="H6" s="37"/>
      <c r="I6" s="37"/>
      <c r="J6" s="37"/>
      <c r="K6" s="37"/>
      <c r="L6" s="37"/>
      <c r="M6" s="37"/>
      <c r="N6" s="37"/>
      <c r="O6" s="37"/>
    </row>
    <row r="7" spans="1:15" ht="15" customHeight="1" x14ac:dyDescent="0.3">
      <c r="A7" s="39" t="s">
        <v>277</v>
      </c>
      <c r="B7" s="39" t="s">
        <v>275</v>
      </c>
      <c r="C7" s="39">
        <v>9</v>
      </c>
      <c r="D7" s="39">
        <v>9</v>
      </c>
      <c r="E7" s="39">
        <v>0</v>
      </c>
      <c r="F7" s="39" t="s">
        <v>278</v>
      </c>
      <c r="G7" s="37"/>
      <c r="H7" s="37"/>
      <c r="I7" s="37"/>
      <c r="J7" s="37"/>
      <c r="K7" s="37"/>
      <c r="L7" s="37"/>
      <c r="M7" s="37"/>
      <c r="N7" s="37"/>
      <c r="O7" s="37"/>
    </row>
    <row r="8" spans="1:15" ht="15" customHeight="1" x14ac:dyDescent="0.3">
      <c r="A8" s="39" t="s">
        <v>279</v>
      </c>
      <c r="B8" s="39" t="s">
        <v>275</v>
      </c>
      <c r="C8" s="39">
        <v>7</v>
      </c>
      <c r="D8" s="39">
        <v>6</v>
      </c>
      <c r="E8" s="39">
        <v>1</v>
      </c>
      <c r="F8" s="39" t="s">
        <v>278</v>
      </c>
      <c r="G8" s="37"/>
      <c r="H8" s="37"/>
      <c r="I8" s="37"/>
      <c r="J8" s="37"/>
      <c r="K8" s="37"/>
      <c r="L8" s="37"/>
      <c r="M8" s="37"/>
      <c r="N8" s="37"/>
      <c r="O8" s="37"/>
    </row>
    <row r="9" spans="1:15" ht="15" customHeight="1" x14ac:dyDescent="0.3">
      <c r="A9" s="39" t="s">
        <v>280</v>
      </c>
      <c r="B9" s="39" t="s">
        <v>275</v>
      </c>
      <c r="C9" s="39">
        <v>11</v>
      </c>
      <c r="D9" s="39">
        <v>8</v>
      </c>
      <c r="E9" s="39">
        <v>1</v>
      </c>
      <c r="F9" s="39" t="s">
        <v>281</v>
      </c>
      <c r="G9" s="37"/>
      <c r="H9" s="37"/>
      <c r="I9" s="37"/>
      <c r="J9" s="37"/>
      <c r="K9" s="37"/>
      <c r="L9" s="37"/>
      <c r="M9" s="37"/>
      <c r="N9" s="37"/>
      <c r="O9" s="37"/>
    </row>
    <row r="10" spans="1:15" ht="15" customHeight="1" x14ac:dyDescent="0.3">
      <c r="A10" s="39" t="s">
        <v>280</v>
      </c>
      <c r="B10" s="39" t="s">
        <v>282</v>
      </c>
      <c r="C10" s="39">
        <v>2</v>
      </c>
      <c r="D10" s="39">
        <v>1</v>
      </c>
      <c r="E10" s="39">
        <v>1</v>
      </c>
      <c r="F10" s="39" t="s">
        <v>278</v>
      </c>
      <c r="G10" s="37"/>
      <c r="H10" s="37"/>
      <c r="I10" s="37"/>
      <c r="J10" s="37"/>
      <c r="K10" s="37"/>
      <c r="L10" s="37"/>
      <c r="M10" s="37"/>
      <c r="N10" s="37"/>
      <c r="O10" s="37"/>
    </row>
    <row r="11" spans="1:15" ht="15" customHeight="1" x14ac:dyDescent="0.3">
      <c r="A11" s="39" t="s">
        <v>283</v>
      </c>
      <c r="B11" s="39" t="s">
        <v>275</v>
      </c>
      <c r="C11" s="39">
        <v>18</v>
      </c>
      <c r="D11" s="39">
        <v>14</v>
      </c>
      <c r="E11" s="39">
        <v>2</v>
      </c>
      <c r="F11" s="39" t="s">
        <v>281</v>
      </c>
      <c r="G11" s="37"/>
      <c r="H11" s="37"/>
      <c r="I11" s="37"/>
      <c r="J11" s="37"/>
      <c r="K11" s="37"/>
      <c r="L11" s="37"/>
      <c r="M11" s="37"/>
      <c r="N11" s="37"/>
      <c r="O11" s="37"/>
    </row>
    <row r="12" spans="1:15" ht="15" customHeight="1" x14ac:dyDescent="0.3">
      <c r="A12" s="39" t="s">
        <v>283</v>
      </c>
      <c r="B12" s="39" t="s">
        <v>284</v>
      </c>
      <c r="C12" s="39">
        <v>2</v>
      </c>
      <c r="D12" s="39">
        <v>1</v>
      </c>
      <c r="E12" s="39">
        <v>1</v>
      </c>
      <c r="F12" s="39" t="s">
        <v>278</v>
      </c>
      <c r="G12" s="37"/>
      <c r="H12" s="37"/>
      <c r="I12" s="37"/>
      <c r="J12" s="37"/>
      <c r="K12" s="37"/>
      <c r="L12" s="37"/>
      <c r="M12" s="37"/>
      <c r="N12" s="37"/>
      <c r="O12" s="37"/>
    </row>
    <row r="13" spans="1:15" ht="15" customHeight="1" x14ac:dyDescent="0.3">
      <c r="A13" s="39" t="s">
        <v>283</v>
      </c>
      <c r="B13" s="39" t="s">
        <v>285</v>
      </c>
      <c r="C13" s="39">
        <v>5</v>
      </c>
      <c r="D13" s="39">
        <v>5</v>
      </c>
      <c r="E13" s="39">
        <v>0</v>
      </c>
      <c r="F13" s="39" t="s">
        <v>278</v>
      </c>
      <c r="G13" s="37"/>
      <c r="H13" s="37"/>
      <c r="I13" s="37"/>
      <c r="J13" s="37"/>
      <c r="K13" s="37"/>
      <c r="L13" s="37"/>
      <c r="M13" s="37"/>
      <c r="N13" s="37"/>
      <c r="O13" s="37"/>
    </row>
    <row r="14" spans="1:15" ht="15" customHeight="1" x14ac:dyDescent="0.3">
      <c r="A14" s="39" t="s">
        <v>286</v>
      </c>
      <c r="B14" s="39" t="s">
        <v>287</v>
      </c>
      <c r="C14" s="39">
        <v>8</v>
      </c>
      <c r="D14" s="39">
        <v>7</v>
      </c>
      <c r="E14" s="39">
        <v>0</v>
      </c>
      <c r="F14" s="39" t="s">
        <v>288</v>
      </c>
      <c r="G14" s="37"/>
      <c r="H14" s="37"/>
      <c r="I14" s="37"/>
      <c r="J14" s="37"/>
      <c r="K14" s="37"/>
      <c r="L14" s="37"/>
      <c r="M14" s="37"/>
      <c r="N14" s="37"/>
      <c r="O14" s="37"/>
    </row>
    <row r="15" spans="1:15" ht="15" customHeight="1" x14ac:dyDescent="0.3">
      <c r="A15" s="39" t="s">
        <v>286</v>
      </c>
      <c r="B15" s="39" t="s">
        <v>289</v>
      </c>
      <c r="C15" s="39">
        <v>2</v>
      </c>
      <c r="D15" s="39">
        <v>1</v>
      </c>
      <c r="E15" s="39">
        <v>0</v>
      </c>
      <c r="F15" s="39" t="s">
        <v>288</v>
      </c>
      <c r="G15" s="37"/>
      <c r="H15" s="37"/>
      <c r="I15" s="37"/>
      <c r="J15" s="37"/>
      <c r="K15" s="37"/>
      <c r="L15" s="37"/>
      <c r="M15" s="37"/>
      <c r="N15" s="37"/>
      <c r="O15" s="37"/>
    </row>
    <row r="16" spans="1:15" ht="15" customHeight="1" x14ac:dyDescent="0.3">
      <c r="A16" s="39" t="s">
        <v>286</v>
      </c>
      <c r="B16" s="39" t="s">
        <v>290</v>
      </c>
      <c r="C16" s="39">
        <v>11</v>
      </c>
      <c r="D16" s="39">
        <v>9</v>
      </c>
      <c r="E16" s="39">
        <v>1</v>
      </c>
      <c r="F16" s="39" t="s">
        <v>291</v>
      </c>
      <c r="G16" s="37"/>
      <c r="H16" s="37"/>
      <c r="I16" s="37"/>
      <c r="J16" s="37"/>
      <c r="K16" s="37"/>
      <c r="L16" s="37"/>
      <c r="M16" s="37"/>
      <c r="N16" s="37"/>
      <c r="O16" s="37"/>
    </row>
    <row r="17" spans="1:15" ht="15" customHeight="1" x14ac:dyDescent="0.3">
      <c r="A17" s="39" t="s">
        <v>292</v>
      </c>
      <c r="B17" s="39" t="s">
        <v>293</v>
      </c>
      <c r="C17" s="39">
        <v>1</v>
      </c>
      <c r="D17" s="39">
        <v>0</v>
      </c>
      <c r="E17" s="39">
        <v>0</v>
      </c>
      <c r="F17" s="39" t="s">
        <v>288</v>
      </c>
      <c r="G17" s="37"/>
      <c r="H17" s="37"/>
      <c r="I17" s="37"/>
      <c r="J17" s="37"/>
      <c r="K17" s="37"/>
      <c r="L17" s="37"/>
      <c r="M17" s="37"/>
      <c r="N17" s="37"/>
      <c r="O17" s="37"/>
    </row>
    <row r="18" spans="1:15" ht="15" customHeight="1" x14ac:dyDescent="0.3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</row>
    <row r="19" spans="1:15" ht="15" customHeight="1" x14ac:dyDescent="0.3">
      <c r="A19" s="56" t="s">
        <v>294</v>
      </c>
      <c r="B19" s="56"/>
      <c r="C19" s="56"/>
      <c r="D19" s="56"/>
      <c r="E19" s="56"/>
      <c r="F19" s="56"/>
      <c r="G19" s="56"/>
      <c r="H19" s="56"/>
      <c r="I19" s="56"/>
      <c r="J19" s="37"/>
      <c r="K19" s="37"/>
      <c r="L19" s="37"/>
      <c r="M19" s="37"/>
      <c r="N19" s="37"/>
      <c r="O19" s="37"/>
    </row>
    <row r="20" spans="1:15" ht="15" customHeight="1" x14ac:dyDescent="0.3">
      <c r="A20" s="38" t="s">
        <v>9</v>
      </c>
      <c r="B20" s="38" t="s">
        <v>3</v>
      </c>
      <c r="C20" s="38" t="s">
        <v>150</v>
      </c>
      <c r="D20" s="38" t="s">
        <v>295</v>
      </c>
      <c r="E20" s="38" t="s">
        <v>269</v>
      </c>
      <c r="F20" s="38" t="s">
        <v>152</v>
      </c>
      <c r="G20" s="38" t="s">
        <v>296</v>
      </c>
      <c r="H20" s="38" t="s">
        <v>297</v>
      </c>
      <c r="I20" s="38" t="s">
        <v>298</v>
      </c>
      <c r="J20" s="37"/>
      <c r="K20" s="37"/>
      <c r="L20" s="37"/>
      <c r="M20" s="37"/>
      <c r="N20" s="37"/>
      <c r="O20" s="37"/>
    </row>
    <row r="21" spans="1:15" ht="15" customHeight="1" x14ac:dyDescent="0.3">
      <c r="A21" s="39" t="s">
        <v>11</v>
      </c>
      <c r="B21" s="39" t="s">
        <v>275</v>
      </c>
      <c r="C21" s="39" t="s">
        <v>299</v>
      </c>
      <c r="D21" s="39" t="s">
        <v>197</v>
      </c>
      <c r="E21" s="39" t="s">
        <v>274</v>
      </c>
      <c r="F21" s="39">
        <v>1</v>
      </c>
      <c r="G21" s="40">
        <v>59982.058547051798</v>
      </c>
      <c r="H21" s="40">
        <v>59982.058547051798</v>
      </c>
      <c r="I21" s="39" t="s">
        <v>300</v>
      </c>
      <c r="J21" s="37"/>
      <c r="K21" s="37"/>
      <c r="L21" s="37"/>
      <c r="M21" s="37"/>
      <c r="N21" s="37"/>
      <c r="O21" s="37"/>
    </row>
    <row r="22" spans="1:15" ht="15" customHeight="1" x14ac:dyDescent="0.3">
      <c r="A22" s="39" t="s">
        <v>11</v>
      </c>
      <c r="B22" s="39" t="s">
        <v>275</v>
      </c>
      <c r="C22" s="39" t="s">
        <v>299</v>
      </c>
      <c r="D22" s="39" t="s">
        <v>301</v>
      </c>
      <c r="E22" s="39" t="s">
        <v>274</v>
      </c>
      <c r="F22" s="39">
        <v>1</v>
      </c>
      <c r="G22" s="40">
        <v>1236.8599999999999</v>
      </c>
      <c r="H22" s="40">
        <v>1236.8599999999999</v>
      </c>
      <c r="I22" s="39" t="s">
        <v>302</v>
      </c>
      <c r="J22" s="37"/>
      <c r="K22" s="37"/>
      <c r="L22" s="37"/>
      <c r="M22" s="37"/>
      <c r="N22" s="37"/>
      <c r="O22" s="37"/>
    </row>
    <row r="23" spans="1:15" ht="15" customHeight="1" x14ac:dyDescent="0.3">
      <c r="A23" s="39" t="s">
        <v>11</v>
      </c>
      <c r="B23" s="39" t="s">
        <v>275</v>
      </c>
      <c r="C23" s="39" t="s">
        <v>299</v>
      </c>
      <c r="D23" s="39" t="s">
        <v>170</v>
      </c>
      <c r="E23" s="39" t="s">
        <v>274</v>
      </c>
      <c r="F23" s="39">
        <v>39</v>
      </c>
      <c r="G23" s="40">
        <v>28.31</v>
      </c>
      <c r="H23" s="40">
        <v>1104.0899999999999</v>
      </c>
      <c r="I23" s="39" t="s">
        <v>303</v>
      </c>
      <c r="J23" s="37"/>
      <c r="K23" s="37"/>
      <c r="L23" s="37"/>
      <c r="M23" s="37"/>
      <c r="N23" s="37"/>
      <c r="O23" s="37"/>
    </row>
    <row r="24" spans="1:15" ht="15" customHeight="1" x14ac:dyDescent="0.3">
      <c r="A24" s="39" t="s">
        <v>11</v>
      </c>
      <c r="B24" s="39" t="s">
        <v>275</v>
      </c>
      <c r="C24" s="39" t="s">
        <v>299</v>
      </c>
      <c r="D24" s="39" t="s">
        <v>171</v>
      </c>
      <c r="E24" s="39" t="s">
        <v>274</v>
      </c>
      <c r="F24" s="39">
        <v>39</v>
      </c>
      <c r="G24" s="40">
        <v>47.79</v>
      </c>
      <c r="H24" s="40">
        <v>1863.81</v>
      </c>
      <c r="I24" s="39" t="s">
        <v>303</v>
      </c>
      <c r="J24" s="37"/>
      <c r="K24" s="37"/>
      <c r="L24" s="37"/>
      <c r="M24" s="37"/>
      <c r="N24" s="37"/>
      <c r="O24" s="37"/>
    </row>
    <row r="25" spans="1:15" ht="15" customHeight="1" x14ac:dyDescent="0.3">
      <c r="A25" s="39" t="s">
        <v>11</v>
      </c>
      <c r="B25" s="39" t="s">
        <v>275</v>
      </c>
      <c r="C25" s="39" t="s">
        <v>44</v>
      </c>
      <c r="D25" s="39" t="s">
        <v>169</v>
      </c>
      <c r="E25" s="39" t="s">
        <v>274</v>
      </c>
      <c r="F25" s="39">
        <v>39</v>
      </c>
      <c r="G25" s="40">
        <v>64.540000000000006</v>
      </c>
      <c r="H25" s="40">
        <v>2517.06</v>
      </c>
      <c r="I25" s="39" t="s">
        <v>303</v>
      </c>
      <c r="J25" s="37"/>
      <c r="K25" s="37"/>
      <c r="L25" s="37"/>
      <c r="M25" s="37"/>
      <c r="N25" s="37"/>
      <c r="O25" s="37"/>
    </row>
    <row r="26" spans="1:15" ht="15" customHeight="1" x14ac:dyDescent="0.3">
      <c r="A26" s="39" t="s">
        <v>11</v>
      </c>
      <c r="B26" s="39" t="s">
        <v>275</v>
      </c>
      <c r="C26" s="39" t="s">
        <v>44</v>
      </c>
      <c r="D26" s="39" t="s">
        <v>199</v>
      </c>
      <c r="E26" s="39" t="s">
        <v>274</v>
      </c>
      <c r="F26" s="39">
        <v>1</v>
      </c>
      <c r="G26" s="40">
        <v>142.07</v>
      </c>
      <c r="H26" s="40">
        <v>142.07</v>
      </c>
      <c r="I26" s="39" t="s">
        <v>302</v>
      </c>
      <c r="J26" s="37"/>
      <c r="K26" s="37"/>
      <c r="L26" s="37"/>
      <c r="M26" s="37"/>
      <c r="N26" s="37"/>
      <c r="O26" s="37"/>
    </row>
    <row r="27" spans="1:15" ht="15" customHeight="1" x14ac:dyDescent="0.3">
      <c r="A27" s="39" t="s">
        <v>11</v>
      </c>
      <c r="B27" s="39" t="s">
        <v>275</v>
      </c>
      <c r="C27" s="39" t="s">
        <v>304</v>
      </c>
      <c r="D27" s="39" t="s">
        <v>167</v>
      </c>
      <c r="E27" s="39" t="s">
        <v>274</v>
      </c>
      <c r="F27" s="39">
        <v>39</v>
      </c>
      <c r="G27" s="40">
        <v>10.050000000000001</v>
      </c>
      <c r="H27" s="40">
        <v>391.95</v>
      </c>
      <c r="I27" s="39" t="s">
        <v>303</v>
      </c>
      <c r="J27" s="37"/>
      <c r="K27" s="37"/>
      <c r="L27" s="37"/>
      <c r="M27" s="37"/>
      <c r="N27" s="37"/>
      <c r="O27" s="37"/>
    </row>
    <row r="28" spans="1:15" ht="15" customHeight="1" x14ac:dyDescent="0.3">
      <c r="A28" s="39" t="s">
        <v>11</v>
      </c>
      <c r="B28" s="39" t="s">
        <v>275</v>
      </c>
      <c r="C28" s="39" t="s">
        <v>304</v>
      </c>
      <c r="D28" s="39" t="s">
        <v>168</v>
      </c>
      <c r="E28" s="39" t="s">
        <v>274</v>
      </c>
      <c r="F28" s="39">
        <v>39</v>
      </c>
      <c r="G28" s="40">
        <v>2.0699999999999998</v>
      </c>
      <c r="H28" s="40">
        <v>80.73</v>
      </c>
      <c r="I28" s="39" t="s">
        <v>303</v>
      </c>
      <c r="J28" s="37"/>
      <c r="K28" s="37"/>
      <c r="L28" s="37"/>
      <c r="M28" s="37"/>
      <c r="N28" s="37"/>
      <c r="O28" s="37"/>
    </row>
    <row r="29" spans="1:15" ht="15" customHeight="1" x14ac:dyDescent="0.3">
      <c r="A29" s="39" t="s">
        <v>11</v>
      </c>
      <c r="B29" s="39" t="s">
        <v>275</v>
      </c>
      <c r="C29" s="39" t="s">
        <v>305</v>
      </c>
      <c r="D29" s="39" t="s">
        <v>200</v>
      </c>
      <c r="E29" s="39" t="s">
        <v>274</v>
      </c>
      <c r="F29" s="39">
        <v>1</v>
      </c>
      <c r="G29" s="40">
        <v>764.48</v>
      </c>
      <c r="H29" s="40">
        <v>764.48</v>
      </c>
      <c r="I29" s="39" t="s">
        <v>302</v>
      </c>
      <c r="J29" s="37"/>
      <c r="K29" s="37"/>
      <c r="L29" s="37"/>
      <c r="M29" s="37"/>
      <c r="N29" s="37"/>
      <c r="O29" s="37"/>
    </row>
    <row r="30" spans="1:15" ht="15" customHeight="1" x14ac:dyDescent="0.3">
      <c r="A30" s="39" t="s">
        <v>11</v>
      </c>
      <c r="B30" s="39" t="s">
        <v>275</v>
      </c>
      <c r="C30" s="39" t="s">
        <v>305</v>
      </c>
      <c r="D30" s="39" t="s">
        <v>202</v>
      </c>
      <c r="E30" s="39" t="s">
        <v>274</v>
      </c>
      <c r="F30" s="39">
        <v>1</v>
      </c>
      <c r="G30" s="40">
        <v>1150.7</v>
      </c>
      <c r="H30" s="40">
        <v>1150.7</v>
      </c>
      <c r="I30" s="39" t="s">
        <v>302</v>
      </c>
      <c r="J30" s="37"/>
      <c r="K30" s="37"/>
      <c r="L30" s="37"/>
      <c r="M30" s="37"/>
      <c r="N30" s="37"/>
      <c r="O30" s="37"/>
    </row>
    <row r="31" spans="1:15" ht="15" customHeight="1" x14ac:dyDescent="0.3">
      <c r="A31" s="39" t="s">
        <v>11</v>
      </c>
      <c r="B31" s="39" t="s">
        <v>275</v>
      </c>
      <c r="C31" s="39" t="s">
        <v>306</v>
      </c>
      <c r="D31" s="39" t="s">
        <v>198</v>
      </c>
      <c r="E31" s="39" t="s">
        <v>274</v>
      </c>
      <c r="F31" s="39">
        <v>42</v>
      </c>
      <c r="G31" s="40">
        <v>30</v>
      </c>
      <c r="H31" s="40">
        <f>F31*G31</f>
        <v>1260</v>
      </c>
      <c r="I31" s="39" t="s">
        <v>303</v>
      </c>
      <c r="J31" s="37"/>
      <c r="K31" s="37"/>
      <c r="L31" s="37"/>
      <c r="M31" s="37"/>
      <c r="N31" s="37"/>
      <c r="O31" s="37"/>
    </row>
    <row r="32" spans="1:15" ht="15" customHeight="1" x14ac:dyDescent="0.3">
      <c r="A32" s="39" t="s">
        <v>11</v>
      </c>
      <c r="B32" s="39" t="s">
        <v>275</v>
      </c>
      <c r="C32" s="39" t="s">
        <v>307</v>
      </c>
      <c r="D32" s="39" t="s">
        <v>203</v>
      </c>
      <c r="E32" s="39" t="s">
        <v>274</v>
      </c>
      <c r="F32" s="39">
        <v>1</v>
      </c>
      <c r="G32" s="40">
        <v>370.8</v>
      </c>
      <c r="H32" s="40">
        <f>F32*G32</f>
        <v>370.8</v>
      </c>
      <c r="I32" s="39" t="s">
        <v>308</v>
      </c>
      <c r="J32" s="37"/>
      <c r="K32" s="37"/>
      <c r="L32" s="37"/>
      <c r="M32" s="37"/>
      <c r="N32" s="37"/>
      <c r="O32" s="37"/>
    </row>
    <row r="33" spans="1:15" ht="15" customHeight="1" x14ac:dyDescent="0.3">
      <c r="A33" s="39" t="s">
        <v>11</v>
      </c>
      <c r="B33" s="39" t="s">
        <v>275</v>
      </c>
      <c r="C33" s="39" t="s">
        <v>299</v>
      </c>
      <c r="D33" s="39" t="s">
        <v>197</v>
      </c>
      <c r="E33" s="39" t="s">
        <v>277</v>
      </c>
      <c r="F33" s="39">
        <v>1</v>
      </c>
      <c r="G33" s="40">
        <v>7035.95</v>
      </c>
      <c r="H33" s="40">
        <f>F33*G33</f>
        <v>7035.95</v>
      </c>
      <c r="I33" s="39" t="s">
        <v>309</v>
      </c>
      <c r="J33" s="37"/>
      <c r="K33" s="37"/>
      <c r="L33" s="37"/>
      <c r="M33" s="37"/>
      <c r="N33" s="37"/>
      <c r="O33" s="37"/>
    </row>
    <row r="34" spans="1:15" ht="15" customHeight="1" x14ac:dyDescent="0.3">
      <c r="A34" s="39" t="s">
        <v>11</v>
      </c>
      <c r="B34" s="39" t="s">
        <v>275</v>
      </c>
      <c r="C34" s="39" t="s">
        <v>299</v>
      </c>
      <c r="D34" s="39" t="s">
        <v>301</v>
      </c>
      <c r="E34" s="39" t="s">
        <v>277</v>
      </c>
      <c r="F34" s="39">
        <v>1</v>
      </c>
      <c r="G34" s="40">
        <v>285.43</v>
      </c>
      <c r="H34" s="40">
        <v>285.43</v>
      </c>
      <c r="I34" s="39" t="s">
        <v>310</v>
      </c>
      <c r="J34" s="37"/>
      <c r="K34" s="37"/>
      <c r="L34" s="37"/>
      <c r="M34" s="37"/>
      <c r="N34" s="37"/>
      <c r="O34" s="37"/>
    </row>
    <row r="35" spans="1:15" ht="15" customHeight="1" x14ac:dyDescent="0.3">
      <c r="A35" s="39" t="s">
        <v>11</v>
      </c>
      <c r="B35" s="39" t="s">
        <v>275</v>
      </c>
      <c r="C35" s="39" t="s">
        <v>299</v>
      </c>
      <c r="D35" s="39" t="s">
        <v>170</v>
      </c>
      <c r="E35" s="39" t="s">
        <v>277</v>
      </c>
      <c r="F35" s="39">
        <v>9</v>
      </c>
      <c r="G35" s="40">
        <v>28.31</v>
      </c>
      <c r="H35" s="40">
        <f>F35*G35</f>
        <v>254.79</v>
      </c>
      <c r="I35" s="39" t="s">
        <v>303</v>
      </c>
      <c r="J35" s="37"/>
      <c r="K35" s="37"/>
      <c r="L35" s="37"/>
      <c r="M35" s="37"/>
      <c r="N35" s="37"/>
      <c r="O35" s="37"/>
    </row>
    <row r="36" spans="1:15" ht="15" customHeight="1" x14ac:dyDescent="0.3">
      <c r="A36" s="39" t="s">
        <v>11</v>
      </c>
      <c r="B36" s="39" t="s">
        <v>275</v>
      </c>
      <c r="C36" s="39" t="s">
        <v>299</v>
      </c>
      <c r="D36" s="39" t="s">
        <v>171</v>
      </c>
      <c r="E36" s="39" t="s">
        <v>277</v>
      </c>
      <c r="F36" s="39">
        <v>9</v>
      </c>
      <c r="G36" s="40">
        <v>47.79</v>
      </c>
      <c r="H36" s="40">
        <f>F36*G36</f>
        <v>430.11</v>
      </c>
      <c r="I36" s="39" t="s">
        <v>303</v>
      </c>
      <c r="J36" s="37"/>
      <c r="K36" s="37"/>
      <c r="L36" s="37"/>
      <c r="M36" s="37"/>
      <c r="N36" s="37"/>
      <c r="O36" s="37"/>
    </row>
    <row r="37" spans="1:15" ht="15" customHeight="1" x14ac:dyDescent="0.3">
      <c r="A37" s="39" t="s">
        <v>11</v>
      </c>
      <c r="B37" s="39" t="s">
        <v>275</v>
      </c>
      <c r="C37" s="39" t="s">
        <v>44</v>
      </c>
      <c r="D37" s="39" t="s">
        <v>169</v>
      </c>
      <c r="E37" s="39" t="s">
        <v>277</v>
      </c>
      <c r="F37" s="39">
        <v>9</v>
      </c>
      <c r="G37" s="40">
        <v>64.540000000000006</v>
      </c>
      <c r="H37" s="40">
        <f>F37*G37</f>
        <v>580.86</v>
      </c>
      <c r="I37" s="39" t="s">
        <v>303</v>
      </c>
      <c r="J37" s="37"/>
      <c r="K37" s="37"/>
      <c r="L37" s="37"/>
      <c r="M37" s="37"/>
      <c r="N37" s="37"/>
      <c r="O37" s="37"/>
    </row>
    <row r="38" spans="1:15" ht="15" customHeight="1" x14ac:dyDescent="0.3">
      <c r="A38" s="39" t="s">
        <v>11</v>
      </c>
      <c r="B38" s="39" t="s">
        <v>275</v>
      </c>
      <c r="C38" s="39" t="s">
        <v>44</v>
      </c>
      <c r="D38" s="39" t="s">
        <v>199</v>
      </c>
      <c r="E38" s="39" t="s">
        <v>277</v>
      </c>
      <c r="F38" s="39">
        <v>1</v>
      </c>
      <c r="G38" s="40">
        <v>32.79</v>
      </c>
      <c r="H38" s="40">
        <v>32.79</v>
      </c>
      <c r="I38" s="39" t="s">
        <v>310</v>
      </c>
      <c r="J38" s="37"/>
      <c r="K38" s="37"/>
      <c r="L38" s="37"/>
      <c r="M38" s="37"/>
      <c r="N38" s="37"/>
      <c r="O38" s="37"/>
    </row>
    <row r="39" spans="1:15" ht="15" customHeight="1" x14ac:dyDescent="0.3">
      <c r="A39" s="39" t="s">
        <v>11</v>
      </c>
      <c r="B39" s="39" t="s">
        <v>275</v>
      </c>
      <c r="C39" s="39" t="s">
        <v>304</v>
      </c>
      <c r="D39" s="39" t="s">
        <v>167</v>
      </c>
      <c r="E39" s="39" t="s">
        <v>277</v>
      </c>
      <c r="F39" s="39">
        <v>9</v>
      </c>
      <c r="G39" s="40">
        <v>10.050000000000001</v>
      </c>
      <c r="H39" s="40">
        <f>F39*G39</f>
        <v>90.45</v>
      </c>
      <c r="I39" s="39" t="s">
        <v>303</v>
      </c>
      <c r="J39" s="37"/>
      <c r="K39" s="37"/>
      <c r="L39" s="37"/>
      <c r="M39" s="37"/>
      <c r="N39" s="37"/>
      <c r="O39" s="37"/>
    </row>
    <row r="40" spans="1:15" ht="15" customHeight="1" x14ac:dyDescent="0.3">
      <c r="A40" s="39" t="s">
        <v>11</v>
      </c>
      <c r="B40" s="39" t="s">
        <v>275</v>
      </c>
      <c r="C40" s="39" t="s">
        <v>304</v>
      </c>
      <c r="D40" s="39" t="s">
        <v>168</v>
      </c>
      <c r="E40" s="39" t="s">
        <v>277</v>
      </c>
      <c r="F40" s="39">
        <v>9</v>
      </c>
      <c r="G40" s="40">
        <v>2.0699999999999998</v>
      </c>
      <c r="H40" s="40">
        <f>F40*G40</f>
        <v>18.63</v>
      </c>
      <c r="I40" s="39" t="s">
        <v>303</v>
      </c>
      <c r="J40" s="37"/>
      <c r="K40" s="37"/>
      <c r="L40" s="37"/>
      <c r="M40" s="37"/>
      <c r="N40" s="37"/>
      <c r="O40" s="37"/>
    </row>
    <row r="41" spans="1:15" ht="15" customHeight="1" x14ac:dyDescent="0.3">
      <c r="A41" s="39" t="s">
        <v>11</v>
      </c>
      <c r="B41" s="39" t="s">
        <v>275</v>
      </c>
      <c r="C41" s="39" t="s">
        <v>305</v>
      </c>
      <c r="D41" s="39" t="s">
        <v>200</v>
      </c>
      <c r="E41" s="39" t="s">
        <v>277</v>
      </c>
      <c r="F41" s="39">
        <v>1</v>
      </c>
      <c r="G41" s="40">
        <v>176.42</v>
      </c>
      <c r="H41" s="40">
        <v>176.42</v>
      </c>
      <c r="I41" s="39" t="s">
        <v>310</v>
      </c>
      <c r="J41" s="37"/>
      <c r="K41" s="37"/>
      <c r="L41" s="37"/>
      <c r="M41" s="37"/>
      <c r="N41" s="37"/>
      <c r="O41" s="37"/>
    </row>
    <row r="42" spans="1:15" ht="15" customHeight="1" x14ac:dyDescent="0.3">
      <c r="A42" s="39" t="s">
        <v>11</v>
      </c>
      <c r="B42" s="39" t="s">
        <v>275</v>
      </c>
      <c r="C42" s="39" t="s">
        <v>305</v>
      </c>
      <c r="D42" s="39" t="s">
        <v>202</v>
      </c>
      <c r="E42" s="39" t="s">
        <v>277</v>
      </c>
      <c r="F42" s="39">
        <v>1</v>
      </c>
      <c r="G42" s="40">
        <v>265.55</v>
      </c>
      <c r="H42" s="40">
        <v>265.55</v>
      </c>
      <c r="I42" s="39" t="s">
        <v>310</v>
      </c>
      <c r="J42" s="37"/>
      <c r="K42" s="37"/>
      <c r="L42" s="37"/>
      <c r="M42" s="37"/>
      <c r="N42" s="37"/>
      <c r="O42" s="37"/>
    </row>
    <row r="43" spans="1:15" ht="15" customHeight="1" x14ac:dyDescent="0.3">
      <c r="A43" s="39" t="s">
        <v>11</v>
      </c>
      <c r="B43" s="39" t="s">
        <v>275</v>
      </c>
      <c r="C43" s="39" t="s">
        <v>306</v>
      </c>
      <c r="D43" s="39" t="s">
        <v>198</v>
      </c>
      <c r="E43" s="39" t="s">
        <v>277</v>
      </c>
      <c r="F43" s="39">
        <v>9</v>
      </c>
      <c r="G43" s="40">
        <v>30</v>
      </c>
      <c r="H43" s="40">
        <f>F43*G43</f>
        <v>270</v>
      </c>
      <c r="I43" s="39" t="s">
        <v>303</v>
      </c>
      <c r="J43" s="37"/>
      <c r="K43" s="37"/>
      <c r="L43" s="37"/>
      <c r="M43" s="37"/>
      <c r="N43" s="37"/>
      <c r="O43" s="37"/>
    </row>
    <row r="44" spans="1:15" ht="15" customHeight="1" x14ac:dyDescent="0.3">
      <c r="A44" s="39" t="s">
        <v>11</v>
      </c>
      <c r="B44" s="39" t="s">
        <v>275</v>
      </c>
      <c r="C44" s="39" t="s">
        <v>299</v>
      </c>
      <c r="D44" s="39" t="s">
        <v>197</v>
      </c>
      <c r="E44" s="39" t="s">
        <v>279</v>
      </c>
      <c r="F44" s="39">
        <v>1</v>
      </c>
      <c r="G44" s="40">
        <v>31149.919999999998</v>
      </c>
      <c r="H44" s="40">
        <f>F44*G44</f>
        <v>31149.919999999998</v>
      </c>
      <c r="I44" s="39" t="s">
        <v>311</v>
      </c>
      <c r="J44" s="37"/>
      <c r="K44" s="37"/>
      <c r="L44" s="37"/>
      <c r="M44" s="37"/>
      <c r="N44" s="37"/>
      <c r="O44" s="37"/>
    </row>
    <row r="45" spans="1:15" ht="15" customHeight="1" x14ac:dyDescent="0.3">
      <c r="A45" s="39" t="s">
        <v>11</v>
      </c>
      <c r="B45" s="39" t="s">
        <v>275</v>
      </c>
      <c r="C45" s="39" t="s">
        <v>299</v>
      </c>
      <c r="D45" s="39" t="s">
        <v>301</v>
      </c>
      <c r="E45" s="39" t="s">
        <v>279</v>
      </c>
      <c r="F45" s="39">
        <v>1</v>
      </c>
      <c r="G45" s="40">
        <v>222</v>
      </c>
      <c r="H45" s="40">
        <v>222</v>
      </c>
      <c r="I45" s="39" t="s">
        <v>312</v>
      </c>
      <c r="J45" s="37"/>
      <c r="K45" s="37"/>
      <c r="L45" s="37"/>
      <c r="M45" s="37"/>
      <c r="N45" s="37"/>
      <c r="O45" s="37"/>
    </row>
    <row r="46" spans="1:15" ht="15" customHeight="1" x14ac:dyDescent="0.3">
      <c r="A46" s="39" t="s">
        <v>11</v>
      </c>
      <c r="B46" s="39" t="s">
        <v>275</v>
      </c>
      <c r="C46" s="39" t="s">
        <v>299</v>
      </c>
      <c r="D46" s="39" t="s">
        <v>170</v>
      </c>
      <c r="E46" s="39" t="s">
        <v>279</v>
      </c>
      <c r="F46" s="39">
        <v>7</v>
      </c>
      <c r="G46" s="40">
        <v>28.31</v>
      </c>
      <c r="H46" s="40">
        <f>F46*G46</f>
        <v>198.17</v>
      </c>
      <c r="I46" s="39" t="s">
        <v>303</v>
      </c>
      <c r="J46" s="37"/>
      <c r="K46" s="37"/>
      <c r="L46" s="37"/>
      <c r="M46" s="37"/>
      <c r="N46" s="37"/>
      <c r="O46" s="37"/>
    </row>
    <row r="47" spans="1:15" ht="15" customHeight="1" x14ac:dyDescent="0.3">
      <c r="A47" s="39" t="s">
        <v>11</v>
      </c>
      <c r="B47" s="39" t="s">
        <v>275</v>
      </c>
      <c r="C47" s="39" t="s">
        <v>299</v>
      </c>
      <c r="D47" s="39" t="s">
        <v>171</v>
      </c>
      <c r="E47" s="39" t="s">
        <v>279</v>
      </c>
      <c r="F47" s="39">
        <v>7</v>
      </c>
      <c r="G47" s="40">
        <v>47.79</v>
      </c>
      <c r="H47" s="40">
        <f>F47*G47</f>
        <v>334.53</v>
      </c>
      <c r="I47" s="39" t="s">
        <v>303</v>
      </c>
      <c r="J47" s="37"/>
      <c r="K47" s="37"/>
      <c r="L47" s="37"/>
      <c r="M47" s="37"/>
      <c r="N47" s="37"/>
      <c r="O47" s="37"/>
    </row>
    <row r="48" spans="1:15" ht="15" customHeight="1" x14ac:dyDescent="0.3">
      <c r="A48" s="39" t="s">
        <v>11</v>
      </c>
      <c r="B48" s="39" t="s">
        <v>275</v>
      </c>
      <c r="C48" s="39" t="s">
        <v>44</v>
      </c>
      <c r="D48" s="39" t="s">
        <v>169</v>
      </c>
      <c r="E48" s="39" t="s">
        <v>279</v>
      </c>
      <c r="F48" s="39">
        <v>7</v>
      </c>
      <c r="G48" s="40">
        <v>64.540000000000006</v>
      </c>
      <c r="H48" s="40">
        <f>F48*G48</f>
        <v>451.78000000000003</v>
      </c>
      <c r="I48" s="39" t="s">
        <v>303</v>
      </c>
      <c r="J48" s="37"/>
      <c r="K48" s="37"/>
      <c r="L48" s="37"/>
      <c r="M48" s="37"/>
      <c r="N48" s="37"/>
      <c r="O48" s="37"/>
    </row>
    <row r="49" spans="1:15" ht="15" customHeight="1" x14ac:dyDescent="0.3">
      <c r="A49" s="39" t="s">
        <v>11</v>
      </c>
      <c r="B49" s="39" t="s">
        <v>275</v>
      </c>
      <c r="C49" s="39" t="s">
        <v>44</v>
      </c>
      <c r="D49" s="39" t="s">
        <v>199</v>
      </c>
      <c r="E49" s="39" t="s">
        <v>279</v>
      </c>
      <c r="F49" s="39">
        <v>1</v>
      </c>
      <c r="G49" s="40">
        <v>25.5</v>
      </c>
      <c r="H49" s="40">
        <v>25.5</v>
      </c>
      <c r="I49" s="39" t="s">
        <v>312</v>
      </c>
      <c r="J49" s="37"/>
      <c r="K49" s="37"/>
      <c r="L49" s="37"/>
      <c r="M49" s="37"/>
      <c r="N49" s="37"/>
      <c r="O49" s="37"/>
    </row>
    <row r="50" spans="1:15" ht="15" customHeight="1" x14ac:dyDescent="0.3">
      <c r="A50" s="39" t="s">
        <v>11</v>
      </c>
      <c r="B50" s="39" t="s">
        <v>275</v>
      </c>
      <c r="C50" s="39" t="s">
        <v>304</v>
      </c>
      <c r="D50" s="39" t="s">
        <v>167</v>
      </c>
      <c r="E50" s="39" t="s">
        <v>279</v>
      </c>
      <c r="F50" s="39">
        <v>7</v>
      </c>
      <c r="G50" s="40">
        <v>10.050000000000001</v>
      </c>
      <c r="H50" s="40">
        <f>F50*G50</f>
        <v>70.350000000000009</v>
      </c>
      <c r="I50" s="39" t="s">
        <v>303</v>
      </c>
      <c r="J50" s="37"/>
      <c r="K50" s="37"/>
      <c r="L50" s="37"/>
      <c r="M50" s="37"/>
      <c r="N50" s="37"/>
      <c r="O50" s="37"/>
    </row>
    <row r="51" spans="1:15" ht="15" customHeight="1" x14ac:dyDescent="0.3">
      <c r="A51" s="39" t="s">
        <v>11</v>
      </c>
      <c r="B51" s="39" t="s">
        <v>275</v>
      </c>
      <c r="C51" s="39" t="s">
        <v>304</v>
      </c>
      <c r="D51" s="39" t="s">
        <v>168</v>
      </c>
      <c r="E51" s="39" t="s">
        <v>279</v>
      </c>
      <c r="F51" s="39">
        <v>7</v>
      </c>
      <c r="G51" s="40">
        <v>2.0699999999999998</v>
      </c>
      <c r="H51" s="40">
        <f>F51*G51</f>
        <v>14.489999999999998</v>
      </c>
      <c r="I51" s="39" t="s">
        <v>303</v>
      </c>
      <c r="J51" s="37"/>
      <c r="K51" s="37"/>
      <c r="L51" s="37"/>
      <c r="M51" s="37"/>
      <c r="N51" s="37"/>
      <c r="O51" s="37"/>
    </row>
    <row r="52" spans="1:15" ht="15" customHeight="1" x14ac:dyDescent="0.3">
      <c r="A52" s="39" t="s">
        <v>11</v>
      </c>
      <c r="B52" s="39" t="s">
        <v>275</v>
      </c>
      <c r="C52" s="39" t="s">
        <v>305</v>
      </c>
      <c r="D52" s="39" t="s">
        <v>200</v>
      </c>
      <c r="E52" s="39" t="s">
        <v>279</v>
      </c>
      <c r="F52" s="39">
        <v>1</v>
      </c>
      <c r="G52" s="40">
        <v>137.22</v>
      </c>
      <c r="H52" s="40">
        <v>137.22</v>
      </c>
      <c r="I52" s="39" t="s">
        <v>312</v>
      </c>
      <c r="J52" s="37"/>
      <c r="K52" s="37"/>
      <c r="L52" s="37"/>
      <c r="M52" s="37"/>
      <c r="N52" s="37"/>
      <c r="O52" s="37"/>
    </row>
    <row r="53" spans="1:15" ht="15" customHeight="1" x14ac:dyDescent="0.3">
      <c r="A53" s="39" t="s">
        <v>11</v>
      </c>
      <c r="B53" s="39" t="s">
        <v>275</v>
      </c>
      <c r="C53" s="39" t="s">
        <v>305</v>
      </c>
      <c r="D53" s="39" t="s">
        <v>202</v>
      </c>
      <c r="E53" s="39" t="s">
        <v>279</v>
      </c>
      <c r="F53" s="39">
        <v>1</v>
      </c>
      <c r="G53" s="40">
        <v>206.54</v>
      </c>
      <c r="H53" s="40">
        <v>206.54</v>
      </c>
      <c r="I53" s="39" t="s">
        <v>312</v>
      </c>
      <c r="J53" s="37"/>
      <c r="K53" s="37"/>
      <c r="L53" s="37"/>
      <c r="M53" s="37"/>
      <c r="N53" s="37"/>
      <c r="O53" s="37"/>
    </row>
    <row r="54" spans="1:15" ht="15" customHeight="1" x14ac:dyDescent="0.3">
      <c r="A54" s="39" t="s">
        <v>11</v>
      </c>
      <c r="B54" s="39" t="s">
        <v>275</v>
      </c>
      <c r="C54" s="39" t="s">
        <v>306</v>
      </c>
      <c r="D54" s="39" t="s">
        <v>198</v>
      </c>
      <c r="E54" s="39" t="s">
        <v>279</v>
      </c>
      <c r="F54" s="39">
        <v>7</v>
      </c>
      <c r="G54" s="40">
        <v>30</v>
      </c>
      <c r="H54" s="40">
        <f>F54*G54</f>
        <v>210</v>
      </c>
      <c r="I54" s="39" t="s">
        <v>303</v>
      </c>
      <c r="J54" s="37"/>
      <c r="K54" s="37"/>
      <c r="L54" s="37"/>
      <c r="M54" s="37"/>
      <c r="N54" s="37"/>
      <c r="O54" s="37"/>
    </row>
    <row r="55" spans="1:15" ht="15" customHeight="1" x14ac:dyDescent="0.3">
      <c r="A55" s="39" t="s">
        <v>11</v>
      </c>
      <c r="B55" s="39" t="s">
        <v>275</v>
      </c>
      <c r="C55" s="39" t="s">
        <v>307</v>
      </c>
      <c r="D55" s="39" t="s">
        <v>203</v>
      </c>
      <c r="E55" s="39" t="s">
        <v>279</v>
      </c>
      <c r="F55" s="39">
        <v>1</v>
      </c>
      <c r="G55" s="40">
        <v>1081.1400000000001</v>
      </c>
      <c r="H55" s="40">
        <f>F55*G55</f>
        <v>1081.1400000000001</v>
      </c>
      <c r="I55" s="39" t="s">
        <v>313</v>
      </c>
      <c r="J55" s="37"/>
      <c r="K55" s="37"/>
      <c r="L55" s="37"/>
      <c r="M55" s="37"/>
      <c r="N55" s="37"/>
      <c r="O55" s="37"/>
    </row>
    <row r="56" spans="1:15" ht="15" customHeight="1" x14ac:dyDescent="0.3">
      <c r="A56" s="39" t="s">
        <v>11</v>
      </c>
      <c r="B56" s="39" t="s">
        <v>275</v>
      </c>
      <c r="C56" s="39" t="s">
        <v>299</v>
      </c>
      <c r="D56" s="39" t="s">
        <v>197</v>
      </c>
      <c r="E56" s="39" t="s">
        <v>280</v>
      </c>
      <c r="F56" s="39">
        <v>1</v>
      </c>
      <c r="G56" s="40">
        <v>30187.419173333299</v>
      </c>
      <c r="H56" s="40">
        <f>F56*G56</f>
        <v>30187.419173333299</v>
      </c>
      <c r="I56" s="39" t="s">
        <v>314</v>
      </c>
      <c r="J56" s="37"/>
      <c r="K56" s="37"/>
      <c r="L56" s="37"/>
      <c r="M56" s="37"/>
      <c r="N56" s="37"/>
      <c r="O56" s="37"/>
    </row>
    <row r="57" spans="1:15" ht="15" customHeight="1" x14ac:dyDescent="0.3">
      <c r="A57" s="39" t="s">
        <v>11</v>
      </c>
      <c r="B57" s="39" t="s">
        <v>275</v>
      </c>
      <c r="C57" s="39" t="s">
        <v>299</v>
      </c>
      <c r="D57" s="39" t="s">
        <v>301</v>
      </c>
      <c r="E57" s="39" t="s">
        <v>280</v>
      </c>
      <c r="F57" s="39">
        <v>1</v>
      </c>
      <c r="G57" s="40">
        <v>348.86</v>
      </c>
      <c r="H57" s="40">
        <v>348.86</v>
      </c>
      <c r="I57" s="39" t="s">
        <v>315</v>
      </c>
      <c r="J57" s="37"/>
      <c r="K57" s="37"/>
      <c r="L57" s="37"/>
      <c r="M57" s="37"/>
      <c r="N57" s="37"/>
      <c r="O57" s="37"/>
    </row>
    <row r="58" spans="1:15" ht="15" customHeight="1" x14ac:dyDescent="0.3">
      <c r="A58" s="39" t="s">
        <v>11</v>
      </c>
      <c r="B58" s="39" t="s">
        <v>275</v>
      </c>
      <c r="C58" s="39" t="s">
        <v>299</v>
      </c>
      <c r="D58" s="39" t="s">
        <v>170</v>
      </c>
      <c r="E58" s="39" t="s">
        <v>280</v>
      </c>
      <c r="F58" s="39">
        <v>11</v>
      </c>
      <c r="G58" s="40">
        <v>28.31</v>
      </c>
      <c r="H58" s="40">
        <f>F58*G58</f>
        <v>311.40999999999997</v>
      </c>
      <c r="I58" s="39" t="s">
        <v>303</v>
      </c>
      <c r="J58" s="37"/>
      <c r="K58" s="37"/>
      <c r="L58" s="37"/>
      <c r="M58" s="37"/>
      <c r="N58" s="37"/>
      <c r="O58" s="37"/>
    </row>
    <row r="59" spans="1:15" ht="15" customHeight="1" x14ac:dyDescent="0.3">
      <c r="A59" s="39" t="s">
        <v>11</v>
      </c>
      <c r="B59" s="39" t="s">
        <v>275</v>
      </c>
      <c r="C59" s="39" t="s">
        <v>299</v>
      </c>
      <c r="D59" s="39" t="s">
        <v>171</v>
      </c>
      <c r="E59" s="39" t="s">
        <v>280</v>
      </c>
      <c r="F59" s="39">
        <v>11</v>
      </c>
      <c r="G59" s="40">
        <v>47.79</v>
      </c>
      <c r="H59" s="40">
        <f>F59*G59</f>
        <v>525.68999999999994</v>
      </c>
      <c r="I59" s="39" t="s">
        <v>303</v>
      </c>
      <c r="J59" s="37"/>
      <c r="K59" s="37"/>
      <c r="L59" s="37"/>
      <c r="M59" s="37"/>
      <c r="N59" s="37"/>
      <c r="O59" s="37"/>
    </row>
    <row r="60" spans="1:15" ht="15" customHeight="1" x14ac:dyDescent="0.3">
      <c r="A60" s="39" t="s">
        <v>11</v>
      </c>
      <c r="B60" s="39" t="s">
        <v>275</v>
      </c>
      <c r="C60" s="39" t="s">
        <v>44</v>
      </c>
      <c r="D60" s="39" t="s">
        <v>169</v>
      </c>
      <c r="E60" s="39" t="s">
        <v>280</v>
      </c>
      <c r="F60" s="39">
        <v>11</v>
      </c>
      <c r="G60" s="40">
        <v>64.540000000000006</v>
      </c>
      <c r="H60" s="40">
        <f>F60*G60</f>
        <v>709.94</v>
      </c>
      <c r="I60" s="39" t="s">
        <v>303</v>
      </c>
      <c r="J60" s="37"/>
      <c r="K60" s="37"/>
      <c r="L60" s="37"/>
      <c r="M60" s="37"/>
      <c r="N60" s="37"/>
      <c r="O60" s="37"/>
    </row>
    <row r="61" spans="1:15" ht="15" customHeight="1" x14ac:dyDescent="0.3">
      <c r="A61" s="39" t="s">
        <v>11</v>
      </c>
      <c r="B61" s="39" t="s">
        <v>275</v>
      </c>
      <c r="C61" s="39" t="s">
        <v>44</v>
      </c>
      <c r="D61" s="39" t="s">
        <v>199</v>
      </c>
      <c r="E61" s="39" t="s">
        <v>280</v>
      </c>
      <c r="F61" s="39">
        <v>1</v>
      </c>
      <c r="G61" s="40">
        <v>40.07</v>
      </c>
      <c r="H61" s="40">
        <v>40.07</v>
      </c>
      <c r="I61" s="39" t="s">
        <v>315</v>
      </c>
      <c r="J61" s="37"/>
      <c r="K61" s="37"/>
      <c r="L61" s="37"/>
      <c r="M61" s="37"/>
      <c r="N61" s="37"/>
      <c r="O61" s="37"/>
    </row>
    <row r="62" spans="1:15" ht="15" customHeight="1" x14ac:dyDescent="0.3">
      <c r="A62" s="39" t="s">
        <v>11</v>
      </c>
      <c r="B62" s="39" t="s">
        <v>275</v>
      </c>
      <c r="C62" s="39" t="s">
        <v>304</v>
      </c>
      <c r="D62" s="39" t="s">
        <v>167</v>
      </c>
      <c r="E62" s="39" t="s">
        <v>280</v>
      </c>
      <c r="F62" s="39">
        <v>11</v>
      </c>
      <c r="G62" s="40">
        <v>10.050000000000001</v>
      </c>
      <c r="H62" s="40">
        <f>F62*G62</f>
        <v>110.55000000000001</v>
      </c>
      <c r="I62" s="39" t="s">
        <v>303</v>
      </c>
      <c r="J62" s="37"/>
      <c r="K62" s="37"/>
      <c r="L62" s="37"/>
      <c r="M62" s="37"/>
      <c r="N62" s="37"/>
      <c r="O62" s="37"/>
    </row>
    <row r="63" spans="1:15" ht="15" customHeight="1" x14ac:dyDescent="0.3">
      <c r="A63" s="39" t="s">
        <v>11</v>
      </c>
      <c r="B63" s="39" t="s">
        <v>275</v>
      </c>
      <c r="C63" s="39" t="s">
        <v>304</v>
      </c>
      <c r="D63" s="39" t="s">
        <v>168</v>
      </c>
      <c r="E63" s="39" t="s">
        <v>280</v>
      </c>
      <c r="F63" s="39">
        <v>11</v>
      </c>
      <c r="G63" s="40">
        <v>2.0699999999999998</v>
      </c>
      <c r="H63" s="40">
        <f>F63*G63</f>
        <v>22.77</v>
      </c>
      <c r="I63" s="39" t="s">
        <v>303</v>
      </c>
      <c r="J63" s="37"/>
      <c r="K63" s="37"/>
      <c r="L63" s="37"/>
      <c r="M63" s="37"/>
      <c r="N63" s="37"/>
      <c r="O63" s="37"/>
    </row>
    <row r="64" spans="1:15" ht="15" customHeight="1" x14ac:dyDescent="0.3">
      <c r="A64" s="39" t="s">
        <v>11</v>
      </c>
      <c r="B64" s="39" t="s">
        <v>275</v>
      </c>
      <c r="C64" s="39" t="s">
        <v>305</v>
      </c>
      <c r="D64" s="39" t="s">
        <v>200</v>
      </c>
      <c r="E64" s="39" t="s">
        <v>280</v>
      </c>
      <c r="F64" s="39">
        <v>1</v>
      </c>
      <c r="G64" s="40">
        <v>215.62</v>
      </c>
      <c r="H64" s="40">
        <v>215.62</v>
      </c>
      <c r="I64" s="39" t="s">
        <v>315</v>
      </c>
      <c r="J64" s="37"/>
      <c r="K64" s="37"/>
      <c r="L64" s="37"/>
      <c r="M64" s="37"/>
      <c r="N64" s="37"/>
      <c r="O64" s="37"/>
    </row>
    <row r="65" spans="1:15" ht="15" customHeight="1" x14ac:dyDescent="0.3">
      <c r="A65" s="39" t="s">
        <v>11</v>
      </c>
      <c r="B65" s="39" t="s">
        <v>275</v>
      </c>
      <c r="C65" s="39" t="s">
        <v>305</v>
      </c>
      <c r="D65" s="39" t="s">
        <v>202</v>
      </c>
      <c r="E65" s="39" t="s">
        <v>280</v>
      </c>
      <c r="F65" s="39">
        <v>1</v>
      </c>
      <c r="G65" s="40">
        <v>324.56</v>
      </c>
      <c r="H65" s="40">
        <v>324.56</v>
      </c>
      <c r="I65" s="39" t="s">
        <v>315</v>
      </c>
      <c r="J65" s="37"/>
      <c r="K65" s="37"/>
      <c r="L65" s="37"/>
      <c r="M65" s="37"/>
      <c r="N65" s="37"/>
      <c r="O65" s="37"/>
    </row>
    <row r="66" spans="1:15" ht="15" customHeight="1" x14ac:dyDescent="0.3">
      <c r="A66" s="39" t="s">
        <v>11</v>
      </c>
      <c r="B66" s="39" t="s">
        <v>275</v>
      </c>
      <c r="C66" s="39" t="s">
        <v>306</v>
      </c>
      <c r="D66" s="39" t="s">
        <v>198</v>
      </c>
      <c r="E66" s="39" t="s">
        <v>280</v>
      </c>
      <c r="F66" s="39">
        <v>11</v>
      </c>
      <c r="G66" s="40">
        <v>30</v>
      </c>
      <c r="H66" s="40">
        <f t="shared" ref="H66:H76" si="0">F66*G66</f>
        <v>330</v>
      </c>
      <c r="I66" s="39" t="s">
        <v>303</v>
      </c>
      <c r="J66" s="37"/>
      <c r="K66" s="37"/>
      <c r="L66" s="37"/>
      <c r="M66" s="37"/>
      <c r="N66" s="37"/>
      <c r="O66" s="37"/>
    </row>
    <row r="67" spans="1:15" ht="15" customHeight="1" x14ac:dyDescent="0.3">
      <c r="A67" s="39" t="s">
        <v>11</v>
      </c>
      <c r="B67" s="39" t="s">
        <v>275</v>
      </c>
      <c r="C67" s="39" t="s">
        <v>307</v>
      </c>
      <c r="D67" s="39" t="s">
        <v>203</v>
      </c>
      <c r="E67" s="39" t="s">
        <v>280</v>
      </c>
      <c r="F67" s="39">
        <v>1</v>
      </c>
      <c r="G67" s="40">
        <v>0</v>
      </c>
      <c r="H67" s="40">
        <f t="shared" si="0"/>
        <v>0</v>
      </c>
      <c r="I67" s="39" t="s">
        <v>316</v>
      </c>
      <c r="J67" s="37"/>
      <c r="K67" s="37"/>
      <c r="L67" s="37"/>
      <c r="M67" s="37"/>
      <c r="N67" s="37"/>
      <c r="O67" s="37"/>
    </row>
    <row r="68" spans="1:15" ht="15" customHeight="1" x14ac:dyDescent="0.3">
      <c r="A68" s="39" t="s">
        <v>11</v>
      </c>
      <c r="B68" s="39" t="s">
        <v>282</v>
      </c>
      <c r="C68" s="39" t="s">
        <v>299</v>
      </c>
      <c r="D68" s="39" t="s">
        <v>197</v>
      </c>
      <c r="E68" s="39" t="s">
        <v>280</v>
      </c>
      <c r="F68" s="39">
        <v>1</v>
      </c>
      <c r="G68" s="40">
        <v>2763.14</v>
      </c>
      <c r="H68" s="40">
        <f t="shared" si="0"/>
        <v>2763.14</v>
      </c>
      <c r="I68" s="39" t="s">
        <v>317</v>
      </c>
      <c r="J68" s="37"/>
      <c r="K68" s="37"/>
      <c r="L68" s="37"/>
      <c r="M68" s="37"/>
      <c r="N68" s="37"/>
      <c r="O68" s="37"/>
    </row>
    <row r="69" spans="1:15" ht="15" customHeight="1" x14ac:dyDescent="0.3">
      <c r="A69" s="39" t="s">
        <v>11</v>
      </c>
      <c r="B69" s="39" t="s">
        <v>282</v>
      </c>
      <c r="C69" s="39" t="s">
        <v>299</v>
      </c>
      <c r="D69" s="39" t="s">
        <v>170</v>
      </c>
      <c r="E69" s="39" t="s">
        <v>280</v>
      </c>
      <c r="F69" s="39">
        <v>2</v>
      </c>
      <c r="G69" s="40">
        <v>28.31</v>
      </c>
      <c r="H69" s="40">
        <f t="shared" si="0"/>
        <v>56.62</v>
      </c>
      <c r="I69" s="39" t="s">
        <v>303</v>
      </c>
      <c r="J69" s="37"/>
      <c r="K69" s="37"/>
      <c r="L69" s="37"/>
      <c r="M69" s="37"/>
      <c r="N69" s="37"/>
      <c r="O69" s="37"/>
    </row>
    <row r="70" spans="1:15" ht="15" customHeight="1" x14ac:dyDescent="0.3">
      <c r="A70" s="39" t="s">
        <v>11</v>
      </c>
      <c r="B70" s="39" t="s">
        <v>282</v>
      </c>
      <c r="C70" s="39" t="s">
        <v>299</v>
      </c>
      <c r="D70" s="39" t="s">
        <v>171</v>
      </c>
      <c r="E70" s="39" t="s">
        <v>280</v>
      </c>
      <c r="F70" s="39">
        <v>2</v>
      </c>
      <c r="G70" s="40">
        <v>47.79</v>
      </c>
      <c r="H70" s="40">
        <f t="shared" si="0"/>
        <v>95.58</v>
      </c>
      <c r="I70" s="39" t="s">
        <v>303</v>
      </c>
      <c r="J70" s="37"/>
      <c r="K70" s="37"/>
      <c r="L70" s="37"/>
      <c r="M70" s="37"/>
      <c r="N70" s="37"/>
      <c r="O70" s="37"/>
    </row>
    <row r="71" spans="1:15" ht="15" customHeight="1" x14ac:dyDescent="0.3">
      <c r="A71" s="39" t="s">
        <v>11</v>
      </c>
      <c r="B71" s="39" t="s">
        <v>282</v>
      </c>
      <c r="C71" s="39" t="s">
        <v>44</v>
      </c>
      <c r="D71" s="39" t="s">
        <v>169</v>
      </c>
      <c r="E71" s="39" t="s">
        <v>280</v>
      </c>
      <c r="F71" s="39">
        <v>2</v>
      </c>
      <c r="G71" s="40">
        <v>64.540000000000006</v>
      </c>
      <c r="H71" s="40">
        <f t="shared" si="0"/>
        <v>129.08000000000001</v>
      </c>
      <c r="I71" s="39" t="s">
        <v>303</v>
      </c>
      <c r="J71" s="37"/>
      <c r="K71" s="37"/>
      <c r="L71" s="37"/>
      <c r="M71" s="37"/>
      <c r="N71" s="37"/>
      <c r="O71" s="37"/>
    </row>
    <row r="72" spans="1:15" ht="15" customHeight="1" x14ac:dyDescent="0.3">
      <c r="A72" s="39" t="s">
        <v>11</v>
      </c>
      <c r="B72" s="39" t="s">
        <v>282</v>
      </c>
      <c r="C72" s="39" t="s">
        <v>304</v>
      </c>
      <c r="D72" s="39" t="s">
        <v>167</v>
      </c>
      <c r="E72" s="39" t="s">
        <v>280</v>
      </c>
      <c r="F72" s="39">
        <v>2</v>
      </c>
      <c r="G72" s="40">
        <v>10.050000000000001</v>
      </c>
      <c r="H72" s="40">
        <f t="shared" si="0"/>
        <v>20.100000000000001</v>
      </c>
      <c r="I72" s="39" t="s">
        <v>303</v>
      </c>
      <c r="J72" s="37"/>
      <c r="K72" s="37"/>
      <c r="L72" s="37"/>
      <c r="M72" s="37"/>
      <c r="N72" s="37"/>
      <c r="O72" s="37"/>
    </row>
    <row r="73" spans="1:15" ht="15" customHeight="1" x14ac:dyDescent="0.3">
      <c r="A73" s="39" t="s">
        <v>11</v>
      </c>
      <c r="B73" s="39" t="s">
        <v>282</v>
      </c>
      <c r="C73" s="39" t="s">
        <v>304</v>
      </c>
      <c r="D73" s="39" t="s">
        <v>168</v>
      </c>
      <c r="E73" s="39" t="s">
        <v>280</v>
      </c>
      <c r="F73" s="39">
        <v>2</v>
      </c>
      <c r="G73" s="40">
        <v>2.0699999999999998</v>
      </c>
      <c r="H73" s="40">
        <f t="shared" si="0"/>
        <v>4.1399999999999997</v>
      </c>
      <c r="I73" s="39" t="s">
        <v>303</v>
      </c>
      <c r="J73" s="37"/>
      <c r="K73" s="37"/>
      <c r="L73" s="37"/>
      <c r="M73" s="37"/>
      <c r="N73" s="37"/>
      <c r="O73" s="37"/>
    </row>
    <row r="74" spans="1:15" ht="15" customHeight="1" x14ac:dyDescent="0.3">
      <c r="A74" s="39" t="s">
        <v>11</v>
      </c>
      <c r="B74" s="39" t="s">
        <v>282</v>
      </c>
      <c r="C74" s="39" t="s">
        <v>306</v>
      </c>
      <c r="D74" s="39" t="s">
        <v>198</v>
      </c>
      <c r="E74" s="39" t="s">
        <v>280</v>
      </c>
      <c r="F74" s="39">
        <v>2</v>
      </c>
      <c r="G74" s="40">
        <v>30</v>
      </c>
      <c r="H74" s="40">
        <f t="shared" si="0"/>
        <v>60</v>
      </c>
      <c r="I74" s="39" t="s">
        <v>303</v>
      </c>
      <c r="J74" s="37"/>
      <c r="K74" s="37"/>
      <c r="L74" s="37"/>
      <c r="M74" s="37"/>
      <c r="N74" s="37"/>
      <c r="O74" s="37"/>
    </row>
    <row r="75" spans="1:15" ht="15" customHeight="1" x14ac:dyDescent="0.3">
      <c r="A75" s="39" t="s">
        <v>11</v>
      </c>
      <c r="B75" s="39" t="s">
        <v>282</v>
      </c>
      <c r="C75" s="39" t="s">
        <v>307</v>
      </c>
      <c r="D75" s="39" t="s">
        <v>203</v>
      </c>
      <c r="E75" s="39" t="s">
        <v>280</v>
      </c>
      <c r="F75" s="39">
        <v>1</v>
      </c>
      <c r="G75" s="40">
        <v>696.8</v>
      </c>
      <c r="H75" s="40">
        <f t="shared" si="0"/>
        <v>696.8</v>
      </c>
      <c r="I75" s="39" t="s">
        <v>313</v>
      </c>
      <c r="J75" s="37"/>
      <c r="K75" s="37"/>
      <c r="L75" s="37"/>
      <c r="M75" s="37"/>
      <c r="N75" s="37"/>
      <c r="O75" s="37"/>
    </row>
    <row r="76" spans="1:15" ht="15" customHeight="1" x14ac:dyDescent="0.3">
      <c r="A76" s="39" t="s">
        <v>11</v>
      </c>
      <c r="B76" s="39" t="s">
        <v>275</v>
      </c>
      <c r="C76" s="39" t="s">
        <v>299</v>
      </c>
      <c r="D76" s="39" t="s">
        <v>197</v>
      </c>
      <c r="E76" s="39" t="s">
        <v>283</v>
      </c>
      <c r="F76" s="39">
        <v>1</v>
      </c>
      <c r="G76" s="40">
        <v>57354.935313599999</v>
      </c>
      <c r="H76" s="40">
        <f t="shared" si="0"/>
        <v>57354.935313599999</v>
      </c>
      <c r="I76" s="39" t="s">
        <v>318</v>
      </c>
      <c r="J76" s="37"/>
      <c r="K76" s="37"/>
      <c r="L76" s="37"/>
      <c r="M76" s="37"/>
      <c r="N76" s="37"/>
      <c r="O76" s="37"/>
    </row>
    <row r="77" spans="1:15" ht="15" customHeight="1" x14ac:dyDescent="0.3">
      <c r="A77" s="39" t="s">
        <v>11</v>
      </c>
      <c r="B77" s="39" t="s">
        <v>275</v>
      </c>
      <c r="C77" s="39" t="s">
        <v>299</v>
      </c>
      <c r="D77" s="39" t="s">
        <v>301</v>
      </c>
      <c r="E77" s="39" t="s">
        <v>283</v>
      </c>
      <c r="F77" s="39">
        <v>1</v>
      </c>
      <c r="G77" s="40">
        <v>570.86</v>
      </c>
      <c r="H77" s="40">
        <v>570.86</v>
      </c>
      <c r="I77" s="39" t="s">
        <v>319</v>
      </c>
      <c r="J77" s="37"/>
      <c r="K77" s="37"/>
      <c r="L77" s="37"/>
      <c r="M77" s="37"/>
      <c r="N77" s="37"/>
      <c r="O77" s="37"/>
    </row>
    <row r="78" spans="1:15" ht="15" customHeight="1" x14ac:dyDescent="0.3">
      <c r="A78" s="39" t="s">
        <v>11</v>
      </c>
      <c r="B78" s="39" t="s">
        <v>275</v>
      </c>
      <c r="C78" s="39" t="s">
        <v>299</v>
      </c>
      <c r="D78" s="39" t="s">
        <v>170</v>
      </c>
      <c r="E78" s="39" t="s">
        <v>283</v>
      </c>
      <c r="F78" s="39">
        <v>18</v>
      </c>
      <c r="G78" s="40">
        <v>28.31</v>
      </c>
      <c r="H78" s="40">
        <f>F78*G78</f>
        <v>509.58</v>
      </c>
      <c r="I78" s="39" t="s">
        <v>303</v>
      </c>
      <c r="J78" s="37"/>
      <c r="K78" s="37"/>
      <c r="L78" s="37"/>
      <c r="M78" s="37"/>
      <c r="N78" s="37"/>
      <c r="O78" s="37"/>
    </row>
    <row r="79" spans="1:15" ht="15" customHeight="1" x14ac:dyDescent="0.3">
      <c r="A79" s="39" t="s">
        <v>11</v>
      </c>
      <c r="B79" s="39" t="s">
        <v>275</v>
      </c>
      <c r="C79" s="39" t="s">
        <v>299</v>
      </c>
      <c r="D79" s="39" t="s">
        <v>171</v>
      </c>
      <c r="E79" s="39" t="s">
        <v>283</v>
      </c>
      <c r="F79" s="39">
        <v>18</v>
      </c>
      <c r="G79" s="40">
        <v>47.79</v>
      </c>
      <c r="H79" s="40">
        <f>F79*G79</f>
        <v>860.22</v>
      </c>
      <c r="I79" s="39" t="s">
        <v>303</v>
      </c>
      <c r="J79" s="37"/>
      <c r="K79" s="37"/>
      <c r="L79" s="37"/>
      <c r="M79" s="37"/>
      <c r="N79" s="37"/>
      <c r="O79" s="37"/>
    </row>
    <row r="80" spans="1:15" ht="15" customHeight="1" x14ac:dyDescent="0.3">
      <c r="A80" s="39" t="s">
        <v>11</v>
      </c>
      <c r="B80" s="39" t="s">
        <v>275</v>
      </c>
      <c r="C80" s="39" t="s">
        <v>44</v>
      </c>
      <c r="D80" s="39" t="s">
        <v>169</v>
      </c>
      <c r="E80" s="39" t="s">
        <v>283</v>
      </c>
      <c r="F80" s="39">
        <v>18</v>
      </c>
      <c r="G80" s="40">
        <v>64.540000000000006</v>
      </c>
      <c r="H80" s="40">
        <f>F80*G80</f>
        <v>1161.72</v>
      </c>
      <c r="I80" s="39" t="s">
        <v>303</v>
      </c>
      <c r="J80" s="37"/>
      <c r="K80" s="37"/>
      <c r="L80" s="37"/>
      <c r="M80" s="37"/>
      <c r="N80" s="37"/>
      <c r="O80" s="37"/>
    </row>
    <row r="81" spans="1:15" ht="15" customHeight="1" x14ac:dyDescent="0.3">
      <c r="A81" s="39" t="s">
        <v>11</v>
      </c>
      <c r="B81" s="39" t="s">
        <v>275</v>
      </c>
      <c r="C81" s="39" t="s">
        <v>44</v>
      </c>
      <c r="D81" s="39" t="s">
        <v>199</v>
      </c>
      <c r="E81" s="39" t="s">
        <v>283</v>
      </c>
      <c r="F81" s="39">
        <v>1</v>
      </c>
      <c r="G81" s="40">
        <v>65.569999999999993</v>
      </c>
      <c r="H81" s="40">
        <v>65.569999999999993</v>
      </c>
      <c r="I81" s="39" t="s">
        <v>319</v>
      </c>
      <c r="J81" s="37"/>
      <c r="K81" s="37"/>
      <c r="L81" s="37"/>
      <c r="M81" s="37"/>
      <c r="N81" s="37"/>
      <c r="O81" s="37"/>
    </row>
    <row r="82" spans="1:15" ht="15" customHeight="1" x14ac:dyDescent="0.3">
      <c r="A82" s="39" t="s">
        <v>11</v>
      </c>
      <c r="B82" s="39" t="s">
        <v>275</v>
      </c>
      <c r="C82" s="39" t="s">
        <v>304</v>
      </c>
      <c r="D82" s="39" t="s">
        <v>167</v>
      </c>
      <c r="E82" s="39" t="s">
        <v>283</v>
      </c>
      <c r="F82" s="39">
        <v>18</v>
      </c>
      <c r="G82" s="40">
        <v>10.050000000000001</v>
      </c>
      <c r="H82" s="40">
        <f>F82*G82</f>
        <v>180.9</v>
      </c>
      <c r="I82" s="39" t="s">
        <v>303</v>
      </c>
      <c r="J82" s="37"/>
      <c r="K82" s="37"/>
      <c r="L82" s="37"/>
      <c r="M82" s="37"/>
      <c r="N82" s="37"/>
      <c r="O82" s="37"/>
    </row>
    <row r="83" spans="1:15" ht="15" customHeight="1" x14ac:dyDescent="0.3">
      <c r="A83" s="39" t="s">
        <v>11</v>
      </c>
      <c r="B83" s="39" t="s">
        <v>275</v>
      </c>
      <c r="C83" s="39" t="s">
        <v>304</v>
      </c>
      <c r="D83" s="39" t="s">
        <v>168</v>
      </c>
      <c r="E83" s="39" t="s">
        <v>283</v>
      </c>
      <c r="F83" s="39">
        <v>18</v>
      </c>
      <c r="G83" s="40">
        <v>2.0699999999999998</v>
      </c>
      <c r="H83" s="40">
        <f>F83*G83</f>
        <v>37.26</v>
      </c>
      <c r="I83" s="39" t="s">
        <v>303</v>
      </c>
      <c r="J83" s="37"/>
      <c r="K83" s="37"/>
      <c r="L83" s="37"/>
      <c r="M83" s="37"/>
      <c r="N83" s="37"/>
      <c r="O83" s="37"/>
    </row>
    <row r="84" spans="1:15" ht="15" customHeight="1" x14ac:dyDescent="0.3">
      <c r="A84" s="39" t="s">
        <v>11</v>
      </c>
      <c r="B84" s="39" t="s">
        <v>275</v>
      </c>
      <c r="C84" s="39" t="s">
        <v>305</v>
      </c>
      <c r="D84" s="39" t="s">
        <v>200</v>
      </c>
      <c r="E84" s="39" t="s">
        <v>283</v>
      </c>
      <c r="F84" s="39">
        <v>1</v>
      </c>
      <c r="G84" s="40">
        <v>352.84</v>
      </c>
      <c r="H84" s="40">
        <v>352.84</v>
      </c>
      <c r="I84" s="39" t="s">
        <v>319</v>
      </c>
      <c r="J84" s="37"/>
      <c r="K84" s="37"/>
      <c r="L84" s="37"/>
      <c r="M84" s="37"/>
      <c r="N84" s="37"/>
      <c r="O84" s="37"/>
    </row>
    <row r="85" spans="1:15" ht="15" customHeight="1" x14ac:dyDescent="0.3">
      <c r="A85" s="39" t="s">
        <v>11</v>
      </c>
      <c r="B85" s="39" t="s">
        <v>275</v>
      </c>
      <c r="C85" s="39" t="s">
        <v>305</v>
      </c>
      <c r="D85" s="39" t="s">
        <v>202</v>
      </c>
      <c r="E85" s="39" t="s">
        <v>283</v>
      </c>
      <c r="F85" s="39">
        <v>1</v>
      </c>
      <c r="G85" s="40">
        <v>531.09</v>
      </c>
      <c r="H85" s="40">
        <v>531.09</v>
      </c>
      <c r="I85" s="39" t="s">
        <v>319</v>
      </c>
      <c r="J85" s="37"/>
      <c r="K85" s="37"/>
      <c r="L85" s="37"/>
      <c r="M85" s="37"/>
      <c r="N85" s="37"/>
      <c r="O85" s="37"/>
    </row>
    <row r="86" spans="1:15" ht="15" customHeight="1" x14ac:dyDescent="0.3">
      <c r="A86" s="39" t="s">
        <v>11</v>
      </c>
      <c r="B86" s="39" t="s">
        <v>275</v>
      </c>
      <c r="C86" s="39" t="s">
        <v>306</v>
      </c>
      <c r="D86" s="39" t="s">
        <v>198</v>
      </c>
      <c r="E86" s="39" t="s">
        <v>283</v>
      </c>
      <c r="F86" s="39">
        <v>18</v>
      </c>
      <c r="G86" s="40">
        <v>30</v>
      </c>
      <c r="H86" s="40">
        <f t="shared" ref="H86:H131" si="1">F86*G86</f>
        <v>540</v>
      </c>
      <c r="I86" s="39" t="s">
        <v>303</v>
      </c>
      <c r="J86" s="37"/>
      <c r="K86" s="37"/>
      <c r="L86" s="37"/>
      <c r="M86" s="37"/>
      <c r="N86" s="37"/>
      <c r="O86" s="37"/>
    </row>
    <row r="87" spans="1:15" ht="15" customHeight="1" x14ac:dyDescent="0.3">
      <c r="A87" s="39" t="s">
        <v>11</v>
      </c>
      <c r="B87" s="39" t="s">
        <v>275</v>
      </c>
      <c r="C87" s="39" t="s">
        <v>307</v>
      </c>
      <c r="D87" s="39" t="s">
        <v>203</v>
      </c>
      <c r="E87" s="39" t="s">
        <v>283</v>
      </c>
      <c r="F87" s="39">
        <v>1</v>
      </c>
      <c r="G87" s="40">
        <v>2345.27</v>
      </c>
      <c r="H87" s="40">
        <f t="shared" si="1"/>
        <v>2345.27</v>
      </c>
      <c r="I87" s="39" t="s">
        <v>320</v>
      </c>
      <c r="J87" s="37"/>
      <c r="K87" s="37"/>
      <c r="L87" s="37"/>
      <c r="M87" s="37"/>
      <c r="N87" s="37"/>
      <c r="O87" s="37"/>
    </row>
    <row r="88" spans="1:15" ht="15" customHeight="1" x14ac:dyDescent="0.3">
      <c r="A88" s="39" t="s">
        <v>11</v>
      </c>
      <c r="B88" s="39" t="s">
        <v>284</v>
      </c>
      <c r="C88" s="39" t="s">
        <v>299</v>
      </c>
      <c r="D88" s="39" t="s">
        <v>197</v>
      </c>
      <c r="E88" s="39" t="s">
        <v>283</v>
      </c>
      <c r="F88" s="39">
        <v>1</v>
      </c>
      <c r="G88" s="40">
        <v>2755.29</v>
      </c>
      <c r="H88" s="40">
        <f t="shared" si="1"/>
        <v>2755.29</v>
      </c>
      <c r="I88" s="39" t="s">
        <v>317</v>
      </c>
      <c r="J88" s="37"/>
      <c r="K88" s="37"/>
      <c r="L88" s="37"/>
      <c r="M88" s="37"/>
      <c r="N88" s="37"/>
      <c r="O88" s="37"/>
    </row>
    <row r="89" spans="1:15" ht="15" customHeight="1" x14ac:dyDescent="0.3">
      <c r="A89" s="39" t="s">
        <v>11</v>
      </c>
      <c r="B89" s="39" t="s">
        <v>284</v>
      </c>
      <c r="C89" s="39" t="s">
        <v>299</v>
      </c>
      <c r="D89" s="39" t="s">
        <v>170</v>
      </c>
      <c r="E89" s="39" t="s">
        <v>283</v>
      </c>
      <c r="F89" s="39">
        <v>2</v>
      </c>
      <c r="G89" s="40">
        <v>28.31</v>
      </c>
      <c r="H89" s="40">
        <f t="shared" si="1"/>
        <v>56.62</v>
      </c>
      <c r="I89" s="39" t="s">
        <v>303</v>
      </c>
      <c r="J89" s="37"/>
      <c r="K89" s="37"/>
      <c r="L89" s="37"/>
      <c r="M89" s="37"/>
      <c r="N89" s="37"/>
      <c r="O89" s="37"/>
    </row>
    <row r="90" spans="1:15" ht="15" customHeight="1" x14ac:dyDescent="0.3">
      <c r="A90" s="39" t="s">
        <v>11</v>
      </c>
      <c r="B90" s="39" t="s">
        <v>284</v>
      </c>
      <c r="C90" s="39" t="s">
        <v>299</v>
      </c>
      <c r="D90" s="39" t="s">
        <v>171</v>
      </c>
      <c r="E90" s="39" t="s">
        <v>283</v>
      </c>
      <c r="F90" s="39">
        <v>2</v>
      </c>
      <c r="G90" s="40">
        <v>47.79</v>
      </c>
      <c r="H90" s="40">
        <f t="shared" si="1"/>
        <v>95.58</v>
      </c>
      <c r="I90" s="39" t="s">
        <v>303</v>
      </c>
      <c r="J90" s="37"/>
      <c r="K90" s="37"/>
      <c r="L90" s="37"/>
      <c r="M90" s="37"/>
      <c r="N90" s="37"/>
      <c r="O90" s="37"/>
    </row>
    <row r="91" spans="1:15" ht="15" customHeight="1" x14ac:dyDescent="0.3">
      <c r="A91" s="39" t="s">
        <v>11</v>
      </c>
      <c r="B91" s="39" t="s">
        <v>284</v>
      </c>
      <c r="C91" s="39" t="s">
        <v>44</v>
      </c>
      <c r="D91" s="39" t="s">
        <v>169</v>
      </c>
      <c r="E91" s="39" t="s">
        <v>283</v>
      </c>
      <c r="F91" s="39">
        <v>2</v>
      </c>
      <c r="G91" s="40">
        <v>64.540000000000006</v>
      </c>
      <c r="H91" s="40">
        <f t="shared" si="1"/>
        <v>129.08000000000001</v>
      </c>
      <c r="I91" s="39" t="s">
        <v>303</v>
      </c>
      <c r="J91" s="37"/>
      <c r="K91" s="37"/>
      <c r="L91" s="37"/>
      <c r="M91" s="37"/>
      <c r="N91" s="37"/>
      <c r="O91" s="37"/>
    </row>
    <row r="92" spans="1:15" ht="15" customHeight="1" x14ac:dyDescent="0.3">
      <c r="A92" s="39" t="s">
        <v>11</v>
      </c>
      <c r="B92" s="39" t="s">
        <v>284</v>
      </c>
      <c r="C92" s="39" t="s">
        <v>304</v>
      </c>
      <c r="D92" s="39" t="s">
        <v>167</v>
      </c>
      <c r="E92" s="39" t="s">
        <v>283</v>
      </c>
      <c r="F92" s="39">
        <v>2</v>
      </c>
      <c r="G92" s="40">
        <v>10.050000000000001</v>
      </c>
      <c r="H92" s="40">
        <f t="shared" si="1"/>
        <v>20.100000000000001</v>
      </c>
      <c r="I92" s="39" t="s">
        <v>303</v>
      </c>
      <c r="J92" s="37"/>
      <c r="K92" s="37"/>
      <c r="L92" s="37"/>
      <c r="M92" s="37"/>
      <c r="N92" s="37"/>
      <c r="O92" s="37"/>
    </row>
    <row r="93" spans="1:15" ht="15" customHeight="1" x14ac:dyDescent="0.3">
      <c r="A93" s="39" t="s">
        <v>11</v>
      </c>
      <c r="B93" s="39" t="s">
        <v>284</v>
      </c>
      <c r="C93" s="39" t="s">
        <v>304</v>
      </c>
      <c r="D93" s="39" t="s">
        <v>168</v>
      </c>
      <c r="E93" s="39" t="s">
        <v>283</v>
      </c>
      <c r="F93" s="39">
        <v>2</v>
      </c>
      <c r="G93" s="40">
        <v>2.0699999999999998</v>
      </c>
      <c r="H93" s="40">
        <f t="shared" si="1"/>
        <v>4.1399999999999997</v>
      </c>
      <c r="I93" s="39" t="s">
        <v>303</v>
      </c>
      <c r="J93" s="37"/>
      <c r="K93" s="37"/>
      <c r="L93" s="37"/>
      <c r="M93" s="37"/>
      <c r="N93" s="37"/>
      <c r="O93" s="37"/>
    </row>
    <row r="94" spans="1:15" ht="15" customHeight="1" x14ac:dyDescent="0.3">
      <c r="A94" s="39" t="s">
        <v>11</v>
      </c>
      <c r="B94" s="39" t="s">
        <v>284</v>
      </c>
      <c r="C94" s="39" t="s">
        <v>306</v>
      </c>
      <c r="D94" s="39" t="s">
        <v>198</v>
      </c>
      <c r="E94" s="39" t="s">
        <v>283</v>
      </c>
      <c r="F94" s="39">
        <v>2</v>
      </c>
      <c r="G94" s="40">
        <v>30</v>
      </c>
      <c r="H94" s="40">
        <f t="shared" si="1"/>
        <v>60</v>
      </c>
      <c r="I94" s="39" t="s">
        <v>303</v>
      </c>
      <c r="J94" s="37"/>
      <c r="K94" s="37"/>
      <c r="L94" s="37"/>
      <c r="M94" s="37"/>
      <c r="N94" s="37"/>
      <c r="O94" s="37"/>
    </row>
    <row r="95" spans="1:15" ht="15" customHeight="1" x14ac:dyDescent="0.3">
      <c r="A95" s="39" t="s">
        <v>11</v>
      </c>
      <c r="B95" s="39" t="s">
        <v>284</v>
      </c>
      <c r="C95" s="39" t="s">
        <v>307</v>
      </c>
      <c r="D95" s="39" t="s">
        <v>203</v>
      </c>
      <c r="E95" s="39" t="s">
        <v>283</v>
      </c>
      <c r="F95" s="39">
        <v>1</v>
      </c>
      <c r="G95" s="40">
        <v>1447.18</v>
      </c>
      <c r="H95" s="40">
        <f t="shared" si="1"/>
        <v>1447.18</v>
      </c>
      <c r="I95" s="39" t="s">
        <v>313</v>
      </c>
      <c r="J95" s="37"/>
      <c r="K95" s="37"/>
      <c r="L95" s="37"/>
      <c r="M95" s="37"/>
      <c r="N95" s="37"/>
      <c r="O95" s="37"/>
    </row>
    <row r="96" spans="1:15" ht="15" customHeight="1" x14ac:dyDescent="0.3">
      <c r="A96" s="39" t="s">
        <v>11</v>
      </c>
      <c r="B96" s="39" t="s">
        <v>285</v>
      </c>
      <c r="C96" s="39" t="s">
        <v>299</v>
      </c>
      <c r="D96" s="39" t="s">
        <v>197</v>
      </c>
      <c r="E96" s="39" t="s">
        <v>283</v>
      </c>
      <c r="F96" s="39">
        <v>1</v>
      </c>
      <c r="G96" s="40">
        <v>11931.77</v>
      </c>
      <c r="H96" s="40">
        <f t="shared" si="1"/>
        <v>11931.77</v>
      </c>
      <c r="I96" s="39" t="s">
        <v>321</v>
      </c>
      <c r="J96" s="37"/>
      <c r="K96" s="37"/>
      <c r="L96" s="37"/>
      <c r="M96" s="37"/>
      <c r="N96" s="37"/>
      <c r="O96" s="37"/>
    </row>
    <row r="97" spans="1:15" ht="15" customHeight="1" x14ac:dyDescent="0.3">
      <c r="A97" s="39" t="s">
        <v>11</v>
      </c>
      <c r="B97" s="39" t="s">
        <v>285</v>
      </c>
      <c r="C97" s="39" t="s">
        <v>299</v>
      </c>
      <c r="D97" s="39" t="s">
        <v>170</v>
      </c>
      <c r="E97" s="39" t="s">
        <v>283</v>
      </c>
      <c r="F97" s="39">
        <v>5</v>
      </c>
      <c r="G97" s="40">
        <v>28.31</v>
      </c>
      <c r="H97" s="40">
        <f t="shared" si="1"/>
        <v>141.54999999999998</v>
      </c>
      <c r="I97" s="39" t="s">
        <v>303</v>
      </c>
      <c r="J97" s="37"/>
      <c r="K97" s="37"/>
      <c r="L97" s="37"/>
      <c r="M97" s="37"/>
      <c r="N97" s="37"/>
      <c r="O97" s="37"/>
    </row>
    <row r="98" spans="1:15" ht="15" customHeight="1" x14ac:dyDescent="0.3">
      <c r="A98" s="39" t="s">
        <v>11</v>
      </c>
      <c r="B98" s="39" t="s">
        <v>285</v>
      </c>
      <c r="C98" s="39" t="s">
        <v>299</v>
      </c>
      <c r="D98" s="39" t="s">
        <v>171</v>
      </c>
      <c r="E98" s="39" t="s">
        <v>283</v>
      </c>
      <c r="F98" s="39">
        <v>5</v>
      </c>
      <c r="G98" s="40">
        <v>47.79</v>
      </c>
      <c r="H98" s="40">
        <f t="shared" si="1"/>
        <v>238.95</v>
      </c>
      <c r="I98" s="39" t="s">
        <v>303</v>
      </c>
      <c r="J98" s="37"/>
      <c r="K98" s="37"/>
      <c r="L98" s="37"/>
      <c r="M98" s="37"/>
      <c r="N98" s="37"/>
      <c r="O98" s="37"/>
    </row>
    <row r="99" spans="1:15" ht="15" customHeight="1" x14ac:dyDescent="0.3">
      <c r="A99" s="39" t="s">
        <v>11</v>
      </c>
      <c r="B99" s="39" t="s">
        <v>285</v>
      </c>
      <c r="C99" s="39" t="s">
        <v>44</v>
      </c>
      <c r="D99" s="39" t="s">
        <v>169</v>
      </c>
      <c r="E99" s="39" t="s">
        <v>283</v>
      </c>
      <c r="F99" s="39">
        <v>5</v>
      </c>
      <c r="G99" s="40">
        <v>64.540000000000006</v>
      </c>
      <c r="H99" s="40">
        <f t="shared" si="1"/>
        <v>322.70000000000005</v>
      </c>
      <c r="I99" s="39" t="s">
        <v>303</v>
      </c>
      <c r="J99" s="37"/>
      <c r="K99" s="37"/>
      <c r="L99" s="37"/>
      <c r="M99" s="37"/>
      <c r="N99" s="37"/>
      <c r="O99" s="37"/>
    </row>
    <row r="100" spans="1:15" ht="15" customHeight="1" x14ac:dyDescent="0.3">
      <c r="A100" s="39" t="s">
        <v>11</v>
      </c>
      <c r="B100" s="39" t="s">
        <v>285</v>
      </c>
      <c r="C100" s="39" t="s">
        <v>304</v>
      </c>
      <c r="D100" s="39" t="s">
        <v>167</v>
      </c>
      <c r="E100" s="39" t="s">
        <v>283</v>
      </c>
      <c r="F100" s="39">
        <v>5</v>
      </c>
      <c r="G100" s="40">
        <v>10.050000000000001</v>
      </c>
      <c r="H100" s="40">
        <f t="shared" si="1"/>
        <v>50.25</v>
      </c>
      <c r="I100" s="39" t="s">
        <v>303</v>
      </c>
      <c r="J100" s="37"/>
      <c r="K100" s="37"/>
      <c r="L100" s="37"/>
      <c r="M100" s="37"/>
      <c r="N100" s="37"/>
      <c r="O100" s="37"/>
    </row>
    <row r="101" spans="1:15" ht="15" customHeight="1" x14ac:dyDescent="0.3">
      <c r="A101" s="39" t="s">
        <v>11</v>
      </c>
      <c r="B101" s="39" t="s">
        <v>285</v>
      </c>
      <c r="C101" s="39" t="s">
        <v>304</v>
      </c>
      <c r="D101" s="39" t="s">
        <v>168</v>
      </c>
      <c r="E101" s="39" t="s">
        <v>283</v>
      </c>
      <c r="F101" s="39">
        <v>5</v>
      </c>
      <c r="G101" s="40">
        <v>2.0699999999999998</v>
      </c>
      <c r="H101" s="40">
        <f t="shared" si="1"/>
        <v>10.35</v>
      </c>
      <c r="I101" s="39" t="s">
        <v>303</v>
      </c>
      <c r="J101" s="37"/>
      <c r="K101" s="37"/>
      <c r="L101" s="37"/>
      <c r="M101" s="37"/>
      <c r="N101" s="37"/>
      <c r="O101" s="37"/>
    </row>
    <row r="102" spans="1:15" ht="15" customHeight="1" x14ac:dyDescent="0.3">
      <c r="A102" s="39" t="s">
        <v>11</v>
      </c>
      <c r="B102" s="39" t="s">
        <v>285</v>
      </c>
      <c r="C102" s="39" t="s">
        <v>305</v>
      </c>
      <c r="D102" s="39" t="s">
        <v>202</v>
      </c>
      <c r="E102" s="39" t="s">
        <v>283</v>
      </c>
      <c r="F102" s="39">
        <v>1</v>
      </c>
      <c r="G102" s="40">
        <v>111.44</v>
      </c>
      <c r="H102" s="40">
        <f t="shared" si="1"/>
        <v>111.44</v>
      </c>
      <c r="I102" s="39" t="s">
        <v>322</v>
      </c>
      <c r="J102" s="37"/>
      <c r="K102" s="37"/>
      <c r="L102" s="37"/>
      <c r="M102" s="37"/>
      <c r="N102" s="37"/>
      <c r="O102" s="37"/>
    </row>
    <row r="103" spans="1:15" ht="15" customHeight="1" x14ac:dyDescent="0.3">
      <c r="A103" s="39" t="s">
        <v>11</v>
      </c>
      <c r="B103" s="39" t="s">
        <v>285</v>
      </c>
      <c r="C103" s="39" t="s">
        <v>306</v>
      </c>
      <c r="D103" s="39" t="s">
        <v>198</v>
      </c>
      <c r="E103" s="39" t="s">
        <v>283</v>
      </c>
      <c r="F103" s="39">
        <v>5</v>
      </c>
      <c r="G103" s="40">
        <v>30</v>
      </c>
      <c r="H103" s="40">
        <f t="shared" si="1"/>
        <v>150</v>
      </c>
      <c r="I103" s="39" t="s">
        <v>303</v>
      </c>
      <c r="J103" s="37"/>
      <c r="K103" s="37"/>
      <c r="L103" s="37"/>
      <c r="M103" s="37"/>
      <c r="N103" s="37"/>
      <c r="O103" s="37"/>
    </row>
    <row r="104" spans="1:15" ht="15" customHeight="1" x14ac:dyDescent="0.3">
      <c r="A104" s="39" t="s">
        <v>11</v>
      </c>
      <c r="B104" s="39" t="s">
        <v>285</v>
      </c>
      <c r="C104" s="39" t="s">
        <v>307</v>
      </c>
      <c r="D104" s="39" t="s">
        <v>203</v>
      </c>
      <c r="E104" s="39" t="s">
        <v>283</v>
      </c>
      <c r="F104" s="39">
        <v>1</v>
      </c>
      <c r="G104" s="40">
        <v>977.05</v>
      </c>
      <c r="H104" s="40">
        <f t="shared" si="1"/>
        <v>977.05</v>
      </c>
      <c r="I104" s="39" t="s">
        <v>313</v>
      </c>
      <c r="J104" s="37"/>
      <c r="K104" s="37"/>
      <c r="L104" s="37"/>
      <c r="M104" s="37"/>
      <c r="N104" s="37"/>
      <c r="O104" s="37"/>
    </row>
    <row r="105" spans="1:15" ht="15" customHeight="1" x14ac:dyDescent="0.3">
      <c r="A105" s="39" t="s">
        <v>11</v>
      </c>
      <c r="B105" s="39" t="s">
        <v>287</v>
      </c>
      <c r="C105" s="39" t="s">
        <v>299</v>
      </c>
      <c r="D105" s="39" t="s">
        <v>197</v>
      </c>
      <c r="E105" s="39" t="s">
        <v>286</v>
      </c>
      <c r="F105" s="39">
        <v>1</v>
      </c>
      <c r="G105" s="40">
        <v>18416.45</v>
      </c>
      <c r="H105" s="40">
        <f t="shared" si="1"/>
        <v>18416.45</v>
      </c>
      <c r="I105" s="39" t="s">
        <v>323</v>
      </c>
      <c r="J105" s="37"/>
      <c r="K105" s="37"/>
      <c r="L105" s="37"/>
      <c r="M105" s="37"/>
      <c r="N105" s="37"/>
      <c r="O105" s="37"/>
    </row>
    <row r="106" spans="1:15" ht="15" customHeight="1" x14ac:dyDescent="0.3">
      <c r="A106" s="39" t="s">
        <v>11</v>
      </c>
      <c r="B106" s="39" t="s">
        <v>287</v>
      </c>
      <c r="C106" s="39" t="s">
        <v>299</v>
      </c>
      <c r="D106" s="39" t="s">
        <v>170</v>
      </c>
      <c r="E106" s="39" t="s">
        <v>286</v>
      </c>
      <c r="F106" s="39">
        <v>8</v>
      </c>
      <c r="G106" s="40">
        <v>28.31</v>
      </c>
      <c r="H106" s="40">
        <f t="shared" si="1"/>
        <v>226.48</v>
      </c>
      <c r="I106" s="39" t="s">
        <v>303</v>
      </c>
      <c r="J106" s="37"/>
      <c r="K106" s="37"/>
      <c r="L106" s="37"/>
      <c r="M106" s="37"/>
      <c r="N106" s="37"/>
      <c r="O106" s="37"/>
    </row>
    <row r="107" spans="1:15" ht="15" customHeight="1" x14ac:dyDescent="0.3">
      <c r="A107" s="39" t="s">
        <v>11</v>
      </c>
      <c r="B107" s="39" t="s">
        <v>287</v>
      </c>
      <c r="C107" s="39" t="s">
        <v>299</v>
      </c>
      <c r="D107" s="39" t="s">
        <v>171</v>
      </c>
      <c r="E107" s="39" t="s">
        <v>286</v>
      </c>
      <c r="F107" s="39">
        <v>8</v>
      </c>
      <c r="G107" s="40">
        <v>47.79</v>
      </c>
      <c r="H107" s="40">
        <f t="shared" si="1"/>
        <v>382.32</v>
      </c>
      <c r="I107" s="39" t="s">
        <v>303</v>
      </c>
      <c r="J107" s="37"/>
      <c r="K107" s="37"/>
      <c r="L107" s="37"/>
      <c r="M107" s="37"/>
      <c r="N107" s="37"/>
      <c r="O107" s="37"/>
    </row>
    <row r="108" spans="1:15" ht="15" customHeight="1" x14ac:dyDescent="0.3">
      <c r="A108" s="39" t="s">
        <v>11</v>
      </c>
      <c r="B108" s="39" t="s">
        <v>287</v>
      </c>
      <c r="C108" s="39" t="s">
        <v>44</v>
      </c>
      <c r="D108" s="39" t="s">
        <v>169</v>
      </c>
      <c r="E108" s="39" t="s">
        <v>286</v>
      </c>
      <c r="F108" s="39">
        <v>8</v>
      </c>
      <c r="G108" s="40">
        <v>64.540000000000006</v>
      </c>
      <c r="H108" s="40">
        <f t="shared" si="1"/>
        <v>516.32000000000005</v>
      </c>
      <c r="I108" s="39" t="s">
        <v>303</v>
      </c>
      <c r="J108" s="37"/>
      <c r="K108" s="37"/>
      <c r="L108" s="37"/>
      <c r="M108" s="37"/>
      <c r="N108" s="37"/>
      <c r="O108" s="37"/>
    </row>
    <row r="109" spans="1:15" ht="15" customHeight="1" x14ac:dyDescent="0.3">
      <c r="A109" s="39" t="s">
        <v>11</v>
      </c>
      <c r="B109" s="39" t="s">
        <v>287</v>
      </c>
      <c r="C109" s="39" t="s">
        <v>44</v>
      </c>
      <c r="D109" s="39" t="s">
        <v>199</v>
      </c>
      <c r="E109" s="39" t="s">
        <v>286</v>
      </c>
      <c r="F109" s="39">
        <v>1</v>
      </c>
      <c r="G109" s="40">
        <v>140</v>
      </c>
      <c r="H109" s="40">
        <f t="shared" si="1"/>
        <v>140</v>
      </c>
      <c r="I109" s="39" t="s">
        <v>324</v>
      </c>
      <c r="J109" s="37"/>
      <c r="K109" s="37"/>
      <c r="L109" s="37"/>
      <c r="M109" s="37"/>
      <c r="N109" s="37"/>
      <c r="O109" s="37"/>
    </row>
    <row r="110" spans="1:15" ht="15" customHeight="1" x14ac:dyDescent="0.3">
      <c r="A110" s="39" t="s">
        <v>11</v>
      </c>
      <c r="B110" s="39" t="s">
        <v>287</v>
      </c>
      <c r="C110" s="39" t="s">
        <v>304</v>
      </c>
      <c r="D110" s="39" t="s">
        <v>167</v>
      </c>
      <c r="E110" s="39" t="s">
        <v>286</v>
      </c>
      <c r="F110" s="39">
        <v>8</v>
      </c>
      <c r="G110" s="40">
        <v>10.050000000000001</v>
      </c>
      <c r="H110" s="40">
        <f t="shared" si="1"/>
        <v>80.400000000000006</v>
      </c>
      <c r="I110" s="39" t="s">
        <v>303</v>
      </c>
      <c r="J110" s="37"/>
      <c r="K110" s="37"/>
      <c r="L110" s="37"/>
      <c r="M110" s="37"/>
      <c r="N110" s="37"/>
      <c r="O110" s="37"/>
    </row>
    <row r="111" spans="1:15" ht="15" customHeight="1" x14ac:dyDescent="0.3">
      <c r="A111" s="39" t="s">
        <v>11</v>
      </c>
      <c r="B111" s="39" t="s">
        <v>287</v>
      </c>
      <c r="C111" s="39" t="s">
        <v>304</v>
      </c>
      <c r="D111" s="39" t="s">
        <v>168</v>
      </c>
      <c r="E111" s="39" t="s">
        <v>286</v>
      </c>
      <c r="F111" s="39">
        <v>8</v>
      </c>
      <c r="G111" s="40">
        <v>2.0699999999999998</v>
      </c>
      <c r="H111" s="40">
        <f t="shared" si="1"/>
        <v>16.559999999999999</v>
      </c>
      <c r="I111" s="39" t="s">
        <v>303</v>
      </c>
      <c r="J111" s="37"/>
      <c r="K111" s="37"/>
      <c r="L111" s="37"/>
      <c r="M111" s="37"/>
      <c r="N111" s="37"/>
      <c r="O111" s="37"/>
    </row>
    <row r="112" spans="1:15" ht="15" customHeight="1" x14ac:dyDescent="0.3">
      <c r="A112" s="39" t="s">
        <v>11</v>
      </c>
      <c r="B112" s="39" t="s">
        <v>287</v>
      </c>
      <c r="C112" s="39" t="s">
        <v>305</v>
      </c>
      <c r="D112" s="39" t="s">
        <v>200</v>
      </c>
      <c r="E112" s="39" t="s">
        <v>286</v>
      </c>
      <c r="F112" s="39">
        <v>1</v>
      </c>
      <c r="G112" s="40">
        <v>798.12</v>
      </c>
      <c r="H112" s="40">
        <f t="shared" si="1"/>
        <v>798.12</v>
      </c>
      <c r="I112" s="39" t="s">
        <v>324</v>
      </c>
      <c r="J112" s="37"/>
      <c r="K112" s="37"/>
      <c r="L112" s="37"/>
      <c r="M112" s="37"/>
      <c r="N112" s="37"/>
      <c r="O112" s="37"/>
    </row>
    <row r="113" spans="1:15" ht="15" customHeight="1" x14ac:dyDescent="0.3">
      <c r="A113" s="39" t="s">
        <v>11</v>
      </c>
      <c r="B113" s="39" t="s">
        <v>287</v>
      </c>
      <c r="C113" s="39" t="s">
        <v>305</v>
      </c>
      <c r="D113" s="39" t="s">
        <v>202</v>
      </c>
      <c r="E113" s="39" t="s">
        <v>286</v>
      </c>
      <c r="F113" s="39">
        <v>1</v>
      </c>
      <c r="G113" s="40">
        <v>222.88</v>
      </c>
      <c r="H113" s="40">
        <f t="shared" si="1"/>
        <v>222.88</v>
      </c>
      <c r="I113" s="39" t="s">
        <v>324</v>
      </c>
      <c r="J113" s="37"/>
      <c r="K113" s="37"/>
      <c r="L113" s="37"/>
      <c r="M113" s="37"/>
      <c r="N113" s="37"/>
      <c r="O113" s="37"/>
    </row>
    <row r="114" spans="1:15" ht="15" customHeight="1" x14ac:dyDescent="0.3">
      <c r="A114" s="39" t="s">
        <v>11</v>
      </c>
      <c r="B114" s="39" t="s">
        <v>287</v>
      </c>
      <c r="C114" s="39" t="s">
        <v>306</v>
      </c>
      <c r="D114" s="39" t="s">
        <v>198</v>
      </c>
      <c r="E114" s="39" t="s">
        <v>286</v>
      </c>
      <c r="F114" s="39">
        <v>8</v>
      </c>
      <c r="G114" s="40">
        <v>30</v>
      </c>
      <c r="H114" s="40">
        <f t="shared" si="1"/>
        <v>240</v>
      </c>
      <c r="I114" s="39" t="s">
        <v>303</v>
      </c>
      <c r="J114" s="37"/>
      <c r="K114" s="37"/>
      <c r="L114" s="37"/>
      <c r="M114" s="37"/>
      <c r="N114" s="37"/>
      <c r="O114" s="37"/>
    </row>
    <row r="115" spans="1:15" ht="15" customHeight="1" x14ac:dyDescent="0.3">
      <c r="A115" s="39" t="s">
        <v>11</v>
      </c>
      <c r="B115" s="39" t="s">
        <v>290</v>
      </c>
      <c r="C115" s="39" t="s">
        <v>299</v>
      </c>
      <c r="D115" s="39" t="s">
        <v>197</v>
      </c>
      <c r="E115" s="39" t="s">
        <v>286</v>
      </c>
      <c r="F115" s="39">
        <v>1</v>
      </c>
      <c r="G115" s="40">
        <v>17518.73</v>
      </c>
      <c r="H115" s="40">
        <f t="shared" si="1"/>
        <v>17518.73</v>
      </c>
      <c r="I115" s="39" t="s">
        <v>325</v>
      </c>
      <c r="J115" s="37"/>
      <c r="K115" s="37"/>
      <c r="L115" s="37"/>
      <c r="M115" s="37"/>
      <c r="N115" s="37"/>
      <c r="O115" s="37"/>
    </row>
    <row r="116" spans="1:15" ht="15" customHeight="1" x14ac:dyDescent="0.3">
      <c r="A116" s="39" t="s">
        <v>11</v>
      </c>
      <c r="B116" s="39" t="s">
        <v>290</v>
      </c>
      <c r="C116" s="39" t="s">
        <v>299</v>
      </c>
      <c r="D116" s="39" t="s">
        <v>301</v>
      </c>
      <c r="E116" s="39" t="s">
        <v>286</v>
      </c>
      <c r="F116" s="39">
        <v>1</v>
      </c>
      <c r="G116" s="40">
        <v>2075</v>
      </c>
      <c r="H116" s="40">
        <f t="shared" si="1"/>
        <v>2075</v>
      </c>
      <c r="I116" s="39" t="s">
        <v>315</v>
      </c>
      <c r="J116" s="37"/>
      <c r="K116" s="37"/>
      <c r="L116" s="37"/>
      <c r="M116" s="37"/>
      <c r="N116" s="37"/>
      <c r="O116" s="37"/>
    </row>
    <row r="117" spans="1:15" ht="15" customHeight="1" x14ac:dyDescent="0.3">
      <c r="A117" s="39" t="s">
        <v>11</v>
      </c>
      <c r="B117" s="39" t="s">
        <v>290</v>
      </c>
      <c r="C117" s="39" t="s">
        <v>299</v>
      </c>
      <c r="D117" s="39" t="s">
        <v>170</v>
      </c>
      <c r="E117" s="39" t="s">
        <v>286</v>
      </c>
      <c r="F117" s="39">
        <v>11</v>
      </c>
      <c r="G117" s="40">
        <v>28.31</v>
      </c>
      <c r="H117" s="40">
        <f t="shared" si="1"/>
        <v>311.40999999999997</v>
      </c>
      <c r="I117" s="39" t="s">
        <v>303</v>
      </c>
      <c r="J117" s="37"/>
      <c r="K117" s="37"/>
      <c r="L117" s="37"/>
      <c r="M117" s="37"/>
      <c r="N117" s="37"/>
      <c r="O117" s="37"/>
    </row>
    <row r="118" spans="1:15" ht="15" customHeight="1" x14ac:dyDescent="0.3">
      <c r="A118" s="39" t="s">
        <v>11</v>
      </c>
      <c r="B118" s="39" t="s">
        <v>290</v>
      </c>
      <c r="C118" s="39" t="s">
        <v>299</v>
      </c>
      <c r="D118" s="39" t="s">
        <v>171</v>
      </c>
      <c r="E118" s="39" t="s">
        <v>286</v>
      </c>
      <c r="F118" s="39">
        <v>11</v>
      </c>
      <c r="G118" s="40">
        <v>47.79</v>
      </c>
      <c r="H118" s="40">
        <f t="shared" si="1"/>
        <v>525.68999999999994</v>
      </c>
      <c r="I118" s="39" t="s">
        <v>303</v>
      </c>
      <c r="J118" s="37"/>
      <c r="K118" s="37"/>
      <c r="L118" s="37"/>
      <c r="M118" s="37"/>
      <c r="N118" s="37"/>
      <c r="O118" s="37"/>
    </row>
    <row r="119" spans="1:15" ht="15" customHeight="1" x14ac:dyDescent="0.3">
      <c r="A119" s="39" t="s">
        <v>11</v>
      </c>
      <c r="B119" s="39" t="s">
        <v>290</v>
      </c>
      <c r="C119" s="39" t="s">
        <v>44</v>
      </c>
      <c r="D119" s="39" t="s">
        <v>169</v>
      </c>
      <c r="E119" s="39" t="s">
        <v>286</v>
      </c>
      <c r="F119" s="39">
        <v>11</v>
      </c>
      <c r="G119" s="40">
        <v>64.540000000000006</v>
      </c>
      <c r="H119" s="40">
        <f t="shared" si="1"/>
        <v>709.94</v>
      </c>
      <c r="I119" s="39" t="s">
        <v>303</v>
      </c>
      <c r="J119" s="37"/>
      <c r="K119" s="37"/>
      <c r="L119" s="37"/>
      <c r="M119" s="37"/>
      <c r="N119" s="37"/>
      <c r="O119" s="37"/>
    </row>
    <row r="120" spans="1:15" ht="15" customHeight="1" x14ac:dyDescent="0.3">
      <c r="A120" s="39" t="s">
        <v>11</v>
      </c>
      <c r="B120" s="39" t="s">
        <v>290</v>
      </c>
      <c r="C120" s="39" t="s">
        <v>44</v>
      </c>
      <c r="D120" s="39" t="s">
        <v>199</v>
      </c>
      <c r="E120" s="39" t="s">
        <v>286</v>
      </c>
      <c r="F120" s="39">
        <v>1</v>
      </c>
      <c r="G120" s="40">
        <v>140</v>
      </c>
      <c r="H120" s="40">
        <f t="shared" si="1"/>
        <v>140</v>
      </c>
      <c r="I120" s="39" t="s">
        <v>315</v>
      </c>
      <c r="J120" s="37"/>
      <c r="K120" s="37"/>
      <c r="L120" s="37"/>
      <c r="M120" s="37"/>
      <c r="N120" s="37"/>
      <c r="O120" s="37"/>
    </row>
    <row r="121" spans="1:15" ht="15" customHeight="1" x14ac:dyDescent="0.3">
      <c r="A121" s="39" t="s">
        <v>11</v>
      </c>
      <c r="B121" s="39" t="s">
        <v>290</v>
      </c>
      <c r="C121" s="39" t="s">
        <v>304</v>
      </c>
      <c r="D121" s="39" t="s">
        <v>167</v>
      </c>
      <c r="E121" s="39" t="s">
        <v>286</v>
      </c>
      <c r="F121" s="39">
        <v>11</v>
      </c>
      <c r="G121" s="40">
        <v>10.050000000000001</v>
      </c>
      <c r="H121" s="40">
        <f t="shared" si="1"/>
        <v>110.55000000000001</v>
      </c>
      <c r="I121" s="39" t="s">
        <v>303</v>
      </c>
      <c r="J121" s="37"/>
      <c r="K121" s="37"/>
      <c r="L121" s="37"/>
      <c r="M121" s="37"/>
      <c r="N121" s="37"/>
      <c r="O121" s="37"/>
    </row>
    <row r="122" spans="1:15" ht="15" customHeight="1" x14ac:dyDescent="0.3">
      <c r="A122" s="39" t="s">
        <v>11</v>
      </c>
      <c r="B122" s="39" t="s">
        <v>290</v>
      </c>
      <c r="C122" s="39" t="s">
        <v>304</v>
      </c>
      <c r="D122" s="39" t="s">
        <v>168</v>
      </c>
      <c r="E122" s="39" t="s">
        <v>286</v>
      </c>
      <c r="F122" s="39">
        <v>11</v>
      </c>
      <c r="G122" s="40">
        <v>2.0699999999999998</v>
      </c>
      <c r="H122" s="40">
        <f t="shared" si="1"/>
        <v>22.77</v>
      </c>
      <c r="I122" s="39" t="s">
        <v>303</v>
      </c>
      <c r="J122" s="37"/>
      <c r="K122" s="37"/>
      <c r="L122" s="37"/>
      <c r="M122" s="37"/>
      <c r="N122" s="37"/>
      <c r="O122" s="37"/>
    </row>
    <row r="123" spans="1:15" ht="15" customHeight="1" x14ac:dyDescent="0.3">
      <c r="A123" s="39" t="s">
        <v>11</v>
      </c>
      <c r="B123" s="39" t="s">
        <v>290</v>
      </c>
      <c r="C123" s="39" t="s">
        <v>306</v>
      </c>
      <c r="D123" s="39" t="s">
        <v>198</v>
      </c>
      <c r="E123" s="39" t="s">
        <v>286</v>
      </c>
      <c r="F123" s="39">
        <v>11</v>
      </c>
      <c r="G123" s="40">
        <v>30</v>
      </c>
      <c r="H123" s="40">
        <f t="shared" si="1"/>
        <v>330</v>
      </c>
      <c r="I123" s="39" t="s">
        <v>303</v>
      </c>
      <c r="J123" s="37"/>
      <c r="K123" s="37"/>
      <c r="L123" s="37"/>
      <c r="M123" s="37"/>
      <c r="N123" s="37"/>
      <c r="O123" s="37"/>
    </row>
    <row r="124" spans="1:15" ht="15" customHeight="1" x14ac:dyDescent="0.3">
      <c r="A124" s="39" t="s">
        <v>11</v>
      </c>
      <c r="B124" s="39" t="s">
        <v>290</v>
      </c>
      <c r="C124" s="39" t="s">
        <v>307</v>
      </c>
      <c r="D124" s="39" t="s">
        <v>203</v>
      </c>
      <c r="E124" s="39" t="s">
        <v>286</v>
      </c>
      <c r="F124" s="39">
        <v>1</v>
      </c>
      <c r="G124" s="40">
        <v>2642.33</v>
      </c>
      <c r="H124" s="40">
        <f t="shared" si="1"/>
        <v>2642.33</v>
      </c>
      <c r="I124" s="39" t="s">
        <v>313</v>
      </c>
      <c r="J124" s="37"/>
      <c r="K124" s="37"/>
      <c r="L124" s="37"/>
      <c r="M124" s="37"/>
      <c r="N124" s="37"/>
      <c r="O124" s="37"/>
    </row>
    <row r="125" spans="1:15" ht="15" customHeight="1" x14ac:dyDescent="0.3">
      <c r="A125" s="39" t="s">
        <v>11</v>
      </c>
      <c r="B125" s="39" t="s">
        <v>293</v>
      </c>
      <c r="C125" s="39" t="s">
        <v>299</v>
      </c>
      <c r="D125" s="39" t="s">
        <v>197</v>
      </c>
      <c r="E125" s="39" t="s">
        <v>292</v>
      </c>
      <c r="F125" s="39">
        <v>1</v>
      </c>
      <c r="G125" s="40">
        <v>3520.86</v>
      </c>
      <c r="H125" s="40">
        <f t="shared" si="1"/>
        <v>3520.86</v>
      </c>
      <c r="I125" s="39" t="s">
        <v>326</v>
      </c>
      <c r="J125" s="37"/>
      <c r="K125" s="37"/>
      <c r="L125" s="37"/>
      <c r="M125" s="37"/>
      <c r="N125" s="37"/>
      <c r="O125" s="37"/>
    </row>
    <row r="126" spans="1:15" ht="15" customHeight="1" x14ac:dyDescent="0.3">
      <c r="A126" s="39" t="s">
        <v>11</v>
      </c>
      <c r="B126" s="39" t="s">
        <v>293</v>
      </c>
      <c r="C126" s="39" t="s">
        <v>299</v>
      </c>
      <c r="D126" s="39" t="s">
        <v>170</v>
      </c>
      <c r="E126" s="39" t="s">
        <v>292</v>
      </c>
      <c r="F126" s="39">
        <v>1</v>
      </c>
      <c r="G126" s="40">
        <v>28.31</v>
      </c>
      <c r="H126" s="40">
        <f t="shared" si="1"/>
        <v>28.31</v>
      </c>
      <c r="I126" s="39" t="s">
        <v>303</v>
      </c>
      <c r="J126" s="37"/>
      <c r="K126" s="37"/>
      <c r="L126" s="37"/>
      <c r="M126" s="37"/>
      <c r="N126" s="37"/>
      <c r="O126" s="37"/>
    </row>
    <row r="127" spans="1:15" ht="15" customHeight="1" x14ac:dyDescent="0.3">
      <c r="A127" s="39" t="s">
        <v>11</v>
      </c>
      <c r="B127" s="39" t="s">
        <v>293</v>
      </c>
      <c r="C127" s="39" t="s">
        <v>299</v>
      </c>
      <c r="D127" s="39" t="s">
        <v>171</v>
      </c>
      <c r="E127" s="39" t="s">
        <v>292</v>
      </c>
      <c r="F127" s="39">
        <v>1</v>
      </c>
      <c r="G127" s="40">
        <v>47.79</v>
      </c>
      <c r="H127" s="40">
        <f t="shared" si="1"/>
        <v>47.79</v>
      </c>
      <c r="I127" s="39" t="s">
        <v>303</v>
      </c>
      <c r="J127" s="37"/>
      <c r="K127" s="37"/>
      <c r="L127" s="37"/>
      <c r="M127" s="37"/>
      <c r="N127" s="37"/>
      <c r="O127" s="37"/>
    </row>
    <row r="128" spans="1:15" ht="15" customHeight="1" x14ac:dyDescent="0.3">
      <c r="A128" s="39" t="s">
        <v>11</v>
      </c>
      <c r="B128" s="39" t="s">
        <v>293</v>
      </c>
      <c r="C128" s="39" t="s">
        <v>44</v>
      </c>
      <c r="D128" s="39" t="s">
        <v>169</v>
      </c>
      <c r="E128" s="39" t="s">
        <v>292</v>
      </c>
      <c r="F128" s="39">
        <v>1</v>
      </c>
      <c r="G128" s="40">
        <v>64.540000000000006</v>
      </c>
      <c r="H128" s="40">
        <f t="shared" si="1"/>
        <v>64.540000000000006</v>
      </c>
      <c r="I128" s="39" t="s">
        <v>303</v>
      </c>
      <c r="J128" s="37"/>
      <c r="K128" s="37"/>
      <c r="L128" s="37"/>
      <c r="M128" s="37"/>
      <c r="N128" s="37"/>
      <c r="O128" s="37"/>
    </row>
    <row r="129" spans="1:15" ht="15" customHeight="1" x14ac:dyDescent="0.3">
      <c r="A129" s="39" t="s">
        <v>11</v>
      </c>
      <c r="B129" s="39" t="s">
        <v>293</v>
      </c>
      <c r="C129" s="39" t="s">
        <v>304</v>
      </c>
      <c r="D129" s="39" t="s">
        <v>167</v>
      </c>
      <c r="E129" s="39" t="s">
        <v>292</v>
      </c>
      <c r="F129" s="39">
        <v>1</v>
      </c>
      <c r="G129" s="40">
        <v>10.050000000000001</v>
      </c>
      <c r="H129" s="40">
        <f t="shared" si="1"/>
        <v>10.050000000000001</v>
      </c>
      <c r="I129" s="39" t="s">
        <v>303</v>
      </c>
      <c r="J129" s="37"/>
      <c r="K129" s="37"/>
      <c r="L129" s="37"/>
      <c r="M129" s="37"/>
      <c r="N129" s="37"/>
      <c r="O129" s="37"/>
    </row>
    <row r="130" spans="1:15" ht="15" customHeight="1" x14ac:dyDescent="0.3">
      <c r="A130" s="39" t="s">
        <v>11</v>
      </c>
      <c r="B130" s="39" t="s">
        <v>293</v>
      </c>
      <c r="C130" s="39" t="s">
        <v>304</v>
      </c>
      <c r="D130" s="39" t="s">
        <v>168</v>
      </c>
      <c r="E130" s="39" t="s">
        <v>292</v>
      </c>
      <c r="F130" s="39">
        <v>1</v>
      </c>
      <c r="G130" s="40">
        <v>2.0699999999999998</v>
      </c>
      <c r="H130" s="40">
        <f t="shared" si="1"/>
        <v>2.0699999999999998</v>
      </c>
      <c r="I130" s="39" t="s">
        <v>303</v>
      </c>
      <c r="J130" s="37"/>
      <c r="K130" s="37"/>
      <c r="L130" s="37"/>
      <c r="M130" s="37"/>
      <c r="N130" s="37"/>
      <c r="O130" s="37"/>
    </row>
    <row r="131" spans="1:15" ht="15" customHeight="1" x14ac:dyDescent="0.3">
      <c r="A131" s="39" t="s">
        <v>11</v>
      </c>
      <c r="B131" s="39" t="s">
        <v>293</v>
      </c>
      <c r="C131" s="39" t="s">
        <v>306</v>
      </c>
      <c r="D131" s="39" t="s">
        <v>198</v>
      </c>
      <c r="E131" s="39" t="s">
        <v>292</v>
      </c>
      <c r="F131" s="39">
        <v>1</v>
      </c>
      <c r="G131" s="40">
        <v>30</v>
      </c>
      <c r="H131" s="40">
        <f t="shared" si="1"/>
        <v>30</v>
      </c>
      <c r="I131" s="39" t="s">
        <v>303</v>
      </c>
      <c r="J131" s="37"/>
      <c r="K131" s="37"/>
      <c r="L131" s="37"/>
      <c r="M131" s="37"/>
      <c r="N131" s="37"/>
      <c r="O131" s="37"/>
    </row>
    <row r="132" spans="1:15" ht="15" customHeight="1" x14ac:dyDescent="0.3">
      <c r="A132" s="39" t="s">
        <v>20</v>
      </c>
      <c r="B132" s="39" t="s">
        <v>275</v>
      </c>
      <c r="C132" s="39" t="s">
        <v>299</v>
      </c>
      <c r="D132" s="39" t="s">
        <v>197</v>
      </c>
      <c r="E132" s="39" t="s">
        <v>274</v>
      </c>
      <c r="F132" s="39">
        <v>1</v>
      </c>
      <c r="G132" s="40">
        <v>70601.080177777694</v>
      </c>
      <c r="H132" s="40">
        <v>70601.080177777694</v>
      </c>
      <c r="I132" s="39" t="s">
        <v>327</v>
      </c>
      <c r="J132" s="37"/>
      <c r="K132" s="37"/>
      <c r="L132" s="37"/>
      <c r="M132" s="37"/>
      <c r="N132" s="37"/>
      <c r="O132" s="37"/>
    </row>
    <row r="133" spans="1:15" ht="15" customHeight="1" x14ac:dyDescent="0.3">
      <c r="A133" s="39" t="s">
        <v>20</v>
      </c>
      <c r="B133" s="39" t="s">
        <v>275</v>
      </c>
      <c r="C133" s="39" t="s">
        <v>299</v>
      </c>
      <c r="D133" s="39" t="s">
        <v>301</v>
      </c>
      <c r="E133" s="39" t="s">
        <v>274</v>
      </c>
      <c r="F133" s="39">
        <v>1</v>
      </c>
      <c r="G133" s="40">
        <v>2724.43</v>
      </c>
      <c r="H133" s="40">
        <v>2724.43</v>
      </c>
      <c r="I133" s="39" t="s">
        <v>302</v>
      </c>
      <c r="J133" s="37"/>
      <c r="K133" s="37"/>
      <c r="L133" s="37"/>
      <c r="M133" s="37"/>
      <c r="N133" s="37"/>
      <c r="O133" s="37"/>
    </row>
    <row r="134" spans="1:15" ht="15" customHeight="1" x14ac:dyDescent="0.3">
      <c r="A134" s="39" t="s">
        <v>20</v>
      </c>
      <c r="B134" s="39" t="s">
        <v>275</v>
      </c>
      <c r="C134" s="39" t="s">
        <v>299</v>
      </c>
      <c r="D134" s="39" t="s">
        <v>170</v>
      </c>
      <c r="E134" s="39" t="s">
        <v>274</v>
      </c>
      <c r="F134" s="39">
        <v>39</v>
      </c>
      <c r="G134" s="40">
        <v>28.31</v>
      </c>
      <c r="H134" s="40">
        <v>1104.0899999999999</v>
      </c>
      <c r="I134" s="39" t="s">
        <v>303</v>
      </c>
      <c r="J134" s="37"/>
      <c r="K134" s="37"/>
      <c r="L134" s="37"/>
      <c r="M134" s="37"/>
      <c r="N134" s="37"/>
      <c r="O134" s="37"/>
    </row>
    <row r="135" spans="1:15" ht="15" customHeight="1" x14ac:dyDescent="0.3">
      <c r="A135" s="39" t="s">
        <v>20</v>
      </c>
      <c r="B135" s="39" t="s">
        <v>275</v>
      </c>
      <c r="C135" s="39" t="s">
        <v>299</v>
      </c>
      <c r="D135" s="39" t="s">
        <v>171</v>
      </c>
      <c r="E135" s="39" t="s">
        <v>274</v>
      </c>
      <c r="F135" s="39">
        <v>39</v>
      </c>
      <c r="G135" s="40">
        <v>47.79</v>
      </c>
      <c r="H135" s="40">
        <v>1863.81</v>
      </c>
      <c r="I135" s="39" t="s">
        <v>303</v>
      </c>
      <c r="J135" s="37"/>
      <c r="K135" s="37"/>
      <c r="L135" s="37"/>
      <c r="M135" s="37"/>
      <c r="N135" s="37"/>
      <c r="O135" s="37"/>
    </row>
    <row r="136" spans="1:15" ht="15" customHeight="1" x14ac:dyDescent="0.3">
      <c r="A136" s="39" t="s">
        <v>20</v>
      </c>
      <c r="B136" s="39" t="s">
        <v>275</v>
      </c>
      <c r="C136" s="39" t="s">
        <v>44</v>
      </c>
      <c r="D136" s="39" t="s">
        <v>199</v>
      </c>
      <c r="E136" s="39" t="s">
        <v>274</v>
      </c>
      <c r="F136" s="39">
        <v>1</v>
      </c>
      <c r="G136" s="40">
        <v>373.29</v>
      </c>
      <c r="H136" s="40">
        <v>373.29</v>
      </c>
      <c r="I136" s="39" t="s">
        <v>302</v>
      </c>
      <c r="J136" s="37"/>
      <c r="K136" s="37"/>
      <c r="L136" s="37"/>
      <c r="M136" s="37"/>
      <c r="N136" s="37"/>
      <c r="O136" s="37"/>
    </row>
    <row r="137" spans="1:15" ht="15" customHeight="1" x14ac:dyDescent="0.3">
      <c r="A137" s="39" t="s">
        <v>20</v>
      </c>
      <c r="B137" s="39" t="s">
        <v>275</v>
      </c>
      <c r="C137" s="39" t="s">
        <v>44</v>
      </c>
      <c r="D137" s="39" t="s">
        <v>169</v>
      </c>
      <c r="E137" s="39" t="s">
        <v>274</v>
      </c>
      <c r="F137" s="39">
        <v>39</v>
      </c>
      <c r="G137" s="40">
        <v>64.569999999999993</v>
      </c>
      <c r="H137" s="40">
        <v>2518.23</v>
      </c>
      <c r="I137" s="39" t="s">
        <v>303</v>
      </c>
      <c r="J137" s="37"/>
      <c r="K137" s="37"/>
      <c r="L137" s="37"/>
      <c r="M137" s="37"/>
      <c r="N137" s="37"/>
      <c r="O137" s="37"/>
    </row>
    <row r="138" spans="1:15" ht="15" customHeight="1" x14ac:dyDescent="0.3">
      <c r="A138" s="39" t="s">
        <v>20</v>
      </c>
      <c r="B138" s="39" t="s">
        <v>275</v>
      </c>
      <c r="C138" s="39" t="s">
        <v>304</v>
      </c>
      <c r="D138" s="39" t="s">
        <v>167</v>
      </c>
      <c r="E138" s="39" t="s">
        <v>274</v>
      </c>
      <c r="F138" s="39">
        <v>39</v>
      </c>
      <c r="G138" s="40">
        <v>10.050000000000001</v>
      </c>
      <c r="H138" s="40">
        <v>391.95</v>
      </c>
      <c r="I138" s="39" t="s">
        <v>303</v>
      </c>
      <c r="J138" s="37"/>
      <c r="K138" s="37"/>
      <c r="L138" s="37"/>
      <c r="M138" s="37"/>
      <c r="N138" s="37"/>
      <c r="O138" s="37"/>
    </row>
    <row r="139" spans="1:15" ht="15" customHeight="1" x14ac:dyDescent="0.3">
      <c r="A139" s="39" t="s">
        <v>20</v>
      </c>
      <c r="B139" s="39" t="s">
        <v>275</v>
      </c>
      <c r="C139" s="39" t="s">
        <v>304</v>
      </c>
      <c r="D139" s="39" t="s">
        <v>168</v>
      </c>
      <c r="E139" s="39" t="s">
        <v>274</v>
      </c>
      <c r="F139" s="39">
        <v>39</v>
      </c>
      <c r="G139" s="40">
        <v>2.0699999999999998</v>
      </c>
      <c r="H139" s="40">
        <v>80.73</v>
      </c>
      <c r="I139" s="39" t="s">
        <v>303</v>
      </c>
      <c r="J139" s="37"/>
      <c r="K139" s="37"/>
      <c r="L139" s="37"/>
      <c r="M139" s="37"/>
      <c r="N139" s="37"/>
      <c r="O139" s="37"/>
    </row>
    <row r="140" spans="1:15" ht="15" customHeight="1" x14ac:dyDescent="0.3">
      <c r="A140" s="39" t="s">
        <v>20</v>
      </c>
      <c r="B140" s="39" t="s">
        <v>275</v>
      </c>
      <c r="C140" s="39" t="s">
        <v>305</v>
      </c>
      <c r="D140" s="39" t="s">
        <v>200</v>
      </c>
      <c r="E140" s="39" t="s">
        <v>274</v>
      </c>
      <c r="F140" s="39">
        <v>1</v>
      </c>
      <c r="G140" s="40">
        <v>71.78</v>
      </c>
      <c r="H140" s="40">
        <v>71.78</v>
      </c>
      <c r="I140" s="39" t="s">
        <v>302</v>
      </c>
      <c r="J140" s="37"/>
      <c r="K140" s="37"/>
      <c r="L140" s="37"/>
      <c r="M140" s="37"/>
      <c r="N140" s="37"/>
      <c r="O140" s="37"/>
    </row>
    <row r="141" spans="1:15" ht="15" customHeight="1" x14ac:dyDescent="0.3">
      <c r="A141" s="39" t="s">
        <v>20</v>
      </c>
      <c r="B141" s="39" t="s">
        <v>275</v>
      </c>
      <c r="C141" s="39" t="s">
        <v>305</v>
      </c>
      <c r="D141" s="39" t="s">
        <v>201</v>
      </c>
      <c r="E141" s="39" t="s">
        <v>274</v>
      </c>
      <c r="F141" s="39">
        <v>1</v>
      </c>
      <c r="G141" s="40">
        <v>-105.55</v>
      </c>
      <c r="H141" s="40">
        <v>-105.55</v>
      </c>
      <c r="I141" s="39" t="s">
        <v>302</v>
      </c>
      <c r="J141" s="37"/>
      <c r="K141" s="37"/>
      <c r="L141" s="37"/>
      <c r="M141" s="37"/>
      <c r="N141" s="37"/>
      <c r="O141" s="37"/>
    </row>
    <row r="142" spans="1:15" ht="15" customHeight="1" x14ac:dyDescent="0.3">
      <c r="A142" s="39" t="s">
        <v>20</v>
      </c>
      <c r="B142" s="39" t="s">
        <v>275</v>
      </c>
      <c r="C142" s="39" t="s">
        <v>305</v>
      </c>
      <c r="D142" s="39" t="s">
        <v>202</v>
      </c>
      <c r="E142" s="39" t="s">
        <v>274</v>
      </c>
      <c r="F142" s="39">
        <v>1</v>
      </c>
      <c r="G142" s="40">
        <v>111.85</v>
      </c>
      <c r="H142" s="40">
        <v>111.85</v>
      </c>
      <c r="I142" s="39" t="s">
        <v>302</v>
      </c>
      <c r="J142" s="37"/>
      <c r="K142" s="37"/>
      <c r="L142" s="37"/>
      <c r="M142" s="37"/>
      <c r="N142" s="37"/>
      <c r="O142" s="37"/>
    </row>
    <row r="143" spans="1:15" ht="15" customHeight="1" x14ac:dyDescent="0.3">
      <c r="A143" s="39" t="s">
        <v>20</v>
      </c>
      <c r="B143" s="39" t="s">
        <v>275</v>
      </c>
      <c r="C143" s="39" t="s">
        <v>306</v>
      </c>
      <c r="D143" s="39" t="s">
        <v>198</v>
      </c>
      <c r="E143" s="39" t="s">
        <v>274</v>
      </c>
      <c r="F143" s="39">
        <v>42</v>
      </c>
      <c r="G143" s="40">
        <v>30</v>
      </c>
      <c r="H143" s="40">
        <f>F143*G143</f>
        <v>1260</v>
      </c>
      <c r="I143" s="39" t="s">
        <v>303</v>
      </c>
      <c r="J143" s="37"/>
      <c r="K143" s="37"/>
      <c r="L143" s="37"/>
      <c r="M143" s="37"/>
      <c r="N143" s="37"/>
      <c r="O143" s="37"/>
    </row>
    <row r="144" spans="1:15" ht="15" customHeight="1" x14ac:dyDescent="0.3">
      <c r="A144" s="39" t="s">
        <v>20</v>
      </c>
      <c r="B144" s="39" t="s">
        <v>275</v>
      </c>
      <c r="C144" s="39" t="s">
        <v>328</v>
      </c>
      <c r="D144" s="39" t="s">
        <v>329</v>
      </c>
      <c r="E144" s="39" t="s">
        <v>274</v>
      </c>
      <c r="F144" s="39">
        <v>4</v>
      </c>
      <c r="G144" s="40">
        <v>50</v>
      </c>
      <c r="H144" s="40">
        <f>F144*G144</f>
        <v>200</v>
      </c>
      <c r="I144" s="39" t="s">
        <v>330</v>
      </c>
      <c r="J144" s="37"/>
      <c r="K144" s="37"/>
      <c r="L144" s="37"/>
      <c r="M144" s="37"/>
      <c r="N144" s="37"/>
      <c r="O144" s="37"/>
    </row>
    <row r="145" spans="1:15" ht="15" customHeight="1" x14ac:dyDescent="0.3">
      <c r="A145" s="39" t="s">
        <v>20</v>
      </c>
      <c r="B145" s="39" t="s">
        <v>275</v>
      </c>
      <c r="C145" s="39" t="s">
        <v>307</v>
      </c>
      <c r="D145" s="39" t="s">
        <v>203</v>
      </c>
      <c r="E145" s="39" t="s">
        <v>274</v>
      </c>
      <c r="F145" s="39">
        <v>1</v>
      </c>
      <c r="G145" s="40">
        <v>476.27</v>
      </c>
      <c r="H145" s="40">
        <f>F145*G145</f>
        <v>476.27</v>
      </c>
      <c r="I145" s="39" t="s">
        <v>331</v>
      </c>
      <c r="J145" s="37"/>
      <c r="K145" s="37"/>
      <c r="L145" s="37"/>
      <c r="M145" s="37"/>
      <c r="N145" s="37"/>
      <c r="O145" s="37"/>
    </row>
    <row r="146" spans="1:15" ht="15" customHeight="1" x14ac:dyDescent="0.3">
      <c r="A146" s="39" t="s">
        <v>20</v>
      </c>
      <c r="B146" s="39" t="s">
        <v>275</v>
      </c>
      <c r="C146" s="39" t="s">
        <v>299</v>
      </c>
      <c r="D146" s="39" t="s">
        <v>197</v>
      </c>
      <c r="E146" s="39" t="s">
        <v>277</v>
      </c>
      <c r="F146" s="39">
        <v>1</v>
      </c>
      <c r="G146" s="40">
        <v>5015.22</v>
      </c>
      <c r="H146" s="40">
        <f>F146*G146</f>
        <v>5015.22</v>
      </c>
      <c r="I146" s="39" t="s">
        <v>309</v>
      </c>
      <c r="J146" s="37"/>
      <c r="K146" s="37"/>
      <c r="L146" s="37"/>
      <c r="M146" s="37"/>
      <c r="N146" s="37"/>
      <c r="O146" s="37"/>
    </row>
    <row r="147" spans="1:15" ht="15" customHeight="1" x14ac:dyDescent="0.3">
      <c r="A147" s="39" t="s">
        <v>20</v>
      </c>
      <c r="B147" s="39" t="s">
        <v>275</v>
      </c>
      <c r="C147" s="39" t="s">
        <v>299</v>
      </c>
      <c r="D147" s="39" t="s">
        <v>301</v>
      </c>
      <c r="E147" s="39" t="s">
        <v>277</v>
      </c>
      <c r="F147" s="39">
        <v>1</v>
      </c>
      <c r="G147" s="40">
        <v>628.71</v>
      </c>
      <c r="H147" s="40">
        <v>628.71</v>
      </c>
      <c r="I147" s="39" t="s">
        <v>310</v>
      </c>
      <c r="J147" s="37"/>
      <c r="K147" s="37"/>
      <c r="L147" s="37"/>
      <c r="M147" s="37"/>
      <c r="N147" s="37"/>
      <c r="O147" s="37"/>
    </row>
    <row r="148" spans="1:15" ht="15" customHeight="1" x14ac:dyDescent="0.3">
      <c r="A148" s="39" t="s">
        <v>20</v>
      </c>
      <c r="B148" s="39" t="s">
        <v>275</v>
      </c>
      <c r="C148" s="39" t="s">
        <v>299</v>
      </c>
      <c r="D148" s="39" t="s">
        <v>170</v>
      </c>
      <c r="E148" s="39" t="s">
        <v>277</v>
      </c>
      <c r="F148" s="39">
        <v>9</v>
      </c>
      <c r="G148" s="40">
        <v>28.31</v>
      </c>
      <c r="H148" s="40">
        <f>F148*G148</f>
        <v>254.79</v>
      </c>
      <c r="I148" s="39" t="s">
        <v>303</v>
      </c>
      <c r="J148" s="37"/>
      <c r="K148" s="37"/>
      <c r="L148" s="37"/>
      <c r="M148" s="37"/>
      <c r="N148" s="37"/>
      <c r="O148" s="37"/>
    </row>
    <row r="149" spans="1:15" ht="15" customHeight="1" x14ac:dyDescent="0.3">
      <c r="A149" s="39" t="s">
        <v>20</v>
      </c>
      <c r="B149" s="39" t="s">
        <v>275</v>
      </c>
      <c r="C149" s="39" t="s">
        <v>299</v>
      </c>
      <c r="D149" s="39" t="s">
        <v>171</v>
      </c>
      <c r="E149" s="39" t="s">
        <v>277</v>
      </c>
      <c r="F149" s="39">
        <v>9</v>
      </c>
      <c r="G149" s="40">
        <v>47.79</v>
      </c>
      <c r="H149" s="40">
        <f>F149*G149</f>
        <v>430.11</v>
      </c>
      <c r="I149" s="39" t="s">
        <v>303</v>
      </c>
      <c r="J149" s="37"/>
      <c r="K149" s="37"/>
      <c r="L149" s="37"/>
      <c r="M149" s="37"/>
      <c r="N149" s="37"/>
      <c r="O149" s="37"/>
    </row>
    <row r="150" spans="1:15" ht="15" customHeight="1" x14ac:dyDescent="0.3">
      <c r="A150" s="39" t="s">
        <v>20</v>
      </c>
      <c r="B150" s="39" t="s">
        <v>275</v>
      </c>
      <c r="C150" s="39" t="s">
        <v>44</v>
      </c>
      <c r="D150" s="39" t="s">
        <v>199</v>
      </c>
      <c r="E150" s="39" t="s">
        <v>277</v>
      </c>
      <c r="F150" s="39">
        <v>1</v>
      </c>
      <c r="G150" s="40">
        <v>86.14</v>
      </c>
      <c r="H150" s="40">
        <v>86.14</v>
      </c>
      <c r="I150" s="39" t="s">
        <v>310</v>
      </c>
      <c r="J150" s="37"/>
      <c r="K150" s="37"/>
      <c r="L150" s="37"/>
      <c r="M150" s="37"/>
      <c r="N150" s="37"/>
      <c r="O150" s="37"/>
    </row>
    <row r="151" spans="1:15" ht="15" customHeight="1" x14ac:dyDescent="0.3">
      <c r="A151" s="39" t="s">
        <v>20</v>
      </c>
      <c r="B151" s="39" t="s">
        <v>275</v>
      </c>
      <c r="C151" s="39" t="s">
        <v>44</v>
      </c>
      <c r="D151" s="39" t="s">
        <v>169</v>
      </c>
      <c r="E151" s="39" t="s">
        <v>277</v>
      </c>
      <c r="F151" s="39">
        <v>9</v>
      </c>
      <c r="G151" s="40">
        <v>64.569999999999993</v>
      </c>
      <c r="H151" s="40">
        <f>F151*G151</f>
        <v>581.12999999999988</v>
      </c>
      <c r="I151" s="39" t="s">
        <v>303</v>
      </c>
      <c r="J151" s="37"/>
      <c r="K151" s="37"/>
      <c r="L151" s="37"/>
      <c r="M151" s="37"/>
      <c r="N151" s="37"/>
      <c r="O151" s="37"/>
    </row>
    <row r="152" spans="1:15" ht="15" customHeight="1" x14ac:dyDescent="0.3">
      <c r="A152" s="39" t="s">
        <v>20</v>
      </c>
      <c r="B152" s="39" t="s">
        <v>275</v>
      </c>
      <c r="C152" s="39" t="s">
        <v>304</v>
      </c>
      <c r="D152" s="39" t="s">
        <v>167</v>
      </c>
      <c r="E152" s="39" t="s">
        <v>277</v>
      </c>
      <c r="F152" s="39">
        <v>9</v>
      </c>
      <c r="G152" s="40">
        <v>10.050000000000001</v>
      </c>
      <c r="H152" s="40">
        <f>F152*G152</f>
        <v>90.45</v>
      </c>
      <c r="I152" s="39" t="s">
        <v>303</v>
      </c>
      <c r="J152" s="37"/>
      <c r="K152" s="37"/>
      <c r="L152" s="37"/>
      <c r="M152" s="37"/>
      <c r="N152" s="37"/>
      <c r="O152" s="37"/>
    </row>
    <row r="153" spans="1:15" ht="15" customHeight="1" x14ac:dyDescent="0.3">
      <c r="A153" s="39" t="s">
        <v>20</v>
      </c>
      <c r="B153" s="39" t="s">
        <v>275</v>
      </c>
      <c r="C153" s="39" t="s">
        <v>304</v>
      </c>
      <c r="D153" s="39" t="s">
        <v>168</v>
      </c>
      <c r="E153" s="39" t="s">
        <v>277</v>
      </c>
      <c r="F153" s="39">
        <v>9</v>
      </c>
      <c r="G153" s="40">
        <v>2.0699999999999998</v>
      </c>
      <c r="H153" s="40">
        <f>F153*G153</f>
        <v>18.63</v>
      </c>
      <c r="I153" s="39" t="s">
        <v>303</v>
      </c>
      <c r="J153" s="37"/>
      <c r="K153" s="37"/>
      <c r="L153" s="37"/>
      <c r="M153" s="37"/>
      <c r="N153" s="37"/>
      <c r="O153" s="37"/>
    </row>
    <row r="154" spans="1:15" ht="15" customHeight="1" x14ac:dyDescent="0.3">
      <c r="A154" s="39" t="s">
        <v>20</v>
      </c>
      <c r="B154" s="39" t="s">
        <v>275</v>
      </c>
      <c r="C154" s="39" t="s">
        <v>305</v>
      </c>
      <c r="D154" s="39" t="s">
        <v>200</v>
      </c>
      <c r="E154" s="39" t="s">
        <v>277</v>
      </c>
      <c r="F154" s="39">
        <v>1</v>
      </c>
      <c r="G154" s="40">
        <v>16.559999999999999</v>
      </c>
      <c r="H154" s="40">
        <v>16.559999999999999</v>
      </c>
      <c r="I154" s="39" t="s">
        <v>310</v>
      </c>
      <c r="J154" s="37"/>
      <c r="K154" s="37"/>
      <c r="L154" s="37"/>
      <c r="M154" s="37"/>
      <c r="N154" s="37"/>
      <c r="O154" s="37"/>
    </row>
    <row r="155" spans="1:15" ht="15" customHeight="1" x14ac:dyDescent="0.3">
      <c r="A155" s="39" t="s">
        <v>20</v>
      </c>
      <c r="B155" s="39" t="s">
        <v>275</v>
      </c>
      <c r="C155" s="39" t="s">
        <v>305</v>
      </c>
      <c r="D155" s="39" t="s">
        <v>201</v>
      </c>
      <c r="E155" s="39" t="s">
        <v>277</v>
      </c>
      <c r="F155" s="39">
        <v>1</v>
      </c>
      <c r="G155" s="40">
        <v>-24.36</v>
      </c>
      <c r="H155" s="40">
        <v>-24.36</v>
      </c>
      <c r="I155" s="39" t="s">
        <v>310</v>
      </c>
      <c r="J155" s="37"/>
      <c r="K155" s="37"/>
      <c r="L155" s="37"/>
      <c r="M155" s="37"/>
      <c r="N155" s="37"/>
      <c r="O155" s="37"/>
    </row>
    <row r="156" spans="1:15" ht="15" customHeight="1" x14ac:dyDescent="0.3">
      <c r="A156" s="39" t="s">
        <v>20</v>
      </c>
      <c r="B156" s="39" t="s">
        <v>275</v>
      </c>
      <c r="C156" s="39" t="s">
        <v>305</v>
      </c>
      <c r="D156" s="39" t="s">
        <v>202</v>
      </c>
      <c r="E156" s="39" t="s">
        <v>277</v>
      </c>
      <c r="F156" s="39">
        <v>1</v>
      </c>
      <c r="G156" s="40">
        <v>25.81</v>
      </c>
      <c r="H156" s="40">
        <v>25.81</v>
      </c>
      <c r="I156" s="39" t="s">
        <v>310</v>
      </c>
      <c r="J156" s="37"/>
      <c r="K156" s="37"/>
      <c r="L156" s="37"/>
      <c r="M156" s="37"/>
      <c r="N156" s="37"/>
      <c r="O156" s="37"/>
    </row>
    <row r="157" spans="1:15" ht="15" customHeight="1" x14ac:dyDescent="0.3">
      <c r="A157" s="39" t="s">
        <v>20</v>
      </c>
      <c r="B157" s="39" t="s">
        <v>275</v>
      </c>
      <c r="C157" s="39" t="s">
        <v>306</v>
      </c>
      <c r="D157" s="39" t="s">
        <v>198</v>
      </c>
      <c r="E157" s="39" t="s">
        <v>277</v>
      </c>
      <c r="F157" s="39">
        <v>9</v>
      </c>
      <c r="G157" s="40">
        <v>30</v>
      </c>
      <c r="H157" s="40">
        <f>F157*G157</f>
        <v>270</v>
      </c>
      <c r="I157" s="39" t="s">
        <v>303</v>
      </c>
      <c r="J157" s="37"/>
      <c r="K157" s="37"/>
      <c r="L157" s="37"/>
      <c r="M157" s="37"/>
      <c r="N157" s="37"/>
      <c r="O157" s="37"/>
    </row>
    <row r="158" spans="1:15" ht="15" customHeight="1" x14ac:dyDescent="0.3">
      <c r="A158" s="39" t="s">
        <v>20</v>
      </c>
      <c r="B158" s="39" t="s">
        <v>275</v>
      </c>
      <c r="C158" s="39" t="s">
        <v>299</v>
      </c>
      <c r="D158" s="39" t="s">
        <v>197</v>
      </c>
      <c r="E158" s="39" t="s">
        <v>279</v>
      </c>
      <c r="F158" s="39">
        <v>1</v>
      </c>
      <c r="G158" s="40">
        <v>22457.37</v>
      </c>
      <c r="H158" s="40">
        <f>F158*G158</f>
        <v>22457.37</v>
      </c>
      <c r="I158" s="39" t="s">
        <v>311</v>
      </c>
      <c r="J158" s="37"/>
      <c r="K158" s="37"/>
      <c r="L158" s="37"/>
      <c r="M158" s="37"/>
      <c r="N158" s="37"/>
      <c r="O158" s="37"/>
    </row>
    <row r="159" spans="1:15" ht="15" customHeight="1" x14ac:dyDescent="0.3">
      <c r="A159" s="39" t="s">
        <v>20</v>
      </c>
      <c r="B159" s="39" t="s">
        <v>275</v>
      </c>
      <c r="C159" s="39" t="s">
        <v>299</v>
      </c>
      <c r="D159" s="39" t="s">
        <v>332</v>
      </c>
      <c r="E159" s="39" t="s">
        <v>279</v>
      </c>
      <c r="F159" s="39">
        <v>1</v>
      </c>
      <c r="G159" s="40">
        <v>8440.1299999999992</v>
      </c>
      <c r="H159" s="40">
        <f>F159*G159</f>
        <v>8440.1299999999992</v>
      </c>
      <c r="I159" s="39" t="s">
        <v>333</v>
      </c>
      <c r="J159" s="37"/>
      <c r="K159" s="37"/>
      <c r="L159" s="37"/>
      <c r="M159" s="37"/>
      <c r="N159" s="37"/>
      <c r="O159" s="37"/>
    </row>
    <row r="160" spans="1:15" ht="15" customHeight="1" x14ac:dyDescent="0.3">
      <c r="A160" s="39" t="s">
        <v>20</v>
      </c>
      <c r="B160" s="39" t="s">
        <v>275</v>
      </c>
      <c r="C160" s="39" t="s">
        <v>299</v>
      </c>
      <c r="D160" s="39" t="s">
        <v>301</v>
      </c>
      <c r="E160" s="39" t="s">
        <v>279</v>
      </c>
      <c r="F160" s="39">
        <v>1</v>
      </c>
      <c r="G160" s="40">
        <v>489</v>
      </c>
      <c r="H160" s="40">
        <v>489</v>
      </c>
      <c r="I160" s="39" t="s">
        <v>312</v>
      </c>
      <c r="J160" s="37"/>
      <c r="K160" s="37"/>
      <c r="L160" s="37"/>
      <c r="M160" s="37"/>
      <c r="N160" s="37"/>
      <c r="O160" s="37"/>
    </row>
    <row r="161" spans="1:15" ht="15" customHeight="1" x14ac:dyDescent="0.3">
      <c r="A161" s="39" t="s">
        <v>20</v>
      </c>
      <c r="B161" s="39" t="s">
        <v>275</v>
      </c>
      <c r="C161" s="39" t="s">
        <v>299</v>
      </c>
      <c r="D161" s="39" t="s">
        <v>170</v>
      </c>
      <c r="E161" s="39" t="s">
        <v>279</v>
      </c>
      <c r="F161" s="39">
        <v>7</v>
      </c>
      <c r="G161" s="40">
        <v>28.31</v>
      </c>
      <c r="H161" s="40">
        <f>F161*G161</f>
        <v>198.17</v>
      </c>
      <c r="I161" s="39" t="s">
        <v>303</v>
      </c>
      <c r="J161" s="37"/>
      <c r="K161" s="37"/>
      <c r="L161" s="37"/>
      <c r="M161" s="37"/>
      <c r="N161" s="37"/>
      <c r="O161" s="37"/>
    </row>
    <row r="162" spans="1:15" ht="15" customHeight="1" x14ac:dyDescent="0.3">
      <c r="A162" s="39" t="s">
        <v>20</v>
      </c>
      <c r="B162" s="39" t="s">
        <v>275</v>
      </c>
      <c r="C162" s="39" t="s">
        <v>299</v>
      </c>
      <c r="D162" s="39" t="s">
        <v>171</v>
      </c>
      <c r="E162" s="39" t="s">
        <v>279</v>
      </c>
      <c r="F162" s="39">
        <v>7</v>
      </c>
      <c r="G162" s="40">
        <v>47.79</v>
      </c>
      <c r="H162" s="40">
        <f>F162*G162</f>
        <v>334.53</v>
      </c>
      <c r="I162" s="39" t="s">
        <v>303</v>
      </c>
      <c r="J162" s="37"/>
      <c r="K162" s="37"/>
      <c r="L162" s="37"/>
      <c r="M162" s="37"/>
      <c r="N162" s="37"/>
      <c r="O162" s="37"/>
    </row>
    <row r="163" spans="1:15" ht="15" customHeight="1" x14ac:dyDescent="0.3">
      <c r="A163" s="39" t="s">
        <v>20</v>
      </c>
      <c r="B163" s="39" t="s">
        <v>275</v>
      </c>
      <c r="C163" s="39" t="s">
        <v>44</v>
      </c>
      <c r="D163" s="39" t="s">
        <v>199</v>
      </c>
      <c r="E163" s="39" t="s">
        <v>279</v>
      </c>
      <c r="F163" s="39">
        <v>1</v>
      </c>
      <c r="G163" s="40">
        <v>67</v>
      </c>
      <c r="H163" s="40">
        <v>67</v>
      </c>
      <c r="I163" s="39" t="s">
        <v>312</v>
      </c>
      <c r="J163" s="37"/>
      <c r="K163" s="37"/>
      <c r="L163" s="37"/>
      <c r="M163" s="37"/>
      <c r="N163" s="37"/>
      <c r="O163" s="37"/>
    </row>
    <row r="164" spans="1:15" ht="15" customHeight="1" x14ac:dyDescent="0.3">
      <c r="A164" s="39" t="s">
        <v>20</v>
      </c>
      <c r="B164" s="39" t="s">
        <v>275</v>
      </c>
      <c r="C164" s="39" t="s">
        <v>44</v>
      </c>
      <c r="D164" s="39" t="s">
        <v>169</v>
      </c>
      <c r="E164" s="39" t="s">
        <v>279</v>
      </c>
      <c r="F164" s="39">
        <v>7</v>
      </c>
      <c r="G164" s="40">
        <v>64.569999999999993</v>
      </c>
      <c r="H164" s="40">
        <f>F164*G164</f>
        <v>451.98999999999995</v>
      </c>
      <c r="I164" s="39" t="s">
        <v>303</v>
      </c>
      <c r="J164" s="37"/>
      <c r="K164" s="37"/>
      <c r="L164" s="37"/>
      <c r="M164" s="37"/>
      <c r="N164" s="37"/>
      <c r="O164" s="37"/>
    </row>
    <row r="165" spans="1:15" ht="15" customHeight="1" x14ac:dyDescent="0.3">
      <c r="A165" s="39" t="s">
        <v>20</v>
      </c>
      <c r="B165" s="39" t="s">
        <v>275</v>
      </c>
      <c r="C165" s="39" t="s">
        <v>304</v>
      </c>
      <c r="D165" s="39" t="s">
        <v>167</v>
      </c>
      <c r="E165" s="39" t="s">
        <v>279</v>
      </c>
      <c r="F165" s="39">
        <v>7</v>
      </c>
      <c r="G165" s="40">
        <v>10.050000000000001</v>
      </c>
      <c r="H165" s="40">
        <f>F165*G165</f>
        <v>70.350000000000009</v>
      </c>
      <c r="I165" s="39" t="s">
        <v>303</v>
      </c>
      <c r="J165" s="37"/>
      <c r="K165" s="37"/>
      <c r="L165" s="37"/>
      <c r="M165" s="37"/>
      <c r="N165" s="37"/>
      <c r="O165" s="37"/>
    </row>
    <row r="166" spans="1:15" ht="15" customHeight="1" x14ac:dyDescent="0.3">
      <c r="A166" s="39" t="s">
        <v>20</v>
      </c>
      <c r="B166" s="39" t="s">
        <v>275</v>
      </c>
      <c r="C166" s="39" t="s">
        <v>304</v>
      </c>
      <c r="D166" s="39" t="s">
        <v>168</v>
      </c>
      <c r="E166" s="39" t="s">
        <v>279</v>
      </c>
      <c r="F166" s="39">
        <v>7</v>
      </c>
      <c r="G166" s="40">
        <v>2.0699999999999998</v>
      </c>
      <c r="H166" s="40">
        <f>F166*G166</f>
        <v>14.489999999999998</v>
      </c>
      <c r="I166" s="39" t="s">
        <v>303</v>
      </c>
      <c r="J166" s="37"/>
      <c r="K166" s="37"/>
      <c r="L166" s="37"/>
      <c r="M166" s="37"/>
      <c r="N166" s="37"/>
      <c r="O166" s="37"/>
    </row>
    <row r="167" spans="1:15" ht="15" customHeight="1" x14ac:dyDescent="0.3">
      <c r="A167" s="39" t="s">
        <v>20</v>
      </c>
      <c r="B167" s="39" t="s">
        <v>275</v>
      </c>
      <c r="C167" s="39" t="s">
        <v>305</v>
      </c>
      <c r="D167" s="39" t="s">
        <v>200</v>
      </c>
      <c r="E167" s="39" t="s">
        <v>279</v>
      </c>
      <c r="F167" s="39">
        <v>1</v>
      </c>
      <c r="G167" s="40">
        <v>12.88</v>
      </c>
      <c r="H167" s="40">
        <v>12.88</v>
      </c>
      <c r="I167" s="39" t="s">
        <v>312</v>
      </c>
      <c r="J167" s="37"/>
      <c r="K167" s="37"/>
      <c r="L167" s="37"/>
      <c r="M167" s="37"/>
      <c r="N167" s="37"/>
      <c r="O167" s="37"/>
    </row>
    <row r="168" spans="1:15" ht="15" customHeight="1" x14ac:dyDescent="0.3">
      <c r="A168" s="39" t="s">
        <v>20</v>
      </c>
      <c r="B168" s="39" t="s">
        <v>275</v>
      </c>
      <c r="C168" s="39" t="s">
        <v>305</v>
      </c>
      <c r="D168" s="39" t="s">
        <v>201</v>
      </c>
      <c r="E168" s="39" t="s">
        <v>279</v>
      </c>
      <c r="F168" s="39">
        <v>1</v>
      </c>
      <c r="G168" s="40">
        <v>-18.95</v>
      </c>
      <c r="H168" s="40">
        <v>-18.95</v>
      </c>
      <c r="I168" s="39" t="s">
        <v>312</v>
      </c>
      <c r="J168" s="37"/>
      <c r="K168" s="37"/>
      <c r="L168" s="37"/>
      <c r="M168" s="37"/>
      <c r="N168" s="37"/>
      <c r="O168" s="37"/>
    </row>
    <row r="169" spans="1:15" ht="15" customHeight="1" x14ac:dyDescent="0.3">
      <c r="A169" s="39" t="s">
        <v>20</v>
      </c>
      <c r="B169" s="39" t="s">
        <v>275</v>
      </c>
      <c r="C169" s="39" t="s">
        <v>305</v>
      </c>
      <c r="D169" s="39" t="s">
        <v>202</v>
      </c>
      <c r="E169" s="39" t="s">
        <v>279</v>
      </c>
      <c r="F169" s="39">
        <v>1</v>
      </c>
      <c r="G169" s="40">
        <v>20.07</v>
      </c>
      <c r="H169" s="40">
        <v>20.07</v>
      </c>
      <c r="I169" s="39" t="s">
        <v>312</v>
      </c>
      <c r="J169" s="37"/>
      <c r="K169" s="37"/>
      <c r="L169" s="37"/>
      <c r="M169" s="37"/>
      <c r="N169" s="37"/>
      <c r="O169" s="37"/>
    </row>
    <row r="170" spans="1:15" ht="15" customHeight="1" x14ac:dyDescent="0.3">
      <c r="A170" s="39" t="s">
        <v>20</v>
      </c>
      <c r="B170" s="39" t="s">
        <v>275</v>
      </c>
      <c r="C170" s="39" t="s">
        <v>306</v>
      </c>
      <c r="D170" s="39" t="s">
        <v>198</v>
      </c>
      <c r="E170" s="39" t="s">
        <v>279</v>
      </c>
      <c r="F170" s="39">
        <v>7</v>
      </c>
      <c r="G170" s="40">
        <v>30</v>
      </c>
      <c r="H170" s="40">
        <f>F170*G170</f>
        <v>210</v>
      </c>
      <c r="I170" s="39" t="s">
        <v>303</v>
      </c>
      <c r="J170" s="37"/>
      <c r="K170" s="37"/>
      <c r="L170" s="37"/>
      <c r="M170" s="37"/>
      <c r="N170" s="37"/>
      <c r="O170" s="37"/>
    </row>
    <row r="171" spans="1:15" ht="15" customHeight="1" x14ac:dyDescent="0.3">
      <c r="A171" s="39" t="s">
        <v>20</v>
      </c>
      <c r="B171" s="39" t="s">
        <v>275</v>
      </c>
      <c r="C171" s="39" t="s">
        <v>328</v>
      </c>
      <c r="D171" s="39" t="s">
        <v>329</v>
      </c>
      <c r="E171" s="39" t="s">
        <v>279</v>
      </c>
      <c r="F171" s="39">
        <v>1</v>
      </c>
      <c r="G171" s="40">
        <v>50</v>
      </c>
      <c r="H171" s="40">
        <f>F171*G171</f>
        <v>50</v>
      </c>
      <c r="I171" s="39" t="s">
        <v>330</v>
      </c>
      <c r="J171" s="37"/>
      <c r="K171" s="37"/>
      <c r="L171" s="37"/>
      <c r="M171" s="37"/>
      <c r="N171" s="37"/>
      <c r="O171" s="37"/>
    </row>
    <row r="172" spans="1:15" ht="15" customHeight="1" x14ac:dyDescent="0.3">
      <c r="A172" s="39" t="s">
        <v>20</v>
      </c>
      <c r="B172" s="39" t="s">
        <v>275</v>
      </c>
      <c r="C172" s="39" t="s">
        <v>307</v>
      </c>
      <c r="D172" s="39" t="s">
        <v>203</v>
      </c>
      <c r="E172" s="39" t="s">
        <v>279</v>
      </c>
      <c r="F172" s="39">
        <v>1</v>
      </c>
      <c r="G172" s="40">
        <v>1265.26</v>
      </c>
      <c r="H172" s="40">
        <f>F172*G172</f>
        <v>1265.26</v>
      </c>
      <c r="I172" s="39" t="s">
        <v>313</v>
      </c>
      <c r="J172" s="37"/>
      <c r="K172" s="37"/>
      <c r="L172" s="37"/>
      <c r="M172" s="37"/>
      <c r="N172" s="37"/>
      <c r="O172" s="37"/>
    </row>
    <row r="173" spans="1:15" ht="15" customHeight="1" x14ac:dyDescent="0.3">
      <c r="A173" s="39" t="s">
        <v>20</v>
      </c>
      <c r="B173" s="39" t="s">
        <v>275</v>
      </c>
      <c r="C173" s="39" t="s">
        <v>299</v>
      </c>
      <c r="D173" s="39" t="s">
        <v>197</v>
      </c>
      <c r="E173" s="39" t="s">
        <v>280</v>
      </c>
      <c r="F173" s="39">
        <v>1</v>
      </c>
      <c r="G173" s="40">
        <v>23583.3694666667</v>
      </c>
      <c r="H173" s="40">
        <f>F173*G173</f>
        <v>23583.3694666667</v>
      </c>
      <c r="I173" s="39" t="s">
        <v>334</v>
      </c>
      <c r="J173" s="37"/>
      <c r="K173" s="37"/>
      <c r="L173" s="37"/>
      <c r="M173" s="37"/>
      <c r="N173" s="37"/>
      <c r="O173" s="37"/>
    </row>
    <row r="174" spans="1:15" ht="15" customHeight="1" x14ac:dyDescent="0.3">
      <c r="A174" s="39" t="s">
        <v>20</v>
      </c>
      <c r="B174" s="39" t="s">
        <v>275</v>
      </c>
      <c r="C174" s="39" t="s">
        <v>299</v>
      </c>
      <c r="D174" s="39" t="s">
        <v>301</v>
      </c>
      <c r="E174" s="39" t="s">
        <v>280</v>
      </c>
      <c r="F174" s="39">
        <v>1</v>
      </c>
      <c r="G174" s="40">
        <v>768.43</v>
      </c>
      <c r="H174" s="40">
        <v>768.43</v>
      </c>
      <c r="I174" s="39" t="s">
        <v>315</v>
      </c>
      <c r="J174" s="37"/>
      <c r="K174" s="37"/>
      <c r="L174" s="37"/>
      <c r="M174" s="37"/>
      <c r="N174" s="37"/>
      <c r="O174" s="37"/>
    </row>
    <row r="175" spans="1:15" ht="15" customHeight="1" x14ac:dyDescent="0.3">
      <c r="A175" s="39" t="s">
        <v>20</v>
      </c>
      <c r="B175" s="39" t="s">
        <v>275</v>
      </c>
      <c r="C175" s="39" t="s">
        <v>299</v>
      </c>
      <c r="D175" s="39" t="s">
        <v>170</v>
      </c>
      <c r="E175" s="39" t="s">
        <v>280</v>
      </c>
      <c r="F175" s="39">
        <v>11</v>
      </c>
      <c r="G175" s="40">
        <v>28.31</v>
      </c>
      <c r="H175" s="40">
        <f>F175*G175</f>
        <v>311.40999999999997</v>
      </c>
      <c r="I175" s="39" t="s">
        <v>303</v>
      </c>
      <c r="J175" s="37"/>
      <c r="K175" s="37"/>
      <c r="L175" s="37"/>
      <c r="M175" s="37"/>
      <c r="N175" s="37"/>
      <c r="O175" s="37"/>
    </row>
    <row r="176" spans="1:15" ht="15" customHeight="1" x14ac:dyDescent="0.3">
      <c r="A176" s="39" t="s">
        <v>20</v>
      </c>
      <c r="B176" s="39" t="s">
        <v>275</v>
      </c>
      <c r="C176" s="39" t="s">
        <v>299</v>
      </c>
      <c r="D176" s="39" t="s">
        <v>171</v>
      </c>
      <c r="E176" s="39" t="s">
        <v>280</v>
      </c>
      <c r="F176" s="39">
        <v>11</v>
      </c>
      <c r="G176" s="40">
        <v>47.79</v>
      </c>
      <c r="H176" s="40">
        <f>F176*G176</f>
        <v>525.68999999999994</v>
      </c>
      <c r="I176" s="39" t="s">
        <v>303</v>
      </c>
      <c r="J176" s="37"/>
      <c r="K176" s="37"/>
      <c r="L176" s="37"/>
      <c r="M176" s="37"/>
      <c r="N176" s="37"/>
      <c r="O176" s="37"/>
    </row>
    <row r="177" spans="1:15" ht="15" customHeight="1" x14ac:dyDescent="0.3">
      <c r="A177" s="39" t="s">
        <v>20</v>
      </c>
      <c r="B177" s="39" t="s">
        <v>275</v>
      </c>
      <c r="C177" s="39" t="s">
        <v>44</v>
      </c>
      <c r="D177" s="39" t="s">
        <v>199</v>
      </c>
      <c r="E177" s="39" t="s">
        <v>280</v>
      </c>
      <c r="F177" s="39">
        <v>1</v>
      </c>
      <c r="G177" s="40">
        <v>105.29</v>
      </c>
      <c r="H177" s="40">
        <v>105.29</v>
      </c>
      <c r="I177" s="39" t="s">
        <v>315</v>
      </c>
      <c r="J177" s="37"/>
      <c r="K177" s="37"/>
      <c r="L177" s="37"/>
      <c r="M177" s="37"/>
      <c r="N177" s="37"/>
      <c r="O177" s="37"/>
    </row>
    <row r="178" spans="1:15" ht="15" customHeight="1" x14ac:dyDescent="0.3">
      <c r="A178" s="39" t="s">
        <v>20</v>
      </c>
      <c r="B178" s="39" t="s">
        <v>275</v>
      </c>
      <c r="C178" s="39" t="s">
        <v>44</v>
      </c>
      <c r="D178" s="39" t="s">
        <v>169</v>
      </c>
      <c r="E178" s="39" t="s">
        <v>280</v>
      </c>
      <c r="F178" s="39">
        <v>11</v>
      </c>
      <c r="G178" s="40">
        <v>64.569999999999993</v>
      </c>
      <c r="H178" s="40">
        <f>F178*G178</f>
        <v>710.27</v>
      </c>
      <c r="I178" s="39" t="s">
        <v>303</v>
      </c>
      <c r="J178" s="37"/>
      <c r="K178" s="37"/>
      <c r="L178" s="37"/>
      <c r="M178" s="37"/>
      <c r="N178" s="37"/>
      <c r="O178" s="37"/>
    </row>
    <row r="179" spans="1:15" ht="15" customHeight="1" x14ac:dyDescent="0.3">
      <c r="A179" s="39" t="s">
        <v>20</v>
      </c>
      <c r="B179" s="39" t="s">
        <v>275</v>
      </c>
      <c r="C179" s="39" t="s">
        <v>304</v>
      </c>
      <c r="D179" s="39" t="s">
        <v>167</v>
      </c>
      <c r="E179" s="39" t="s">
        <v>280</v>
      </c>
      <c r="F179" s="39">
        <v>11</v>
      </c>
      <c r="G179" s="40">
        <v>10.050000000000001</v>
      </c>
      <c r="H179" s="40">
        <f>F179*G179</f>
        <v>110.55000000000001</v>
      </c>
      <c r="I179" s="39" t="s">
        <v>303</v>
      </c>
      <c r="J179" s="37"/>
      <c r="K179" s="37"/>
      <c r="L179" s="37"/>
      <c r="M179" s="37"/>
      <c r="N179" s="37"/>
      <c r="O179" s="37"/>
    </row>
    <row r="180" spans="1:15" ht="15" customHeight="1" x14ac:dyDescent="0.3">
      <c r="A180" s="39" t="s">
        <v>20</v>
      </c>
      <c r="B180" s="39" t="s">
        <v>275</v>
      </c>
      <c r="C180" s="39" t="s">
        <v>304</v>
      </c>
      <c r="D180" s="39" t="s">
        <v>168</v>
      </c>
      <c r="E180" s="39" t="s">
        <v>280</v>
      </c>
      <c r="F180" s="39">
        <v>11</v>
      </c>
      <c r="G180" s="40">
        <v>2.0699999999999998</v>
      </c>
      <c r="H180" s="40">
        <f>F180*G180</f>
        <v>22.77</v>
      </c>
      <c r="I180" s="39" t="s">
        <v>303</v>
      </c>
      <c r="J180" s="37"/>
      <c r="K180" s="37"/>
      <c r="L180" s="37"/>
      <c r="M180" s="37"/>
      <c r="N180" s="37"/>
      <c r="O180" s="37"/>
    </row>
    <row r="181" spans="1:15" ht="15" customHeight="1" x14ac:dyDescent="0.3">
      <c r="A181" s="39" t="s">
        <v>20</v>
      </c>
      <c r="B181" s="39" t="s">
        <v>275</v>
      </c>
      <c r="C181" s="39" t="s">
        <v>305</v>
      </c>
      <c r="D181" s="39" t="s">
        <v>200</v>
      </c>
      <c r="E181" s="39" t="s">
        <v>280</v>
      </c>
      <c r="F181" s="39">
        <v>1</v>
      </c>
      <c r="G181" s="40">
        <v>20.25</v>
      </c>
      <c r="H181" s="40">
        <v>20.25</v>
      </c>
      <c r="I181" s="39" t="s">
        <v>315</v>
      </c>
      <c r="J181" s="37"/>
      <c r="K181" s="37"/>
      <c r="L181" s="37"/>
      <c r="M181" s="37"/>
      <c r="N181" s="37"/>
      <c r="O181" s="37"/>
    </row>
    <row r="182" spans="1:15" ht="15" customHeight="1" x14ac:dyDescent="0.3">
      <c r="A182" s="39" t="s">
        <v>20</v>
      </c>
      <c r="B182" s="39" t="s">
        <v>275</v>
      </c>
      <c r="C182" s="39" t="s">
        <v>305</v>
      </c>
      <c r="D182" s="39" t="s">
        <v>201</v>
      </c>
      <c r="E182" s="39" t="s">
        <v>280</v>
      </c>
      <c r="F182" s="39">
        <v>1</v>
      </c>
      <c r="G182" s="40">
        <v>-29.77</v>
      </c>
      <c r="H182" s="40">
        <v>-29.77</v>
      </c>
      <c r="I182" s="39" t="s">
        <v>315</v>
      </c>
      <c r="J182" s="37"/>
      <c r="K182" s="37"/>
      <c r="L182" s="37"/>
      <c r="M182" s="37"/>
      <c r="N182" s="37"/>
      <c r="O182" s="37"/>
    </row>
    <row r="183" spans="1:15" ht="15" customHeight="1" x14ac:dyDescent="0.3">
      <c r="A183" s="39" t="s">
        <v>20</v>
      </c>
      <c r="B183" s="39" t="s">
        <v>275</v>
      </c>
      <c r="C183" s="39" t="s">
        <v>305</v>
      </c>
      <c r="D183" s="39" t="s">
        <v>202</v>
      </c>
      <c r="E183" s="39" t="s">
        <v>280</v>
      </c>
      <c r="F183" s="39">
        <v>1</v>
      </c>
      <c r="G183" s="40">
        <v>31.55</v>
      </c>
      <c r="H183" s="40">
        <v>31.55</v>
      </c>
      <c r="I183" s="39" t="s">
        <v>315</v>
      </c>
      <c r="J183" s="37"/>
      <c r="K183" s="37"/>
      <c r="L183" s="37"/>
      <c r="M183" s="37"/>
      <c r="N183" s="37"/>
      <c r="O183" s="37"/>
    </row>
    <row r="184" spans="1:15" ht="15" customHeight="1" x14ac:dyDescent="0.3">
      <c r="A184" s="39" t="s">
        <v>20</v>
      </c>
      <c r="B184" s="39" t="s">
        <v>275</v>
      </c>
      <c r="C184" s="39" t="s">
        <v>306</v>
      </c>
      <c r="D184" s="39" t="s">
        <v>198</v>
      </c>
      <c r="E184" s="39" t="s">
        <v>280</v>
      </c>
      <c r="F184" s="39">
        <v>11</v>
      </c>
      <c r="G184" s="40">
        <v>30</v>
      </c>
      <c r="H184" s="40">
        <f t="shared" ref="H184:H199" si="2">F184*G184</f>
        <v>330</v>
      </c>
      <c r="I184" s="39" t="s">
        <v>303</v>
      </c>
      <c r="J184" s="37"/>
      <c r="K184" s="37"/>
      <c r="L184" s="37"/>
      <c r="M184" s="37"/>
      <c r="N184" s="37"/>
      <c r="O184" s="37"/>
    </row>
    <row r="185" spans="1:15" ht="15" customHeight="1" x14ac:dyDescent="0.3">
      <c r="A185" s="39" t="s">
        <v>20</v>
      </c>
      <c r="B185" s="39" t="s">
        <v>275</v>
      </c>
      <c r="C185" s="39" t="s">
        <v>328</v>
      </c>
      <c r="D185" s="39" t="s">
        <v>329</v>
      </c>
      <c r="E185" s="39" t="s">
        <v>280</v>
      </c>
      <c r="F185" s="39">
        <v>2</v>
      </c>
      <c r="G185" s="40">
        <v>50</v>
      </c>
      <c r="H185" s="40">
        <f t="shared" si="2"/>
        <v>100</v>
      </c>
      <c r="I185" s="39" t="s">
        <v>330</v>
      </c>
      <c r="J185" s="37"/>
      <c r="K185" s="37"/>
      <c r="L185" s="37"/>
      <c r="M185" s="37"/>
      <c r="N185" s="37"/>
      <c r="O185" s="37"/>
    </row>
    <row r="186" spans="1:15" ht="15" customHeight="1" x14ac:dyDescent="0.3">
      <c r="A186" s="39" t="s">
        <v>20</v>
      </c>
      <c r="B186" s="39" t="s">
        <v>275</v>
      </c>
      <c r="C186" s="39" t="s">
        <v>307</v>
      </c>
      <c r="D186" s="39" t="s">
        <v>203</v>
      </c>
      <c r="E186" s="39" t="s">
        <v>280</v>
      </c>
      <c r="F186" s="39">
        <v>1</v>
      </c>
      <c r="G186" s="40">
        <v>0</v>
      </c>
      <c r="H186" s="40">
        <f t="shared" si="2"/>
        <v>0</v>
      </c>
      <c r="I186" s="39" t="s">
        <v>335</v>
      </c>
      <c r="J186" s="37"/>
      <c r="K186" s="37"/>
      <c r="L186" s="37"/>
      <c r="M186" s="37"/>
      <c r="N186" s="37"/>
      <c r="O186" s="37"/>
    </row>
    <row r="187" spans="1:15" ht="15" customHeight="1" x14ac:dyDescent="0.3">
      <c r="A187" s="39" t="s">
        <v>20</v>
      </c>
      <c r="B187" s="39" t="s">
        <v>282</v>
      </c>
      <c r="C187" s="39" t="s">
        <v>299</v>
      </c>
      <c r="D187" s="39" t="s">
        <v>197</v>
      </c>
      <c r="E187" s="39" t="s">
        <v>280</v>
      </c>
      <c r="F187" s="39">
        <v>1</v>
      </c>
      <c r="G187" s="40">
        <v>2735.78</v>
      </c>
      <c r="H187" s="40">
        <f t="shared" si="2"/>
        <v>2735.78</v>
      </c>
      <c r="I187" s="39" t="s">
        <v>317</v>
      </c>
      <c r="J187" s="37"/>
      <c r="K187" s="37"/>
      <c r="L187" s="37"/>
      <c r="M187" s="37"/>
      <c r="N187" s="37"/>
      <c r="O187" s="37"/>
    </row>
    <row r="188" spans="1:15" ht="15" customHeight="1" x14ac:dyDescent="0.3">
      <c r="A188" s="39" t="s">
        <v>20</v>
      </c>
      <c r="B188" s="39" t="s">
        <v>282</v>
      </c>
      <c r="C188" s="39" t="s">
        <v>299</v>
      </c>
      <c r="D188" s="39" t="s">
        <v>332</v>
      </c>
      <c r="E188" s="39" t="s">
        <v>280</v>
      </c>
      <c r="F188" s="39">
        <v>1</v>
      </c>
      <c r="G188" s="40">
        <v>24565.95</v>
      </c>
      <c r="H188" s="40">
        <f t="shared" si="2"/>
        <v>24565.95</v>
      </c>
      <c r="I188" s="39" t="s">
        <v>333</v>
      </c>
      <c r="J188" s="37"/>
      <c r="K188" s="37"/>
      <c r="L188" s="37"/>
      <c r="M188" s="37"/>
      <c r="N188" s="37"/>
      <c r="O188" s="37"/>
    </row>
    <row r="189" spans="1:15" ht="15" customHeight="1" x14ac:dyDescent="0.3">
      <c r="A189" s="39" t="s">
        <v>20</v>
      </c>
      <c r="B189" s="39" t="s">
        <v>282</v>
      </c>
      <c r="C189" s="39" t="s">
        <v>299</v>
      </c>
      <c r="D189" s="39" t="s">
        <v>170</v>
      </c>
      <c r="E189" s="39" t="s">
        <v>280</v>
      </c>
      <c r="F189" s="39">
        <v>2</v>
      </c>
      <c r="G189" s="40">
        <v>28.31</v>
      </c>
      <c r="H189" s="40">
        <f t="shared" si="2"/>
        <v>56.62</v>
      </c>
      <c r="I189" s="39" t="s">
        <v>303</v>
      </c>
      <c r="J189" s="37"/>
      <c r="K189" s="37"/>
      <c r="L189" s="37"/>
      <c r="M189" s="37"/>
      <c r="N189" s="37"/>
      <c r="O189" s="37"/>
    </row>
    <row r="190" spans="1:15" ht="15" customHeight="1" x14ac:dyDescent="0.3">
      <c r="A190" s="39" t="s">
        <v>20</v>
      </c>
      <c r="B190" s="39" t="s">
        <v>282</v>
      </c>
      <c r="C190" s="39" t="s">
        <v>299</v>
      </c>
      <c r="D190" s="39" t="s">
        <v>171</v>
      </c>
      <c r="E190" s="39" t="s">
        <v>280</v>
      </c>
      <c r="F190" s="39">
        <v>2</v>
      </c>
      <c r="G190" s="40">
        <v>47.79</v>
      </c>
      <c r="H190" s="40">
        <f t="shared" si="2"/>
        <v>95.58</v>
      </c>
      <c r="I190" s="39" t="s">
        <v>303</v>
      </c>
      <c r="J190" s="37"/>
      <c r="K190" s="37"/>
      <c r="L190" s="37"/>
      <c r="M190" s="37"/>
      <c r="N190" s="37"/>
      <c r="O190" s="37"/>
    </row>
    <row r="191" spans="1:15" ht="15" customHeight="1" x14ac:dyDescent="0.3">
      <c r="A191" s="39" t="s">
        <v>20</v>
      </c>
      <c r="B191" s="39" t="s">
        <v>282</v>
      </c>
      <c r="C191" s="39" t="s">
        <v>44</v>
      </c>
      <c r="D191" s="39" t="s">
        <v>169</v>
      </c>
      <c r="E191" s="39" t="s">
        <v>280</v>
      </c>
      <c r="F191" s="39">
        <v>2</v>
      </c>
      <c r="G191" s="40">
        <v>64.569999999999993</v>
      </c>
      <c r="H191" s="40">
        <f t="shared" si="2"/>
        <v>129.13999999999999</v>
      </c>
      <c r="I191" s="39" t="s">
        <v>303</v>
      </c>
      <c r="J191" s="37"/>
      <c r="K191" s="37"/>
      <c r="L191" s="37"/>
      <c r="M191" s="37"/>
      <c r="N191" s="37"/>
      <c r="O191" s="37"/>
    </row>
    <row r="192" spans="1:15" ht="15" customHeight="1" x14ac:dyDescent="0.3">
      <c r="A192" s="39" t="s">
        <v>20</v>
      </c>
      <c r="B192" s="39" t="s">
        <v>282</v>
      </c>
      <c r="C192" s="39" t="s">
        <v>304</v>
      </c>
      <c r="D192" s="39" t="s">
        <v>167</v>
      </c>
      <c r="E192" s="39" t="s">
        <v>280</v>
      </c>
      <c r="F192" s="39">
        <v>2</v>
      </c>
      <c r="G192" s="40">
        <v>10.050000000000001</v>
      </c>
      <c r="H192" s="40">
        <f t="shared" si="2"/>
        <v>20.100000000000001</v>
      </c>
      <c r="I192" s="39" t="s">
        <v>303</v>
      </c>
      <c r="J192" s="37"/>
      <c r="K192" s="37"/>
      <c r="L192" s="37"/>
      <c r="M192" s="37"/>
      <c r="N192" s="37"/>
      <c r="O192" s="37"/>
    </row>
    <row r="193" spans="1:15" ht="15" customHeight="1" x14ac:dyDescent="0.3">
      <c r="A193" s="39" t="s">
        <v>20</v>
      </c>
      <c r="B193" s="39" t="s">
        <v>282</v>
      </c>
      <c r="C193" s="39" t="s">
        <v>304</v>
      </c>
      <c r="D193" s="39" t="s">
        <v>168</v>
      </c>
      <c r="E193" s="39" t="s">
        <v>280</v>
      </c>
      <c r="F193" s="39">
        <v>2</v>
      </c>
      <c r="G193" s="40">
        <v>2.0699999999999998</v>
      </c>
      <c r="H193" s="40">
        <f t="shared" si="2"/>
        <v>4.1399999999999997</v>
      </c>
      <c r="I193" s="39" t="s">
        <v>303</v>
      </c>
      <c r="J193" s="37"/>
      <c r="K193" s="37"/>
      <c r="L193" s="37"/>
      <c r="M193" s="37"/>
      <c r="N193" s="37"/>
      <c r="O193" s="37"/>
    </row>
    <row r="194" spans="1:15" ht="15" customHeight="1" x14ac:dyDescent="0.3">
      <c r="A194" s="39" t="s">
        <v>20</v>
      </c>
      <c r="B194" s="39" t="s">
        <v>282</v>
      </c>
      <c r="C194" s="39" t="s">
        <v>305</v>
      </c>
      <c r="D194" s="39" t="s">
        <v>336</v>
      </c>
      <c r="E194" s="39" t="s">
        <v>280</v>
      </c>
      <c r="F194" s="39">
        <v>1</v>
      </c>
      <c r="G194" s="40">
        <v>-494.68</v>
      </c>
      <c r="H194" s="40">
        <f t="shared" si="2"/>
        <v>-494.68</v>
      </c>
      <c r="I194" s="39" t="s">
        <v>337</v>
      </c>
      <c r="J194" s="37"/>
      <c r="K194" s="37"/>
      <c r="L194" s="37"/>
      <c r="M194" s="37"/>
      <c r="N194" s="37"/>
      <c r="O194" s="37"/>
    </row>
    <row r="195" spans="1:15" ht="15" customHeight="1" x14ac:dyDescent="0.3">
      <c r="A195" s="39" t="s">
        <v>20</v>
      </c>
      <c r="B195" s="39" t="s">
        <v>282</v>
      </c>
      <c r="C195" s="39" t="s">
        <v>306</v>
      </c>
      <c r="D195" s="39" t="s">
        <v>198</v>
      </c>
      <c r="E195" s="39" t="s">
        <v>280</v>
      </c>
      <c r="F195" s="39">
        <v>2</v>
      </c>
      <c r="G195" s="40">
        <v>30</v>
      </c>
      <c r="H195" s="40">
        <f t="shared" si="2"/>
        <v>60</v>
      </c>
      <c r="I195" s="39" t="s">
        <v>303</v>
      </c>
      <c r="J195" s="37"/>
      <c r="K195" s="37"/>
      <c r="L195" s="37"/>
      <c r="M195" s="37"/>
      <c r="N195" s="37"/>
      <c r="O195" s="37"/>
    </row>
    <row r="196" spans="1:15" ht="14.25" customHeight="1" x14ac:dyDescent="0.3">
      <c r="A196" s="39" t="s">
        <v>20</v>
      </c>
      <c r="B196" s="39" t="s">
        <v>282</v>
      </c>
      <c r="C196" s="39" t="s">
        <v>328</v>
      </c>
      <c r="D196" s="39" t="s">
        <v>338</v>
      </c>
      <c r="E196" s="39" t="s">
        <v>280</v>
      </c>
      <c r="F196" s="39">
        <v>1</v>
      </c>
      <c r="G196" s="40">
        <v>50</v>
      </c>
      <c r="H196" s="40">
        <f t="shared" si="2"/>
        <v>50</v>
      </c>
      <c r="I196" s="39" t="s">
        <v>330</v>
      </c>
      <c r="J196" s="37"/>
      <c r="K196" s="37"/>
      <c r="L196" s="37"/>
      <c r="M196" s="37"/>
      <c r="N196" s="37"/>
      <c r="O196" s="37"/>
    </row>
    <row r="197" spans="1:15" ht="14.25" customHeight="1" x14ac:dyDescent="0.3">
      <c r="A197" s="39" t="s">
        <v>20</v>
      </c>
      <c r="B197" s="39" t="s">
        <v>282</v>
      </c>
      <c r="C197" s="39" t="s">
        <v>307</v>
      </c>
      <c r="D197" s="39" t="s">
        <v>203</v>
      </c>
      <c r="E197" s="39" t="s">
        <v>280</v>
      </c>
      <c r="F197" s="39">
        <v>1</v>
      </c>
      <c r="G197" s="40">
        <v>1287.4000000000001</v>
      </c>
      <c r="H197" s="40">
        <f t="shared" si="2"/>
        <v>1287.4000000000001</v>
      </c>
      <c r="I197" s="39" t="s">
        <v>313</v>
      </c>
      <c r="J197" s="37"/>
      <c r="K197" s="37"/>
      <c r="L197" s="37"/>
      <c r="M197" s="37"/>
      <c r="N197" s="37"/>
      <c r="O197" s="37"/>
    </row>
    <row r="198" spans="1:15" ht="14.25" customHeight="1" x14ac:dyDescent="0.3">
      <c r="A198" s="39" t="s">
        <v>20</v>
      </c>
      <c r="B198" s="39" t="s">
        <v>275</v>
      </c>
      <c r="C198" s="39" t="s">
        <v>299</v>
      </c>
      <c r="D198" s="39" t="s">
        <v>197</v>
      </c>
      <c r="E198" s="39" t="s">
        <v>283</v>
      </c>
      <c r="F198" s="39">
        <v>1</v>
      </c>
      <c r="G198" s="40">
        <v>66963.9794666667</v>
      </c>
      <c r="H198" s="40">
        <f t="shared" si="2"/>
        <v>66963.9794666667</v>
      </c>
      <c r="I198" s="39" t="s">
        <v>339</v>
      </c>
      <c r="J198" s="37"/>
      <c r="K198" s="37"/>
      <c r="L198" s="37"/>
      <c r="M198" s="37"/>
      <c r="N198" s="37"/>
      <c r="O198" s="37"/>
    </row>
    <row r="199" spans="1:15" ht="14.25" customHeight="1" x14ac:dyDescent="0.3">
      <c r="A199" s="39" t="s">
        <v>20</v>
      </c>
      <c r="B199" s="39" t="s">
        <v>275</v>
      </c>
      <c r="C199" s="39" t="s">
        <v>299</v>
      </c>
      <c r="D199" s="39" t="s">
        <v>332</v>
      </c>
      <c r="E199" s="39" t="s">
        <v>283</v>
      </c>
      <c r="F199" s="39">
        <v>1</v>
      </c>
      <c r="G199" s="40">
        <v>1969.06</v>
      </c>
      <c r="H199" s="40">
        <f t="shared" si="2"/>
        <v>1969.06</v>
      </c>
      <c r="I199" s="39" t="s">
        <v>333</v>
      </c>
      <c r="J199" s="37"/>
      <c r="K199" s="37"/>
      <c r="L199" s="37"/>
      <c r="M199" s="37"/>
      <c r="N199" s="37"/>
      <c r="O199" s="37"/>
    </row>
    <row r="200" spans="1:15" ht="15" customHeight="1" x14ac:dyDescent="0.3">
      <c r="A200" s="39" t="s">
        <v>20</v>
      </c>
      <c r="B200" s="39" t="s">
        <v>275</v>
      </c>
      <c r="C200" s="39" t="s">
        <v>299</v>
      </c>
      <c r="D200" s="39" t="s">
        <v>301</v>
      </c>
      <c r="E200" s="39" t="s">
        <v>283</v>
      </c>
      <c r="F200" s="39">
        <v>1</v>
      </c>
      <c r="G200" s="40">
        <v>1257.43</v>
      </c>
      <c r="H200" s="40">
        <v>1257.43</v>
      </c>
      <c r="I200" s="39" t="s">
        <v>319</v>
      </c>
      <c r="J200" s="37"/>
      <c r="K200" s="37"/>
      <c r="L200" s="37"/>
      <c r="M200" s="37"/>
      <c r="N200" s="37"/>
      <c r="O200" s="37"/>
    </row>
    <row r="201" spans="1:15" ht="15" customHeight="1" x14ac:dyDescent="0.3">
      <c r="A201" s="39" t="s">
        <v>20</v>
      </c>
      <c r="B201" s="39" t="s">
        <v>275</v>
      </c>
      <c r="C201" s="39" t="s">
        <v>299</v>
      </c>
      <c r="D201" s="39" t="s">
        <v>170</v>
      </c>
      <c r="E201" s="39" t="s">
        <v>283</v>
      </c>
      <c r="F201" s="39">
        <v>18</v>
      </c>
      <c r="G201" s="40">
        <v>28.31</v>
      </c>
      <c r="H201" s="40">
        <f>F201*G201</f>
        <v>509.58</v>
      </c>
      <c r="I201" s="39" t="s">
        <v>303</v>
      </c>
      <c r="J201" s="37"/>
      <c r="K201" s="37"/>
      <c r="L201" s="37"/>
      <c r="M201" s="37"/>
      <c r="N201" s="37"/>
      <c r="O201" s="37"/>
    </row>
    <row r="202" spans="1:15" ht="14.25" customHeight="1" x14ac:dyDescent="0.3">
      <c r="A202" s="39" t="s">
        <v>20</v>
      </c>
      <c r="B202" s="39" t="s">
        <v>275</v>
      </c>
      <c r="C202" s="39" t="s">
        <v>299</v>
      </c>
      <c r="D202" s="39" t="s">
        <v>171</v>
      </c>
      <c r="E202" s="39" t="s">
        <v>283</v>
      </c>
      <c r="F202" s="39">
        <v>18</v>
      </c>
      <c r="G202" s="40">
        <v>47.79</v>
      </c>
      <c r="H202" s="40">
        <f>F202*G202</f>
        <v>860.22</v>
      </c>
      <c r="I202" s="39" t="s">
        <v>303</v>
      </c>
      <c r="J202" s="37"/>
      <c r="K202" s="37"/>
      <c r="L202" s="37"/>
      <c r="M202" s="37"/>
      <c r="N202" s="37"/>
      <c r="O202" s="37"/>
    </row>
    <row r="203" spans="1:15" ht="14.25" customHeight="1" x14ac:dyDescent="0.3">
      <c r="A203" s="39" t="s">
        <v>20</v>
      </c>
      <c r="B203" s="39" t="s">
        <v>275</v>
      </c>
      <c r="C203" s="39" t="s">
        <v>44</v>
      </c>
      <c r="D203" s="39" t="s">
        <v>199</v>
      </c>
      <c r="E203" s="39" t="s">
        <v>283</v>
      </c>
      <c r="F203" s="39">
        <v>1</v>
      </c>
      <c r="G203" s="40">
        <v>172.29</v>
      </c>
      <c r="H203" s="40">
        <v>172.29</v>
      </c>
      <c r="I203" s="39" t="s">
        <v>319</v>
      </c>
      <c r="J203" s="37"/>
      <c r="K203" s="37"/>
      <c r="L203" s="37"/>
      <c r="M203" s="37"/>
      <c r="N203" s="37"/>
      <c r="O203" s="37"/>
    </row>
    <row r="204" spans="1:15" ht="14.25" customHeight="1" x14ac:dyDescent="0.3">
      <c r="A204" s="39" t="s">
        <v>20</v>
      </c>
      <c r="B204" s="39" t="s">
        <v>275</v>
      </c>
      <c r="C204" s="39" t="s">
        <v>44</v>
      </c>
      <c r="D204" s="39" t="s">
        <v>169</v>
      </c>
      <c r="E204" s="39" t="s">
        <v>283</v>
      </c>
      <c r="F204" s="39">
        <v>18</v>
      </c>
      <c r="G204" s="40">
        <v>64.569999999999993</v>
      </c>
      <c r="H204" s="40">
        <f>F204*G204</f>
        <v>1162.2599999999998</v>
      </c>
      <c r="I204" s="39" t="s">
        <v>303</v>
      </c>
      <c r="J204" s="37"/>
      <c r="K204" s="37"/>
      <c r="L204" s="37"/>
      <c r="M204" s="37"/>
      <c r="N204" s="37"/>
      <c r="O204" s="37"/>
    </row>
    <row r="205" spans="1:15" ht="14.25" customHeight="1" x14ac:dyDescent="0.3">
      <c r="A205" s="39" t="s">
        <v>20</v>
      </c>
      <c r="B205" s="39" t="s">
        <v>275</v>
      </c>
      <c r="C205" s="39" t="s">
        <v>304</v>
      </c>
      <c r="D205" s="39" t="s">
        <v>167</v>
      </c>
      <c r="E205" s="39" t="s">
        <v>283</v>
      </c>
      <c r="F205" s="39">
        <v>18</v>
      </c>
      <c r="G205" s="40">
        <v>10.050000000000001</v>
      </c>
      <c r="H205" s="40">
        <f>F205*G205</f>
        <v>180.9</v>
      </c>
      <c r="I205" s="39" t="s">
        <v>303</v>
      </c>
      <c r="J205" s="37"/>
      <c r="K205" s="37"/>
      <c r="L205" s="37"/>
      <c r="M205" s="37"/>
      <c r="N205" s="37"/>
      <c r="O205" s="37"/>
    </row>
    <row r="206" spans="1:15" ht="14.25" customHeight="1" x14ac:dyDescent="0.3">
      <c r="A206" s="39" t="s">
        <v>20</v>
      </c>
      <c r="B206" s="39" t="s">
        <v>275</v>
      </c>
      <c r="C206" s="39" t="s">
        <v>304</v>
      </c>
      <c r="D206" s="39" t="s">
        <v>168</v>
      </c>
      <c r="E206" s="39" t="s">
        <v>283</v>
      </c>
      <c r="F206" s="39">
        <v>18</v>
      </c>
      <c r="G206" s="40">
        <v>2.0699999999999998</v>
      </c>
      <c r="H206" s="40">
        <f>F206*G206</f>
        <v>37.26</v>
      </c>
      <c r="I206" s="39" t="s">
        <v>303</v>
      </c>
      <c r="J206" s="37"/>
      <c r="K206" s="37"/>
      <c r="L206" s="37"/>
      <c r="M206" s="37"/>
      <c r="N206" s="37"/>
      <c r="O206" s="37"/>
    </row>
    <row r="207" spans="1:15" ht="14.25" customHeight="1" x14ac:dyDescent="0.3">
      <c r="A207" s="39" t="s">
        <v>20</v>
      </c>
      <c r="B207" s="39" t="s">
        <v>275</v>
      </c>
      <c r="C207" s="39" t="s">
        <v>305</v>
      </c>
      <c r="D207" s="39" t="s">
        <v>200</v>
      </c>
      <c r="E207" s="39" t="s">
        <v>283</v>
      </c>
      <c r="F207" s="39">
        <v>1</v>
      </c>
      <c r="G207" s="40">
        <v>33.130000000000003</v>
      </c>
      <c r="H207" s="40">
        <v>33.130000000000003</v>
      </c>
      <c r="I207" s="39" t="s">
        <v>319</v>
      </c>
      <c r="J207" s="37"/>
      <c r="K207" s="37"/>
      <c r="L207" s="37"/>
      <c r="M207" s="37"/>
      <c r="N207" s="37"/>
      <c r="O207" s="37"/>
    </row>
    <row r="208" spans="1:15" ht="15" customHeight="1" x14ac:dyDescent="0.3">
      <c r="A208" s="39" t="s">
        <v>20</v>
      </c>
      <c r="B208" s="39" t="s">
        <v>275</v>
      </c>
      <c r="C208" s="39" t="s">
        <v>305</v>
      </c>
      <c r="D208" s="39" t="s">
        <v>201</v>
      </c>
      <c r="E208" s="39" t="s">
        <v>283</v>
      </c>
      <c r="F208" s="39">
        <v>1</v>
      </c>
      <c r="G208" s="40">
        <v>-48.72</v>
      </c>
      <c r="H208" s="40">
        <v>-48.72</v>
      </c>
      <c r="I208" s="39" t="s">
        <v>319</v>
      </c>
      <c r="J208" s="37"/>
      <c r="K208" s="37"/>
      <c r="L208" s="37"/>
      <c r="M208" s="37"/>
      <c r="N208" s="37"/>
      <c r="O208" s="37"/>
    </row>
    <row r="209" spans="1:15" ht="14.25" customHeight="1" x14ac:dyDescent="0.3">
      <c r="A209" s="39" t="s">
        <v>20</v>
      </c>
      <c r="B209" s="39" t="s">
        <v>275</v>
      </c>
      <c r="C209" s="39" t="s">
        <v>305</v>
      </c>
      <c r="D209" s="39" t="s">
        <v>202</v>
      </c>
      <c r="E209" s="39" t="s">
        <v>283</v>
      </c>
      <c r="F209" s="39">
        <v>1</v>
      </c>
      <c r="G209" s="40">
        <v>51.62</v>
      </c>
      <c r="H209" s="40">
        <v>51.62</v>
      </c>
      <c r="I209" s="39" t="s">
        <v>319</v>
      </c>
      <c r="J209" s="37"/>
      <c r="K209" s="37"/>
      <c r="L209" s="37"/>
      <c r="M209" s="37"/>
      <c r="N209" s="37"/>
      <c r="O209" s="37"/>
    </row>
    <row r="210" spans="1:15" ht="14.25" customHeight="1" x14ac:dyDescent="0.3">
      <c r="A210" s="39" t="s">
        <v>20</v>
      </c>
      <c r="B210" s="39" t="s">
        <v>275</v>
      </c>
      <c r="C210" s="39" t="s">
        <v>306</v>
      </c>
      <c r="D210" s="39" t="s">
        <v>198</v>
      </c>
      <c r="E210" s="39" t="s">
        <v>283</v>
      </c>
      <c r="F210" s="39">
        <v>18</v>
      </c>
      <c r="G210" s="40">
        <v>30</v>
      </c>
      <c r="H210" s="40">
        <f t="shared" ref="H210:H257" si="3">F210*G210</f>
        <v>540</v>
      </c>
      <c r="I210" s="39" t="s">
        <v>303</v>
      </c>
      <c r="J210" s="37"/>
      <c r="K210" s="37"/>
      <c r="L210" s="37"/>
      <c r="M210" s="37"/>
      <c r="N210" s="37"/>
      <c r="O210" s="37"/>
    </row>
    <row r="211" spans="1:15" ht="14.25" customHeight="1" x14ac:dyDescent="0.3">
      <c r="A211" s="39" t="s">
        <v>20</v>
      </c>
      <c r="B211" s="39" t="s">
        <v>275</v>
      </c>
      <c r="C211" s="39" t="s">
        <v>328</v>
      </c>
      <c r="D211" s="39" t="s">
        <v>329</v>
      </c>
      <c r="E211" s="39" t="s">
        <v>283</v>
      </c>
      <c r="F211" s="39">
        <v>3</v>
      </c>
      <c r="G211" s="40">
        <v>50</v>
      </c>
      <c r="H211" s="40">
        <f t="shared" si="3"/>
        <v>150</v>
      </c>
      <c r="I211" s="39" t="s">
        <v>330</v>
      </c>
      <c r="J211" s="37"/>
      <c r="K211" s="37"/>
      <c r="L211" s="37"/>
      <c r="M211" s="37"/>
      <c r="N211" s="37"/>
      <c r="O211" s="37"/>
    </row>
    <row r="212" spans="1:15" ht="14.25" customHeight="1" x14ac:dyDescent="0.3">
      <c r="A212" s="39" t="s">
        <v>20</v>
      </c>
      <c r="B212" s="39" t="s">
        <v>275</v>
      </c>
      <c r="C212" s="39" t="s">
        <v>307</v>
      </c>
      <c r="D212" s="39" t="s">
        <v>203</v>
      </c>
      <c r="E212" s="39" t="s">
        <v>283</v>
      </c>
      <c r="F212" s="39">
        <v>1</v>
      </c>
      <c r="G212" s="40">
        <v>1216.24</v>
      </c>
      <c r="H212" s="40">
        <f t="shared" si="3"/>
        <v>1216.24</v>
      </c>
      <c r="I212" s="39" t="s">
        <v>340</v>
      </c>
      <c r="J212" s="37"/>
      <c r="K212" s="37"/>
      <c r="L212" s="37"/>
      <c r="M212" s="37"/>
      <c r="N212" s="37"/>
      <c r="O212" s="37"/>
    </row>
    <row r="213" spans="1:15" ht="14.25" customHeight="1" x14ac:dyDescent="0.3">
      <c r="A213" s="39" t="s">
        <v>20</v>
      </c>
      <c r="B213" s="39" t="s">
        <v>284</v>
      </c>
      <c r="C213" s="39" t="s">
        <v>299</v>
      </c>
      <c r="D213" s="39" t="s">
        <v>197</v>
      </c>
      <c r="E213" s="39" t="s">
        <v>283</v>
      </c>
      <c r="F213" s="39">
        <v>1</v>
      </c>
      <c r="G213" s="40">
        <v>1622.63</v>
      </c>
      <c r="H213" s="40">
        <f t="shared" si="3"/>
        <v>1622.63</v>
      </c>
      <c r="I213" s="39" t="s">
        <v>317</v>
      </c>
      <c r="J213" s="37"/>
      <c r="K213" s="37"/>
      <c r="L213" s="37"/>
      <c r="M213" s="37"/>
      <c r="N213" s="37"/>
      <c r="O213" s="37"/>
    </row>
    <row r="214" spans="1:15" ht="14.25" customHeight="1" x14ac:dyDescent="0.3">
      <c r="A214" s="39" t="s">
        <v>20</v>
      </c>
      <c r="B214" s="39" t="s">
        <v>284</v>
      </c>
      <c r="C214" s="39" t="s">
        <v>299</v>
      </c>
      <c r="D214" s="39" t="s">
        <v>332</v>
      </c>
      <c r="E214" s="39" t="s">
        <v>283</v>
      </c>
      <c r="F214" s="39">
        <v>1</v>
      </c>
      <c r="G214" s="40">
        <v>2958.25</v>
      </c>
      <c r="H214" s="40">
        <f t="shared" si="3"/>
        <v>2958.25</v>
      </c>
      <c r="I214" s="39" t="s">
        <v>333</v>
      </c>
      <c r="J214" s="37"/>
      <c r="K214" s="37"/>
      <c r="L214" s="37"/>
      <c r="M214" s="37"/>
      <c r="N214" s="37"/>
      <c r="O214" s="37"/>
    </row>
    <row r="215" spans="1:15" ht="14.25" customHeight="1" x14ac:dyDescent="0.3">
      <c r="A215" s="39" t="s">
        <v>20</v>
      </c>
      <c r="B215" s="39" t="s">
        <v>284</v>
      </c>
      <c r="C215" s="39" t="s">
        <v>299</v>
      </c>
      <c r="D215" s="39" t="s">
        <v>170</v>
      </c>
      <c r="E215" s="39" t="s">
        <v>283</v>
      </c>
      <c r="F215" s="39">
        <v>2</v>
      </c>
      <c r="G215" s="40">
        <v>28.31</v>
      </c>
      <c r="H215" s="40">
        <f t="shared" si="3"/>
        <v>56.62</v>
      </c>
      <c r="I215" s="39" t="s">
        <v>303</v>
      </c>
      <c r="J215" s="37"/>
      <c r="K215" s="37"/>
      <c r="L215" s="37"/>
      <c r="M215" s="37"/>
      <c r="N215" s="37"/>
      <c r="O215" s="37"/>
    </row>
    <row r="216" spans="1:15" ht="14.25" customHeight="1" x14ac:dyDescent="0.3">
      <c r="A216" s="39" t="s">
        <v>20</v>
      </c>
      <c r="B216" s="39" t="s">
        <v>284</v>
      </c>
      <c r="C216" s="39" t="s">
        <v>299</v>
      </c>
      <c r="D216" s="39" t="s">
        <v>171</v>
      </c>
      <c r="E216" s="39" t="s">
        <v>283</v>
      </c>
      <c r="F216" s="39">
        <v>2</v>
      </c>
      <c r="G216" s="40">
        <v>47.79</v>
      </c>
      <c r="H216" s="40">
        <f t="shared" si="3"/>
        <v>95.58</v>
      </c>
      <c r="I216" s="39" t="s">
        <v>303</v>
      </c>
      <c r="J216" s="37"/>
      <c r="K216" s="37"/>
      <c r="L216" s="37"/>
      <c r="M216" s="37"/>
      <c r="N216" s="37"/>
      <c r="O216" s="37"/>
    </row>
    <row r="217" spans="1:15" ht="14.25" customHeight="1" x14ac:dyDescent="0.3">
      <c r="A217" s="39" t="s">
        <v>20</v>
      </c>
      <c r="B217" s="39" t="s">
        <v>284</v>
      </c>
      <c r="C217" s="39" t="s">
        <v>44</v>
      </c>
      <c r="D217" s="39" t="s">
        <v>169</v>
      </c>
      <c r="E217" s="39" t="s">
        <v>283</v>
      </c>
      <c r="F217" s="39">
        <v>2</v>
      </c>
      <c r="G217" s="40">
        <v>64.569999999999993</v>
      </c>
      <c r="H217" s="40">
        <f t="shared" si="3"/>
        <v>129.13999999999999</v>
      </c>
      <c r="I217" s="39" t="s">
        <v>303</v>
      </c>
      <c r="J217" s="37"/>
      <c r="K217" s="37"/>
      <c r="L217" s="37"/>
      <c r="M217" s="37"/>
      <c r="N217" s="37"/>
      <c r="O217" s="37"/>
    </row>
    <row r="218" spans="1:15" ht="14.25" customHeight="1" x14ac:dyDescent="0.3">
      <c r="A218" s="39" t="s">
        <v>20</v>
      </c>
      <c r="B218" s="39" t="s">
        <v>284</v>
      </c>
      <c r="C218" s="39" t="s">
        <v>304</v>
      </c>
      <c r="D218" s="39" t="s">
        <v>167</v>
      </c>
      <c r="E218" s="39" t="s">
        <v>283</v>
      </c>
      <c r="F218" s="39">
        <v>2</v>
      </c>
      <c r="G218" s="40">
        <v>10.050000000000001</v>
      </c>
      <c r="H218" s="40">
        <f t="shared" si="3"/>
        <v>20.100000000000001</v>
      </c>
      <c r="I218" s="39" t="s">
        <v>303</v>
      </c>
      <c r="J218" s="37"/>
      <c r="K218" s="37"/>
      <c r="L218" s="37"/>
      <c r="M218" s="37"/>
      <c r="N218" s="37"/>
      <c r="O218" s="37"/>
    </row>
    <row r="219" spans="1:15" ht="14.25" customHeight="1" x14ac:dyDescent="0.3">
      <c r="A219" s="39" t="s">
        <v>20</v>
      </c>
      <c r="B219" s="39" t="s">
        <v>284</v>
      </c>
      <c r="C219" s="39" t="s">
        <v>304</v>
      </c>
      <c r="D219" s="39" t="s">
        <v>168</v>
      </c>
      <c r="E219" s="39" t="s">
        <v>283</v>
      </c>
      <c r="F219" s="39">
        <v>2</v>
      </c>
      <c r="G219" s="40">
        <v>2.0699999999999998</v>
      </c>
      <c r="H219" s="40">
        <f t="shared" si="3"/>
        <v>4.1399999999999997</v>
      </c>
      <c r="I219" s="39" t="s">
        <v>303</v>
      </c>
      <c r="J219" s="37"/>
      <c r="K219" s="37"/>
      <c r="L219" s="37"/>
      <c r="M219" s="37"/>
      <c r="N219" s="37"/>
      <c r="O219" s="37"/>
    </row>
    <row r="220" spans="1:15" ht="14.25" customHeight="1" x14ac:dyDescent="0.3">
      <c r="A220" s="39" t="s">
        <v>20</v>
      </c>
      <c r="B220" s="39" t="s">
        <v>284</v>
      </c>
      <c r="C220" s="39" t="s">
        <v>306</v>
      </c>
      <c r="D220" s="39" t="s">
        <v>198</v>
      </c>
      <c r="E220" s="39" t="s">
        <v>283</v>
      </c>
      <c r="F220" s="39">
        <v>2</v>
      </c>
      <c r="G220" s="40">
        <v>30</v>
      </c>
      <c r="H220" s="40">
        <f t="shared" si="3"/>
        <v>60</v>
      </c>
      <c r="I220" s="39" t="s">
        <v>303</v>
      </c>
      <c r="J220" s="37"/>
      <c r="K220" s="37"/>
      <c r="L220" s="37"/>
      <c r="M220" s="37"/>
      <c r="N220" s="37"/>
      <c r="O220" s="37"/>
    </row>
    <row r="221" spans="1:15" ht="14.25" customHeight="1" x14ac:dyDescent="0.3">
      <c r="A221" s="39" t="s">
        <v>20</v>
      </c>
      <c r="B221" s="39" t="s">
        <v>284</v>
      </c>
      <c r="C221" s="39" t="s">
        <v>307</v>
      </c>
      <c r="D221" s="39" t="s">
        <v>203</v>
      </c>
      <c r="E221" s="39" t="s">
        <v>283</v>
      </c>
      <c r="F221" s="39">
        <v>1</v>
      </c>
      <c r="G221" s="40">
        <v>687.15</v>
      </c>
      <c r="H221" s="40">
        <f t="shared" si="3"/>
        <v>687.15</v>
      </c>
      <c r="I221" s="39" t="s">
        <v>313</v>
      </c>
      <c r="J221" s="37"/>
      <c r="K221" s="37"/>
      <c r="L221" s="37"/>
      <c r="M221" s="37"/>
      <c r="N221" s="37"/>
      <c r="O221" s="37"/>
    </row>
    <row r="222" spans="1:15" ht="14.25" customHeight="1" x14ac:dyDescent="0.3">
      <c r="A222" s="39" t="s">
        <v>20</v>
      </c>
      <c r="B222" s="39" t="s">
        <v>285</v>
      </c>
      <c r="C222" s="39" t="s">
        <v>299</v>
      </c>
      <c r="D222" s="39" t="s">
        <v>197</v>
      </c>
      <c r="E222" s="39" t="s">
        <v>283</v>
      </c>
      <c r="F222" s="39">
        <v>1</v>
      </c>
      <c r="G222" s="40">
        <v>12198.75</v>
      </c>
      <c r="H222" s="40">
        <f t="shared" si="3"/>
        <v>12198.75</v>
      </c>
      <c r="I222" s="39" t="s">
        <v>321</v>
      </c>
      <c r="J222" s="37"/>
      <c r="K222" s="37"/>
      <c r="L222" s="37"/>
      <c r="M222" s="37"/>
      <c r="N222" s="37"/>
      <c r="O222" s="37"/>
    </row>
    <row r="223" spans="1:15" ht="14.25" customHeight="1" x14ac:dyDescent="0.3">
      <c r="A223" s="39" t="s">
        <v>20</v>
      </c>
      <c r="B223" s="39" t="s">
        <v>285</v>
      </c>
      <c r="C223" s="39" t="s">
        <v>299</v>
      </c>
      <c r="D223" s="39" t="s">
        <v>170</v>
      </c>
      <c r="E223" s="39" t="s">
        <v>283</v>
      </c>
      <c r="F223" s="39">
        <v>5</v>
      </c>
      <c r="G223" s="40">
        <v>28.31</v>
      </c>
      <c r="H223" s="40">
        <f t="shared" si="3"/>
        <v>141.54999999999998</v>
      </c>
      <c r="I223" s="39" t="s">
        <v>303</v>
      </c>
      <c r="J223" s="37"/>
      <c r="K223" s="37"/>
      <c r="L223" s="37"/>
      <c r="M223" s="37"/>
      <c r="N223" s="37"/>
      <c r="O223" s="37"/>
    </row>
    <row r="224" spans="1:15" ht="14.25" customHeight="1" x14ac:dyDescent="0.3">
      <c r="A224" s="39" t="s">
        <v>20</v>
      </c>
      <c r="B224" s="39" t="s">
        <v>285</v>
      </c>
      <c r="C224" s="39" t="s">
        <v>299</v>
      </c>
      <c r="D224" s="39" t="s">
        <v>171</v>
      </c>
      <c r="E224" s="39" t="s">
        <v>283</v>
      </c>
      <c r="F224" s="39">
        <v>5</v>
      </c>
      <c r="G224" s="40">
        <v>47.79</v>
      </c>
      <c r="H224" s="40">
        <f t="shared" si="3"/>
        <v>238.95</v>
      </c>
      <c r="I224" s="39" t="s">
        <v>303</v>
      </c>
      <c r="J224" s="37"/>
      <c r="K224" s="37"/>
      <c r="L224" s="37"/>
      <c r="M224" s="37"/>
      <c r="N224" s="37"/>
      <c r="O224" s="37"/>
    </row>
    <row r="225" spans="1:15" ht="14.25" customHeight="1" x14ac:dyDescent="0.3">
      <c r="A225" s="39" t="s">
        <v>20</v>
      </c>
      <c r="B225" s="39" t="s">
        <v>285</v>
      </c>
      <c r="C225" s="39" t="s">
        <v>44</v>
      </c>
      <c r="D225" s="39" t="s">
        <v>169</v>
      </c>
      <c r="E225" s="39" t="s">
        <v>283</v>
      </c>
      <c r="F225" s="39">
        <v>5</v>
      </c>
      <c r="G225" s="40">
        <v>64.569999999999993</v>
      </c>
      <c r="H225" s="40">
        <f t="shared" si="3"/>
        <v>322.84999999999997</v>
      </c>
      <c r="I225" s="39" t="s">
        <v>303</v>
      </c>
      <c r="J225" s="37"/>
      <c r="K225" s="37"/>
      <c r="L225" s="37"/>
      <c r="M225" s="37"/>
      <c r="N225" s="37"/>
      <c r="O225" s="37"/>
    </row>
    <row r="226" spans="1:15" ht="14.25" customHeight="1" x14ac:dyDescent="0.3">
      <c r="A226" s="39" t="s">
        <v>20</v>
      </c>
      <c r="B226" s="39" t="s">
        <v>285</v>
      </c>
      <c r="C226" s="39" t="s">
        <v>304</v>
      </c>
      <c r="D226" s="39" t="s">
        <v>167</v>
      </c>
      <c r="E226" s="39" t="s">
        <v>283</v>
      </c>
      <c r="F226" s="39">
        <v>5</v>
      </c>
      <c r="G226" s="40">
        <v>10.050000000000001</v>
      </c>
      <c r="H226" s="40">
        <f t="shared" si="3"/>
        <v>50.25</v>
      </c>
      <c r="I226" s="39" t="s">
        <v>303</v>
      </c>
      <c r="J226" s="37"/>
      <c r="K226" s="37"/>
      <c r="L226" s="37"/>
      <c r="M226" s="37"/>
      <c r="N226" s="37"/>
      <c r="O226" s="37"/>
    </row>
    <row r="227" spans="1:15" ht="14.25" customHeight="1" x14ac:dyDescent="0.3">
      <c r="A227" s="39" t="s">
        <v>20</v>
      </c>
      <c r="B227" s="39" t="s">
        <v>285</v>
      </c>
      <c r="C227" s="39" t="s">
        <v>304</v>
      </c>
      <c r="D227" s="39" t="s">
        <v>168</v>
      </c>
      <c r="E227" s="39" t="s">
        <v>283</v>
      </c>
      <c r="F227" s="39">
        <v>5</v>
      </c>
      <c r="G227" s="40">
        <v>2.0699999999999998</v>
      </c>
      <c r="H227" s="40">
        <f t="shared" si="3"/>
        <v>10.35</v>
      </c>
      <c r="I227" s="39" t="s">
        <v>303</v>
      </c>
      <c r="J227" s="37"/>
      <c r="K227" s="37"/>
      <c r="L227" s="37"/>
      <c r="M227" s="37"/>
      <c r="N227" s="37"/>
      <c r="O227" s="37"/>
    </row>
    <row r="228" spans="1:15" ht="14.25" customHeight="1" x14ac:dyDescent="0.3">
      <c r="A228" s="39" t="s">
        <v>20</v>
      </c>
      <c r="B228" s="39" t="s">
        <v>285</v>
      </c>
      <c r="C228" s="39" t="s">
        <v>306</v>
      </c>
      <c r="D228" s="39" t="s">
        <v>198</v>
      </c>
      <c r="E228" s="39" t="s">
        <v>283</v>
      </c>
      <c r="F228" s="39">
        <v>5</v>
      </c>
      <c r="G228" s="40">
        <v>30</v>
      </c>
      <c r="H228" s="40">
        <f t="shared" si="3"/>
        <v>150</v>
      </c>
      <c r="I228" s="39" t="s">
        <v>303</v>
      </c>
      <c r="J228" s="37"/>
      <c r="K228" s="37"/>
      <c r="L228" s="37"/>
      <c r="M228" s="37"/>
      <c r="N228" s="37"/>
      <c r="O228" s="37"/>
    </row>
    <row r="229" spans="1:15" ht="14.25" customHeight="1" x14ac:dyDescent="0.3">
      <c r="A229" s="39" t="s">
        <v>20</v>
      </c>
      <c r="B229" s="39" t="s">
        <v>285</v>
      </c>
      <c r="C229" s="39" t="s">
        <v>307</v>
      </c>
      <c r="D229" s="39" t="s">
        <v>203</v>
      </c>
      <c r="E229" s="39" t="s">
        <v>283</v>
      </c>
      <c r="F229" s="39">
        <v>1</v>
      </c>
      <c r="G229" s="40">
        <v>1016.2</v>
      </c>
      <c r="H229" s="40">
        <f t="shared" si="3"/>
        <v>1016.2</v>
      </c>
      <c r="I229" s="39" t="s">
        <v>313</v>
      </c>
      <c r="J229" s="37"/>
      <c r="K229" s="37"/>
      <c r="L229" s="37"/>
      <c r="M229" s="37"/>
      <c r="N229" s="37"/>
      <c r="O229" s="37"/>
    </row>
    <row r="230" spans="1:15" ht="14.25" customHeight="1" x14ac:dyDescent="0.3">
      <c r="A230" s="39" t="s">
        <v>20</v>
      </c>
      <c r="B230" s="39" t="s">
        <v>287</v>
      </c>
      <c r="C230" s="39" t="s">
        <v>299</v>
      </c>
      <c r="D230" s="39" t="s">
        <v>197</v>
      </c>
      <c r="E230" s="39" t="s">
        <v>286</v>
      </c>
      <c r="F230" s="39">
        <v>1</v>
      </c>
      <c r="G230" s="40">
        <v>15180.54</v>
      </c>
      <c r="H230" s="40">
        <f t="shared" si="3"/>
        <v>15180.54</v>
      </c>
      <c r="I230" s="39" t="s">
        <v>323</v>
      </c>
      <c r="J230" s="37"/>
      <c r="K230" s="37"/>
      <c r="L230" s="37"/>
      <c r="M230" s="37"/>
      <c r="N230" s="37"/>
      <c r="O230" s="37"/>
    </row>
    <row r="231" spans="1:15" ht="14.25" customHeight="1" x14ac:dyDescent="0.3">
      <c r="A231" s="39" t="s">
        <v>20</v>
      </c>
      <c r="B231" s="39" t="s">
        <v>287</v>
      </c>
      <c r="C231" s="39" t="s">
        <v>299</v>
      </c>
      <c r="D231" s="39" t="s">
        <v>170</v>
      </c>
      <c r="E231" s="39" t="s">
        <v>286</v>
      </c>
      <c r="F231" s="39">
        <v>8</v>
      </c>
      <c r="G231" s="40">
        <v>28.31</v>
      </c>
      <c r="H231" s="40">
        <f t="shared" si="3"/>
        <v>226.48</v>
      </c>
      <c r="I231" s="39" t="s">
        <v>303</v>
      </c>
      <c r="J231" s="37"/>
      <c r="K231" s="37"/>
      <c r="L231" s="37"/>
      <c r="M231" s="37"/>
      <c r="N231" s="37"/>
      <c r="O231" s="37"/>
    </row>
    <row r="232" spans="1:15" ht="14.25" customHeight="1" x14ac:dyDescent="0.3">
      <c r="A232" s="39" t="s">
        <v>20</v>
      </c>
      <c r="B232" s="39" t="s">
        <v>287</v>
      </c>
      <c r="C232" s="39" t="s">
        <v>299</v>
      </c>
      <c r="D232" s="39" t="s">
        <v>171</v>
      </c>
      <c r="E232" s="39" t="s">
        <v>286</v>
      </c>
      <c r="F232" s="39">
        <v>8</v>
      </c>
      <c r="G232" s="40">
        <v>47.79</v>
      </c>
      <c r="H232" s="40">
        <f t="shared" si="3"/>
        <v>382.32</v>
      </c>
      <c r="I232" s="39" t="s">
        <v>303</v>
      </c>
      <c r="J232" s="37"/>
      <c r="K232" s="37"/>
      <c r="L232" s="37"/>
      <c r="M232" s="37"/>
      <c r="N232" s="37"/>
      <c r="O232" s="37"/>
    </row>
    <row r="233" spans="1:15" ht="14.25" customHeight="1" x14ac:dyDescent="0.3">
      <c r="A233" s="39" t="s">
        <v>20</v>
      </c>
      <c r="B233" s="39" t="s">
        <v>287</v>
      </c>
      <c r="C233" s="39" t="s">
        <v>44</v>
      </c>
      <c r="D233" s="39" t="s">
        <v>169</v>
      </c>
      <c r="E233" s="39" t="s">
        <v>286</v>
      </c>
      <c r="F233" s="39">
        <v>8</v>
      </c>
      <c r="G233" s="40">
        <v>64.569999999999993</v>
      </c>
      <c r="H233" s="40">
        <f t="shared" si="3"/>
        <v>516.55999999999995</v>
      </c>
      <c r="I233" s="39" t="s">
        <v>303</v>
      </c>
      <c r="J233" s="37"/>
      <c r="K233" s="37"/>
      <c r="L233" s="37"/>
      <c r="M233" s="37"/>
      <c r="N233" s="37"/>
      <c r="O233" s="37"/>
    </row>
    <row r="234" spans="1:15" ht="14.25" customHeight="1" x14ac:dyDescent="0.3">
      <c r="A234" s="39" t="s">
        <v>20</v>
      </c>
      <c r="B234" s="39" t="s">
        <v>287</v>
      </c>
      <c r="C234" s="39" t="s">
        <v>304</v>
      </c>
      <c r="D234" s="39" t="s">
        <v>167</v>
      </c>
      <c r="E234" s="39" t="s">
        <v>286</v>
      </c>
      <c r="F234" s="39">
        <v>8</v>
      </c>
      <c r="G234" s="40">
        <v>10.050000000000001</v>
      </c>
      <c r="H234" s="40">
        <f t="shared" si="3"/>
        <v>80.400000000000006</v>
      </c>
      <c r="I234" s="39" t="s">
        <v>303</v>
      </c>
      <c r="J234" s="37"/>
      <c r="K234" s="37"/>
      <c r="L234" s="37"/>
      <c r="M234" s="37"/>
      <c r="N234" s="37"/>
      <c r="O234" s="37"/>
    </row>
    <row r="235" spans="1:15" ht="14.25" customHeight="1" x14ac:dyDescent="0.3">
      <c r="A235" s="39" t="s">
        <v>20</v>
      </c>
      <c r="B235" s="39" t="s">
        <v>287</v>
      </c>
      <c r="C235" s="39" t="s">
        <v>304</v>
      </c>
      <c r="D235" s="39" t="s">
        <v>168</v>
      </c>
      <c r="E235" s="39" t="s">
        <v>286</v>
      </c>
      <c r="F235" s="39">
        <v>8</v>
      </c>
      <c r="G235" s="40">
        <v>2.0699999999999998</v>
      </c>
      <c r="H235" s="40">
        <f t="shared" si="3"/>
        <v>16.559999999999999</v>
      </c>
      <c r="I235" s="39" t="s">
        <v>303</v>
      </c>
      <c r="J235" s="37"/>
      <c r="K235" s="37"/>
      <c r="L235" s="37"/>
      <c r="M235" s="37"/>
      <c r="N235" s="37"/>
      <c r="O235" s="37"/>
    </row>
    <row r="236" spans="1:15" ht="14.25" customHeight="1" x14ac:dyDescent="0.3">
      <c r="A236" s="39" t="s">
        <v>20</v>
      </c>
      <c r="B236" s="39" t="s">
        <v>287</v>
      </c>
      <c r="C236" s="39" t="s">
        <v>305</v>
      </c>
      <c r="D236" s="39" t="s">
        <v>200</v>
      </c>
      <c r="E236" s="39" t="s">
        <v>286</v>
      </c>
      <c r="F236" s="39">
        <v>1</v>
      </c>
      <c r="G236" s="40">
        <v>699.62</v>
      </c>
      <c r="H236" s="40">
        <f t="shared" si="3"/>
        <v>699.62</v>
      </c>
      <c r="I236" s="39" t="s">
        <v>324</v>
      </c>
      <c r="J236" s="37"/>
      <c r="K236" s="37"/>
      <c r="L236" s="37"/>
      <c r="M236" s="37"/>
      <c r="N236" s="37"/>
      <c r="O236" s="37"/>
    </row>
    <row r="237" spans="1:15" ht="14.25" customHeight="1" x14ac:dyDescent="0.3">
      <c r="A237" s="39" t="s">
        <v>20</v>
      </c>
      <c r="B237" s="39" t="s">
        <v>287</v>
      </c>
      <c r="C237" s="39" t="s">
        <v>305</v>
      </c>
      <c r="D237" s="39" t="s">
        <v>202</v>
      </c>
      <c r="E237" s="39" t="s">
        <v>286</v>
      </c>
      <c r="F237" s="39">
        <v>1</v>
      </c>
      <c r="G237" s="40">
        <v>566.12</v>
      </c>
      <c r="H237" s="40">
        <f t="shared" si="3"/>
        <v>566.12</v>
      </c>
      <c r="I237" s="39" t="s">
        <v>324</v>
      </c>
      <c r="J237" s="37"/>
      <c r="K237" s="37"/>
      <c r="L237" s="37"/>
      <c r="M237" s="37"/>
      <c r="N237" s="37"/>
      <c r="O237" s="37"/>
    </row>
    <row r="238" spans="1:15" ht="14.25" customHeight="1" x14ac:dyDescent="0.3">
      <c r="A238" s="39" t="s">
        <v>20</v>
      </c>
      <c r="B238" s="39" t="s">
        <v>287</v>
      </c>
      <c r="C238" s="39" t="s">
        <v>306</v>
      </c>
      <c r="D238" s="39" t="s">
        <v>198</v>
      </c>
      <c r="E238" s="39" t="s">
        <v>286</v>
      </c>
      <c r="F238" s="39">
        <v>8</v>
      </c>
      <c r="G238" s="40">
        <v>30</v>
      </c>
      <c r="H238" s="40">
        <f t="shared" si="3"/>
        <v>240</v>
      </c>
      <c r="I238" s="39" t="s">
        <v>303</v>
      </c>
      <c r="J238" s="37"/>
      <c r="K238" s="37"/>
      <c r="L238" s="37"/>
      <c r="M238" s="37"/>
      <c r="N238" s="37"/>
      <c r="O238" s="37"/>
    </row>
    <row r="239" spans="1:15" ht="14.25" customHeight="1" x14ac:dyDescent="0.3">
      <c r="A239" s="39" t="s">
        <v>20</v>
      </c>
      <c r="B239" s="39" t="s">
        <v>290</v>
      </c>
      <c r="C239" s="39" t="s">
        <v>299</v>
      </c>
      <c r="D239" s="39" t="s">
        <v>197</v>
      </c>
      <c r="E239" s="39" t="s">
        <v>286</v>
      </c>
      <c r="F239" s="39">
        <v>1</v>
      </c>
      <c r="G239" s="40">
        <v>13708.49</v>
      </c>
      <c r="H239" s="40">
        <f t="shared" si="3"/>
        <v>13708.49</v>
      </c>
      <c r="I239" s="39" t="s">
        <v>325</v>
      </c>
      <c r="J239" s="37"/>
      <c r="K239" s="37"/>
      <c r="L239" s="37"/>
      <c r="M239" s="37"/>
      <c r="N239" s="37"/>
      <c r="O239" s="37"/>
    </row>
    <row r="240" spans="1:15" ht="14.25" customHeight="1" x14ac:dyDescent="0.3">
      <c r="A240" s="39" t="s">
        <v>20</v>
      </c>
      <c r="B240" s="39" t="s">
        <v>290</v>
      </c>
      <c r="C240" s="39" t="s">
        <v>299</v>
      </c>
      <c r="D240" s="39" t="s">
        <v>332</v>
      </c>
      <c r="E240" s="39" t="s">
        <v>286</v>
      </c>
      <c r="F240" s="39">
        <v>1</v>
      </c>
      <c r="G240" s="40">
        <v>1234.31</v>
      </c>
      <c r="H240" s="40">
        <f t="shared" si="3"/>
        <v>1234.31</v>
      </c>
      <c r="I240" s="39" t="s">
        <v>333</v>
      </c>
      <c r="J240" s="37"/>
      <c r="K240" s="37"/>
      <c r="L240" s="37"/>
      <c r="M240" s="37"/>
      <c r="N240" s="37"/>
      <c r="O240" s="37"/>
    </row>
    <row r="241" spans="1:15" ht="14.25" customHeight="1" x14ac:dyDescent="0.3">
      <c r="A241" s="39" t="s">
        <v>20</v>
      </c>
      <c r="B241" s="39" t="s">
        <v>290</v>
      </c>
      <c r="C241" s="39" t="s">
        <v>299</v>
      </c>
      <c r="D241" s="39" t="s">
        <v>301</v>
      </c>
      <c r="E241" s="39" t="s">
        <v>286</v>
      </c>
      <c r="F241" s="39">
        <v>1</v>
      </c>
      <c r="G241" s="40">
        <v>2775</v>
      </c>
      <c r="H241" s="40">
        <f t="shared" si="3"/>
        <v>2775</v>
      </c>
      <c r="I241" s="39" t="s">
        <v>315</v>
      </c>
      <c r="J241" s="37"/>
      <c r="K241" s="37"/>
      <c r="L241" s="37"/>
      <c r="M241" s="37"/>
      <c r="N241" s="37"/>
      <c r="O241" s="37"/>
    </row>
    <row r="242" spans="1:15" ht="14.25" customHeight="1" x14ac:dyDescent="0.3">
      <c r="A242" s="39" t="s">
        <v>20</v>
      </c>
      <c r="B242" s="39" t="s">
        <v>290</v>
      </c>
      <c r="C242" s="39" t="s">
        <v>299</v>
      </c>
      <c r="D242" s="39" t="s">
        <v>170</v>
      </c>
      <c r="E242" s="39" t="s">
        <v>286</v>
      </c>
      <c r="F242" s="39">
        <v>11</v>
      </c>
      <c r="G242" s="40">
        <v>28.31</v>
      </c>
      <c r="H242" s="40">
        <f t="shared" si="3"/>
        <v>311.40999999999997</v>
      </c>
      <c r="I242" s="39" t="s">
        <v>303</v>
      </c>
      <c r="J242" s="37"/>
      <c r="K242" s="37"/>
      <c r="L242" s="37"/>
      <c r="M242" s="37"/>
      <c r="N242" s="37"/>
      <c r="O242" s="37"/>
    </row>
    <row r="243" spans="1:15" ht="14.25" customHeight="1" x14ac:dyDescent="0.3">
      <c r="A243" s="39" t="s">
        <v>20</v>
      </c>
      <c r="B243" s="39" t="s">
        <v>290</v>
      </c>
      <c r="C243" s="39" t="s">
        <v>299</v>
      </c>
      <c r="D243" s="39" t="s">
        <v>171</v>
      </c>
      <c r="E243" s="39" t="s">
        <v>286</v>
      </c>
      <c r="F243" s="39">
        <v>11</v>
      </c>
      <c r="G243" s="40">
        <v>47.79</v>
      </c>
      <c r="H243" s="40">
        <f t="shared" si="3"/>
        <v>525.68999999999994</v>
      </c>
      <c r="I243" s="39" t="s">
        <v>303</v>
      </c>
      <c r="J243" s="37"/>
      <c r="K243" s="37"/>
      <c r="L243" s="37"/>
      <c r="M243" s="37"/>
      <c r="N243" s="37"/>
      <c r="O243" s="37"/>
    </row>
    <row r="244" spans="1:15" ht="14.25" customHeight="1" x14ac:dyDescent="0.3">
      <c r="A244" s="39" t="s">
        <v>20</v>
      </c>
      <c r="B244" s="39" t="s">
        <v>290</v>
      </c>
      <c r="C244" s="39" t="s">
        <v>44</v>
      </c>
      <c r="D244" s="39" t="s">
        <v>169</v>
      </c>
      <c r="E244" s="39" t="s">
        <v>286</v>
      </c>
      <c r="F244" s="39">
        <v>11</v>
      </c>
      <c r="G244" s="40">
        <v>64.569999999999993</v>
      </c>
      <c r="H244" s="40">
        <f t="shared" si="3"/>
        <v>710.27</v>
      </c>
      <c r="I244" s="39" t="s">
        <v>303</v>
      </c>
      <c r="J244" s="37"/>
      <c r="K244" s="37"/>
      <c r="L244" s="37"/>
      <c r="M244" s="37"/>
      <c r="N244" s="37"/>
      <c r="O244" s="37"/>
    </row>
    <row r="245" spans="1:15" ht="14.25" customHeight="1" x14ac:dyDescent="0.3">
      <c r="A245" s="39" t="s">
        <v>20</v>
      </c>
      <c r="B245" s="39" t="s">
        <v>290</v>
      </c>
      <c r="C245" s="39" t="s">
        <v>304</v>
      </c>
      <c r="D245" s="39" t="s">
        <v>167</v>
      </c>
      <c r="E245" s="39" t="s">
        <v>286</v>
      </c>
      <c r="F245" s="39">
        <v>11</v>
      </c>
      <c r="G245" s="40">
        <v>10.050000000000001</v>
      </c>
      <c r="H245" s="40">
        <f t="shared" si="3"/>
        <v>110.55000000000001</v>
      </c>
      <c r="I245" s="39" t="s">
        <v>303</v>
      </c>
      <c r="J245" s="37"/>
      <c r="K245" s="37"/>
      <c r="L245" s="37"/>
      <c r="M245" s="37"/>
      <c r="N245" s="37"/>
      <c r="O245" s="37"/>
    </row>
    <row r="246" spans="1:15" ht="14.25" customHeight="1" x14ac:dyDescent="0.3">
      <c r="A246" s="39" t="s">
        <v>20</v>
      </c>
      <c r="B246" s="39" t="s">
        <v>290</v>
      </c>
      <c r="C246" s="39" t="s">
        <v>304</v>
      </c>
      <c r="D246" s="39" t="s">
        <v>168</v>
      </c>
      <c r="E246" s="39" t="s">
        <v>286</v>
      </c>
      <c r="F246" s="39">
        <v>11</v>
      </c>
      <c r="G246" s="40">
        <v>2.0699999999999998</v>
      </c>
      <c r="H246" s="40">
        <f t="shared" si="3"/>
        <v>22.77</v>
      </c>
      <c r="I246" s="39" t="s">
        <v>303</v>
      </c>
      <c r="J246" s="37"/>
      <c r="K246" s="37"/>
      <c r="L246" s="37"/>
      <c r="M246" s="37"/>
      <c r="N246" s="37"/>
      <c r="O246" s="37"/>
    </row>
    <row r="247" spans="1:15" ht="14.25" customHeight="1" x14ac:dyDescent="0.3">
      <c r="A247" s="39" t="s">
        <v>20</v>
      </c>
      <c r="B247" s="39" t="s">
        <v>290</v>
      </c>
      <c r="C247" s="39" t="s">
        <v>305</v>
      </c>
      <c r="D247" s="39" t="s">
        <v>336</v>
      </c>
      <c r="E247" s="39" t="s">
        <v>286</v>
      </c>
      <c r="F247" s="39">
        <v>1</v>
      </c>
      <c r="G247" s="40">
        <v>-247.34</v>
      </c>
      <c r="H247" s="40">
        <f t="shared" si="3"/>
        <v>-247.34</v>
      </c>
      <c r="I247" s="39" t="s">
        <v>315</v>
      </c>
      <c r="J247" s="37"/>
      <c r="K247" s="37"/>
      <c r="L247" s="37"/>
      <c r="M247" s="37"/>
      <c r="N247" s="37"/>
      <c r="O247" s="37"/>
    </row>
    <row r="248" spans="1:15" ht="14.25" customHeight="1" x14ac:dyDescent="0.3">
      <c r="A248" s="39" t="s">
        <v>20</v>
      </c>
      <c r="B248" s="39" t="s">
        <v>290</v>
      </c>
      <c r="C248" s="39" t="s">
        <v>306</v>
      </c>
      <c r="D248" s="39" t="s">
        <v>198</v>
      </c>
      <c r="E248" s="39" t="s">
        <v>286</v>
      </c>
      <c r="F248" s="39">
        <v>11</v>
      </c>
      <c r="G248" s="40">
        <v>30</v>
      </c>
      <c r="H248" s="40">
        <f t="shared" si="3"/>
        <v>330</v>
      </c>
      <c r="I248" s="39" t="s">
        <v>303</v>
      </c>
      <c r="J248" s="37"/>
      <c r="K248" s="37"/>
      <c r="L248" s="37"/>
      <c r="M248" s="37"/>
      <c r="N248" s="37"/>
      <c r="O248" s="37"/>
    </row>
    <row r="249" spans="1:15" ht="14.25" customHeight="1" x14ac:dyDescent="0.3">
      <c r="A249" s="39" t="s">
        <v>20</v>
      </c>
      <c r="B249" s="39" t="s">
        <v>290</v>
      </c>
      <c r="C249" s="39" t="s">
        <v>328</v>
      </c>
      <c r="D249" s="39" t="s">
        <v>341</v>
      </c>
      <c r="E249" s="39" t="s">
        <v>286</v>
      </c>
      <c r="F249" s="39">
        <v>2</v>
      </c>
      <c r="G249" s="40">
        <v>50</v>
      </c>
      <c r="H249" s="40">
        <f t="shared" si="3"/>
        <v>100</v>
      </c>
      <c r="I249" s="39" t="s">
        <v>330</v>
      </c>
      <c r="J249" s="37"/>
      <c r="K249" s="37"/>
      <c r="L249" s="37"/>
      <c r="M249" s="37"/>
      <c r="N249" s="37"/>
      <c r="O249" s="37"/>
    </row>
    <row r="250" spans="1:15" ht="14.25" customHeight="1" x14ac:dyDescent="0.3">
      <c r="A250" s="39" t="s">
        <v>20</v>
      </c>
      <c r="B250" s="39" t="s">
        <v>290</v>
      </c>
      <c r="C250" s="39" t="s">
        <v>307</v>
      </c>
      <c r="D250" s="39" t="s">
        <v>203</v>
      </c>
      <c r="E250" s="39" t="s">
        <v>286</v>
      </c>
      <c r="F250" s="39">
        <v>1</v>
      </c>
      <c r="G250" s="40">
        <v>4192.8500000000004</v>
      </c>
      <c r="H250" s="40">
        <f t="shared" si="3"/>
        <v>4192.8500000000004</v>
      </c>
      <c r="I250" s="39" t="s">
        <v>313</v>
      </c>
      <c r="J250" s="37"/>
      <c r="K250" s="37"/>
      <c r="L250" s="37"/>
      <c r="M250" s="37"/>
      <c r="N250" s="37"/>
      <c r="O250" s="37"/>
    </row>
    <row r="251" spans="1:15" ht="14.25" customHeight="1" x14ac:dyDescent="0.3">
      <c r="A251" s="39" t="s">
        <v>20</v>
      </c>
      <c r="B251" s="39" t="s">
        <v>293</v>
      </c>
      <c r="C251" s="39" t="s">
        <v>299</v>
      </c>
      <c r="D251" s="39" t="s">
        <v>197</v>
      </c>
      <c r="E251" s="39" t="s">
        <v>292</v>
      </c>
      <c r="F251" s="39">
        <v>1</v>
      </c>
      <c r="G251" s="40">
        <v>3529.37</v>
      </c>
      <c r="H251" s="40">
        <f t="shared" si="3"/>
        <v>3529.37</v>
      </c>
      <c r="I251" s="39" t="s">
        <v>326</v>
      </c>
      <c r="J251" s="37"/>
      <c r="K251" s="37"/>
      <c r="L251" s="37"/>
      <c r="M251" s="37"/>
      <c r="N251" s="37"/>
      <c r="O251" s="37"/>
    </row>
    <row r="252" spans="1:15" ht="14.25" customHeight="1" x14ac:dyDescent="0.3">
      <c r="A252" s="39" t="s">
        <v>20</v>
      </c>
      <c r="B252" s="39" t="s">
        <v>293</v>
      </c>
      <c r="C252" s="39" t="s">
        <v>299</v>
      </c>
      <c r="D252" s="39" t="s">
        <v>170</v>
      </c>
      <c r="E252" s="39" t="s">
        <v>292</v>
      </c>
      <c r="F252" s="39">
        <v>1</v>
      </c>
      <c r="G252" s="40">
        <v>28.31</v>
      </c>
      <c r="H252" s="40">
        <f t="shared" si="3"/>
        <v>28.31</v>
      </c>
      <c r="I252" s="39" t="s">
        <v>303</v>
      </c>
      <c r="J252" s="37"/>
      <c r="K252" s="37"/>
      <c r="L252" s="37"/>
      <c r="M252" s="37"/>
      <c r="N252" s="37"/>
      <c r="O252" s="37"/>
    </row>
    <row r="253" spans="1:15" ht="15" customHeight="1" x14ac:dyDescent="0.3">
      <c r="A253" s="39" t="s">
        <v>20</v>
      </c>
      <c r="B253" s="39" t="s">
        <v>293</v>
      </c>
      <c r="C253" s="39" t="s">
        <v>299</v>
      </c>
      <c r="D253" s="39" t="s">
        <v>171</v>
      </c>
      <c r="E253" s="39" t="s">
        <v>292</v>
      </c>
      <c r="F253" s="39">
        <v>1</v>
      </c>
      <c r="G253" s="40">
        <v>47.79</v>
      </c>
      <c r="H253" s="40">
        <f t="shared" si="3"/>
        <v>47.79</v>
      </c>
      <c r="I253" s="39" t="s">
        <v>303</v>
      </c>
      <c r="J253" s="37"/>
      <c r="K253" s="37"/>
      <c r="L253" s="37"/>
      <c r="M253" s="37"/>
      <c r="N253" s="37"/>
      <c r="O253" s="37"/>
    </row>
    <row r="254" spans="1:15" ht="15" customHeight="1" x14ac:dyDescent="0.3">
      <c r="A254" s="39" t="s">
        <v>20</v>
      </c>
      <c r="B254" s="39" t="s">
        <v>293</v>
      </c>
      <c r="C254" s="39" t="s">
        <v>44</v>
      </c>
      <c r="D254" s="39" t="s">
        <v>169</v>
      </c>
      <c r="E254" s="39" t="s">
        <v>292</v>
      </c>
      <c r="F254" s="39">
        <v>1</v>
      </c>
      <c r="G254" s="40">
        <v>64.569999999999993</v>
      </c>
      <c r="H254" s="40">
        <f t="shared" si="3"/>
        <v>64.569999999999993</v>
      </c>
      <c r="I254" s="39" t="s">
        <v>303</v>
      </c>
      <c r="J254" s="37"/>
      <c r="K254" s="37"/>
      <c r="L254" s="37"/>
      <c r="M254" s="37"/>
      <c r="N254" s="37"/>
      <c r="O254" s="37"/>
    </row>
    <row r="255" spans="1:15" ht="14.25" customHeight="1" x14ac:dyDescent="0.3">
      <c r="A255" s="39" t="s">
        <v>20</v>
      </c>
      <c r="B255" s="39" t="s">
        <v>293</v>
      </c>
      <c r="C255" s="39" t="s">
        <v>304</v>
      </c>
      <c r="D255" s="39" t="s">
        <v>167</v>
      </c>
      <c r="E255" s="39" t="s">
        <v>292</v>
      </c>
      <c r="F255" s="39">
        <v>1</v>
      </c>
      <c r="G255" s="40">
        <v>10.050000000000001</v>
      </c>
      <c r="H255" s="40">
        <f t="shared" si="3"/>
        <v>10.050000000000001</v>
      </c>
      <c r="I255" s="39" t="s">
        <v>303</v>
      </c>
      <c r="J255" s="37"/>
      <c r="K255" s="37"/>
      <c r="L255" s="37"/>
      <c r="M255" s="37"/>
      <c r="N255" s="37"/>
      <c r="O255" s="37"/>
    </row>
    <row r="256" spans="1:15" ht="14.25" customHeight="1" x14ac:dyDescent="0.3">
      <c r="A256" s="39" t="s">
        <v>20</v>
      </c>
      <c r="B256" s="39" t="s">
        <v>293</v>
      </c>
      <c r="C256" s="39" t="s">
        <v>304</v>
      </c>
      <c r="D256" s="39" t="s">
        <v>168</v>
      </c>
      <c r="E256" s="39" t="s">
        <v>292</v>
      </c>
      <c r="F256" s="39">
        <v>1</v>
      </c>
      <c r="G256" s="40">
        <v>2.0699999999999998</v>
      </c>
      <c r="H256" s="40">
        <f t="shared" si="3"/>
        <v>2.0699999999999998</v>
      </c>
      <c r="I256" s="39" t="s">
        <v>303</v>
      </c>
      <c r="J256" s="37"/>
      <c r="K256" s="37"/>
      <c r="L256" s="37"/>
      <c r="M256" s="37"/>
      <c r="N256" s="37"/>
      <c r="O256" s="37"/>
    </row>
    <row r="257" spans="1:15" ht="14.25" customHeight="1" x14ac:dyDescent="0.3">
      <c r="A257" s="39" t="s">
        <v>20</v>
      </c>
      <c r="B257" s="39" t="s">
        <v>293</v>
      </c>
      <c r="C257" s="39" t="s">
        <v>306</v>
      </c>
      <c r="D257" s="39" t="s">
        <v>198</v>
      </c>
      <c r="E257" s="39" t="s">
        <v>292</v>
      </c>
      <c r="F257" s="39">
        <v>1</v>
      </c>
      <c r="G257" s="40">
        <v>30</v>
      </c>
      <c r="H257" s="40">
        <f t="shared" si="3"/>
        <v>30</v>
      </c>
      <c r="I257" s="39" t="s">
        <v>303</v>
      </c>
      <c r="J257" s="37"/>
      <c r="K257" s="37"/>
      <c r="L257" s="37"/>
      <c r="M257" s="37"/>
      <c r="N257" s="37"/>
      <c r="O257" s="37"/>
    </row>
    <row r="258" spans="1:15" ht="14.25" customHeight="1" x14ac:dyDescent="0.3">
      <c r="A258" s="39" t="s">
        <v>21</v>
      </c>
      <c r="B258" s="39" t="s">
        <v>275</v>
      </c>
      <c r="C258" s="39" t="s">
        <v>299</v>
      </c>
      <c r="D258" s="39" t="s">
        <v>197</v>
      </c>
      <c r="E258" s="39" t="s">
        <v>274</v>
      </c>
      <c r="F258" s="39">
        <v>1</v>
      </c>
      <c r="G258" s="40">
        <v>81072.336515555304</v>
      </c>
      <c r="H258" s="40">
        <v>81072.336515555304</v>
      </c>
      <c r="I258" s="39" t="s">
        <v>342</v>
      </c>
    </row>
    <row r="259" spans="1:15" ht="14.25" customHeight="1" x14ac:dyDescent="0.3">
      <c r="A259" s="39" t="s">
        <v>21</v>
      </c>
      <c r="B259" s="39" t="s">
        <v>275</v>
      </c>
      <c r="C259" s="39" t="s">
        <v>299</v>
      </c>
      <c r="D259" s="39" t="s">
        <v>301</v>
      </c>
      <c r="E259" s="39" t="s">
        <v>274</v>
      </c>
      <c r="F259" s="39">
        <v>1</v>
      </c>
      <c r="G259" s="40">
        <v>3360.29</v>
      </c>
      <c r="H259" s="40">
        <v>3360.29</v>
      </c>
      <c r="I259" s="39" t="s">
        <v>343</v>
      </c>
    </row>
    <row r="260" spans="1:15" ht="14.25" customHeight="1" x14ac:dyDescent="0.3">
      <c r="A260" s="39" t="s">
        <v>21</v>
      </c>
      <c r="B260" s="39" t="s">
        <v>275</v>
      </c>
      <c r="C260" s="39" t="s">
        <v>299</v>
      </c>
      <c r="D260" s="39" t="s">
        <v>170</v>
      </c>
      <c r="E260" s="39" t="s">
        <v>274</v>
      </c>
      <c r="F260" s="39">
        <v>47</v>
      </c>
      <c r="G260" s="40">
        <v>26</v>
      </c>
      <c r="H260" s="40">
        <v>1222</v>
      </c>
      <c r="I260" s="39" t="s">
        <v>344</v>
      </c>
    </row>
    <row r="261" spans="1:15" ht="14.25" customHeight="1" x14ac:dyDescent="0.3">
      <c r="A261" s="39" t="s">
        <v>21</v>
      </c>
      <c r="B261" s="39" t="s">
        <v>275</v>
      </c>
      <c r="C261" s="39" t="s">
        <v>299</v>
      </c>
      <c r="D261" s="39" t="s">
        <v>171</v>
      </c>
      <c r="E261" s="39" t="s">
        <v>274</v>
      </c>
      <c r="F261" s="39">
        <v>47</v>
      </c>
      <c r="G261" s="40">
        <v>42.77</v>
      </c>
      <c r="H261" s="40">
        <v>2010.19</v>
      </c>
      <c r="I261" s="39" t="s">
        <v>344</v>
      </c>
    </row>
    <row r="262" spans="1:15" ht="14.25" customHeight="1" x14ac:dyDescent="0.3">
      <c r="A262" s="39" t="s">
        <v>21</v>
      </c>
      <c r="B262" s="39" t="s">
        <v>275</v>
      </c>
      <c r="C262" s="39" t="s">
        <v>44</v>
      </c>
      <c r="D262" s="39" t="s">
        <v>169</v>
      </c>
      <c r="E262" s="39" t="s">
        <v>274</v>
      </c>
      <c r="F262" s="39">
        <v>47</v>
      </c>
      <c r="G262" s="40">
        <v>63.75</v>
      </c>
      <c r="H262" s="40">
        <v>2996.25</v>
      </c>
      <c r="I262" s="39" t="s">
        <v>344</v>
      </c>
    </row>
    <row r="263" spans="1:15" ht="14.25" customHeight="1" x14ac:dyDescent="0.3">
      <c r="A263" s="39" t="s">
        <v>21</v>
      </c>
      <c r="B263" s="39" t="s">
        <v>275</v>
      </c>
      <c r="C263" s="39" t="s">
        <v>44</v>
      </c>
      <c r="D263" s="39" t="s">
        <v>199</v>
      </c>
      <c r="E263" s="39" t="s">
        <v>274</v>
      </c>
      <c r="F263" s="39">
        <v>1</v>
      </c>
      <c r="G263" s="40">
        <v>451.39</v>
      </c>
      <c r="H263" s="40">
        <v>451.39</v>
      </c>
      <c r="I263" s="39" t="s">
        <v>343</v>
      </c>
    </row>
    <row r="264" spans="1:15" ht="14.25" customHeight="1" x14ac:dyDescent="0.3">
      <c r="A264" s="39" t="s">
        <v>21</v>
      </c>
      <c r="B264" s="39" t="s">
        <v>275</v>
      </c>
      <c r="C264" s="39" t="s">
        <v>305</v>
      </c>
      <c r="D264" s="39" t="s">
        <v>200</v>
      </c>
      <c r="E264" s="39" t="s">
        <v>274</v>
      </c>
      <c r="F264" s="39">
        <v>1</v>
      </c>
      <c r="G264" s="40">
        <v>865.91</v>
      </c>
      <c r="H264" s="40">
        <v>865.91</v>
      </c>
      <c r="I264" s="39" t="s">
        <v>343</v>
      </c>
    </row>
    <row r="265" spans="1:15" ht="14.25" customHeight="1" x14ac:dyDescent="0.3">
      <c r="A265" s="39" t="s">
        <v>21</v>
      </c>
      <c r="B265" s="39" t="s">
        <v>275</v>
      </c>
      <c r="C265" s="39" t="s">
        <v>305</v>
      </c>
      <c r="D265" s="39" t="s">
        <v>202</v>
      </c>
      <c r="E265" s="39" t="s">
        <v>274</v>
      </c>
      <c r="F265" s="39">
        <v>1</v>
      </c>
      <c r="G265" s="40">
        <v>251.02</v>
      </c>
      <c r="H265" s="40">
        <v>251.02</v>
      </c>
      <c r="I265" s="39" t="s">
        <v>343</v>
      </c>
    </row>
    <row r="266" spans="1:15" ht="14.25" customHeight="1" x14ac:dyDescent="0.3">
      <c r="A266" s="39" t="s">
        <v>21</v>
      </c>
      <c r="B266" s="39" t="s">
        <v>275</v>
      </c>
      <c r="C266" s="39" t="s">
        <v>306</v>
      </c>
      <c r="D266" s="39" t="s">
        <v>198</v>
      </c>
      <c r="E266" s="39" t="s">
        <v>274</v>
      </c>
      <c r="F266" s="39">
        <v>50</v>
      </c>
      <c r="G266" s="40">
        <v>30</v>
      </c>
      <c r="H266" s="40">
        <f>G266*F266</f>
        <v>1500</v>
      </c>
      <c r="I266" s="39" t="s">
        <v>344</v>
      </c>
    </row>
    <row r="267" spans="1:15" ht="15" customHeight="1" x14ac:dyDescent="0.3">
      <c r="A267" s="39" t="s">
        <v>21</v>
      </c>
      <c r="B267" s="39" t="s">
        <v>275</v>
      </c>
      <c r="C267" s="39" t="s">
        <v>304</v>
      </c>
      <c r="D267" s="39" t="s">
        <v>167</v>
      </c>
      <c r="E267" s="39" t="s">
        <v>274</v>
      </c>
      <c r="F267" s="39">
        <v>47</v>
      </c>
      <c r="G267" s="40">
        <v>9.85</v>
      </c>
      <c r="H267" s="40">
        <v>462.95</v>
      </c>
      <c r="I267" s="39" t="s">
        <v>344</v>
      </c>
    </row>
    <row r="268" spans="1:15" ht="14.25" customHeight="1" x14ac:dyDescent="0.3">
      <c r="A268" s="39" t="s">
        <v>21</v>
      </c>
      <c r="B268" s="39" t="s">
        <v>275</v>
      </c>
      <c r="C268" s="39" t="s">
        <v>304</v>
      </c>
      <c r="D268" s="39" t="s">
        <v>168</v>
      </c>
      <c r="E268" s="39" t="s">
        <v>274</v>
      </c>
      <c r="F268" s="39">
        <v>47</v>
      </c>
      <c r="G268" s="40">
        <v>2.04</v>
      </c>
      <c r="H268" s="40">
        <v>95.88</v>
      </c>
      <c r="I268" s="39" t="s">
        <v>344</v>
      </c>
    </row>
    <row r="269" spans="1:15" ht="14.25" customHeight="1" x14ac:dyDescent="0.3">
      <c r="A269" s="39" t="s">
        <v>21</v>
      </c>
      <c r="B269" s="39" t="s">
        <v>275</v>
      </c>
      <c r="C269" s="39" t="s">
        <v>307</v>
      </c>
      <c r="D269" s="39" t="s">
        <v>203</v>
      </c>
      <c r="E269" s="39" t="s">
        <v>274</v>
      </c>
      <c r="F269" s="39">
        <v>1</v>
      </c>
      <c r="G269" s="40">
        <v>2038.91</v>
      </c>
      <c r="H269" s="40">
        <f t="shared" ref="H269:H300" si="4">G269*F269</f>
        <v>2038.91</v>
      </c>
      <c r="I269" s="39" t="s">
        <v>345</v>
      </c>
    </row>
    <row r="270" spans="1:15" ht="14.25" customHeight="1" x14ac:dyDescent="0.3">
      <c r="A270" s="39" t="s">
        <v>21</v>
      </c>
      <c r="B270" s="39" t="s">
        <v>275</v>
      </c>
      <c r="C270" s="39" t="s">
        <v>299</v>
      </c>
      <c r="D270" s="39" t="s">
        <v>332</v>
      </c>
      <c r="E270" s="39" t="s">
        <v>274</v>
      </c>
      <c r="F270" s="39">
        <v>1</v>
      </c>
      <c r="G270" s="40">
        <v>16815.54</v>
      </c>
      <c r="H270" s="40">
        <f t="shared" si="4"/>
        <v>16815.54</v>
      </c>
      <c r="I270" s="39" t="s">
        <v>346</v>
      </c>
    </row>
    <row r="271" spans="1:15" ht="14.25" customHeight="1" x14ac:dyDescent="0.3">
      <c r="A271" s="39" t="s">
        <v>21</v>
      </c>
      <c r="B271" s="39" t="s">
        <v>275</v>
      </c>
      <c r="C271" s="39" t="s">
        <v>299</v>
      </c>
      <c r="D271" s="39" t="s">
        <v>197</v>
      </c>
      <c r="E271" s="39" t="s">
        <v>277</v>
      </c>
      <c r="F271" s="39">
        <v>1</v>
      </c>
      <c r="G271" s="40">
        <v>6270.1</v>
      </c>
      <c r="H271" s="40">
        <f t="shared" si="4"/>
        <v>6270.1</v>
      </c>
      <c r="I271" s="39" t="s">
        <v>347</v>
      </c>
    </row>
    <row r="272" spans="1:15" ht="14.25" customHeight="1" x14ac:dyDescent="0.3">
      <c r="A272" s="39" t="s">
        <v>21</v>
      </c>
      <c r="B272" s="39" t="s">
        <v>275</v>
      </c>
      <c r="C272" s="39" t="s">
        <v>299</v>
      </c>
      <c r="D272" s="39" t="s">
        <v>301</v>
      </c>
      <c r="E272" s="39" t="s">
        <v>277</v>
      </c>
      <c r="F272" s="39">
        <v>1</v>
      </c>
      <c r="G272" s="40">
        <v>182.68</v>
      </c>
      <c r="H272" s="40">
        <f t="shared" si="4"/>
        <v>182.68</v>
      </c>
      <c r="I272" s="39" t="s">
        <v>348</v>
      </c>
    </row>
    <row r="273" spans="1:9" ht="14.25" customHeight="1" x14ac:dyDescent="0.3">
      <c r="A273" s="39" t="s">
        <v>21</v>
      </c>
      <c r="B273" s="39" t="s">
        <v>275</v>
      </c>
      <c r="C273" s="39" t="s">
        <v>299</v>
      </c>
      <c r="D273" s="39" t="s">
        <v>170</v>
      </c>
      <c r="E273" s="39" t="s">
        <v>277</v>
      </c>
      <c r="F273" s="39">
        <v>5</v>
      </c>
      <c r="G273" s="40">
        <v>26</v>
      </c>
      <c r="H273" s="40">
        <f t="shared" si="4"/>
        <v>130</v>
      </c>
      <c r="I273" s="39" t="s">
        <v>344</v>
      </c>
    </row>
    <row r="274" spans="1:9" ht="14.25" customHeight="1" x14ac:dyDescent="0.3">
      <c r="A274" s="39" t="s">
        <v>21</v>
      </c>
      <c r="B274" s="39" t="s">
        <v>275</v>
      </c>
      <c r="C274" s="39" t="s">
        <v>299</v>
      </c>
      <c r="D274" s="39" t="s">
        <v>171</v>
      </c>
      <c r="E274" s="39" t="s">
        <v>277</v>
      </c>
      <c r="F274" s="39">
        <v>5</v>
      </c>
      <c r="G274" s="40">
        <v>42.77</v>
      </c>
      <c r="H274" s="40">
        <f t="shared" si="4"/>
        <v>213.85000000000002</v>
      </c>
      <c r="I274" s="39" t="s">
        <v>344</v>
      </c>
    </row>
    <row r="275" spans="1:9" ht="14.25" customHeight="1" x14ac:dyDescent="0.3">
      <c r="A275" s="39" t="s">
        <v>21</v>
      </c>
      <c r="B275" s="39" t="s">
        <v>275</v>
      </c>
      <c r="C275" s="39" t="s">
        <v>44</v>
      </c>
      <c r="D275" s="39" t="s">
        <v>169</v>
      </c>
      <c r="E275" s="39" t="s">
        <v>277</v>
      </c>
      <c r="F275" s="39">
        <v>5</v>
      </c>
      <c r="G275" s="40">
        <v>63.75</v>
      </c>
      <c r="H275" s="40">
        <f t="shared" si="4"/>
        <v>318.75</v>
      </c>
      <c r="I275" s="39" t="s">
        <v>344</v>
      </c>
    </row>
    <row r="276" spans="1:9" ht="14.25" customHeight="1" x14ac:dyDescent="0.3">
      <c r="A276" s="39" t="s">
        <v>21</v>
      </c>
      <c r="B276" s="39" t="s">
        <v>275</v>
      </c>
      <c r="C276" s="39" t="s">
        <v>44</v>
      </c>
      <c r="D276" s="39" t="s">
        <v>199</v>
      </c>
      <c r="E276" s="39" t="s">
        <v>277</v>
      </c>
      <c r="F276" s="39">
        <v>1</v>
      </c>
      <c r="G276" s="40">
        <v>24.54</v>
      </c>
      <c r="H276" s="40">
        <f t="shared" si="4"/>
        <v>24.54</v>
      </c>
      <c r="I276" s="39" t="s">
        <v>348</v>
      </c>
    </row>
    <row r="277" spans="1:9" ht="14.25" customHeight="1" x14ac:dyDescent="0.3">
      <c r="A277" s="39" t="s">
        <v>21</v>
      </c>
      <c r="B277" s="39" t="s">
        <v>275</v>
      </c>
      <c r="C277" s="39" t="s">
        <v>305</v>
      </c>
      <c r="D277" s="39" t="s">
        <v>200</v>
      </c>
      <c r="E277" s="39" t="s">
        <v>277</v>
      </c>
      <c r="F277" s="39">
        <v>1</v>
      </c>
      <c r="G277" s="40">
        <v>47.07</v>
      </c>
      <c r="H277" s="40">
        <f t="shared" si="4"/>
        <v>47.07</v>
      </c>
      <c r="I277" s="39" t="s">
        <v>348</v>
      </c>
    </row>
    <row r="278" spans="1:9" ht="15" customHeight="1" x14ac:dyDescent="0.3">
      <c r="A278" s="39" t="s">
        <v>21</v>
      </c>
      <c r="B278" s="39" t="s">
        <v>275</v>
      </c>
      <c r="C278" s="39" t="s">
        <v>305</v>
      </c>
      <c r="D278" s="39" t="s">
        <v>202</v>
      </c>
      <c r="E278" s="39" t="s">
        <v>277</v>
      </c>
      <c r="F278" s="39">
        <v>1</v>
      </c>
      <c r="G278" s="40">
        <v>13.65</v>
      </c>
      <c r="H278" s="40">
        <f t="shared" si="4"/>
        <v>13.65</v>
      </c>
      <c r="I278" s="39" t="s">
        <v>348</v>
      </c>
    </row>
    <row r="279" spans="1:9" ht="14.25" customHeight="1" x14ac:dyDescent="0.3">
      <c r="A279" s="39" t="s">
        <v>21</v>
      </c>
      <c r="B279" s="39" t="s">
        <v>275</v>
      </c>
      <c r="C279" s="39" t="s">
        <v>306</v>
      </c>
      <c r="D279" s="39" t="s">
        <v>198</v>
      </c>
      <c r="E279" s="39" t="s">
        <v>277</v>
      </c>
      <c r="F279" s="39">
        <v>5</v>
      </c>
      <c r="G279" s="40">
        <v>30</v>
      </c>
      <c r="H279" s="40">
        <f t="shared" si="4"/>
        <v>150</v>
      </c>
      <c r="I279" s="39" t="s">
        <v>344</v>
      </c>
    </row>
    <row r="280" spans="1:9" ht="14.25" customHeight="1" x14ac:dyDescent="0.3">
      <c r="A280" s="39" t="s">
        <v>21</v>
      </c>
      <c r="B280" s="39" t="s">
        <v>275</v>
      </c>
      <c r="C280" s="39" t="s">
        <v>304</v>
      </c>
      <c r="D280" s="39" t="s">
        <v>167</v>
      </c>
      <c r="E280" s="39" t="s">
        <v>277</v>
      </c>
      <c r="F280" s="39">
        <v>5</v>
      </c>
      <c r="G280" s="40">
        <v>9.85</v>
      </c>
      <c r="H280" s="40">
        <f t="shared" si="4"/>
        <v>49.25</v>
      </c>
      <c r="I280" s="39" t="s">
        <v>344</v>
      </c>
    </row>
    <row r="281" spans="1:9" ht="14.25" customHeight="1" x14ac:dyDescent="0.3">
      <c r="A281" s="39" t="s">
        <v>21</v>
      </c>
      <c r="B281" s="39" t="s">
        <v>275</v>
      </c>
      <c r="C281" s="39" t="s">
        <v>304</v>
      </c>
      <c r="D281" s="39" t="s">
        <v>168</v>
      </c>
      <c r="E281" s="39" t="s">
        <v>277</v>
      </c>
      <c r="F281" s="39">
        <v>5</v>
      </c>
      <c r="G281" s="40">
        <v>2.04</v>
      </c>
      <c r="H281" s="40">
        <f t="shared" si="4"/>
        <v>10.199999999999999</v>
      </c>
      <c r="I281" s="39" t="s">
        <v>344</v>
      </c>
    </row>
    <row r="282" spans="1:9" ht="14.25" customHeight="1" x14ac:dyDescent="0.3">
      <c r="A282" s="39" t="s">
        <v>21</v>
      </c>
      <c r="B282" s="39" t="s">
        <v>275</v>
      </c>
      <c r="C282" s="39" t="s">
        <v>299</v>
      </c>
      <c r="D282" s="39" t="s">
        <v>197</v>
      </c>
      <c r="E282" s="39" t="s">
        <v>279</v>
      </c>
      <c r="F282" s="39">
        <v>1</v>
      </c>
      <c r="G282" s="40">
        <v>14541.12</v>
      </c>
      <c r="H282" s="40">
        <f t="shared" si="4"/>
        <v>14541.12</v>
      </c>
      <c r="I282" s="39" t="s">
        <v>349</v>
      </c>
    </row>
    <row r="283" spans="1:9" ht="14.25" customHeight="1" x14ac:dyDescent="0.3">
      <c r="A283" s="39" t="s">
        <v>21</v>
      </c>
      <c r="B283" s="39" t="s">
        <v>275</v>
      </c>
      <c r="C283" s="39" t="s">
        <v>299</v>
      </c>
      <c r="D283" s="39" t="s">
        <v>301</v>
      </c>
      <c r="E283" s="39" t="s">
        <v>279</v>
      </c>
      <c r="F283" s="39">
        <v>1</v>
      </c>
      <c r="G283" s="40">
        <v>423.65</v>
      </c>
      <c r="H283" s="40">
        <f t="shared" si="4"/>
        <v>423.65</v>
      </c>
      <c r="I283" s="39" t="s">
        <v>350</v>
      </c>
    </row>
    <row r="284" spans="1:9" ht="14.25" customHeight="1" x14ac:dyDescent="0.3">
      <c r="A284" s="39" t="s">
        <v>21</v>
      </c>
      <c r="B284" s="39" t="s">
        <v>275</v>
      </c>
      <c r="C284" s="39" t="s">
        <v>299</v>
      </c>
      <c r="D284" s="39" t="s">
        <v>170</v>
      </c>
      <c r="E284" s="39" t="s">
        <v>279</v>
      </c>
      <c r="F284" s="39">
        <v>6</v>
      </c>
      <c r="G284" s="40">
        <v>26</v>
      </c>
      <c r="H284" s="40">
        <f t="shared" si="4"/>
        <v>156</v>
      </c>
      <c r="I284" s="39" t="s">
        <v>344</v>
      </c>
    </row>
    <row r="285" spans="1:9" ht="14.25" customHeight="1" x14ac:dyDescent="0.3">
      <c r="A285" s="39" t="s">
        <v>21</v>
      </c>
      <c r="B285" s="39" t="s">
        <v>275</v>
      </c>
      <c r="C285" s="39" t="s">
        <v>299</v>
      </c>
      <c r="D285" s="39" t="s">
        <v>171</v>
      </c>
      <c r="E285" s="39" t="s">
        <v>279</v>
      </c>
      <c r="F285" s="39">
        <v>6</v>
      </c>
      <c r="G285" s="40">
        <v>42.77</v>
      </c>
      <c r="H285" s="40">
        <f t="shared" si="4"/>
        <v>256.62</v>
      </c>
      <c r="I285" s="39" t="s">
        <v>344</v>
      </c>
    </row>
    <row r="286" spans="1:9" ht="14.25" customHeight="1" x14ac:dyDescent="0.3">
      <c r="A286" s="39" t="s">
        <v>21</v>
      </c>
      <c r="B286" s="39" t="s">
        <v>275</v>
      </c>
      <c r="C286" s="39" t="s">
        <v>44</v>
      </c>
      <c r="D286" s="39" t="s">
        <v>169</v>
      </c>
      <c r="E286" s="39" t="s">
        <v>279</v>
      </c>
      <c r="F286" s="39">
        <v>6</v>
      </c>
      <c r="G286" s="40">
        <v>63.75</v>
      </c>
      <c r="H286" s="40">
        <f t="shared" si="4"/>
        <v>382.5</v>
      </c>
      <c r="I286" s="39" t="s">
        <v>344</v>
      </c>
    </row>
    <row r="287" spans="1:9" ht="14.25" customHeight="1" x14ac:dyDescent="0.3">
      <c r="A287" s="39" t="s">
        <v>21</v>
      </c>
      <c r="B287" s="39" t="s">
        <v>275</v>
      </c>
      <c r="C287" s="39" t="s">
        <v>44</v>
      </c>
      <c r="D287" s="39" t="s">
        <v>199</v>
      </c>
      <c r="E287" s="39" t="s">
        <v>279</v>
      </c>
      <c r="F287" s="39">
        <v>1</v>
      </c>
      <c r="G287" s="40">
        <v>56.91</v>
      </c>
      <c r="H287" s="40">
        <f t="shared" si="4"/>
        <v>56.91</v>
      </c>
      <c r="I287" s="39" t="s">
        <v>350</v>
      </c>
    </row>
    <row r="288" spans="1:9" ht="14.25" customHeight="1" x14ac:dyDescent="0.3">
      <c r="A288" s="39" t="s">
        <v>21</v>
      </c>
      <c r="B288" s="39" t="s">
        <v>275</v>
      </c>
      <c r="C288" s="39" t="s">
        <v>305</v>
      </c>
      <c r="D288" s="39" t="s">
        <v>200</v>
      </c>
      <c r="E288" s="39" t="s">
        <v>279</v>
      </c>
      <c r="F288" s="39">
        <v>1</v>
      </c>
      <c r="G288" s="40">
        <v>109.17</v>
      </c>
      <c r="H288" s="40">
        <f t="shared" si="4"/>
        <v>109.17</v>
      </c>
      <c r="I288" s="39" t="s">
        <v>350</v>
      </c>
    </row>
    <row r="289" spans="1:9" ht="14.25" customHeight="1" x14ac:dyDescent="0.3">
      <c r="A289" s="39" t="s">
        <v>21</v>
      </c>
      <c r="B289" s="39" t="s">
        <v>275</v>
      </c>
      <c r="C289" s="39" t="s">
        <v>305</v>
      </c>
      <c r="D289" s="39" t="s">
        <v>202</v>
      </c>
      <c r="E289" s="39" t="s">
        <v>279</v>
      </c>
      <c r="F289" s="39">
        <v>1</v>
      </c>
      <c r="G289" s="40">
        <v>31.65</v>
      </c>
      <c r="H289" s="40">
        <f t="shared" si="4"/>
        <v>31.65</v>
      </c>
      <c r="I289" s="39" t="s">
        <v>350</v>
      </c>
    </row>
    <row r="290" spans="1:9" ht="14.25" customHeight="1" x14ac:dyDescent="0.3">
      <c r="A290" s="39" t="s">
        <v>21</v>
      </c>
      <c r="B290" s="39" t="s">
        <v>275</v>
      </c>
      <c r="C290" s="39" t="s">
        <v>306</v>
      </c>
      <c r="D290" s="39" t="s">
        <v>198</v>
      </c>
      <c r="E290" s="39" t="s">
        <v>279</v>
      </c>
      <c r="F290" s="39">
        <v>6</v>
      </c>
      <c r="G290" s="40">
        <v>30</v>
      </c>
      <c r="H290" s="40">
        <f t="shared" si="4"/>
        <v>180</v>
      </c>
      <c r="I290" s="39" t="s">
        <v>344</v>
      </c>
    </row>
    <row r="291" spans="1:9" ht="14.25" customHeight="1" x14ac:dyDescent="0.3">
      <c r="A291" s="39" t="s">
        <v>21</v>
      </c>
      <c r="B291" s="39" t="s">
        <v>275</v>
      </c>
      <c r="C291" s="39" t="s">
        <v>304</v>
      </c>
      <c r="D291" s="39" t="s">
        <v>167</v>
      </c>
      <c r="E291" s="39" t="s">
        <v>279</v>
      </c>
      <c r="F291" s="39">
        <v>6</v>
      </c>
      <c r="G291" s="40">
        <v>9.85</v>
      </c>
      <c r="H291" s="40">
        <f t="shared" si="4"/>
        <v>59.099999999999994</v>
      </c>
      <c r="I291" s="39" t="s">
        <v>344</v>
      </c>
    </row>
    <row r="292" spans="1:9" ht="14.25" customHeight="1" x14ac:dyDescent="0.3">
      <c r="A292" s="39" t="s">
        <v>21</v>
      </c>
      <c r="B292" s="39" t="s">
        <v>275</v>
      </c>
      <c r="C292" s="39" t="s">
        <v>304</v>
      </c>
      <c r="D292" s="39" t="s">
        <v>168</v>
      </c>
      <c r="E292" s="39" t="s">
        <v>279</v>
      </c>
      <c r="F292" s="39">
        <v>6</v>
      </c>
      <c r="G292" s="40">
        <v>2.04</v>
      </c>
      <c r="H292" s="40">
        <f t="shared" si="4"/>
        <v>12.24</v>
      </c>
      <c r="I292" s="39" t="s">
        <v>344</v>
      </c>
    </row>
    <row r="293" spans="1:9" ht="14.25" customHeight="1" x14ac:dyDescent="0.3">
      <c r="A293" s="39" t="s">
        <v>21</v>
      </c>
      <c r="B293" s="39" t="s">
        <v>275</v>
      </c>
      <c r="C293" s="39" t="s">
        <v>307</v>
      </c>
      <c r="D293" s="39" t="s">
        <v>203</v>
      </c>
      <c r="E293" s="39" t="s">
        <v>279</v>
      </c>
      <c r="F293" s="39">
        <v>1</v>
      </c>
      <c r="G293" s="40">
        <v>799.48</v>
      </c>
      <c r="H293" s="40">
        <f t="shared" si="4"/>
        <v>799.48</v>
      </c>
      <c r="I293" s="39" t="s">
        <v>313</v>
      </c>
    </row>
    <row r="294" spans="1:9" ht="14.25" customHeight="1" x14ac:dyDescent="0.3">
      <c r="A294" s="39" t="s">
        <v>21</v>
      </c>
      <c r="B294" s="39" t="s">
        <v>275</v>
      </c>
      <c r="C294" s="39" t="s">
        <v>299</v>
      </c>
      <c r="D294" s="39" t="s">
        <v>197</v>
      </c>
      <c r="E294" s="39" t="s">
        <v>280</v>
      </c>
      <c r="F294" s="39">
        <v>1</v>
      </c>
      <c r="G294" s="40">
        <v>17414.618559999999</v>
      </c>
      <c r="H294" s="40">
        <f t="shared" si="4"/>
        <v>17414.618559999999</v>
      </c>
      <c r="I294" s="39" t="s">
        <v>351</v>
      </c>
    </row>
    <row r="295" spans="1:9" ht="15" customHeight="1" x14ac:dyDescent="0.3">
      <c r="A295" s="39" t="s">
        <v>21</v>
      </c>
      <c r="B295" s="39" t="s">
        <v>275</v>
      </c>
      <c r="C295" s="39" t="s">
        <v>299</v>
      </c>
      <c r="D295" s="39" t="s">
        <v>301</v>
      </c>
      <c r="E295" s="39" t="s">
        <v>280</v>
      </c>
      <c r="F295" s="39">
        <v>1</v>
      </c>
      <c r="G295" s="40">
        <v>693.66</v>
      </c>
      <c r="H295" s="40">
        <f t="shared" si="4"/>
        <v>693.66</v>
      </c>
      <c r="I295" s="39" t="s">
        <v>352</v>
      </c>
    </row>
    <row r="296" spans="1:9" ht="14.25" customHeight="1" x14ac:dyDescent="0.3">
      <c r="A296" s="39" t="s">
        <v>21</v>
      </c>
      <c r="B296" s="39" t="s">
        <v>275</v>
      </c>
      <c r="C296" s="39" t="s">
        <v>299</v>
      </c>
      <c r="D296" s="39" t="s">
        <v>170</v>
      </c>
      <c r="E296" s="39" t="s">
        <v>280</v>
      </c>
      <c r="F296" s="39">
        <v>11</v>
      </c>
      <c r="G296" s="40">
        <v>26</v>
      </c>
      <c r="H296" s="40">
        <f t="shared" si="4"/>
        <v>286</v>
      </c>
      <c r="I296" s="39" t="s">
        <v>344</v>
      </c>
    </row>
    <row r="297" spans="1:9" ht="14.25" customHeight="1" x14ac:dyDescent="0.3">
      <c r="A297" s="39" t="s">
        <v>21</v>
      </c>
      <c r="B297" s="39" t="s">
        <v>275</v>
      </c>
      <c r="C297" s="39" t="s">
        <v>299</v>
      </c>
      <c r="D297" s="39" t="s">
        <v>171</v>
      </c>
      <c r="E297" s="39" t="s">
        <v>280</v>
      </c>
      <c r="F297" s="39">
        <v>11</v>
      </c>
      <c r="G297" s="40">
        <v>42.77</v>
      </c>
      <c r="H297" s="40">
        <f t="shared" si="4"/>
        <v>470.47</v>
      </c>
      <c r="I297" s="39" t="s">
        <v>344</v>
      </c>
    </row>
    <row r="298" spans="1:9" ht="14.25" customHeight="1" x14ac:dyDescent="0.3">
      <c r="A298" s="39" t="s">
        <v>21</v>
      </c>
      <c r="B298" s="39" t="s">
        <v>275</v>
      </c>
      <c r="C298" s="39" t="s">
        <v>44</v>
      </c>
      <c r="D298" s="39" t="s">
        <v>169</v>
      </c>
      <c r="E298" s="39" t="s">
        <v>280</v>
      </c>
      <c r="F298" s="39">
        <v>11</v>
      </c>
      <c r="G298" s="40">
        <v>63.75</v>
      </c>
      <c r="H298" s="40">
        <f t="shared" si="4"/>
        <v>701.25</v>
      </c>
      <c r="I298" s="39" t="s">
        <v>344</v>
      </c>
    </row>
    <row r="299" spans="1:9" ht="14.25" customHeight="1" x14ac:dyDescent="0.3">
      <c r="A299" s="39" t="s">
        <v>21</v>
      </c>
      <c r="B299" s="39" t="s">
        <v>275</v>
      </c>
      <c r="C299" s="39" t="s">
        <v>44</v>
      </c>
      <c r="D299" s="39" t="s">
        <v>199</v>
      </c>
      <c r="E299" s="39" t="s">
        <v>280</v>
      </c>
      <c r="F299" s="39">
        <v>1</v>
      </c>
      <c r="G299" s="40">
        <v>93.18</v>
      </c>
      <c r="H299" s="40">
        <f t="shared" si="4"/>
        <v>93.18</v>
      </c>
      <c r="I299" s="39" t="s">
        <v>352</v>
      </c>
    </row>
    <row r="300" spans="1:9" ht="14.25" customHeight="1" x14ac:dyDescent="0.3">
      <c r="A300" s="39" t="s">
        <v>21</v>
      </c>
      <c r="B300" s="39" t="s">
        <v>275</v>
      </c>
      <c r="C300" s="39" t="s">
        <v>305</v>
      </c>
      <c r="D300" s="39" t="s">
        <v>200</v>
      </c>
      <c r="E300" s="39" t="s">
        <v>280</v>
      </c>
      <c r="F300" s="39">
        <v>1</v>
      </c>
      <c r="G300" s="40">
        <v>178.75</v>
      </c>
      <c r="H300" s="40">
        <f t="shared" si="4"/>
        <v>178.75</v>
      </c>
      <c r="I300" s="39" t="s">
        <v>352</v>
      </c>
    </row>
    <row r="301" spans="1:9" ht="14.25" customHeight="1" x14ac:dyDescent="0.3">
      <c r="A301" s="39" t="s">
        <v>21</v>
      </c>
      <c r="B301" s="39" t="s">
        <v>275</v>
      </c>
      <c r="C301" s="39" t="s">
        <v>305</v>
      </c>
      <c r="D301" s="39" t="s">
        <v>202</v>
      </c>
      <c r="E301" s="39" t="s">
        <v>280</v>
      </c>
      <c r="F301" s="39">
        <v>1</v>
      </c>
      <c r="G301" s="40">
        <v>51.82</v>
      </c>
      <c r="H301" s="40">
        <f t="shared" ref="H301:H332" si="5">G301*F301</f>
        <v>51.82</v>
      </c>
      <c r="I301" s="39" t="s">
        <v>352</v>
      </c>
    </row>
    <row r="302" spans="1:9" ht="14.25" customHeight="1" x14ac:dyDescent="0.3">
      <c r="A302" s="39" t="s">
        <v>21</v>
      </c>
      <c r="B302" s="39" t="s">
        <v>275</v>
      </c>
      <c r="C302" s="39" t="s">
        <v>306</v>
      </c>
      <c r="D302" s="39" t="s">
        <v>198</v>
      </c>
      <c r="E302" s="39" t="s">
        <v>280</v>
      </c>
      <c r="F302" s="39">
        <v>11</v>
      </c>
      <c r="G302" s="40">
        <v>30</v>
      </c>
      <c r="H302" s="40">
        <f t="shared" si="5"/>
        <v>330</v>
      </c>
      <c r="I302" s="39" t="s">
        <v>344</v>
      </c>
    </row>
    <row r="303" spans="1:9" ht="14.25" customHeight="1" x14ac:dyDescent="0.3">
      <c r="A303" s="39" t="s">
        <v>21</v>
      </c>
      <c r="B303" s="39" t="s">
        <v>275</v>
      </c>
      <c r="C303" s="39" t="s">
        <v>304</v>
      </c>
      <c r="D303" s="39" t="s">
        <v>167</v>
      </c>
      <c r="E303" s="39" t="s">
        <v>280</v>
      </c>
      <c r="F303" s="39">
        <v>11</v>
      </c>
      <c r="G303" s="40">
        <v>9.85</v>
      </c>
      <c r="H303" s="40">
        <f t="shared" si="5"/>
        <v>108.35</v>
      </c>
      <c r="I303" s="39" t="s">
        <v>344</v>
      </c>
    </row>
    <row r="304" spans="1:9" ht="14.25" customHeight="1" x14ac:dyDescent="0.3">
      <c r="A304" s="39" t="s">
        <v>21</v>
      </c>
      <c r="B304" s="39" t="s">
        <v>275</v>
      </c>
      <c r="C304" s="39" t="s">
        <v>304</v>
      </c>
      <c r="D304" s="39" t="s">
        <v>168</v>
      </c>
      <c r="E304" s="39" t="s">
        <v>280</v>
      </c>
      <c r="F304" s="39">
        <v>11</v>
      </c>
      <c r="G304" s="40">
        <v>2.04</v>
      </c>
      <c r="H304" s="40">
        <f t="shared" si="5"/>
        <v>22.44</v>
      </c>
      <c r="I304" s="39" t="s">
        <v>344</v>
      </c>
    </row>
    <row r="305" spans="1:9" ht="14.25" customHeight="1" x14ac:dyDescent="0.3">
      <c r="A305" s="39" t="s">
        <v>21</v>
      </c>
      <c r="B305" s="39" t="s">
        <v>275</v>
      </c>
      <c r="C305" s="39" t="s">
        <v>299</v>
      </c>
      <c r="D305" s="39" t="s">
        <v>332</v>
      </c>
      <c r="E305" s="39" t="s">
        <v>280</v>
      </c>
      <c r="F305" s="39">
        <v>1</v>
      </c>
      <c r="G305" s="40">
        <v>6816.97</v>
      </c>
      <c r="H305" s="40">
        <f t="shared" si="5"/>
        <v>6816.97</v>
      </c>
      <c r="I305" s="39" t="s">
        <v>346</v>
      </c>
    </row>
    <row r="306" spans="1:9" ht="14.25" customHeight="1" x14ac:dyDescent="0.3">
      <c r="A306" s="39" t="s">
        <v>21</v>
      </c>
      <c r="B306" s="39" t="s">
        <v>275</v>
      </c>
      <c r="C306" s="39" t="s">
        <v>299</v>
      </c>
      <c r="D306" s="39" t="s">
        <v>197</v>
      </c>
      <c r="E306" s="39" t="s">
        <v>283</v>
      </c>
      <c r="F306" s="39">
        <v>1</v>
      </c>
      <c r="G306" s="40">
        <v>34886.0380622222</v>
      </c>
      <c r="H306" s="40">
        <f t="shared" si="5"/>
        <v>34886.0380622222</v>
      </c>
      <c r="I306" s="39" t="s">
        <v>353</v>
      </c>
    </row>
    <row r="307" spans="1:9" ht="14.25" customHeight="1" x14ac:dyDescent="0.3">
      <c r="A307" s="39" t="s">
        <v>21</v>
      </c>
      <c r="B307" t="s">
        <v>275</v>
      </c>
      <c r="C307" t="s">
        <v>299</v>
      </c>
      <c r="D307" t="s">
        <v>301</v>
      </c>
      <c r="E307" t="s">
        <v>283</v>
      </c>
      <c r="F307">
        <v>1</v>
      </c>
      <c r="G307">
        <v>1152.22</v>
      </c>
      <c r="H307" s="40">
        <f t="shared" si="5"/>
        <v>1152.22</v>
      </c>
      <c r="I307" s="39" t="s">
        <v>354</v>
      </c>
    </row>
    <row r="308" spans="1:9" ht="14.25" customHeight="1" x14ac:dyDescent="0.3">
      <c r="A308" s="39" t="s">
        <v>21</v>
      </c>
      <c r="B308" s="39" t="s">
        <v>275</v>
      </c>
      <c r="C308" s="39" t="s">
        <v>299</v>
      </c>
      <c r="D308" s="39" t="s">
        <v>170</v>
      </c>
      <c r="E308" s="39" t="s">
        <v>283</v>
      </c>
      <c r="F308" s="39">
        <v>17</v>
      </c>
      <c r="G308" s="40">
        <v>26</v>
      </c>
      <c r="H308" s="40">
        <f t="shared" si="5"/>
        <v>442</v>
      </c>
      <c r="I308" s="39" t="s">
        <v>344</v>
      </c>
    </row>
    <row r="309" spans="1:9" ht="14.25" customHeight="1" x14ac:dyDescent="0.3">
      <c r="A309" s="39" t="s">
        <v>21</v>
      </c>
      <c r="B309" t="s">
        <v>275</v>
      </c>
      <c r="C309" t="s">
        <v>299</v>
      </c>
      <c r="D309" t="s">
        <v>171</v>
      </c>
      <c r="E309" t="s">
        <v>283</v>
      </c>
      <c r="F309">
        <v>17</v>
      </c>
      <c r="G309">
        <v>42.77</v>
      </c>
      <c r="H309">
        <f t="shared" si="5"/>
        <v>727.09</v>
      </c>
      <c r="I309" t="s">
        <v>344</v>
      </c>
    </row>
    <row r="310" spans="1:9" ht="14.25" customHeight="1" x14ac:dyDescent="0.3">
      <c r="A310" s="39" t="s">
        <v>21</v>
      </c>
      <c r="B310" s="39" t="s">
        <v>275</v>
      </c>
      <c r="C310" s="39" t="s">
        <v>44</v>
      </c>
      <c r="D310" s="39" t="s">
        <v>169</v>
      </c>
      <c r="E310" s="39" t="s">
        <v>283</v>
      </c>
      <c r="F310" s="39">
        <v>17</v>
      </c>
      <c r="G310" s="40">
        <v>63.75</v>
      </c>
      <c r="H310" s="40">
        <f t="shared" si="5"/>
        <v>1083.75</v>
      </c>
      <c r="I310" s="39" t="s">
        <v>344</v>
      </c>
    </row>
    <row r="311" spans="1:9" ht="14.25" customHeight="1" x14ac:dyDescent="0.3">
      <c r="A311" s="39" t="s">
        <v>21</v>
      </c>
      <c r="B311" s="39" t="s">
        <v>275</v>
      </c>
      <c r="C311" s="39" t="s">
        <v>44</v>
      </c>
      <c r="D311" s="39" t="s">
        <v>199</v>
      </c>
      <c r="E311" s="39" t="s">
        <v>283</v>
      </c>
      <c r="F311" s="39">
        <v>1</v>
      </c>
      <c r="G311" s="40">
        <v>154.78</v>
      </c>
      <c r="H311" s="40">
        <f t="shared" si="5"/>
        <v>154.78</v>
      </c>
      <c r="I311" s="39" t="s">
        <v>354</v>
      </c>
    </row>
    <row r="312" spans="1:9" ht="14.25" customHeight="1" x14ac:dyDescent="0.3">
      <c r="A312" s="39" t="s">
        <v>21</v>
      </c>
      <c r="B312" s="39" t="s">
        <v>275</v>
      </c>
      <c r="C312" s="39" t="s">
        <v>305</v>
      </c>
      <c r="D312" s="39" t="s">
        <v>200</v>
      </c>
      <c r="E312" s="39" t="s">
        <v>283</v>
      </c>
      <c r="F312" s="39">
        <v>1</v>
      </c>
      <c r="G312" s="40">
        <v>296.91000000000003</v>
      </c>
      <c r="H312" s="40">
        <f t="shared" si="5"/>
        <v>296.91000000000003</v>
      </c>
      <c r="I312" s="39" t="s">
        <v>354</v>
      </c>
    </row>
    <row r="313" spans="1:9" ht="14.25" customHeight="1" x14ac:dyDescent="0.3">
      <c r="A313" s="39" t="s">
        <v>21</v>
      </c>
      <c r="B313" s="39" t="s">
        <v>275</v>
      </c>
      <c r="C313" s="39" t="s">
        <v>305</v>
      </c>
      <c r="D313" s="39" t="s">
        <v>202</v>
      </c>
      <c r="E313" s="39" t="s">
        <v>283</v>
      </c>
      <c r="F313" s="39">
        <v>1</v>
      </c>
      <c r="G313" s="40">
        <v>86.07</v>
      </c>
      <c r="H313" s="40">
        <f t="shared" si="5"/>
        <v>86.07</v>
      </c>
      <c r="I313" s="39" t="s">
        <v>354</v>
      </c>
    </row>
    <row r="314" spans="1:9" ht="14.25" customHeight="1" x14ac:dyDescent="0.3">
      <c r="A314" s="39" t="s">
        <v>21</v>
      </c>
      <c r="B314" s="39" t="s">
        <v>275</v>
      </c>
      <c r="C314" s="39" t="s">
        <v>306</v>
      </c>
      <c r="D314" s="39" t="s">
        <v>198</v>
      </c>
      <c r="E314" s="39" t="s">
        <v>283</v>
      </c>
      <c r="F314" s="39">
        <v>17</v>
      </c>
      <c r="G314" s="40">
        <v>30</v>
      </c>
      <c r="H314" s="40">
        <f t="shared" si="5"/>
        <v>510</v>
      </c>
      <c r="I314" s="39" t="s">
        <v>344</v>
      </c>
    </row>
    <row r="315" spans="1:9" ht="14.25" customHeight="1" x14ac:dyDescent="0.3">
      <c r="A315" s="39" t="s">
        <v>21</v>
      </c>
      <c r="B315" s="39" t="s">
        <v>275</v>
      </c>
      <c r="C315" s="39" t="s">
        <v>304</v>
      </c>
      <c r="D315" s="39" t="s">
        <v>167</v>
      </c>
      <c r="E315" s="39" t="s">
        <v>283</v>
      </c>
      <c r="F315" s="39">
        <v>17</v>
      </c>
      <c r="G315" s="40">
        <v>9.85</v>
      </c>
      <c r="H315" s="40">
        <f t="shared" si="5"/>
        <v>167.45</v>
      </c>
      <c r="I315" s="39" t="s">
        <v>344</v>
      </c>
    </row>
    <row r="316" spans="1:9" ht="14.25" customHeight="1" x14ac:dyDescent="0.3">
      <c r="A316" s="39" t="s">
        <v>21</v>
      </c>
      <c r="B316" s="39" t="s">
        <v>275</v>
      </c>
      <c r="C316" s="39" t="s">
        <v>304</v>
      </c>
      <c r="D316" s="39" t="s">
        <v>168</v>
      </c>
      <c r="E316" s="39" t="s">
        <v>283</v>
      </c>
      <c r="F316" s="39">
        <v>17</v>
      </c>
      <c r="G316" s="40">
        <v>2.04</v>
      </c>
      <c r="H316" s="40">
        <f t="shared" si="5"/>
        <v>34.68</v>
      </c>
      <c r="I316" s="39" t="s">
        <v>344</v>
      </c>
    </row>
    <row r="317" spans="1:9" ht="14.25" customHeight="1" x14ac:dyDescent="0.3">
      <c r="A317" s="39" t="s">
        <v>21</v>
      </c>
      <c r="B317" s="39" t="s">
        <v>275</v>
      </c>
      <c r="C317" s="39" t="s">
        <v>307</v>
      </c>
      <c r="D317" s="39" t="s">
        <v>203</v>
      </c>
      <c r="E317" s="39" t="s">
        <v>283</v>
      </c>
      <c r="F317" s="39">
        <v>1</v>
      </c>
      <c r="G317" s="40">
        <v>4021.66</v>
      </c>
      <c r="H317" s="40">
        <f t="shared" si="5"/>
        <v>4021.66</v>
      </c>
      <c r="I317" s="39" t="s">
        <v>355</v>
      </c>
    </row>
    <row r="318" spans="1:9" ht="14.25" customHeight="1" x14ac:dyDescent="0.3">
      <c r="A318" s="39" t="s">
        <v>21</v>
      </c>
      <c r="B318" s="39" t="s">
        <v>287</v>
      </c>
      <c r="C318" s="39" t="s">
        <v>299</v>
      </c>
      <c r="D318" s="39" t="s">
        <v>197</v>
      </c>
      <c r="E318" s="39" t="s">
        <v>286</v>
      </c>
      <c r="F318" s="39">
        <v>1</v>
      </c>
      <c r="G318" s="40">
        <v>24757.86</v>
      </c>
      <c r="H318" s="40">
        <f t="shared" si="5"/>
        <v>24757.86</v>
      </c>
      <c r="I318" s="39" t="s">
        <v>356</v>
      </c>
    </row>
    <row r="319" spans="1:9" ht="14.25" customHeight="1" x14ac:dyDescent="0.3">
      <c r="A319" s="39" t="s">
        <v>21</v>
      </c>
      <c r="B319" s="39" t="s">
        <v>287</v>
      </c>
      <c r="C319" s="39" t="s">
        <v>299</v>
      </c>
      <c r="D319" s="39" t="s">
        <v>170</v>
      </c>
      <c r="E319" s="39" t="s">
        <v>286</v>
      </c>
      <c r="F319" s="39">
        <v>14</v>
      </c>
      <c r="G319" s="40">
        <v>26</v>
      </c>
      <c r="H319" s="40">
        <f t="shared" si="5"/>
        <v>364</v>
      </c>
      <c r="I319" s="39" t="s">
        <v>344</v>
      </c>
    </row>
    <row r="320" spans="1:9" ht="14.25" customHeight="1" x14ac:dyDescent="0.3">
      <c r="A320" s="39" t="s">
        <v>21</v>
      </c>
      <c r="B320" s="39" t="s">
        <v>287</v>
      </c>
      <c r="C320" s="39" t="s">
        <v>299</v>
      </c>
      <c r="D320" s="39" t="s">
        <v>171</v>
      </c>
      <c r="E320" s="39" t="s">
        <v>286</v>
      </c>
      <c r="F320" s="39">
        <v>14</v>
      </c>
      <c r="G320" s="40">
        <v>42.77</v>
      </c>
      <c r="H320" s="40">
        <f t="shared" si="5"/>
        <v>598.78000000000009</v>
      </c>
      <c r="I320" s="39" t="s">
        <v>344</v>
      </c>
    </row>
    <row r="321" spans="1:9" ht="14.25" customHeight="1" x14ac:dyDescent="0.3">
      <c r="A321" s="39" t="s">
        <v>21</v>
      </c>
      <c r="B321" s="39" t="s">
        <v>287</v>
      </c>
      <c r="C321" s="39" t="s">
        <v>44</v>
      </c>
      <c r="D321" s="39" t="s">
        <v>169</v>
      </c>
      <c r="E321" s="39" t="s">
        <v>286</v>
      </c>
      <c r="F321" s="39">
        <v>14</v>
      </c>
      <c r="G321" s="40">
        <v>63.75</v>
      </c>
      <c r="H321" s="40">
        <f t="shared" si="5"/>
        <v>892.5</v>
      </c>
      <c r="I321" s="39" t="s">
        <v>344</v>
      </c>
    </row>
    <row r="322" spans="1:9" ht="14.25" customHeight="1" x14ac:dyDescent="0.3">
      <c r="A322" s="39" t="s">
        <v>21</v>
      </c>
      <c r="B322" s="39" t="s">
        <v>287</v>
      </c>
      <c r="C322" s="39" t="s">
        <v>44</v>
      </c>
      <c r="D322" s="39" t="s">
        <v>199</v>
      </c>
      <c r="E322" s="39" t="s">
        <v>286</v>
      </c>
      <c r="F322" s="39">
        <v>1</v>
      </c>
      <c r="G322" s="40">
        <v>151.6</v>
      </c>
      <c r="H322" s="40">
        <f t="shared" si="5"/>
        <v>151.6</v>
      </c>
      <c r="I322" s="39" t="s">
        <v>357</v>
      </c>
    </row>
    <row r="323" spans="1:9" ht="14.25" customHeight="1" x14ac:dyDescent="0.3">
      <c r="A323" s="39" t="s">
        <v>21</v>
      </c>
      <c r="B323" s="39" t="s">
        <v>287</v>
      </c>
      <c r="C323" s="39" t="s">
        <v>306</v>
      </c>
      <c r="D323" s="39" t="s">
        <v>198</v>
      </c>
      <c r="E323" s="39" t="s">
        <v>286</v>
      </c>
      <c r="F323" s="39">
        <v>14</v>
      </c>
      <c r="G323" s="40">
        <v>30</v>
      </c>
      <c r="H323" s="40">
        <f t="shared" si="5"/>
        <v>420</v>
      </c>
      <c r="I323" s="39" t="s">
        <v>344</v>
      </c>
    </row>
    <row r="324" spans="1:9" ht="15" customHeight="1" x14ac:dyDescent="0.3">
      <c r="A324" s="39" t="s">
        <v>21</v>
      </c>
      <c r="B324" s="39" t="s">
        <v>287</v>
      </c>
      <c r="C324" s="39" t="s">
        <v>304</v>
      </c>
      <c r="D324" s="39" t="s">
        <v>167</v>
      </c>
      <c r="E324" s="39" t="s">
        <v>286</v>
      </c>
      <c r="F324" s="39">
        <v>14</v>
      </c>
      <c r="G324" s="40">
        <v>9.85</v>
      </c>
      <c r="H324" s="40">
        <f t="shared" si="5"/>
        <v>137.9</v>
      </c>
      <c r="I324" s="39" t="s">
        <v>344</v>
      </c>
    </row>
    <row r="325" spans="1:9" ht="14.25" customHeight="1" x14ac:dyDescent="0.3">
      <c r="A325" s="39" t="s">
        <v>21</v>
      </c>
      <c r="B325" s="39" t="s">
        <v>287</v>
      </c>
      <c r="C325" s="39" t="s">
        <v>304</v>
      </c>
      <c r="D325" s="39" t="s">
        <v>168</v>
      </c>
      <c r="E325" s="39" t="s">
        <v>286</v>
      </c>
      <c r="F325" s="39">
        <v>14</v>
      </c>
      <c r="G325" s="40">
        <v>2.04</v>
      </c>
      <c r="H325" s="40">
        <f t="shared" si="5"/>
        <v>28.560000000000002</v>
      </c>
      <c r="I325" s="39" t="s">
        <v>344</v>
      </c>
    </row>
    <row r="326" spans="1:9" ht="14.25" customHeight="1" x14ac:dyDescent="0.3">
      <c r="A326" s="39" t="s">
        <v>21</v>
      </c>
      <c r="B326" s="39" t="s">
        <v>287</v>
      </c>
      <c r="C326" s="39" t="s">
        <v>307</v>
      </c>
      <c r="D326" s="39" t="s">
        <v>203</v>
      </c>
      <c r="E326" s="39" t="s">
        <v>286</v>
      </c>
      <c r="F326" s="39">
        <v>1</v>
      </c>
      <c r="G326" s="40">
        <v>1619.89</v>
      </c>
      <c r="H326" s="40">
        <f t="shared" si="5"/>
        <v>1619.89</v>
      </c>
      <c r="I326" s="39" t="s">
        <v>313</v>
      </c>
    </row>
    <row r="327" spans="1:9" ht="14.25" customHeight="1" x14ac:dyDescent="0.3">
      <c r="A327" s="39" t="s">
        <v>21</v>
      </c>
      <c r="B327" s="39" t="s">
        <v>287</v>
      </c>
      <c r="C327" s="39" t="s">
        <v>299</v>
      </c>
      <c r="D327" s="39" t="s">
        <v>332</v>
      </c>
      <c r="E327" s="39" t="s">
        <v>286</v>
      </c>
      <c r="F327" s="39">
        <v>1</v>
      </c>
      <c r="G327" s="40">
        <v>13894.53</v>
      </c>
      <c r="H327" s="40">
        <f t="shared" si="5"/>
        <v>13894.53</v>
      </c>
      <c r="I327" s="39" t="s">
        <v>346</v>
      </c>
    </row>
    <row r="328" spans="1:9" ht="14.25" customHeight="1" x14ac:dyDescent="0.3">
      <c r="A328" s="39" t="s">
        <v>21</v>
      </c>
      <c r="B328" s="39" t="s">
        <v>282</v>
      </c>
      <c r="C328" s="39" t="s">
        <v>299</v>
      </c>
      <c r="D328" s="39" t="s">
        <v>197</v>
      </c>
      <c r="E328" s="39" t="s">
        <v>280</v>
      </c>
      <c r="F328" s="39">
        <v>1</v>
      </c>
      <c r="G328" s="40">
        <v>5461.35</v>
      </c>
      <c r="H328" s="40">
        <f t="shared" si="5"/>
        <v>5461.35</v>
      </c>
      <c r="I328" s="39" t="s">
        <v>358</v>
      </c>
    </row>
    <row r="329" spans="1:9" ht="14.25" customHeight="1" x14ac:dyDescent="0.3">
      <c r="A329" s="39" t="s">
        <v>21</v>
      </c>
      <c r="B329" s="39" t="s">
        <v>282</v>
      </c>
      <c r="C329" s="39" t="s">
        <v>299</v>
      </c>
      <c r="D329" s="39" t="s">
        <v>170</v>
      </c>
      <c r="E329" s="39" t="s">
        <v>280</v>
      </c>
      <c r="F329" s="39">
        <v>2</v>
      </c>
      <c r="G329" s="40">
        <v>26</v>
      </c>
      <c r="H329" s="40">
        <f t="shared" si="5"/>
        <v>52</v>
      </c>
      <c r="I329" s="39" t="s">
        <v>344</v>
      </c>
    </row>
    <row r="330" spans="1:9" ht="14.25" customHeight="1" x14ac:dyDescent="0.3">
      <c r="A330" s="39" t="s">
        <v>21</v>
      </c>
      <c r="B330" s="39" t="s">
        <v>282</v>
      </c>
      <c r="C330" s="39" t="s">
        <v>299</v>
      </c>
      <c r="D330" s="39" t="s">
        <v>171</v>
      </c>
      <c r="E330" s="39" t="s">
        <v>280</v>
      </c>
      <c r="F330" s="39">
        <v>2</v>
      </c>
      <c r="G330" s="40">
        <v>42.77</v>
      </c>
      <c r="H330" s="40">
        <f t="shared" si="5"/>
        <v>85.54</v>
      </c>
      <c r="I330" s="39" t="s">
        <v>344</v>
      </c>
    </row>
    <row r="331" spans="1:9" ht="14.25" customHeight="1" x14ac:dyDescent="0.3">
      <c r="A331" s="39" t="s">
        <v>21</v>
      </c>
      <c r="B331" s="39" t="s">
        <v>282</v>
      </c>
      <c r="C331" s="39" t="s">
        <v>44</v>
      </c>
      <c r="D331" s="39" t="s">
        <v>169</v>
      </c>
      <c r="E331" s="39" t="s">
        <v>280</v>
      </c>
      <c r="F331" s="39">
        <v>2</v>
      </c>
      <c r="G331" s="40">
        <v>63.75</v>
      </c>
      <c r="H331" s="40">
        <f t="shared" si="5"/>
        <v>127.5</v>
      </c>
      <c r="I331" s="39" t="s">
        <v>344</v>
      </c>
    </row>
    <row r="332" spans="1:9" ht="14.25" customHeight="1" x14ac:dyDescent="0.3">
      <c r="A332" s="39" t="s">
        <v>21</v>
      </c>
      <c r="B332" s="39" t="s">
        <v>282</v>
      </c>
      <c r="C332" s="39" t="s">
        <v>306</v>
      </c>
      <c r="D332" s="39" t="s">
        <v>198</v>
      </c>
      <c r="E332" s="39" t="s">
        <v>280</v>
      </c>
      <c r="F332" s="39">
        <v>2</v>
      </c>
      <c r="G332" s="40">
        <v>30</v>
      </c>
      <c r="H332" s="40">
        <f t="shared" si="5"/>
        <v>60</v>
      </c>
      <c r="I332" s="39" t="s">
        <v>344</v>
      </c>
    </row>
    <row r="333" spans="1:9" ht="14.25" customHeight="1" x14ac:dyDescent="0.3">
      <c r="A333" s="39" t="s">
        <v>21</v>
      </c>
      <c r="B333" s="39" t="s">
        <v>282</v>
      </c>
      <c r="C333" s="39" t="s">
        <v>304</v>
      </c>
      <c r="D333" s="39" t="s">
        <v>167</v>
      </c>
      <c r="E333" s="39" t="s">
        <v>280</v>
      </c>
      <c r="F333" s="39">
        <v>2</v>
      </c>
      <c r="G333" s="40">
        <v>9.85</v>
      </c>
      <c r="H333" s="40">
        <f t="shared" ref="H333:H353" si="6">G333*F333</f>
        <v>19.7</v>
      </c>
      <c r="I333" s="39" t="s">
        <v>344</v>
      </c>
    </row>
    <row r="334" spans="1:9" ht="14.25" customHeight="1" x14ac:dyDescent="0.3">
      <c r="A334" s="39" t="s">
        <v>21</v>
      </c>
      <c r="B334" s="39" t="s">
        <v>282</v>
      </c>
      <c r="C334" s="39" t="s">
        <v>304</v>
      </c>
      <c r="D334" s="39" t="s">
        <v>168</v>
      </c>
      <c r="E334" s="39" t="s">
        <v>280</v>
      </c>
      <c r="F334" s="39">
        <v>2</v>
      </c>
      <c r="G334" s="40">
        <v>2.04</v>
      </c>
      <c r="H334" s="40">
        <f t="shared" si="6"/>
        <v>4.08</v>
      </c>
      <c r="I334" s="39" t="s">
        <v>344</v>
      </c>
    </row>
    <row r="335" spans="1:9" ht="14.25" customHeight="1" x14ac:dyDescent="0.3">
      <c r="A335" s="39" t="s">
        <v>21</v>
      </c>
      <c r="B335" s="39" t="s">
        <v>282</v>
      </c>
      <c r="C335" s="39" t="s">
        <v>307</v>
      </c>
      <c r="D335" s="39" t="s">
        <v>203</v>
      </c>
      <c r="E335" s="39" t="s">
        <v>280</v>
      </c>
      <c r="F335" s="39">
        <v>1</v>
      </c>
      <c r="G335" s="40">
        <v>819.89</v>
      </c>
      <c r="H335" s="40">
        <f t="shared" si="6"/>
        <v>819.89</v>
      </c>
      <c r="I335" s="39" t="s">
        <v>313</v>
      </c>
    </row>
    <row r="336" spans="1:9" ht="14.25" customHeight="1" x14ac:dyDescent="0.3">
      <c r="A336" s="39" t="s">
        <v>21</v>
      </c>
      <c r="B336" s="39" t="s">
        <v>290</v>
      </c>
      <c r="C336" s="39" t="s">
        <v>299</v>
      </c>
      <c r="D336" s="39" t="s">
        <v>197</v>
      </c>
      <c r="E336" s="39" t="s">
        <v>286</v>
      </c>
      <c r="F336" s="39">
        <v>1</v>
      </c>
      <c r="G336" s="40">
        <v>30952.41</v>
      </c>
      <c r="H336" s="40">
        <f t="shared" si="6"/>
        <v>30952.41</v>
      </c>
      <c r="I336" s="39" t="s">
        <v>359</v>
      </c>
    </row>
    <row r="337" spans="1:9" ht="14.25" customHeight="1" x14ac:dyDescent="0.3">
      <c r="A337" s="39" t="s">
        <v>21</v>
      </c>
      <c r="B337" s="39" t="s">
        <v>290</v>
      </c>
      <c r="C337" s="39" t="s">
        <v>299</v>
      </c>
      <c r="D337" s="39" t="s">
        <v>301</v>
      </c>
      <c r="E337" s="39" t="s">
        <v>286</v>
      </c>
      <c r="F337" s="39">
        <v>1</v>
      </c>
      <c r="G337" s="40">
        <v>1854</v>
      </c>
      <c r="H337" s="40">
        <f t="shared" si="6"/>
        <v>1854</v>
      </c>
      <c r="I337" s="39" t="s">
        <v>357</v>
      </c>
    </row>
    <row r="338" spans="1:9" ht="14.25" customHeight="1" x14ac:dyDescent="0.3">
      <c r="A338" s="39" t="s">
        <v>21</v>
      </c>
      <c r="B338" s="39" t="s">
        <v>290</v>
      </c>
      <c r="C338" s="39" t="s">
        <v>299</v>
      </c>
      <c r="D338" s="39" t="s">
        <v>170</v>
      </c>
      <c r="E338" s="39" t="s">
        <v>286</v>
      </c>
      <c r="F338" s="39">
        <v>20</v>
      </c>
      <c r="G338" s="40">
        <v>26</v>
      </c>
      <c r="H338" s="40">
        <f t="shared" si="6"/>
        <v>520</v>
      </c>
      <c r="I338" s="39" t="s">
        <v>344</v>
      </c>
    </row>
    <row r="339" spans="1:9" ht="14.25" customHeight="1" x14ac:dyDescent="0.3">
      <c r="A339" s="39" t="s">
        <v>21</v>
      </c>
      <c r="B339" s="39" t="s">
        <v>290</v>
      </c>
      <c r="C339" s="39" t="s">
        <v>299</v>
      </c>
      <c r="D339" s="39" t="s">
        <v>171</v>
      </c>
      <c r="E339" s="39" t="s">
        <v>286</v>
      </c>
      <c r="F339" s="39">
        <v>20</v>
      </c>
      <c r="G339" s="40">
        <v>42.77</v>
      </c>
      <c r="H339" s="40">
        <f t="shared" si="6"/>
        <v>855.40000000000009</v>
      </c>
      <c r="I339" s="39" t="s">
        <v>344</v>
      </c>
    </row>
    <row r="340" spans="1:9" ht="14.25" customHeight="1" x14ac:dyDescent="0.3">
      <c r="A340" s="39" t="s">
        <v>21</v>
      </c>
      <c r="B340" s="39" t="s">
        <v>290</v>
      </c>
      <c r="C340" s="39" t="s">
        <v>44</v>
      </c>
      <c r="D340" s="39" t="s">
        <v>169</v>
      </c>
      <c r="E340" s="39" t="s">
        <v>286</v>
      </c>
      <c r="F340" s="39">
        <v>20</v>
      </c>
      <c r="G340" s="40">
        <v>63.75</v>
      </c>
      <c r="H340" s="40">
        <f t="shared" si="6"/>
        <v>1275</v>
      </c>
      <c r="I340" s="39" t="s">
        <v>344</v>
      </c>
    </row>
    <row r="341" spans="1:9" ht="14.25" customHeight="1" x14ac:dyDescent="0.3">
      <c r="A341" s="39" t="s">
        <v>21</v>
      </c>
      <c r="B341" s="39" t="s">
        <v>290</v>
      </c>
      <c r="C341" s="39" t="s">
        <v>306</v>
      </c>
      <c r="D341" s="39" t="s">
        <v>198</v>
      </c>
      <c r="E341" s="39" t="s">
        <v>286</v>
      </c>
      <c r="F341" s="39">
        <v>20</v>
      </c>
      <c r="G341" s="40">
        <v>30</v>
      </c>
      <c r="H341" s="40">
        <f t="shared" si="6"/>
        <v>600</v>
      </c>
      <c r="I341" s="39" t="s">
        <v>344</v>
      </c>
    </row>
    <row r="342" spans="1:9" ht="14.25" customHeight="1" x14ac:dyDescent="0.3">
      <c r="A342" s="39" t="s">
        <v>21</v>
      </c>
      <c r="B342" s="39" t="s">
        <v>290</v>
      </c>
      <c r="C342" s="39" t="s">
        <v>304</v>
      </c>
      <c r="D342" s="39" t="s">
        <v>167</v>
      </c>
      <c r="E342" s="39" t="s">
        <v>286</v>
      </c>
      <c r="F342" s="39">
        <v>20</v>
      </c>
      <c r="G342" s="40">
        <v>9.85</v>
      </c>
      <c r="H342" s="40">
        <f t="shared" si="6"/>
        <v>197</v>
      </c>
      <c r="I342" s="39" t="s">
        <v>344</v>
      </c>
    </row>
    <row r="343" spans="1:9" ht="14.25" customHeight="1" x14ac:dyDescent="0.3">
      <c r="A343" s="39" t="s">
        <v>21</v>
      </c>
      <c r="B343" s="39" t="s">
        <v>290</v>
      </c>
      <c r="C343" s="39" t="s">
        <v>304</v>
      </c>
      <c r="D343" s="39" t="s">
        <v>168</v>
      </c>
      <c r="E343" s="39" t="s">
        <v>286</v>
      </c>
      <c r="F343" s="39">
        <v>20</v>
      </c>
      <c r="G343" s="40">
        <v>2.04</v>
      </c>
      <c r="H343" s="40">
        <f t="shared" si="6"/>
        <v>40.799999999999997</v>
      </c>
      <c r="I343" s="39" t="s">
        <v>344</v>
      </c>
    </row>
    <row r="344" spans="1:9" ht="14.25" customHeight="1" x14ac:dyDescent="0.3">
      <c r="A344" s="39" t="s">
        <v>21</v>
      </c>
      <c r="B344" s="39" t="s">
        <v>290</v>
      </c>
      <c r="C344" s="39" t="s">
        <v>307</v>
      </c>
      <c r="D344" s="39" t="s">
        <v>203</v>
      </c>
      <c r="E344" s="39" t="s">
        <v>286</v>
      </c>
      <c r="F344" s="39">
        <v>1</v>
      </c>
      <c r="G344" s="40">
        <v>8955.16</v>
      </c>
      <c r="H344" s="40">
        <f t="shared" si="6"/>
        <v>8955.16</v>
      </c>
      <c r="I344" s="39" t="s">
        <v>313</v>
      </c>
    </row>
    <row r="345" spans="1:9" ht="14.25" customHeight="1" x14ac:dyDescent="0.3">
      <c r="A345" s="39" t="s">
        <v>21</v>
      </c>
      <c r="B345" s="39" t="s">
        <v>290</v>
      </c>
      <c r="C345" s="39" t="s">
        <v>299</v>
      </c>
      <c r="D345" s="39" t="s">
        <v>332</v>
      </c>
      <c r="E345" s="39" t="s">
        <v>286</v>
      </c>
      <c r="F345" s="39">
        <v>1</v>
      </c>
      <c r="G345" s="40">
        <v>14147.43</v>
      </c>
      <c r="H345" s="40">
        <f t="shared" si="6"/>
        <v>14147.43</v>
      </c>
      <c r="I345" s="39" t="s">
        <v>346</v>
      </c>
    </row>
    <row r="346" spans="1:9" ht="14.25" customHeight="1" x14ac:dyDescent="0.3">
      <c r="A346" s="39" t="s">
        <v>21</v>
      </c>
      <c r="B346" s="39" t="s">
        <v>285</v>
      </c>
      <c r="C346" s="39" t="s">
        <v>299</v>
      </c>
      <c r="D346" s="39" t="s">
        <v>197</v>
      </c>
      <c r="E346" s="39" t="s">
        <v>283</v>
      </c>
      <c r="F346" s="39">
        <v>1</v>
      </c>
      <c r="G346" s="40">
        <v>9667.49</v>
      </c>
      <c r="H346" s="40">
        <f t="shared" si="6"/>
        <v>9667.49</v>
      </c>
      <c r="I346" s="39" t="s">
        <v>360</v>
      </c>
    </row>
    <row r="347" spans="1:9" ht="14.25" customHeight="1" x14ac:dyDescent="0.3">
      <c r="A347" s="39" t="s">
        <v>21</v>
      </c>
      <c r="B347" s="39" t="s">
        <v>285</v>
      </c>
      <c r="C347" s="39" t="s">
        <v>299</v>
      </c>
      <c r="D347" s="39" t="s">
        <v>170</v>
      </c>
      <c r="E347" s="39" t="s">
        <v>283</v>
      </c>
      <c r="F347" s="39">
        <v>5</v>
      </c>
      <c r="G347" s="40">
        <v>26</v>
      </c>
      <c r="H347" s="40">
        <f t="shared" si="6"/>
        <v>130</v>
      </c>
      <c r="I347" s="39" t="s">
        <v>344</v>
      </c>
    </row>
    <row r="348" spans="1:9" ht="14.25" customHeight="1" x14ac:dyDescent="0.3">
      <c r="A348" s="39" t="s">
        <v>21</v>
      </c>
      <c r="B348" s="39" t="s">
        <v>285</v>
      </c>
      <c r="C348" s="39" t="s">
        <v>299</v>
      </c>
      <c r="D348" s="39" t="s">
        <v>171</v>
      </c>
      <c r="E348" s="39" t="s">
        <v>283</v>
      </c>
      <c r="F348" s="39">
        <v>5</v>
      </c>
      <c r="G348" s="40">
        <v>42.77</v>
      </c>
      <c r="H348" s="40">
        <f t="shared" si="6"/>
        <v>213.85000000000002</v>
      </c>
      <c r="I348" s="39" t="s">
        <v>344</v>
      </c>
    </row>
    <row r="349" spans="1:9" ht="15" customHeight="1" x14ac:dyDescent="0.3">
      <c r="A349" s="39" t="s">
        <v>21</v>
      </c>
      <c r="B349" s="39" t="s">
        <v>285</v>
      </c>
      <c r="C349" s="39" t="s">
        <v>44</v>
      </c>
      <c r="D349" s="39" t="s">
        <v>169</v>
      </c>
      <c r="E349" s="39" t="s">
        <v>283</v>
      </c>
      <c r="F349" s="39">
        <v>5</v>
      </c>
      <c r="G349" s="40">
        <v>63.75</v>
      </c>
      <c r="H349" s="40">
        <f t="shared" si="6"/>
        <v>318.75</v>
      </c>
      <c r="I349" s="39" t="s">
        <v>344</v>
      </c>
    </row>
    <row r="350" spans="1:9" ht="14.25" customHeight="1" x14ac:dyDescent="0.3">
      <c r="A350" s="39" t="s">
        <v>21</v>
      </c>
      <c r="B350" s="39" t="s">
        <v>285</v>
      </c>
      <c r="C350" s="39" t="s">
        <v>306</v>
      </c>
      <c r="D350" s="39" t="s">
        <v>198</v>
      </c>
      <c r="E350" s="39" t="s">
        <v>283</v>
      </c>
      <c r="F350" s="39">
        <v>5</v>
      </c>
      <c r="G350" s="40">
        <v>30</v>
      </c>
      <c r="H350" s="40">
        <f t="shared" si="6"/>
        <v>150</v>
      </c>
      <c r="I350" s="39" t="s">
        <v>344</v>
      </c>
    </row>
    <row r="351" spans="1:9" ht="14.25" customHeight="1" x14ac:dyDescent="0.3">
      <c r="A351" s="39" t="s">
        <v>21</v>
      </c>
      <c r="B351" s="39" t="s">
        <v>285</v>
      </c>
      <c r="C351" s="39" t="s">
        <v>304</v>
      </c>
      <c r="D351" s="39" t="s">
        <v>167</v>
      </c>
      <c r="E351" s="39" t="s">
        <v>283</v>
      </c>
      <c r="F351" s="39">
        <v>5</v>
      </c>
      <c r="G351" s="40">
        <v>9.85</v>
      </c>
      <c r="H351" s="40">
        <f t="shared" si="6"/>
        <v>49.25</v>
      </c>
      <c r="I351" s="39" t="s">
        <v>344</v>
      </c>
    </row>
    <row r="352" spans="1:9" ht="14.25" customHeight="1" x14ac:dyDescent="0.3">
      <c r="A352" s="39" t="s">
        <v>21</v>
      </c>
      <c r="B352" s="39" t="s">
        <v>285</v>
      </c>
      <c r="C352" s="39" t="s">
        <v>304</v>
      </c>
      <c r="D352" s="39" t="s">
        <v>168</v>
      </c>
      <c r="E352" s="39" t="s">
        <v>283</v>
      </c>
      <c r="F352" s="39">
        <v>5</v>
      </c>
      <c r="G352" s="40">
        <v>2.04</v>
      </c>
      <c r="H352" s="40">
        <f t="shared" si="6"/>
        <v>10.199999999999999</v>
      </c>
      <c r="I352" s="39" t="s">
        <v>344</v>
      </c>
    </row>
    <row r="353" spans="1:9" ht="14.25" customHeight="1" x14ac:dyDescent="0.3">
      <c r="A353" s="39" t="s">
        <v>21</v>
      </c>
      <c r="B353" s="39" t="s">
        <v>285</v>
      </c>
      <c r="C353" s="39" t="s">
        <v>307</v>
      </c>
      <c r="D353" s="39" t="s">
        <v>203</v>
      </c>
      <c r="E353" s="39" t="s">
        <v>283</v>
      </c>
      <c r="F353" s="39">
        <v>1</v>
      </c>
      <c r="G353" s="40">
        <v>685.08</v>
      </c>
      <c r="H353" s="40">
        <f t="shared" si="6"/>
        <v>685.08</v>
      </c>
      <c r="I353" s="39" t="s">
        <v>313</v>
      </c>
    </row>
    <row r="354" spans="1:9" ht="14.25" customHeight="1" x14ac:dyDescent="0.3">
      <c r="A354" t="s">
        <v>20</v>
      </c>
      <c r="B354" t="s">
        <v>275</v>
      </c>
      <c r="C354" t="s">
        <v>299</v>
      </c>
      <c r="D354" t="s">
        <v>361</v>
      </c>
      <c r="E354" t="s">
        <v>283</v>
      </c>
      <c r="F354">
        <v>1</v>
      </c>
      <c r="G354">
        <v>3706.2</v>
      </c>
      <c r="H354">
        <f t="shared" ref="H354:H389" si="7">F354*G354</f>
        <v>3706.2</v>
      </c>
      <c r="I354" t="s">
        <v>362</v>
      </c>
    </row>
    <row r="355" spans="1:9" ht="15" customHeight="1" x14ac:dyDescent="0.3">
      <c r="A355" t="s">
        <v>20</v>
      </c>
      <c r="B355" t="s">
        <v>275</v>
      </c>
      <c r="C355" t="s">
        <v>307</v>
      </c>
      <c r="D355" t="s">
        <v>363</v>
      </c>
      <c r="E355" t="s">
        <v>283</v>
      </c>
      <c r="F355">
        <v>1</v>
      </c>
      <c r="G355">
        <v>4519.1000000000004</v>
      </c>
      <c r="H355">
        <f t="shared" si="7"/>
        <v>4519.1000000000004</v>
      </c>
      <c r="I355" t="s">
        <v>364</v>
      </c>
    </row>
    <row r="356" spans="1:9" ht="14.25" customHeight="1" x14ac:dyDescent="0.3">
      <c r="A356" t="s">
        <v>11</v>
      </c>
      <c r="B356" t="s">
        <v>275</v>
      </c>
      <c r="C356" t="s">
        <v>299</v>
      </c>
      <c r="D356" t="s">
        <v>361</v>
      </c>
      <c r="E356" t="s">
        <v>283</v>
      </c>
      <c r="F356">
        <v>1</v>
      </c>
      <c r="G356">
        <v>5227.07</v>
      </c>
      <c r="H356">
        <f t="shared" si="7"/>
        <v>5227.07</v>
      </c>
      <c r="I356" t="s">
        <v>362</v>
      </c>
    </row>
    <row r="357" spans="1:9" ht="14.25" customHeight="1" x14ac:dyDescent="0.3">
      <c r="A357" t="s">
        <v>11</v>
      </c>
      <c r="B357" t="s">
        <v>275</v>
      </c>
      <c r="C357" t="s">
        <v>307</v>
      </c>
      <c r="D357" t="s">
        <v>363</v>
      </c>
      <c r="E357" t="s">
        <v>283</v>
      </c>
      <c r="F357">
        <v>1</v>
      </c>
      <c r="G357">
        <v>2688.78</v>
      </c>
      <c r="H357">
        <f t="shared" si="7"/>
        <v>2688.78</v>
      </c>
      <c r="I357" t="s">
        <v>364</v>
      </c>
    </row>
    <row r="358" spans="1:9" ht="14.25" customHeight="1" x14ac:dyDescent="0.3">
      <c r="A358" t="s">
        <v>21</v>
      </c>
      <c r="B358" t="s">
        <v>275</v>
      </c>
      <c r="C358" t="s">
        <v>299</v>
      </c>
      <c r="D358" t="s">
        <v>361</v>
      </c>
      <c r="E358" t="s">
        <v>283</v>
      </c>
      <c r="F358">
        <v>1</v>
      </c>
      <c r="G358">
        <v>4661.82</v>
      </c>
      <c r="H358">
        <f t="shared" si="7"/>
        <v>4661.82</v>
      </c>
      <c r="I358" t="s">
        <v>362</v>
      </c>
    </row>
    <row r="359" spans="1:9" ht="14.25" customHeight="1" x14ac:dyDescent="0.3">
      <c r="A359" t="s">
        <v>21</v>
      </c>
      <c r="B359" t="s">
        <v>275</v>
      </c>
      <c r="C359" t="s">
        <v>307</v>
      </c>
      <c r="D359" t="s">
        <v>363</v>
      </c>
      <c r="E359" t="s">
        <v>283</v>
      </c>
      <c r="F359">
        <v>1</v>
      </c>
      <c r="G359">
        <v>4067.27</v>
      </c>
      <c r="H359">
        <f t="shared" si="7"/>
        <v>4067.27</v>
      </c>
      <c r="I359" t="s">
        <v>364</v>
      </c>
    </row>
    <row r="360" spans="1:9" ht="14.25" customHeight="1" x14ac:dyDescent="0.3">
      <c r="A360" t="s">
        <v>20</v>
      </c>
      <c r="B360" t="s">
        <v>275</v>
      </c>
      <c r="C360" t="s">
        <v>299</v>
      </c>
      <c r="D360" t="s">
        <v>365</v>
      </c>
      <c r="E360" t="s">
        <v>274</v>
      </c>
      <c r="F360">
        <v>1</v>
      </c>
      <c r="G360">
        <v>3706.2</v>
      </c>
      <c r="H360">
        <f t="shared" si="7"/>
        <v>3706.2</v>
      </c>
      <c r="I360" t="s">
        <v>362</v>
      </c>
    </row>
    <row r="361" spans="1:9" ht="14.25" customHeight="1" x14ac:dyDescent="0.3">
      <c r="A361" t="s">
        <v>20</v>
      </c>
      <c r="B361" t="s">
        <v>275</v>
      </c>
      <c r="C361" t="s">
        <v>307</v>
      </c>
      <c r="D361" t="s">
        <v>366</v>
      </c>
      <c r="E361" t="s">
        <v>274</v>
      </c>
      <c r="F361">
        <v>1</v>
      </c>
      <c r="G361">
        <v>3423.22</v>
      </c>
      <c r="H361">
        <f t="shared" si="7"/>
        <v>3423.22</v>
      </c>
      <c r="I361" t="s">
        <v>364</v>
      </c>
    </row>
    <row r="362" spans="1:9" ht="14.25" customHeight="1" x14ac:dyDescent="0.3">
      <c r="A362" t="s">
        <v>11</v>
      </c>
      <c r="B362" t="s">
        <v>275</v>
      </c>
      <c r="C362" t="s">
        <v>299</v>
      </c>
      <c r="D362" t="s">
        <v>365</v>
      </c>
      <c r="E362" t="s">
        <v>274</v>
      </c>
      <c r="F362">
        <v>1</v>
      </c>
      <c r="G362">
        <v>4741.1099999999997</v>
      </c>
      <c r="H362">
        <f t="shared" si="7"/>
        <v>4741.1099999999997</v>
      </c>
      <c r="I362" t="s">
        <v>362</v>
      </c>
    </row>
    <row r="363" spans="1:9" ht="14.25" customHeight="1" x14ac:dyDescent="0.3">
      <c r="A363" t="s">
        <v>11</v>
      </c>
      <c r="B363" t="s">
        <v>275</v>
      </c>
      <c r="C363" t="s">
        <v>307</v>
      </c>
      <c r="D363" t="s">
        <v>366</v>
      </c>
      <c r="E363" t="s">
        <v>274</v>
      </c>
      <c r="F363">
        <v>1</v>
      </c>
      <c r="G363">
        <v>1887.24</v>
      </c>
      <c r="H363">
        <f t="shared" si="7"/>
        <v>1887.24</v>
      </c>
      <c r="I363" t="s">
        <v>364</v>
      </c>
    </row>
    <row r="364" spans="1:9" ht="14.25" customHeight="1" x14ac:dyDescent="0.3">
      <c r="A364" t="s">
        <v>21</v>
      </c>
      <c r="B364" t="s">
        <v>275</v>
      </c>
      <c r="C364" t="s">
        <v>299</v>
      </c>
      <c r="D364" t="s">
        <v>365</v>
      </c>
      <c r="E364" t="s">
        <v>274</v>
      </c>
      <c r="F364">
        <v>1</v>
      </c>
      <c r="G364">
        <v>4661.82</v>
      </c>
      <c r="H364">
        <f t="shared" si="7"/>
        <v>4661.82</v>
      </c>
      <c r="I364" t="s">
        <v>362</v>
      </c>
    </row>
    <row r="365" spans="1:9" ht="14.25" customHeight="1" x14ac:dyDescent="0.3">
      <c r="A365" t="s">
        <v>21</v>
      </c>
      <c r="B365" t="s">
        <v>275</v>
      </c>
      <c r="C365" t="s">
        <v>307</v>
      </c>
      <c r="D365" t="s">
        <v>366</v>
      </c>
      <c r="E365" t="s">
        <v>274</v>
      </c>
      <c r="F365">
        <v>1</v>
      </c>
      <c r="G365">
        <v>3029.1</v>
      </c>
      <c r="H365">
        <f t="shared" si="7"/>
        <v>3029.1</v>
      </c>
      <c r="I365" t="s">
        <v>364</v>
      </c>
    </row>
    <row r="366" spans="1:9" ht="14.25" customHeight="1" x14ac:dyDescent="0.3">
      <c r="A366" t="s">
        <v>20</v>
      </c>
      <c r="B366" t="s">
        <v>275</v>
      </c>
      <c r="C366" t="s">
        <v>299</v>
      </c>
      <c r="D366" t="s">
        <v>367</v>
      </c>
      <c r="E366" t="s">
        <v>274</v>
      </c>
      <c r="F366">
        <v>1</v>
      </c>
      <c r="G366">
        <v>4503.24</v>
      </c>
      <c r="H366">
        <f t="shared" si="7"/>
        <v>4503.24</v>
      </c>
      <c r="I366" t="s">
        <v>362</v>
      </c>
    </row>
    <row r="367" spans="1:9" ht="14.25" customHeight="1" x14ac:dyDescent="0.3">
      <c r="A367" t="s">
        <v>20</v>
      </c>
      <c r="B367" t="s">
        <v>275</v>
      </c>
      <c r="C367" t="s">
        <v>307</v>
      </c>
      <c r="D367" t="s">
        <v>368</v>
      </c>
      <c r="E367" t="s">
        <v>274</v>
      </c>
      <c r="F367">
        <v>1</v>
      </c>
      <c r="G367">
        <v>4841.72</v>
      </c>
      <c r="H367">
        <f t="shared" si="7"/>
        <v>4841.72</v>
      </c>
      <c r="I367" t="s">
        <v>364</v>
      </c>
    </row>
    <row r="368" spans="1:9" ht="14.25" customHeight="1" x14ac:dyDescent="0.3">
      <c r="A368" t="s">
        <v>11</v>
      </c>
      <c r="B368" t="s">
        <v>275</v>
      </c>
      <c r="C368" t="s">
        <v>299</v>
      </c>
      <c r="D368" t="s">
        <v>367</v>
      </c>
      <c r="E368" t="s">
        <v>274</v>
      </c>
      <c r="F368">
        <v>1</v>
      </c>
      <c r="G368">
        <v>5374.25</v>
      </c>
      <c r="H368">
        <f t="shared" si="7"/>
        <v>5374.25</v>
      </c>
      <c r="I368" t="s">
        <v>362</v>
      </c>
    </row>
    <row r="369" spans="1:9" ht="14.25" customHeight="1" x14ac:dyDescent="0.3">
      <c r="A369" t="s">
        <v>11</v>
      </c>
      <c r="B369" t="s">
        <v>275</v>
      </c>
      <c r="C369" t="s">
        <v>307</v>
      </c>
      <c r="D369" t="s">
        <v>368</v>
      </c>
      <c r="E369" t="s">
        <v>274</v>
      </c>
      <c r="F369">
        <v>1</v>
      </c>
      <c r="G369">
        <v>3112.86</v>
      </c>
      <c r="H369">
        <f t="shared" si="7"/>
        <v>3112.86</v>
      </c>
      <c r="I369" t="s">
        <v>364</v>
      </c>
    </row>
    <row r="370" spans="1:9" ht="14.25" customHeight="1" x14ac:dyDescent="0.3">
      <c r="A370" t="s">
        <v>21</v>
      </c>
      <c r="B370" t="s">
        <v>275</v>
      </c>
      <c r="C370" t="s">
        <v>299</v>
      </c>
      <c r="D370" t="s">
        <v>367</v>
      </c>
      <c r="E370" t="s">
        <v>274</v>
      </c>
      <c r="F370">
        <v>1</v>
      </c>
      <c r="G370">
        <v>4661.82</v>
      </c>
      <c r="H370">
        <f t="shared" si="7"/>
        <v>4661.82</v>
      </c>
      <c r="I370" t="s">
        <v>362</v>
      </c>
    </row>
    <row r="371" spans="1:9" ht="14.25" customHeight="1" x14ac:dyDescent="0.3">
      <c r="A371" t="s">
        <v>21</v>
      </c>
      <c r="B371" t="s">
        <v>275</v>
      </c>
      <c r="C371" t="s">
        <v>307</v>
      </c>
      <c r="D371" t="s">
        <v>368</v>
      </c>
      <c r="E371" t="s">
        <v>274</v>
      </c>
      <c r="F371">
        <v>1</v>
      </c>
      <c r="G371">
        <v>3304.69</v>
      </c>
      <c r="H371">
        <f t="shared" si="7"/>
        <v>3304.69</v>
      </c>
      <c r="I371" t="s">
        <v>364</v>
      </c>
    </row>
    <row r="372" spans="1:9" ht="14.25" customHeight="1" x14ac:dyDescent="0.3">
      <c r="A372" t="s">
        <v>20</v>
      </c>
      <c r="B372" t="s">
        <v>275</v>
      </c>
      <c r="C372" t="s">
        <v>299</v>
      </c>
      <c r="D372" t="s">
        <v>369</v>
      </c>
      <c r="E372" t="s">
        <v>274</v>
      </c>
      <c r="F372">
        <v>1</v>
      </c>
      <c r="G372">
        <v>5488.35</v>
      </c>
      <c r="H372">
        <f t="shared" si="7"/>
        <v>5488.35</v>
      </c>
      <c r="I372" t="s">
        <v>362</v>
      </c>
    </row>
    <row r="373" spans="1:9" ht="14.25" customHeight="1" x14ac:dyDescent="0.3">
      <c r="A373" t="s">
        <v>20</v>
      </c>
      <c r="B373" t="s">
        <v>275</v>
      </c>
      <c r="C373" t="s">
        <v>307</v>
      </c>
      <c r="D373" t="s">
        <v>370</v>
      </c>
      <c r="E373" t="s">
        <v>274</v>
      </c>
      <c r="F373">
        <v>1</v>
      </c>
      <c r="G373">
        <v>4006.59</v>
      </c>
      <c r="H373">
        <f t="shared" si="7"/>
        <v>4006.59</v>
      </c>
      <c r="I373" t="s">
        <v>371</v>
      </c>
    </row>
    <row r="374" spans="1:9" ht="14.25" customHeight="1" x14ac:dyDescent="0.3">
      <c r="A374" t="s">
        <v>11</v>
      </c>
      <c r="B374" t="s">
        <v>275</v>
      </c>
      <c r="C374" t="s">
        <v>299</v>
      </c>
      <c r="D374" t="s">
        <v>369</v>
      </c>
      <c r="E374" t="s">
        <v>274</v>
      </c>
      <c r="F374">
        <v>1</v>
      </c>
      <c r="G374">
        <v>4859.05</v>
      </c>
      <c r="H374">
        <f t="shared" si="7"/>
        <v>4859.05</v>
      </c>
      <c r="I374" t="s">
        <v>362</v>
      </c>
    </row>
    <row r="375" spans="1:9" ht="14.25" customHeight="1" x14ac:dyDescent="0.3">
      <c r="A375" t="s">
        <v>11</v>
      </c>
      <c r="B375" t="s">
        <v>275</v>
      </c>
      <c r="C375" t="s">
        <v>307</v>
      </c>
      <c r="D375" t="s">
        <v>370</v>
      </c>
      <c r="E375" t="s">
        <v>274</v>
      </c>
      <c r="F375">
        <v>1</v>
      </c>
      <c r="G375">
        <v>1259.19</v>
      </c>
      <c r="H375">
        <f t="shared" si="7"/>
        <v>1259.19</v>
      </c>
      <c r="I375" t="s">
        <v>371</v>
      </c>
    </row>
    <row r="376" spans="1:9" ht="14.25" customHeight="1" x14ac:dyDescent="0.3">
      <c r="A376" t="s">
        <v>21</v>
      </c>
      <c r="B376" t="s">
        <v>275</v>
      </c>
      <c r="C376" t="s">
        <v>299</v>
      </c>
      <c r="D376" t="s">
        <v>369</v>
      </c>
      <c r="E376" t="s">
        <v>274</v>
      </c>
      <c r="F376">
        <v>1</v>
      </c>
      <c r="G376">
        <v>5436.76</v>
      </c>
      <c r="H376">
        <f t="shared" si="7"/>
        <v>5436.76</v>
      </c>
      <c r="I376" t="s">
        <v>362</v>
      </c>
    </row>
    <row r="377" spans="1:9" ht="14.25" customHeight="1" x14ac:dyDescent="0.3">
      <c r="A377" t="s">
        <v>21</v>
      </c>
      <c r="B377" t="s">
        <v>275</v>
      </c>
      <c r="C377" t="s">
        <v>307</v>
      </c>
      <c r="D377" t="s">
        <v>370</v>
      </c>
      <c r="E377" t="s">
        <v>274</v>
      </c>
      <c r="F377">
        <v>1</v>
      </c>
      <c r="G377">
        <v>2732.56</v>
      </c>
      <c r="H377">
        <f t="shared" si="7"/>
        <v>2732.56</v>
      </c>
      <c r="I377" t="s">
        <v>371</v>
      </c>
    </row>
    <row r="378" spans="1:9" ht="14.25" customHeight="1" x14ac:dyDescent="0.3">
      <c r="A378" t="s">
        <v>20</v>
      </c>
      <c r="B378" t="s">
        <v>275</v>
      </c>
      <c r="C378" t="s">
        <v>299</v>
      </c>
      <c r="D378" t="s">
        <v>372</v>
      </c>
      <c r="E378" t="s">
        <v>280</v>
      </c>
      <c r="F378">
        <v>1</v>
      </c>
      <c r="G378">
        <v>3706.2</v>
      </c>
      <c r="H378">
        <f t="shared" si="7"/>
        <v>3706.2</v>
      </c>
      <c r="I378" t="s">
        <v>362</v>
      </c>
    </row>
    <row r="379" spans="1:9" ht="14.25" customHeight="1" x14ac:dyDescent="0.3">
      <c r="A379" t="s">
        <v>20</v>
      </c>
      <c r="B379" t="s">
        <v>275</v>
      </c>
      <c r="C379" t="s">
        <v>307</v>
      </c>
      <c r="D379" t="s">
        <v>373</v>
      </c>
      <c r="E379" t="s">
        <v>280</v>
      </c>
      <c r="F379">
        <v>1</v>
      </c>
      <c r="G379">
        <v>5768.81</v>
      </c>
      <c r="H379">
        <f t="shared" si="7"/>
        <v>5768.81</v>
      </c>
      <c r="I379" t="s">
        <v>364</v>
      </c>
    </row>
    <row r="380" spans="1:9" ht="14.25" customHeight="1" x14ac:dyDescent="0.3">
      <c r="A380" t="s">
        <v>11</v>
      </c>
      <c r="B380" t="s">
        <v>275</v>
      </c>
      <c r="C380" t="s">
        <v>299</v>
      </c>
      <c r="D380" t="s">
        <v>372</v>
      </c>
      <c r="E380" t="s">
        <v>280</v>
      </c>
      <c r="F380">
        <v>1</v>
      </c>
      <c r="G380">
        <v>4741.1099999999997</v>
      </c>
      <c r="H380">
        <f t="shared" si="7"/>
        <v>4741.1099999999997</v>
      </c>
      <c r="I380" t="s">
        <v>362</v>
      </c>
    </row>
    <row r="381" spans="1:9" ht="14.25" customHeight="1" x14ac:dyDescent="0.3">
      <c r="A381" t="s">
        <v>11</v>
      </c>
      <c r="B381" t="s">
        <v>275</v>
      </c>
      <c r="C381" t="s">
        <v>307</v>
      </c>
      <c r="D381" t="s">
        <v>373</v>
      </c>
      <c r="E381" t="s">
        <v>280</v>
      </c>
      <c r="F381">
        <v>1</v>
      </c>
      <c r="G381">
        <v>3878.58</v>
      </c>
      <c r="H381">
        <f t="shared" si="7"/>
        <v>3878.58</v>
      </c>
      <c r="I381" t="s">
        <v>364</v>
      </c>
    </row>
    <row r="382" spans="1:9" ht="14.25" customHeight="1" x14ac:dyDescent="0.3">
      <c r="A382" t="s">
        <v>21</v>
      </c>
      <c r="B382" t="s">
        <v>275</v>
      </c>
      <c r="C382" t="s">
        <v>299</v>
      </c>
      <c r="D382" t="s">
        <v>372</v>
      </c>
      <c r="E382" t="s">
        <v>280</v>
      </c>
      <c r="F382">
        <v>1</v>
      </c>
      <c r="G382">
        <v>6394.14</v>
      </c>
      <c r="H382">
        <f t="shared" si="7"/>
        <v>6394.14</v>
      </c>
      <c r="I382" t="s">
        <v>362</v>
      </c>
    </row>
    <row r="383" spans="1:9" ht="15" customHeight="1" x14ac:dyDescent="0.3">
      <c r="A383" t="s">
        <v>21</v>
      </c>
      <c r="B383" t="s">
        <v>275</v>
      </c>
      <c r="C383" t="s">
        <v>307</v>
      </c>
      <c r="D383" t="s">
        <v>373</v>
      </c>
      <c r="E383" t="s">
        <v>280</v>
      </c>
      <c r="F383">
        <v>1</v>
      </c>
      <c r="G383">
        <v>4658.08</v>
      </c>
      <c r="H383">
        <f t="shared" si="7"/>
        <v>4658.08</v>
      </c>
      <c r="I383" t="s">
        <v>364</v>
      </c>
    </row>
    <row r="384" spans="1:9" ht="14.25" customHeight="1" x14ac:dyDescent="0.3">
      <c r="A384" t="s">
        <v>20</v>
      </c>
      <c r="B384" t="s">
        <v>287</v>
      </c>
      <c r="C384" t="s">
        <v>299</v>
      </c>
      <c r="D384" t="s">
        <v>374</v>
      </c>
      <c r="E384" t="s">
        <v>286</v>
      </c>
      <c r="F384">
        <v>1</v>
      </c>
      <c r="G384">
        <v>3069.18</v>
      </c>
      <c r="H384">
        <f t="shared" si="7"/>
        <v>3069.18</v>
      </c>
      <c r="I384" t="s">
        <v>375</v>
      </c>
    </row>
    <row r="385" spans="1:15" ht="14.25" customHeight="1" x14ac:dyDescent="0.3">
      <c r="A385" t="s">
        <v>20</v>
      </c>
      <c r="B385" t="s">
        <v>287</v>
      </c>
      <c r="C385" t="s">
        <v>307</v>
      </c>
      <c r="D385" t="s">
        <v>376</v>
      </c>
      <c r="E385" t="s">
        <v>286</v>
      </c>
      <c r="F385">
        <v>1</v>
      </c>
      <c r="G385">
        <v>2355.66</v>
      </c>
      <c r="H385">
        <f t="shared" si="7"/>
        <v>2355.66</v>
      </c>
      <c r="I385" t="s">
        <v>371</v>
      </c>
    </row>
    <row r="386" spans="1:15" ht="14.25" customHeight="1" x14ac:dyDescent="0.3">
      <c r="A386" t="s">
        <v>11</v>
      </c>
      <c r="B386" t="s">
        <v>287</v>
      </c>
      <c r="C386" t="s">
        <v>299</v>
      </c>
      <c r="D386" t="s">
        <v>374</v>
      </c>
      <c r="E386" t="s">
        <v>286</v>
      </c>
      <c r="F386">
        <v>1</v>
      </c>
      <c r="G386">
        <v>3307.04</v>
      </c>
      <c r="H386">
        <f t="shared" si="7"/>
        <v>3307.04</v>
      </c>
      <c r="I386" t="s">
        <v>375</v>
      </c>
    </row>
    <row r="387" spans="1:15" ht="14.25" customHeight="1" x14ac:dyDescent="0.3">
      <c r="A387" t="s">
        <v>11</v>
      </c>
      <c r="B387" t="s">
        <v>287</v>
      </c>
      <c r="C387" t="s">
        <v>307</v>
      </c>
      <c r="D387" t="s">
        <v>376</v>
      </c>
      <c r="E387" t="s">
        <v>286</v>
      </c>
      <c r="F387">
        <v>1</v>
      </c>
      <c r="G387">
        <v>2242.1799999999998</v>
      </c>
      <c r="H387">
        <f t="shared" si="7"/>
        <v>2242.1799999999998</v>
      </c>
      <c r="I387" t="s">
        <v>371</v>
      </c>
    </row>
    <row r="388" spans="1:15" ht="14.25" customHeight="1" x14ac:dyDescent="0.3">
      <c r="A388" t="s">
        <v>21</v>
      </c>
      <c r="B388" t="s">
        <v>287</v>
      </c>
      <c r="C388" t="s">
        <v>299</v>
      </c>
      <c r="D388" t="s">
        <v>374</v>
      </c>
      <c r="E388" t="s">
        <v>286</v>
      </c>
      <c r="F388">
        <v>1</v>
      </c>
      <c r="G388">
        <v>3644.67</v>
      </c>
      <c r="H388">
        <f t="shared" si="7"/>
        <v>3644.67</v>
      </c>
      <c r="I388" t="s">
        <v>375</v>
      </c>
    </row>
    <row r="389" spans="1:15" ht="14.25" customHeight="1" x14ac:dyDescent="0.3">
      <c r="A389" t="s">
        <v>21</v>
      </c>
      <c r="B389" t="s">
        <v>287</v>
      </c>
      <c r="C389" t="s">
        <v>307</v>
      </c>
      <c r="D389" t="s">
        <v>376</v>
      </c>
      <c r="E389" t="s">
        <v>286</v>
      </c>
      <c r="F389">
        <v>1</v>
      </c>
      <c r="G389">
        <v>2709.83</v>
      </c>
      <c r="H389">
        <f t="shared" si="7"/>
        <v>2709.83</v>
      </c>
      <c r="I389" t="s">
        <v>371</v>
      </c>
    </row>
    <row r="390" spans="1:15" ht="14.25" customHeight="1" x14ac:dyDescent="0.3">
      <c r="A390" s="41" t="s">
        <v>377</v>
      </c>
      <c r="B390" s="42"/>
      <c r="C390" s="42"/>
      <c r="D390" s="42"/>
      <c r="E390" s="42"/>
      <c r="F390" s="42"/>
      <c r="G390" s="43"/>
      <c r="H390" s="44">
        <f>SUM(H21:H389)</f>
        <v>1072725.5852828731</v>
      </c>
      <c r="I390" s="37"/>
      <c r="J390" s="37"/>
      <c r="K390" s="37"/>
      <c r="L390" s="37"/>
      <c r="M390" s="37"/>
      <c r="N390" s="37"/>
      <c r="O390" s="37"/>
    </row>
    <row r="391" spans="1:15" ht="14.25" customHeight="1" x14ac:dyDescent="0.3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</row>
    <row r="392" spans="1:15" ht="14.25" customHeight="1" x14ac:dyDescent="0.3">
      <c r="A392" s="1" t="s">
        <v>378</v>
      </c>
      <c r="K392" s="37"/>
      <c r="L392" s="37"/>
      <c r="M392" s="37"/>
      <c r="N392" s="37"/>
      <c r="O392" s="37"/>
    </row>
    <row r="393" spans="1:15" ht="14.25" customHeight="1" x14ac:dyDescent="0.3">
      <c r="A393" s="38" t="s">
        <v>9</v>
      </c>
      <c r="B393" s="38" t="s">
        <v>269</v>
      </c>
      <c r="C393" s="38" t="s">
        <v>3</v>
      </c>
      <c r="D393" s="38" t="s">
        <v>379</v>
      </c>
      <c r="E393" s="38" t="s">
        <v>380</v>
      </c>
      <c r="F393" s="38" t="s">
        <v>381</v>
      </c>
      <c r="G393" s="38" t="s">
        <v>382</v>
      </c>
      <c r="H393" s="38" t="s">
        <v>383</v>
      </c>
      <c r="I393" s="38" t="s">
        <v>384</v>
      </c>
      <c r="J393" s="38" t="s">
        <v>385</v>
      </c>
      <c r="K393" s="37"/>
      <c r="L393" s="37"/>
      <c r="M393" s="37"/>
      <c r="N393" s="37"/>
      <c r="O393" s="37"/>
    </row>
    <row r="394" spans="1:15" ht="14.25" customHeight="1" x14ac:dyDescent="0.3">
      <c r="A394" s="39" t="s">
        <v>11</v>
      </c>
      <c r="B394" s="39" t="s">
        <v>274</v>
      </c>
      <c r="C394" s="39" t="s">
        <v>386</v>
      </c>
      <c r="D394" s="40">
        <v>121496.64</v>
      </c>
      <c r="E394" s="39">
        <v>537</v>
      </c>
      <c r="F394" s="39">
        <v>11</v>
      </c>
      <c r="G394" s="40">
        <v>41961.99</v>
      </c>
      <c r="H394" s="40">
        <v>1017.98</v>
      </c>
      <c r="I394" s="40">
        <v>42979.97</v>
      </c>
      <c r="J394" s="40">
        <v>221.71</v>
      </c>
      <c r="K394" s="37"/>
      <c r="L394" s="37"/>
      <c r="M394" s="37"/>
      <c r="N394" s="37"/>
      <c r="O394" s="37"/>
    </row>
    <row r="395" spans="1:15" ht="14.25" customHeight="1" x14ac:dyDescent="0.3">
      <c r="A395" s="39" t="s">
        <v>11</v>
      </c>
      <c r="B395" s="39" t="s">
        <v>277</v>
      </c>
      <c r="C395" s="39" t="s">
        <v>386</v>
      </c>
      <c r="D395" s="40">
        <v>9414.77</v>
      </c>
      <c r="E395" s="39">
        <v>26</v>
      </c>
      <c r="F395" s="39">
        <v>1</v>
      </c>
      <c r="G395" s="40">
        <v>2047.79</v>
      </c>
      <c r="H395" s="40">
        <v>99.9</v>
      </c>
      <c r="I395" s="40">
        <v>2147.69</v>
      </c>
      <c r="J395" s="40">
        <v>348.7</v>
      </c>
      <c r="K395" s="37"/>
      <c r="L395" s="37"/>
      <c r="M395" s="37"/>
      <c r="N395" s="37"/>
      <c r="O395" s="37"/>
    </row>
    <row r="396" spans="1:15" ht="14.25" customHeight="1" x14ac:dyDescent="0.3">
      <c r="A396" s="39" t="s">
        <v>11</v>
      </c>
      <c r="B396" s="39" t="s">
        <v>279</v>
      </c>
      <c r="C396" s="39" t="s">
        <v>386</v>
      </c>
      <c r="D396" s="40">
        <v>34081.230000000003</v>
      </c>
      <c r="E396" s="39">
        <v>143</v>
      </c>
      <c r="F396" s="39">
        <v>2</v>
      </c>
      <c r="G396" s="40">
        <v>13522.34</v>
      </c>
      <c r="H396" s="40">
        <v>154.79</v>
      </c>
      <c r="I396" s="40">
        <v>13677.13</v>
      </c>
      <c r="J396" s="40">
        <v>235.04</v>
      </c>
      <c r="K396" s="37"/>
      <c r="L396" s="37"/>
      <c r="M396" s="37"/>
      <c r="N396" s="37"/>
      <c r="O396" s="37"/>
    </row>
    <row r="397" spans="1:15" ht="14.25" customHeight="1" x14ac:dyDescent="0.3">
      <c r="A397" s="39" t="s">
        <v>11</v>
      </c>
      <c r="B397" s="39" t="s">
        <v>280</v>
      </c>
      <c r="C397" s="39" t="s">
        <v>386</v>
      </c>
      <c r="D397" s="40">
        <v>45540.01</v>
      </c>
      <c r="E397" s="39">
        <v>239</v>
      </c>
      <c r="F397" s="39">
        <v>1</v>
      </c>
      <c r="G397" s="40">
        <v>21837.84</v>
      </c>
      <c r="H397" s="40">
        <v>109.89</v>
      </c>
      <c r="I397" s="40">
        <v>21947.73</v>
      </c>
      <c r="J397" s="40">
        <v>189.75</v>
      </c>
      <c r="K397" s="37"/>
      <c r="L397" s="37"/>
      <c r="M397" s="37"/>
      <c r="N397" s="37"/>
      <c r="O397" s="37"/>
    </row>
    <row r="398" spans="1:15" ht="14.25" customHeight="1" x14ac:dyDescent="0.3">
      <c r="A398" s="39" t="s">
        <v>11</v>
      </c>
      <c r="B398" s="39" t="s">
        <v>283</v>
      </c>
      <c r="C398" s="39" t="s">
        <v>386</v>
      </c>
      <c r="D398" s="40">
        <v>90875.72</v>
      </c>
      <c r="E398" s="39">
        <v>292</v>
      </c>
      <c r="F398" s="39">
        <v>3</v>
      </c>
      <c r="G398" s="40">
        <v>24097.75</v>
      </c>
      <c r="H398" s="40">
        <v>329.8</v>
      </c>
      <c r="I398" s="40">
        <v>24427.55</v>
      </c>
      <c r="J398" s="40">
        <v>308.05</v>
      </c>
      <c r="K398" s="37"/>
      <c r="L398" s="37"/>
      <c r="M398" s="37"/>
      <c r="N398" s="37"/>
      <c r="O398" s="37"/>
    </row>
    <row r="399" spans="1:15" ht="14.25" customHeight="1" x14ac:dyDescent="0.3">
      <c r="A399" s="39" t="s">
        <v>11</v>
      </c>
      <c r="B399" s="39" t="s">
        <v>286</v>
      </c>
      <c r="C399" s="39" t="s">
        <v>386</v>
      </c>
      <c r="D399" s="40">
        <v>45425.95</v>
      </c>
      <c r="E399" s="39">
        <v>264</v>
      </c>
      <c r="F399" s="39">
        <v>8</v>
      </c>
      <c r="G399" s="40">
        <v>22685.42</v>
      </c>
      <c r="H399" s="40">
        <v>734.26</v>
      </c>
      <c r="I399" s="40">
        <v>23419.68</v>
      </c>
      <c r="J399" s="40">
        <v>167.01</v>
      </c>
      <c r="K399" s="37"/>
      <c r="L399" s="37"/>
      <c r="M399" s="37"/>
      <c r="N399" s="37"/>
      <c r="O399" s="37"/>
    </row>
    <row r="400" spans="1:15" ht="14.25" customHeight="1" x14ac:dyDescent="0.3">
      <c r="A400" s="39" t="s">
        <v>11</v>
      </c>
      <c r="B400" s="39" t="s">
        <v>292</v>
      </c>
      <c r="C400" s="39" t="s">
        <v>386</v>
      </c>
      <c r="D400" s="40">
        <v>3703.62</v>
      </c>
      <c r="E400" s="39">
        <v>26</v>
      </c>
      <c r="F400" s="39">
        <v>0</v>
      </c>
      <c r="G400" s="40">
        <v>2307.4</v>
      </c>
      <c r="H400" s="40">
        <v>0</v>
      </c>
      <c r="I400" s="40">
        <v>2307.4</v>
      </c>
      <c r="J400" s="40">
        <v>142.44999999999999</v>
      </c>
      <c r="K400" s="37"/>
      <c r="L400" s="37"/>
      <c r="M400" s="37"/>
      <c r="N400" s="37"/>
      <c r="O400" s="37"/>
    </row>
    <row r="401" spans="1:15" ht="14.25" customHeight="1" x14ac:dyDescent="0.3">
      <c r="A401" s="39" t="s">
        <v>20</v>
      </c>
      <c r="B401" s="39" t="s">
        <v>274</v>
      </c>
      <c r="C401" s="39" t="s">
        <v>386</v>
      </c>
      <c r="D401" s="40">
        <v>119150.38</v>
      </c>
      <c r="E401" s="39">
        <v>658</v>
      </c>
      <c r="F401" s="39">
        <v>10</v>
      </c>
      <c r="G401" s="40">
        <v>56085.27</v>
      </c>
      <c r="H401" s="40">
        <v>963.98</v>
      </c>
      <c r="I401" s="40">
        <v>57049.25</v>
      </c>
      <c r="J401" s="40">
        <v>178.37</v>
      </c>
      <c r="K401" s="37"/>
      <c r="L401" s="37"/>
      <c r="M401" s="37"/>
      <c r="N401" s="37"/>
      <c r="O401" s="37"/>
    </row>
    <row r="402" spans="1:15" ht="14.25" customHeight="1" x14ac:dyDescent="0.3">
      <c r="A402" s="39" t="s">
        <v>20</v>
      </c>
      <c r="B402" s="39" t="s">
        <v>277</v>
      </c>
      <c r="C402" s="39" t="s">
        <v>386</v>
      </c>
      <c r="D402" s="40">
        <v>7367.92</v>
      </c>
      <c r="E402" s="39">
        <v>0</v>
      </c>
      <c r="F402" s="39">
        <v>0</v>
      </c>
      <c r="G402" s="40">
        <v>0</v>
      </c>
      <c r="H402" s="40">
        <v>0</v>
      </c>
      <c r="I402" s="40">
        <v>0</v>
      </c>
      <c r="J402" s="40"/>
      <c r="K402" s="37"/>
      <c r="L402" s="37"/>
      <c r="M402" s="37"/>
      <c r="N402" s="37"/>
      <c r="O402" s="37"/>
    </row>
    <row r="403" spans="1:15" ht="14.25" customHeight="1" x14ac:dyDescent="0.3">
      <c r="A403" s="39" t="s">
        <v>20</v>
      </c>
      <c r="B403" s="39" t="s">
        <v>279</v>
      </c>
      <c r="C403" s="39" t="s">
        <v>386</v>
      </c>
      <c r="D403" s="40">
        <v>34042.65</v>
      </c>
      <c r="E403" s="39">
        <v>115</v>
      </c>
      <c r="F403" s="39">
        <v>5</v>
      </c>
      <c r="G403" s="40">
        <v>10449.44</v>
      </c>
      <c r="H403" s="40">
        <v>519.48</v>
      </c>
      <c r="I403" s="40">
        <v>10968.92</v>
      </c>
      <c r="J403" s="40">
        <v>283.69</v>
      </c>
      <c r="K403" s="37"/>
      <c r="L403" s="37"/>
      <c r="M403" s="37"/>
      <c r="N403" s="37"/>
      <c r="O403" s="37"/>
    </row>
    <row r="404" spans="1:15" ht="14.25" customHeight="1" x14ac:dyDescent="0.3">
      <c r="A404" s="39" t="s">
        <v>20</v>
      </c>
      <c r="B404" s="39" t="s">
        <v>280</v>
      </c>
      <c r="C404" s="39" t="s">
        <v>386</v>
      </c>
      <c r="D404" s="40">
        <v>64543.96</v>
      </c>
      <c r="E404" s="39">
        <v>190</v>
      </c>
      <c r="F404" s="39">
        <v>0</v>
      </c>
      <c r="G404" s="40">
        <v>17667.07</v>
      </c>
      <c r="H404" s="40">
        <v>0</v>
      </c>
      <c r="I404" s="40">
        <v>17667.07</v>
      </c>
      <c r="J404" s="40">
        <v>339.71</v>
      </c>
      <c r="K404" s="37"/>
      <c r="L404" s="37"/>
      <c r="M404" s="37"/>
      <c r="N404" s="37"/>
      <c r="O404" s="37"/>
    </row>
    <row r="405" spans="1:15" ht="14.25" customHeight="1" x14ac:dyDescent="0.3">
      <c r="A405" s="39" t="s">
        <v>20</v>
      </c>
      <c r="B405" s="39" t="s">
        <v>283</v>
      </c>
      <c r="C405" s="39" t="s">
        <v>386</v>
      </c>
      <c r="D405" s="40">
        <v>102992.51</v>
      </c>
      <c r="E405" s="39">
        <v>576</v>
      </c>
      <c r="F405" s="39">
        <v>6</v>
      </c>
      <c r="G405" s="40">
        <v>48361.21</v>
      </c>
      <c r="H405" s="40">
        <v>589.39</v>
      </c>
      <c r="I405" s="40">
        <v>48950.6</v>
      </c>
      <c r="J405" s="40">
        <v>176.96</v>
      </c>
      <c r="K405" s="37"/>
      <c r="L405" s="37"/>
      <c r="M405" s="37"/>
      <c r="N405" s="37"/>
      <c r="O405" s="37"/>
    </row>
    <row r="406" spans="1:15" ht="14.25" customHeight="1" x14ac:dyDescent="0.3">
      <c r="A406" s="39" t="s">
        <v>20</v>
      </c>
      <c r="B406" s="39" t="s">
        <v>286</v>
      </c>
      <c r="C406" s="39" t="s">
        <v>386</v>
      </c>
      <c r="D406" s="40">
        <v>41682.6</v>
      </c>
      <c r="E406" s="39">
        <v>196</v>
      </c>
      <c r="F406" s="39">
        <v>11</v>
      </c>
      <c r="G406" s="40">
        <v>17775.09</v>
      </c>
      <c r="H406" s="40">
        <v>1108.79</v>
      </c>
      <c r="I406" s="40">
        <v>18883.88</v>
      </c>
      <c r="J406" s="40">
        <v>201.37</v>
      </c>
      <c r="K406" s="37"/>
      <c r="L406" s="37"/>
      <c r="M406" s="37"/>
      <c r="N406" s="37"/>
      <c r="O406" s="37"/>
    </row>
    <row r="407" spans="1:15" ht="14.25" customHeight="1" x14ac:dyDescent="0.3">
      <c r="A407" s="39" t="s">
        <v>20</v>
      </c>
      <c r="B407" s="39" t="s">
        <v>292</v>
      </c>
      <c r="C407" s="39" t="s">
        <v>386</v>
      </c>
      <c r="D407" s="40">
        <v>3712.16</v>
      </c>
      <c r="E407" s="39">
        <v>23</v>
      </c>
      <c r="F407" s="39">
        <v>0</v>
      </c>
      <c r="G407" s="40">
        <v>1988.18</v>
      </c>
      <c r="H407" s="40">
        <v>0</v>
      </c>
      <c r="I407" s="40">
        <v>1988.18</v>
      </c>
      <c r="J407" s="40">
        <v>161.4</v>
      </c>
      <c r="K407" s="37"/>
      <c r="L407" s="37"/>
      <c r="M407" s="37"/>
      <c r="N407" s="37"/>
      <c r="O407" s="37"/>
    </row>
    <row r="408" spans="1:15" ht="14.25" customHeight="1" x14ac:dyDescent="0.3">
      <c r="A408" s="39" t="s">
        <v>21</v>
      </c>
      <c r="B408" s="39" t="s">
        <v>274</v>
      </c>
      <c r="C408" s="39" t="s">
        <v>386</v>
      </c>
      <c r="D408" s="40">
        <v>161849.96</v>
      </c>
      <c r="E408" s="39">
        <v>808</v>
      </c>
      <c r="F408" s="39">
        <v>3</v>
      </c>
      <c r="G408" s="40">
        <v>67103</v>
      </c>
      <c r="H408" s="40">
        <v>74.900000000000006</v>
      </c>
      <c r="I408" s="40">
        <v>67177.899999999994</v>
      </c>
      <c r="J408" s="40">
        <v>199.57</v>
      </c>
      <c r="K408" s="37"/>
      <c r="L408" s="37"/>
      <c r="M408" s="37"/>
      <c r="N408" s="37"/>
      <c r="O408" s="37"/>
    </row>
    <row r="409" spans="1:15" ht="14.25" customHeight="1" x14ac:dyDescent="0.3">
      <c r="A409" s="39" t="s">
        <v>21</v>
      </c>
      <c r="B409" s="39" t="s">
        <v>277</v>
      </c>
      <c r="C409" s="39" t="s">
        <v>386</v>
      </c>
      <c r="D409" s="40">
        <v>7410.09</v>
      </c>
      <c r="E409" s="39">
        <v>138</v>
      </c>
      <c r="F409" s="39">
        <v>0</v>
      </c>
      <c r="G409" s="40">
        <v>11731.77</v>
      </c>
      <c r="H409" s="40">
        <v>0</v>
      </c>
      <c r="I409" s="40">
        <v>11731.77</v>
      </c>
      <c r="J409" s="40">
        <v>53.7</v>
      </c>
      <c r="K409" s="37"/>
      <c r="L409" s="37"/>
      <c r="M409" s="37"/>
      <c r="N409" s="37"/>
      <c r="O409" s="37"/>
    </row>
    <row r="410" spans="1:15" ht="14.25" customHeight="1" x14ac:dyDescent="0.3">
      <c r="A410" s="39" t="s">
        <v>21</v>
      </c>
      <c r="B410" s="39" t="s">
        <v>279</v>
      </c>
      <c r="C410" s="39" t="s">
        <v>386</v>
      </c>
      <c r="D410" s="40">
        <v>17008.439999999999</v>
      </c>
      <c r="E410" s="39">
        <v>128</v>
      </c>
      <c r="F410" s="39">
        <v>0</v>
      </c>
      <c r="G410" s="40">
        <v>11678.14</v>
      </c>
      <c r="H410" s="40">
        <v>0</v>
      </c>
      <c r="I410" s="40">
        <v>11678.14</v>
      </c>
      <c r="J410" s="40">
        <v>132.88</v>
      </c>
      <c r="K410" s="37"/>
      <c r="L410" s="37"/>
      <c r="M410" s="37"/>
      <c r="N410" s="37"/>
      <c r="O410" s="37"/>
    </row>
    <row r="411" spans="1:15" ht="14.25" customHeight="1" x14ac:dyDescent="0.3">
      <c r="A411" s="39" t="s">
        <v>21</v>
      </c>
      <c r="B411" s="39" t="s">
        <v>280</v>
      </c>
      <c r="C411" s="39" t="s">
        <v>386</v>
      </c>
      <c r="D411" s="40">
        <v>41082.699999999997</v>
      </c>
      <c r="E411" s="39">
        <v>327</v>
      </c>
      <c r="F411" s="39">
        <v>0</v>
      </c>
      <c r="G411" s="40">
        <v>29088.58</v>
      </c>
      <c r="H411" s="40">
        <v>0</v>
      </c>
      <c r="I411" s="40">
        <v>29088.58</v>
      </c>
      <c r="J411" s="40">
        <v>125.64</v>
      </c>
      <c r="K411" s="37"/>
      <c r="L411" s="37"/>
      <c r="M411" s="37"/>
      <c r="N411" s="37"/>
      <c r="O411" s="37"/>
    </row>
    <row r="412" spans="1:15" ht="14.25" customHeight="1" x14ac:dyDescent="0.3">
      <c r="A412" s="39" t="s">
        <v>21</v>
      </c>
      <c r="B412" s="39" t="s">
        <v>283</v>
      </c>
      <c r="C412" s="39" t="s">
        <v>386</v>
      </c>
      <c r="D412" s="40">
        <v>65806.720000000001</v>
      </c>
      <c r="E412" s="39">
        <v>342</v>
      </c>
      <c r="F412" s="39">
        <v>2</v>
      </c>
      <c r="G412" s="40">
        <v>28924.39</v>
      </c>
      <c r="H412" s="40">
        <v>25</v>
      </c>
      <c r="I412" s="40">
        <v>28949.39</v>
      </c>
      <c r="J412" s="40">
        <v>191.3</v>
      </c>
      <c r="K412" s="37"/>
      <c r="L412" s="37"/>
      <c r="M412" s="37"/>
      <c r="N412" s="37"/>
      <c r="O412" s="37"/>
    </row>
    <row r="413" spans="1:15" ht="14.25" customHeight="1" x14ac:dyDescent="0.3">
      <c r="A413" s="39" t="s">
        <v>21</v>
      </c>
      <c r="B413" s="39" t="s">
        <v>286</v>
      </c>
      <c r="C413" s="39" t="s">
        <v>386</v>
      </c>
      <c r="D413" s="40">
        <v>92377.85</v>
      </c>
      <c r="E413" s="39">
        <v>266</v>
      </c>
      <c r="F413" s="39">
        <v>5</v>
      </c>
      <c r="G413" s="40">
        <v>23159.66</v>
      </c>
      <c r="H413" s="40">
        <v>105.09</v>
      </c>
      <c r="I413" s="40">
        <v>23264.75</v>
      </c>
      <c r="J413" s="40">
        <v>340.88</v>
      </c>
      <c r="K413" s="37"/>
      <c r="L413" s="37"/>
      <c r="M413" s="37"/>
      <c r="N413" s="37"/>
      <c r="O413" s="37"/>
    </row>
    <row r="414" spans="1:15" ht="14.25" customHeight="1" x14ac:dyDescent="0.3">
      <c r="A414" s="39" t="s">
        <v>21</v>
      </c>
      <c r="B414" s="39" t="s">
        <v>292</v>
      </c>
      <c r="C414" s="39" t="s">
        <v>386</v>
      </c>
      <c r="D414" s="40">
        <v>0</v>
      </c>
      <c r="E414" s="39">
        <v>25</v>
      </c>
      <c r="F414" s="39">
        <v>1</v>
      </c>
      <c r="G414" s="40">
        <v>2177.6999999999998</v>
      </c>
      <c r="H414" s="40">
        <v>39.97</v>
      </c>
      <c r="I414" s="40">
        <v>2217.67</v>
      </c>
      <c r="J414" s="40">
        <v>0</v>
      </c>
      <c r="K414" s="37"/>
      <c r="L414" s="37"/>
      <c r="M414" s="37"/>
      <c r="N414" s="37"/>
      <c r="O414" s="37"/>
    </row>
    <row r="415" spans="1:15" ht="14.25" customHeight="1" x14ac:dyDescent="0.3">
      <c r="A415" s="39"/>
      <c r="B415" s="39"/>
      <c r="C415" s="39"/>
      <c r="D415" s="40"/>
      <c r="E415" s="39"/>
      <c r="F415" s="39"/>
      <c r="G415" s="40"/>
      <c r="H415" s="40"/>
      <c r="I415" s="40"/>
      <c r="J415" s="39"/>
      <c r="K415" s="37"/>
      <c r="L415" s="37"/>
      <c r="M415" s="37"/>
      <c r="N415" s="37"/>
      <c r="O415" s="37"/>
    </row>
    <row r="416" spans="1:15" ht="14.25" customHeight="1" x14ac:dyDescent="0.3">
      <c r="A416" s="39"/>
      <c r="B416" s="39"/>
      <c r="C416" s="39"/>
      <c r="D416" s="40"/>
      <c r="E416" s="39"/>
      <c r="F416" s="39"/>
      <c r="G416" s="40"/>
      <c r="H416" s="40"/>
      <c r="I416" s="40"/>
      <c r="J416" s="37"/>
      <c r="K416" s="37"/>
      <c r="L416" s="37"/>
      <c r="M416" s="37"/>
      <c r="N416" s="37"/>
      <c r="O416" s="37"/>
    </row>
    <row r="417" spans="1:15" ht="14.25" customHeight="1" x14ac:dyDescent="0.3">
      <c r="A417" s="39"/>
      <c r="B417" s="39"/>
      <c r="C417" s="39"/>
      <c r="D417" s="40"/>
      <c r="E417" s="39"/>
      <c r="F417" s="39"/>
      <c r="G417" s="40"/>
      <c r="H417" s="40"/>
      <c r="I417" s="40"/>
      <c r="J417" s="37"/>
      <c r="K417" s="37"/>
      <c r="L417" s="37"/>
      <c r="M417" s="37"/>
      <c r="N417" s="37"/>
      <c r="O417" s="37"/>
    </row>
    <row r="418" spans="1:15" ht="14.25" customHeight="1" x14ac:dyDescent="0.3">
      <c r="A418" s="39"/>
      <c r="B418" s="39"/>
      <c r="C418" s="39"/>
      <c r="D418" s="40"/>
      <c r="E418" s="39"/>
      <c r="F418" s="39"/>
      <c r="G418" s="40"/>
      <c r="H418" s="40"/>
      <c r="I418" s="40"/>
      <c r="J418" s="37"/>
      <c r="K418" s="37"/>
      <c r="L418" s="37"/>
      <c r="M418" s="37"/>
      <c r="N418" s="37"/>
      <c r="O418" s="37"/>
    </row>
    <row r="419" spans="1:15" ht="14.25" customHeight="1" x14ac:dyDescent="0.3">
      <c r="A419" s="39"/>
      <c r="B419" s="39"/>
      <c r="C419" s="39"/>
      <c r="D419" s="40"/>
      <c r="E419" s="39"/>
      <c r="F419" s="39"/>
      <c r="G419" s="40"/>
      <c r="H419" s="40"/>
      <c r="I419" s="40"/>
      <c r="J419" s="37"/>
      <c r="K419" s="37"/>
      <c r="L419" s="37"/>
      <c r="M419" s="37"/>
      <c r="N419" s="37"/>
      <c r="O419" s="37"/>
    </row>
    <row r="420" spans="1:15" ht="14.25" customHeight="1" x14ac:dyDescent="0.3">
      <c r="A420" s="39"/>
      <c r="B420" s="39"/>
      <c r="C420" s="39"/>
      <c r="D420" s="40"/>
      <c r="E420" s="39"/>
      <c r="F420" s="39"/>
      <c r="G420" s="40"/>
      <c r="H420" s="40"/>
      <c r="I420" s="40"/>
      <c r="J420" s="37"/>
      <c r="K420" s="37"/>
      <c r="L420" s="37"/>
      <c r="M420" s="37"/>
      <c r="N420" s="37"/>
      <c r="O420" s="37"/>
    </row>
    <row r="421" spans="1:15" ht="14.25" customHeight="1" x14ac:dyDescent="0.3">
      <c r="A421" s="39"/>
      <c r="B421" s="39"/>
      <c r="C421" s="39"/>
      <c r="D421" s="40"/>
      <c r="E421" s="39"/>
      <c r="F421" s="39"/>
      <c r="G421" s="40"/>
      <c r="H421" s="40"/>
      <c r="I421" s="40"/>
      <c r="J421" s="37"/>
      <c r="K421" s="37"/>
      <c r="L421" s="37"/>
      <c r="M421" s="37"/>
      <c r="N421" s="37"/>
      <c r="O421" s="37"/>
    </row>
    <row r="422" spans="1:15" ht="14.25" customHeight="1" x14ac:dyDescent="0.3">
      <c r="A422" s="39"/>
      <c r="B422" s="39"/>
      <c r="C422" s="39"/>
      <c r="D422" s="40"/>
      <c r="E422" s="39"/>
      <c r="F422" s="39"/>
      <c r="G422" s="40"/>
      <c r="H422" s="40"/>
      <c r="I422" s="40"/>
      <c r="J422" s="37"/>
      <c r="K422" s="37"/>
      <c r="L422" s="37"/>
      <c r="M422" s="37"/>
      <c r="N422" s="37"/>
      <c r="O422" s="37"/>
    </row>
    <row r="423" spans="1:15" ht="14.25" customHeight="1" x14ac:dyDescent="0.3">
      <c r="A423" s="39"/>
      <c r="B423" s="39"/>
      <c r="C423" s="39"/>
      <c r="D423" s="40"/>
      <c r="E423" s="39"/>
      <c r="F423" s="39"/>
      <c r="G423" s="40"/>
      <c r="H423" s="40"/>
      <c r="I423" s="40"/>
      <c r="J423" s="37"/>
      <c r="K423" s="37"/>
      <c r="L423" s="37"/>
      <c r="M423" s="37"/>
      <c r="N423" s="37"/>
      <c r="O423" s="37"/>
    </row>
    <row r="424" spans="1:15" ht="14.25" customHeight="1" x14ac:dyDescent="0.3">
      <c r="A424" s="39"/>
      <c r="B424" s="39"/>
      <c r="C424" s="39"/>
      <c r="D424" s="40"/>
      <c r="E424" s="39"/>
      <c r="F424" s="39"/>
      <c r="G424" s="40"/>
      <c r="H424" s="40"/>
      <c r="I424" s="40"/>
      <c r="J424" s="37"/>
      <c r="K424" s="37"/>
      <c r="L424" s="37"/>
      <c r="M424" s="37"/>
      <c r="N424" s="37"/>
      <c r="O424" s="37"/>
    </row>
    <row r="425" spans="1:15" ht="14.25" customHeight="1" x14ac:dyDescent="0.3">
      <c r="A425" s="39"/>
      <c r="B425" s="39"/>
      <c r="C425" s="39"/>
      <c r="D425" s="40"/>
      <c r="E425" s="39"/>
      <c r="F425" s="39"/>
      <c r="G425" s="40"/>
      <c r="H425" s="40"/>
      <c r="I425" s="40"/>
      <c r="J425" s="37"/>
      <c r="K425" s="37"/>
      <c r="L425" s="37"/>
      <c r="M425" s="37"/>
      <c r="N425" s="37"/>
      <c r="O425" s="37"/>
    </row>
    <row r="426" spans="1:15" ht="14.25" customHeight="1" x14ac:dyDescent="0.3">
      <c r="A426" s="39"/>
      <c r="B426" s="39"/>
      <c r="C426" s="39"/>
      <c r="D426" s="40"/>
      <c r="E426" s="39"/>
      <c r="F426" s="39"/>
      <c r="G426" s="40"/>
      <c r="H426" s="40"/>
      <c r="I426" s="40"/>
      <c r="J426" s="37"/>
      <c r="K426" s="37"/>
      <c r="L426" s="37"/>
      <c r="M426" s="37"/>
      <c r="N426" s="37"/>
      <c r="O426" s="37"/>
    </row>
    <row r="427" spans="1:15" ht="14.25" customHeight="1" x14ac:dyDescent="0.3">
      <c r="A427" s="39"/>
      <c r="B427" s="39"/>
      <c r="C427" s="39"/>
      <c r="D427" s="40"/>
      <c r="E427" s="39"/>
      <c r="F427" s="39"/>
      <c r="G427" s="40"/>
      <c r="H427" s="40"/>
      <c r="I427" s="40"/>
      <c r="J427" s="37"/>
      <c r="K427" s="37"/>
      <c r="L427" s="37"/>
      <c r="M427" s="37"/>
      <c r="N427" s="37"/>
      <c r="O427" s="37"/>
    </row>
    <row r="428" spans="1:15" ht="14.25" customHeight="1" x14ac:dyDescent="0.3">
      <c r="A428" s="39"/>
      <c r="B428" s="39"/>
      <c r="C428" s="39"/>
      <c r="D428" s="40"/>
      <c r="E428" s="39"/>
      <c r="F428" s="39"/>
      <c r="G428" s="40"/>
      <c r="H428" s="40"/>
      <c r="I428" s="40"/>
      <c r="J428" s="37"/>
      <c r="K428" s="37"/>
      <c r="L428" s="37"/>
      <c r="M428" s="37"/>
      <c r="N428" s="37"/>
      <c r="O428" s="37"/>
    </row>
    <row r="429" spans="1:15" ht="14.25" customHeight="1" x14ac:dyDescent="0.3">
      <c r="A429" s="39"/>
      <c r="B429" s="39"/>
      <c r="C429" s="39"/>
      <c r="D429" s="40"/>
      <c r="E429" s="39"/>
      <c r="F429" s="39"/>
      <c r="G429" s="40"/>
      <c r="H429" s="40"/>
      <c r="I429" s="40"/>
      <c r="J429" s="37"/>
      <c r="K429" s="37"/>
      <c r="L429" s="37"/>
      <c r="M429" s="37"/>
      <c r="N429" s="37"/>
      <c r="O429" s="37"/>
    </row>
    <row r="430" spans="1:15" ht="14.25" customHeight="1" x14ac:dyDescent="0.3">
      <c r="A430" s="39"/>
      <c r="B430" s="39"/>
      <c r="C430" s="39"/>
      <c r="D430" s="40"/>
      <c r="E430" s="39"/>
      <c r="F430" s="39"/>
      <c r="G430" s="40"/>
      <c r="H430" s="40"/>
      <c r="I430" s="40"/>
      <c r="J430" s="37"/>
      <c r="K430" s="37"/>
      <c r="L430" s="37"/>
      <c r="M430" s="37"/>
      <c r="N430" s="37"/>
      <c r="O430" s="37"/>
    </row>
    <row r="431" spans="1:15" ht="14.25" customHeight="1" x14ac:dyDescent="0.3">
      <c r="A431" s="39"/>
      <c r="B431" s="39"/>
      <c r="C431" s="39"/>
      <c r="D431" s="40"/>
      <c r="E431" s="39"/>
      <c r="F431" s="39"/>
      <c r="G431" s="40"/>
      <c r="H431" s="40"/>
      <c r="I431" s="40"/>
      <c r="J431" s="37"/>
      <c r="K431" s="37"/>
      <c r="L431" s="37"/>
      <c r="M431" s="37"/>
      <c r="N431" s="37"/>
      <c r="O431" s="37"/>
    </row>
    <row r="432" spans="1:15" ht="14.25" customHeight="1" x14ac:dyDescent="0.3">
      <c r="A432" s="39"/>
      <c r="B432" s="39"/>
      <c r="C432" s="39"/>
      <c r="D432" s="40"/>
      <c r="E432" s="39"/>
      <c r="F432" s="39"/>
      <c r="G432" s="40"/>
      <c r="H432" s="40"/>
      <c r="I432" s="40"/>
      <c r="J432" s="37"/>
      <c r="K432" s="37"/>
      <c r="L432" s="37"/>
      <c r="M432" s="37"/>
      <c r="N432" s="37"/>
      <c r="O432" s="37"/>
    </row>
    <row r="433" spans="1:15" ht="14.25" customHeight="1" x14ac:dyDescent="0.3">
      <c r="A433" s="39"/>
      <c r="B433" s="39"/>
      <c r="C433" s="39"/>
      <c r="D433" s="40"/>
      <c r="E433" s="39"/>
      <c r="F433" s="39"/>
      <c r="G433" s="40"/>
      <c r="H433" s="40"/>
      <c r="I433" s="40"/>
      <c r="J433" s="37"/>
      <c r="K433" s="37"/>
      <c r="L433" s="37"/>
      <c r="M433" s="37"/>
      <c r="N433" s="37"/>
      <c r="O433" s="37"/>
    </row>
    <row r="434" spans="1:15" ht="14.25" customHeight="1" x14ac:dyDescent="0.3">
      <c r="A434" s="39"/>
      <c r="B434" s="39"/>
      <c r="C434" s="39"/>
      <c r="D434" s="40"/>
      <c r="E434" s="39"/>
      <c r="F434" s="39"/>
      <c r="G434" s="40"/>
      <c r="H434" s="40"/>
      <c r="I434" s="40"/>
      <c r="J434" s="37"/>
      <c r="K434" s="37"/>
      <c r="L434" s="37"/>
      <c r="M434" s="37"/>
      <c r="N434" s="37"/>
      <c r="O434" s="37"/>
    </row>
    <row r="435" spans="1:15" ht="14.25" customHeight="1" x14ac:dyDescent="0.3">
      <c r="A435" s="39"/>
      <c r="B435" s="39"/>
      <c r="C435" s="39"/>
      <c r="D435" s="40"/>
      <c r="E435" s="39"/>
      <c r="F435" s="39"/>
      <c r="G435" s="40"/>
      <c r="H435" s="40"/>
      <c r="I435" s="40"/>
      <c r="J435" s="37"/>
      <c r="K435" s="37"/>
      <c r="L435" s="37"/>
      <c r="M435" s="37"/>
      <c r="N435" s="37"/>
      <c r="O435" s="37"/>
    </row>
    <row r="436" spans="1:15" ht="14.25" customHeight="1" x14ac:dyDescent="0.3">
      <c r="A436" s="39"/>
      <c r="B436" s="39"/>
      <c r="C436" s="39"/>
      <c r="D436" s="40"/>
      <c r="E436" s="39"/>
      <c r="F436" s="39"/>
      <c r="G436" s="40"/>
      <c r="H436" s="40"/>
      <c r="I436" s="40"/>
      <c r="J436" s="37"/>
      <c r="K436" s="37"/>
      <c r="L436" s="37"/>
      <c r="M436" s="37"/>
      <c r="N436" s="37"/>
      <c r="O436" s="37"/>
    </row>
    <row r="437" spans="1:15" ht="14.25" customHeight="1" x14ac:dyDescent="0.3">
      <c r="A437" s="39"/>
      <c r="B437" s="39"/>
      <c r="C437" s="39"/>
      <c r="D437" s="40"/>
      <c r="E437" s="39"/>
      <c r="F437" s="39"/>
      <c r="G437" s="40"/>
      <c r="H437" s="40"/>
      <c r="I437" s="40"/>
      <c r="J437" s="37"/>
      <c r="K437" s="37"/>
      <c r="L437" s="37"/>
      <c r="M437" s="37"/>
      <c r="N437" s="37"/>
      <c r="O437" s="37"/>
    </row>
    <row r="438" spans="1:15" ht="14.25" customHeight="1" x14ac:dyDescent="0.3">
      <c r="A438" s="39"/>
      <c r="B438" s="39"/>
      <c r="C438" s="39"/>
      <c r="D438" s="40"/>
      <c r="E438" s="39"/>
      <c r="F438" s="39"/>
      <c r="G438" s="40"/>
      <c r="H438" s="40"/>
      <c r="I438" s="40"/>
      <c r="J438" s="37"/>
      <c r="K438" s="37"/>
      <c r="L438" s="37"/>
      <c r="M438" s="37"/>
      <c r="N438" s="37"/>
      <c r="O438" s="37"/>
    </row>
    <row r="439" spans="1:15" ht="14.25" customHeight="1" x14ac:dyDescent="0.3">
      <c r="A439" s="39"/>
      <c r="B439" s="39"/>
      <c r="C439" s="39"/>
      <c r="D439" s="40"/>
      <c r="E439" s="39"/>
      <c r="F439" s="39"/>
      <c r="G439" s="40"/>
      <c r="H439" s="40"/>
      <c r="I439" s="40"/>
      <c r="J439" s="37"/>
      <c r="K439" s="37"/>
      <c r="L439" s="37"/>
      <c r="M439" s="37"/>
      <c r="N439" s="37"/>
      <c r="O439" s="37"/>
    </row>
    <row r="440" spans="1:15" ht="14.25" customHeight="1" x14ac:dyDescent="0.3">
      <c r="A440" s="39"/>
      <c r="B440" s="39"/>
      <c r="C440" s="39"/>
      <c r="D440" s="40"/>
      <c r="E440" s="39"/>
      <c r="F440" s="39"/>
      <c r="G440" s="40"/>
      <c r="H440" s="40"/>
      <c r="I440" s="40"/>
      <c r="J440" s="37"/>
      <c r="K440" s="37"/>
      <c r="L440" s="37"/>
      <c r="M440" s="37"/>
      <c r="N440" s="37"/>
      <c r="O440" s="37"/>
    </row>
    <row r="441" spans="1:15" ht="14.25" customHeight="1" x14ac:dyDescent="0.3">
      <c r="A441" s="39"/>
      <c r="B441" s="39"/>
      <c r="C441" s="39"/>
      <c r="D441" s="40"/>
      <c r="E441" s="39"/>
      <c r="F441" s="39"/>
      <c r="G441" s="40"/>
      <c r="H441" s="40"/>
      <c r="I441" s="40"/>
      <c r="J441" s="37"/>
      <c r="K441" s="37"/>
      <c r="L441" s="37"/>
      <c r="M441" s="37"/>
      <c r="N441" s="37"/>
      <c r="O441" s="37"/>
    </row>
    <row r="442" spans="1:15" ht="14.25" customHeight="1" x14ac:dyDescent="0.3">
      <c r="A442" s="39"/>
      <c r="B442" s="39"/>
      <c r="C442" s="39"/>
      <c r="D442" s="40"/>
      <c r="E442" s="39"/>
      <c r="F442" s="39"/>
      <c r="G442" s="40"/>
      <c r="H442" s="40"/>
      <c r="I442" s="40"/>
      <c r="J442" s="37"/>
      <c r="K442" s="37"/>
      <c r="L442" s="37"/>
      <c r="M442" s="37"/>
      <c r="N442" s="37"/>
      <c r="O442" s="37"/>
    </row>
    <row r="443" spans="1:15" ht="14.25" customHeight="1" x14ac:dyDescent="0.3">
      <c r="A443" s="39"/>
      <c r="B443" s="39"/>
      <c r="C443" s="39"/>
      <c r="D443" s="40"/>
      <c r="E443" s="39"/>
      <c r="F443" s="39"/>
      <c r="G443" s="40"/>
      <c r="H443" s="40"/>
      <c r="I443" s="40"/>
      <c r="J443" s="37"/>
      <c r="K443" s="37"/>
      <c r="L443" s="37"/>
      <c r="M443" s="37"/>
      <c r="N443" s="37"/>
      <c r="O443" s="37"/>
    </row>
    <row r="444" spans="1:15" ht="14.25" customHeight="1" x14ac:dyDescent="0.3">
      <c r="A444" s="39"/>
      <c r="B444" s="39"/>
      <c r="C444" s="39"/>
      <c r="D444" s="40"/>
      <c r="E444" s="39"/>
      <c r="F444" s="39"/>
      <c r="G444" s="40"/>
      <c r="H444" s="40"/>
      <c r="I444" s="40"/>
      <c r="J444" s="37"/>
      <c r="K444" s="37"/>
      <c r="L444" s="37"/>
      <c r="M444" s="37"/>
      <c r="N444" s="37"/>
      <c r="O444" s="37"/>
    </row>
    <row r="445" spans="1:15" ht="14.25" customHeight="1" x14ac:dyDescent="0.3">
      <c r="A445" s="39"/>
      <c r="B445" s="39"/>
      <c r="C445" s="39"/>
      <c r="D445" s="40"/>
      <c r="E445" s="39"/>
      <c r="F445" s="39"/>
      <c r="G445" s="40"/>
      <c r="H445" s="40"/>
      <c r="I445" s="40"/>
      <c r="J445" s="37"/>
      <c r="K445" s="37"/>
      <c r="L445" s="37"/>
      <c r="M445" s="37"/>
      <c r="N445" s="37"/>
      <c r="O445" s="37"/>
    </row>
    <row r="446" spans="1:15" ht="14.25" customHeight="1" x14ac:dyDescent="0.3">
      <c r="A446" s="39"/>
      <c r="B446" s="39"/>
      <c r="C446" s="39"/>
      <c r="D446" s="40"/>
      <c r="E446" s="39"/>
      <c r="F446" s="39"/>
      <c r="G446" s="40"/>
      <c r="H446" s="40"/>
      <c r="I446" s="40"/>
      <c r="J446" s="37"/>
      <c r="K446" s="37"/>
      <c r="L446" s="37"/>
      <c r="M446" s="37"/>
      <c r="N446" s="37"/>
      <c r="O446" s="37"/>
    </row>
    <row r="447" spans="1:15" ht="14.25" customHeight="1" x14ac:dyDescent="0.3">
      <c r="A447" s="39"/>
      <c r="B447" s="39"/>
      <c r="C447" s="39"/>
      <c r="D447" s="40"/>
      <c r="E447" s="39"/>
      <c r="F447" s="39"/>
      <c r="G447" s="40"/>
      <c r="H447" s="40"/>
      <c r="I447" s="40"/>
      <c r="J447" s="37"/>
      <c r="K447" s="37"/>
      <c r="L447" s="37"/>
      <c r="M447" s="37"/>
      <c r="N447" s="37"/>
      <c r="O447" s="37"/>
    </row>
    <row r="448" spans="1:15" ht="14.25" customHeight="1" x14ac:dyDescent="0.3">
      <c r="A448" s="39"/>
      <c r="B448" s="39"/>
      <c r="C448" s="39"/>
      <c r="D448" s="40"/>
      <c r="E448" s="39"/>
      <c r="F448" s="39"/>
      <c r="G448" s="40"/>
      <c r="H448" s="40"/>
      <c r="I448" s="40"/>
      <c r="J448" s="37"/>
      <c r="K448" s="37"/>
      <c r="L448" s="37"/>
      <c r="M448" s="37"/>
      <c r="N448" s="37"/>
      <c r="O448" s="37"/>
    </row>
    <row r="449" spans="1:15" ht="14.25" customHeight="1" x14ac:dyDescent="0.3">
      <c r="A449" s="39"/>
      <c r="B449" s="39"/>
      <c r="C449" s="39"/>
      <c r="D449" s="40"/>
      <c r="E449" s="39"/>
      <c r="F449" s="39"/>
      <c r="G449" s="40"/>
      <c r="H449" s="40"/>
      <c r="I449" s="40"/>
      <c r="J449" s="37"/>
      <c r="K449" s="37"/>
      <c r="L449" s="37"/>
      <c r="M449" s="37"/>
      <c r="N449" s="37"/>
      <c r="O449" s="37"/>
    </row>
    <row r="450" spans="1:15" ht="14.25" customHeight="1" x14ac:dyDescent="0.3">
      <c r="A450" s="39"/>
      <c r="B450" s="39"/>
      <c r="C450" s="39"/>
      <c r="D450" s="40"/>
      <c r="E450" s="39"/>
      <c r="F450" s="39"/>
      <c r="G450" s="40"/>
      <c r="H450" s="40"/>
      <c r="I450" s="40"/>
      <c r="J450" s="37"/>
      <c r="K450" s="37"/>
      <c r="L450" s="37"/>
      <c r="M450" s="37"/>
      <c r="N450" s="37"/>
      <c r="O450" s="37"/>
    </row>
    <row r="451" spans="1:15" ht="14.25" customHeight="1" x14ac:dyDescent="0.3">
      <c r="A451" s="39"/>
      <c r="B451" s="39"/>
      <c r="C451" s="39"/>
      <c r="D451" s="40"/>
      <c r="E451" s="39"/>
      <c r="F451" s="39"/>
      <c r="G451" s="40"/>
      <c r="H451" s="40"/>
      <c r="I451" s="40"/>
      <c r="J451" s="37"/>
      <c r="K451" s="37"/>
      <c r="L451" s="37"/>
      <c r="M451" s="37"/>
      <c r="N451" s="37"/>
      <c r="O451" s="37"/>
    </row>
    <row r="452" spans="1:15" ht="14.25" customHeight="1" x14ac:dyDescent="0.3">
      <c r="A452" s="39"/>
      <c r="B452" s="39"/>
      <c r="C452" s="39"/>
      <c r="D452" s="40"/>
      <c r="E452" s="39"/>
      <c r="F452" s="39"/>
      <c r="G452" s="40"/>
      <c r="H452" s="40"/>
      <c r="I452" s="40"/>
      <c r="J452" s="37"/>
      <c r="K452" s="37"/>
      <c r="L452" s="37"/>
      <c r="M452" s="37"/>
      <c r="N452" s="37"/>
      <c r="O452" s="37"/>
    </row>
    <row r="453" spans="1:15" ht="14.25" customHeight="1" x14ac:dyDescent="0.3">
      <c r="A453" s="39"/>
      <c r="B453" s="39"/>
      <c r="C453" s="39"/>
      <c r="D453" s="40"/>
      <c r="E453" s="39"/>
      <c r="F453" s="39"/>
      <c r="G453" s="40"/>
      <c r="H453" s="40"/>
      <c r="I453" s="40"/>
      <c r="J453" s="37"/>
      <c r="K453" s="37"/>
      <c r="L453" s="37"/>
      <c r="M453" s="37"/>
      <c r="N453" s="37"/>
      <c r="O453" s="37"/>
    </row>
    <row r="454" spans="1:15" ht="14.25" customHeight="1" x14ac:dyDescent="0.3">
      <c r="A454" s="39"/>
      <c r="B454" s="39"/>
      <c r="C454" s="39"/>
      <c r="D454" s="40"/>
      <c r="E454" s="39"/>
      <c r="F454" s="39"/>
      <c r="G454" s="40"/>
      <c r="H454" s="40"/>
      <c r="I454" s="40"/>
      <c r="J454" s="37"/>
      <c r="K454" s="37"/>
      <c r="L454" s="37"/>
      <c r="M454" s="37"/>
      <c r="N454" s="37"/>
      <c r="O454" s="37"/>
    </row>
    <row r="455" spans="1:15" ht="14.25" customHeight="1" x14ac:dyDescent="0.3">
      <c r="A455" s="39"/>
      <c r="B455" s="39"/>
      <c r="C455" s="39"/>
      <c r="D455" s="40"/>
      <c r="E455" s="39"/>
      <c r="F455" s="39"/>
      <c r="G455" s="40"/>
      <c r="H455" s="40"/>
      <c r="I455" s="40"/>
      <c r="J455" s="37"/>
      <c r="K455" s="37"/>
      <c r="L455" s="37"/>
      <c r="M455" s="37"/>
      <c r="N455" s="37"/>
      <c r="O455" s="37"/>
    </row>
    <row r="456" spans="1:15" ht="14.25" customHeight="1" x14ac:dyDescent="0.3">
      <c r="A456" s="39"/>
      <c r="B456" s="39"/>
      <c r="C456" s="39"/>
      <c r="D456" s="40"/>
      <c r="E456" s="39"/>
      <c r="F456" s="39"/>
      <c r="G456" s="40"/>
      <c r="H456" s="40"/>
      <c r="I456" s="40"/>
      <c r="J456" s="37"/>
      <c r="K456" s="37"/>
      <c r="L456" s="37"/>
      <c r="M456" s="37"/>
      <c r="N456" s="37"/>
      <c r="O456" s="37"/>
    </row>
    <row r="457" spans="1:15" ht="14.25" customHeight="1" x14ac:dyDescent="0.3">
      <c r="A457" s="39"/>
      <c r="B457" s="39"/>
      <c r="C457" s="39"/>
      <c r="D457" s="40"/>
      <c r="E457" s="39"/>
      <c r="F457" s="39"/>
      <c r="G457" s="40"/>
      <c r="H457" s="40"/>
      <c r="I457" s="40"/>
      <c r="J457" s="37"/>
      <c r="K457" s="37"/>
      <c r="L457" s="37"/>
      <c r="M457" s="37"/>
      <c r="N457" s="37"/>
      <c r="O457" s="37"/>
    </row>
    <row r="458" spans="1:15" ht="14.25" customHeight="1" x14ac:dyDescent="0.3">
      <c r="A458" s="39"/>
      <c r="B458" s="39"/>
      <c r="C458" s="39"/>
      <c r="D458" s="40"/>
      <c r="E458" s="39"/>
      <c r="F458" s="39"/>
      <c r="G458" s="40"/>
      <c r="H458" s="40"/>
      <c r="I458" s="40"/>
      <c r="J458" s="37"/>
      <c r="K458" s="37"/>
      <c r="L458" s="37"/>
      <c r="M458" s="37"/>
      <c r="N458" s="37"/>
      <c r="O458" s="37"/>
    </row>
    <row r="459" spans="1:15" ht="14.25" customHeight="1" x14ac:dyDescent="0.3">
      <c r="A459" s="39"/>
      <c r="B459" s="39"/>
      <c r="C459" s="39"/>
      <c r="D459" s="40"/>
      <c r="E459" s="39"/>
      <c r="F459" s="39"/>
      <c r="G459" s="40"/>
      <c r="H459" s="40"/>
      <c r="I459" s="40"/>
      <c r="J459" s="37"/>
      <c r="K459" s="37"/>
      <c r="L459" s="37"/>
      <c r="M459" s="37"/>
      <c r="N459" s="37"/>
      <c r="O459" s="37"/>
    </row>
    <row r="460" spans="1:15" ht="14.25" customHeight="1" x14ac:dyDescent="0.3">
      <c r="A460" s="39"/>
      <c r="B460" s="39"/>
      <c r="C460" s="39"/>
      <c r="D460" s="40"/>
      <c r="E460" s="39"/>
      <c r="F460" s="39"/>
      <c r="G460" s="40"/>
      <c r="H460" s="40"/>
      <c r="I460" s="40"/>
      <c r="J460" s="37"/>
      <c r="K460" s="37"/>
      <c r="L460" s="37"/>
      <c r="M460" s="37"/>
      <c r="N460" s="37"/>
      <c r="O460" s="37"/>
    </row>
    <row r="461" spans="1:15" ht="14.25" customHeight="1" x14ac:dyDescent="0.3">
      <c r="A461" s="39"/>
      <c r="B461" s="39"/>
      <c r="C461" s="39"/>
      <c r="D461" s="40"/>
      <c r="E461" s="39"/>
      <c r="F461" s="39"/>
      <c r="G461" s="40"/>
      <c r="H461" s="40"/>
      <c r="I461" s="40"/>
      <c r="J461" s="37"/>
      <c r="K461" s="37"/>
      <c r="L461" s="37"/>
      <c r="M461" s="37"/>
      <c r="N461" s="37"/>
      <c r="O461" s="37"/>
    </row>
    <row r="462" spans="1:15" ht="14.25" customHeight="1" x14ac:dyDescent="0.3">
      <c r="A462" s="39"/>
      <c r="B462" s="39"/>
      <c r="C462" s="39"/>
      <c r="D462" s="40"/>
      <c r="E462" s="39"/>
      <c r="F462" s="39"/>
      <c r="G462" s="40"/>
      <c r="H462" s="40"/>
      <c r="I462" s="40"/>
      <c r="J462" s="37"/>
      <c r="K462" s="37"/>
      <c r="L462" s="37"/>
      <c r="M462" s="37"/>
      <c r="N462" s="37"/>
      <c r="O462" s="37"/>
    </row>
    <row r="463" spans="1:15" ht="14.25" customHeight="1" x14ac:dyDescent="0.3">
      <c r="A463" s="39"/>
      <c r="B463" s="39"/>
      <c r="C463" s="39"/>
      <c r="D463" s="40"/>
      <c r="E463" s="39"/>
      <c r="F463" s="39"/>
      <c r="G463" s="40"/>
      <c r="H463" s="40"/>
      <c r="I463" s="40"/>
      <c r="J463" s="37"/>
      <c r="K463" s="37"/>
      <c r="L463" s="37"/>
      <c r="M463" s="37"/>
      <c r="N463" s="37"/>
      <c r="O463" s="37"/>
    </row>
    <row r="464" spans="1:15" ht="14.25" customHeight="1" x14ac:dyDescent="0.3">
      <c r="A464" s="39"/>
      <c r="B464" s="39"/>
      <c r="C464" s="39"/>
      <c r="D464" s="40"/>
      <c r="E464" s="39"/>
      <c r="F464" s="39"/>
      <c r="G464" s="40"/>
      <c r="H464" s="40"/>
      <c r="I464" s="40"/>
      <c r="J464" s="37"/>
      <c r="K464" s="37"/>
      <c r="L464" s="37"/>
      <c r="M464" s="37"/>
      <c r="N464" s="37"/>
      <c r="O464" s="37"/>
    </row>
    <row r="465" spans="1:15" ht="14.25" customHeight="1" x14ac:dyDescent="0.3">
      <c r="A465" s="39"/>
      <c r="B465" s="39"/>
      <c r="C465" s="39"/>
      <c r="D465" s="40"/>
      <c r="E465" s="39"/>
      <c r="F465" s="39"/>
      <c r="G465" s="40"/>
      <c r="H465" s="40"/>
      <c r="I465" s="40"/>
      <c r="J465" s="37"/>
      <c r="K465" s="37"/>
      <c r="L465" s="37"/>
      <c r="M465" s="37"/>
      <c r="N465" s="37"/>
      <c r="O465" s="37"/>
    </row>
    <row r="466" spans="1:15" ht="14.25" customHeight="1" x14ac:dyDescent="0.3">
      <c r="A466" s="39"/>
      <c r="B466" s="39"/>
      <c r="C466" s="39"/>
      <c r="D466" s="40"/>
      <c r="E466" s="39"/>
      <c r="F466" s="39"/>
      <c r="G466" s="40"/>
      <c r="H466" s="40"/>
      <c r="I466" s="40"/>
      <c r="J466" s="37"/>
      <c r="K466" s="37"/>
      <c r="L466" s="37"/>
      <c r="M466" s="37"/>
      <c r="N466" s="37"/>
      <c r="O466" s="37"/>
    </row>
    <row r="467" spans="1:15" ht="14.25" customHeight="1" x14ac:dyDescent="0.3">
      <c r="A467" s="39"/>
      <c r="B467" s="39"/>
      <c r="C467" s="39"/>
      <c r="D467" s="40"/>
      <c r="E467" s="39"/>
      <c r="F467" s="39"/>
      <c r="G467" s="40"/>
      <c r="H467" s="40"/>
      <c r="I467" s="40"/>
      <c r="J467" s="37"/>
      <c r="K467" s="37"/>
      <c r="L467" s="37"/>
      <c r="M467" s="37"/>
      <c r="N467" s="37"/>
      <c r="O467" s="37"/>
    </row>
    <row r="468" spans="1:15" ht="14.25" customHeight="1" x14ac:dyDescent="0.3">
      <c r="A468" s="39"/>
      <c r="B468" s="39"/>
      <c r="C468" s="39"/>
      <c r="D468" s="40"/>
      <c r="E468" s="39"/>
      <c r="F468" s="39"/>
      <c r="G468" s="40"/>
      <c r="H468" s="40"/>
      <c r="I468" s="40"/>
      <c r="J468" s="37"/>
      <c r="K468" s="37"/>
      <c r="L468" s="37"/>
      <c r="M468" s="37"/>
      <c r="N468" s="37"/>
      <c r="O468" s="37"/>
    </row>
    <row r="469" spans="1:15" ht="14.25" customHeight="1" x14ac:dyDescent="0.3">
      <c r="A469" s="39"/>
      <c r="B469" s="39"/>
      <c r="C469" s="39"/>
      <c r="D469" s="40"/>
      <c r="E469" s="39"/>
      <c r="F469" s="39"/>
      <c r="G469" s="40"/>
      <c r="H469" s="40"/>
      <c r="I469" s="40"/>
      <c r="J469" s="37"/>
      <c r="K469" s="37"/>
      <c r="L469" s="37"/>
      <c r="M469" s="37"/>
      <c r="N469" s="37"/>
      <c r="O469" s="37"/>
    </row>
    <row r="470" spans="1:15" ht="14.25" customHeight="1" x14ac:dyDescent="0.3">
      <c r="A470" s="39"/>
      <c r="B470" s="39"/>
      <c r="C470" s="39"/>
      <c r="D470" s="40"/>
      <c r="E470" s="39"/>
      <c r="F470" s="39"/>
      <c r="G470" s="40"/>
      <c r="H470" s="40"/>
      <c r="I470" s="40"/>
      <c r="J470" s="37"/>
      <c r="K470" s="37"/>
      <c r="L470" s="37"/>
      <c r="M470" s="37"/>
      <c r="N470" s="37"/>
      <c r="O470" s="37"/>
    </row>
    <row r="471" spans="1:15" ht="14.25" customHeight="1" x14ac:dyDescent="0.3">
      <c r="A471" s="39"/>
      <c r="B471" s="39"/>
      <c r="C471" s="39"/>
      <c r="D471" s="40"/>
      <c r="E471" s="39"/>
      <c r="F471" s="39"/>
      <c r="G471" s="40"/>
      <c r="H471" s="40"/>
      <c r="I471" s="40"/>
      <c r="J471" s="37"/>
      <c r="K471" s="37"/>
      <c r="L471" s="37"/>
      <c r="M471" s="37"/>
      <c r="N471" s="37"/>
      <c r="O471" s="37"/>
    </row>
    <row r="472" spans="1:15" ht="14.25" customHeight="1" x14ac:dyDescent="0.3">
      <c r="A472" s="39"/>
      <c r="B472" s="39"/>
      <c r="C472" s="39"/>
      <c r="D472" s="40"/>
      <c r="E472" s="39"/>
      <c r="F472" s="39"/>
      <c r="G472" s="40"/>
      <c r="H472" s="40"/>
      <c r="I472" s="40"/>
      <c r="J472" s="37"/>
      <c r="K472" s="37"/>
      <c r="L472" s="37"/>
      <c r="M472" s="37"/>
      <c r="N472" s="37"/>
      <c r="O472" s="37"/>
    </row>
    <row r="473" spans="1:15" ht="14.25" customHeight="1" x14ac:dyDescent="0.3">
      <c r="A473" s="39"/>
      <c r="B473" s="39"/>
      <c r="C473" s="39"/>
      <c r="D473" s="40"/>
      <c r="E473" s="39"/>
      <c r="F473" s="39"/>
      <c r="G473" s="40"/>
      <c r="H473" s="40"/>
      <c r="I473" s="40"/>
      <c r="J473" s="37"/>
      <c r="K473" s="37"/>
      <c r="L473" s="37"/>
      <c r="M473" s="37"/>
      <c r="N473" s="37"/>
      <c r="O473" s="37"/>
    </row>
    <row r="474" spans="1:15" ht="14.25" customHeight="1" x14ac:dyDescent="0.3">
      <c r="A474" s="39"/>
      <c r="B474" s="39"/>
      <c r="C474" s="39"/>
      <c r="D474" s="40"/>
      <c r="E474" s="39"/>
      <c r="F474" s="39"/>
      <c r="G474" s="40"/>
      <c r="H474" s="40"/>
      <c r="I474" s="40"/>
      <c r="J474" s="37"/>
      <c r="K474" s="37"/>
      <c r="L474" s="37"/>
      <c r="M474" s="37"/>
      <c r="N474" s="37"/>
      <c r="O474" s="37"/>
    </row>
    <row r="475" spans="1:15" ht="14.25" customHeight="1" x14ac:dyDescent="0.3">
      <c r="A475" s="39"/>
      <c r="B475" s="39"/>
      <c r="C475" s="39"/>
      <c r="D475" s="40"/>
      <c r="E475" s="39"/>
      <c r="F475" s="39"/>
      <c r="G475" s="40"/>
      <c r="H475" s="40"/>
      <c r="I475" s="40"/>
      <c r="J475" s="37"/>
      <c r="K475" s="37"/>
      <c r="L475" s="37"/>
      <c r="M475" s="37"/>
      <c r="N475" s="37"/>
      <c r="O475" s="37"/>
    </row>
    <row r="476" spans="1:15" ht="14.25" customHeight="1" x14ac:dyDescent="0.3">
      <c r="A476" s="39"/>
      <c r="B476" s="39"/>
      <c r="C476" s="39"/>
      <c r="D476" s="40"/>
      <c r="E476" s="39"/>
      <c r="F476" s="39"/>
      <c r="G476" s="40"/>
      <c r="H476" s="40"/>
      <c r="I476" s="40"/>
      <c r="J476" s="37"/>
      <c r="K476" s="37"/>
      <c r="L476" s="37"/>
      <c r="M476" s="37"/>
      <c r="N476" s="37"/>
      <c r="O476" s="37"/>
    </row>
    <row r="477" spans="1:15" ht="14.25" customHeight="1" x14ac:dyDescent="0.3">
      <c r="A477" s="39"/>
      <c r="B477" s="39"/>
      <c r="C477" s="39"/>
      <c r="D477" s="40"/>
      <c r="E477" s="39"/>
      <c r="F477" s="39"/>
      <c r="G477" s="40"/>
      <c r="H477" s="40"/>
      <c r="I477" s="40"/>
      <c r="J477" s="37"/>
      <c r="K477" s="37"/>
      <c r="L477" s="37"/>
      <c r="M477" s="37"/>
      <c r="N477" s="37"/>
      <c r="O477" s="37"/>
    </row>
    <row r="478" spans="1:15" ht="14.25" customHeight="1" x14ac:dyDescent="0.3">
      <c r="A478" s="39"/>
      <c r="B478" s="39"/>
      <c r="C478" s="39"/>
      <c r="D478" s="40"/>
      <c r="E478" s="39"/>
      <c r="F478" s="39"/>
      <c r="G478" s="40"/>
      <c r="H478" s="40"/>
      <c r="I478" s="40"/>
      <c r="J478" s="37"/>
      <c r="K478" s="37"/>
      <c r="L478" s="37"/>
      <c r="M478" s="37"/>
      <c r="N478" s="37"/>
      <c r="O478" s="37"/>
    </row>
    <row r="479" spans="1:15" ht="14.25" customHeight="1" x14ac:dyDescent="0.3">
      <c r="A479" s="39"/>
      <c r="B479" s="39"/>
      <c r="C479" s="39"/>
      <c r="D479" s="40"/>
      <c r="E479" s="39"/>
      <c r="F479" s="39"/>
      <c r="G479" s="40"/>
      <c r="H479" s="40"/>
      <c r="I479" s="40"/>
      <c r="J479" s="37"/>
      <c r="K479" s="37"/>
      <c r="L479" s="37"/>
      <c r="M479" s="37"/>
      <c r="N479" s="37"/>
      <c r="O479" s="37"/>
    </row>
    <row r="480" spans="1:15" ht="14.25" customHeight="1" x14ac:dyDescent="0.3">
      <c r="A480" s="39"/>
      <c r="B480" s="39"/>
      <c r="C480" s="39"/>
      <c r="D480" s="40"/>
      <c r="E480" s="39"/>
      <c r="F480" s="39"/>
      <c r="G480" s="40"/>
      <c r="H480" s="40"/>
      <c r="I480" s="40"/>
      <c r="J480" s="37"/>
      <c r="K480" s="37"/>
      <c r="L480" s="37"/>
      <c r="M480" s="37"/>
      <c r="N480" s="37"/>
      <c r="O480" s="37"/>
    </row>
    <row r="481" spans="1:15" ht="14.25" customHeight="1" x14ac:dyDescent="0.3">
      <c r="A481" s="39"/>
      <c r="B481" s="39"/>
      <c r="C481" s="39"/>
      <c r="D481" s="40"/>
      <c r="E481" s="39"/>
      <c r="F481" s="39"/>
      <c r="G481" s="40"/>
      <c r="H481" s="40"/>
      <c r="I481" s="40"/>
      <c r="J481" s="37"/>
      <c r="K481" s="37"/>
      <c r="L481" s="37"/>
      <c r="M481" s="37"/>
      <c r="N481" s="37"/>
      <c r="O481" s="37"/>
    </row>
    <row r="482" spans="1:15" ht="14.25" customHeight="1" x14ac:dyDescent="0.3">
      <c r="A482" s="39"/>
      <c r="B482" s="39"/>
      <c r="C482" s="39"/>
      <c r="D482" s="40"/>
      <c r="E482" s="39"/>
      <c r="F482" s="39"/>
      <c r="G482" s="40"/>
      <c r="H482" s="40"/>
      <c r="I482" s="40"/>
      <c r="J482" s="37"/>
      <c r="K482" s="37"/>
      <c r="L482" s="37"/>
      <c r="M482" s="37"/>
      <c r="N482" s="37"/>
      <c r="O482" s="37"/>
    </row>
    <row r="483" spans="1:15" ht="14.25" customHeight="1" x14ac:dyDescent="0.3">
      <c r="A483" s="39"/>
      <c r="B483" s="39"/>
      <c r="C483" s="39"/>
      <c r="D483" s="40"/>
      <c r="E483" s="39"/>
      <c r="F483" s="39"/>
      <c r="G483" s="40"/>
      <c r="H483" s="40"/>
      <c r="I483" s="40"/>
      <c r="J483" s="37"/>
      <c r="K483" s="37"/>
      <c r="L483" s="37"/>
      <c r="M483" s="37"/>
      <c r="N483" s="37"/>
      <c r="O483" s="37"/>
    </row>
    <row r="484" spans="1:15" ht="14.25" customHeight="1" x14ac:dyDescent="0.3">
      <c r="A484" s="39"/>
      <c r="B484" s="39"/>
      <c r="C484" s="39"/>
      <c r="D484" s="40"/>
      <c r="E484" s="39"/>
      <c r="F484" s="39"/>
      <c r="G484" s="40"/>
      <c r="H484" s="40"/>
      <c r="I484" s="40"/>
      <c r="J484" s="37"/>
      <c r="K484" s="37"/>
      <c r="L484" s="37"/>
      <c r="M484" s="37"/>
      <c r="N484" s="37"/>
      <c r="O484" s="37"/>
    </row>
    <row r="485" spans="1:15" ht="14.25" customHeight="1" x14ac:dyDescent="0.3">
      <c r="A485" s="39"/>
      <c r="B485" s="39"/>
      <c r="C485" s="39"/>
      <c r="D485" s="40"/>
      <c r="E485" s="39"/>
      <c r="F485" s="39"/>
      <c r="G485" s="40"/>
      <c r="H485" s="40"/>
      <c r="I485" s="40"/>
      <c r="J485" s="37"/>
      <c r="K485" s="37"/>
      <c r="L485" s="37"/>
      <c r="M485" s="37"/>
      <c r="N485" s="37"/>
      <c r="O485" s="37"/>
    </row>
    <row r="486" spans="1:15" ht="14.25" customHeight="1" x14ac:dyDescent="0.3">
      <c r="A486" s="39"/>
      <c r="B486" s="39"/>
      <c r="C486" s="39"/>
      <c r="D486" s="40"/>
      <c r="E486" s="39"/>
      <c r="F486" s="39"/>
      <c r="G486" s="40"/>
      <c r="H486" s="40"/>
      <c r="I486" s="40"/>
      <c r="J486" s="37"/>
      <c r="K486" s="37"/>
      <c r="L486" s="37"/>
      <c r="M486" s="37"/>
      <c r="N486" s="37"/>
      <c r="O486" s="37"/>
    </row>
    <row r="487" spans="1:15" ht="14.25" customHeight="1" x14ac:dyDescent="0.3">
      <c r="A487" s="39"/>
      <c r="B487" s="39"/>
      <c r="C487" s="39"/>
      <c r="D487" s="40"/>
      <c r="E487" s="39"/>
      <c r="F487" s="39"/>
      <c r="G487" s="40"/>
      <c r="H487" s="40"/>
      <c r="I487" s="40"/>
      <c r="J487" s="37"/>
      <c r="K487" s="37"/>
      <c r="L487" s="37"/>
      <c r="M487" s="37"/>
      <c r="N487" s="37"/>
      <c r="O487" s="37"/>
    </row>
    <row r="488" spans="1:15" ht="14.25" customHeight="1" x14ac:dyDescent="0.3">
      <c r="A488" s="39"/>
      <c r="B488" s="39"/>
      <c r="C488" s="39"/>
      <c r="D488" s="40"/>
      <c r="E488" s="39"/>
      <c r="F488" s="39"/>
      <c r="G488" s="40"/>
      <c r="H488" s="40"/>
      <c r="I488" s="40"/>
      <c r="J488" s="37"/>
      <c r="K488" s="37"/>
      <c r="L488" s="37"/>
      <c r="M488" s="37"/>
      <c r="N488" s="37"/>
      <c r="O488" s="37"/>
    </row>
    <row r="489" spans="1:15" ht="14.25" customHeight="1" x14ac:dyDescent="0.3">
      <c r="A489" s="39"/>
      <c r="B489" s="39"/>
      <c r="C489" s="39"/>
      <c r="D489" s="40"/>
      <c r="E489" s="39"/>
      <c r="F489" s="39"/>
      <c r="G489" s="40"/>
      <c r="H489" s="40"/>
      <c r="I489" s="40"/>
      <c r="J489" s="37"/>
      <c r="K489" s="37"/>
      <c r="L489" s="37"/>
      <c r="M489" s="37"/>
      <c r="N489" s="37"/>
      <c r="O489" s="37"/>
    </row>
    <row r="490" spans="1:15" ht="14.25" customHeight="1" x14ac:dyDescent="0.3">
      <c r="A490" s="39"/>
      <c r="B490" s="39"/>
      <c r="C490" s="39"/>
      <c r="D490" s="40"/>
      <c r="E490" s="39"/>
      <c r="F490" s="39"/>
      <c r="G490" s="40"/>
      <c r="H490" s="40"/>
      <c r="I490" s="40"/>
      <c r="J490" s="37"/>
      <c r="K490" s="37"/>
      <c r="L490" s="37"/>
      <c r="M490" s="37"/>
      <c r="N490" s="37"/>
      <c r="O490" s="37"/>
    </row>
    <row r="491" spans="1:15" ht="14.25" customHeight="1" x14ac:dyDescent="0.3">
      <c r="A491" s="39"/>
      <c r="B491" s="39"/>
      <c r="C491" s="39"/>
      <c r="D491" s="40"/>
      <c r="E491" s="39"/>
      <c r="F491" s="39"/>
      <c r="G491" s="40"/>
      <c r="H491" s="40"/>
      <c r="I491" s="40"/>
      <c r="J491" s="37"/>
      <c r="K491" s="37"/>
      <c r="L491" s="37"/>
      <c r="M491" s="37"/>
      <c r="N491" s="37"/>
      <c r="O491" s="37"/>
    </row>
    <row r="492" spans="1:15" ht="14.25" customHeight="1" x14ac:dyDescent="0.3">
      <c r="A492" s="39"/>
      <c r="B492" s="39"/>
      <c r="C492" s="39"/>
      <c r="D492" s="40"/>
      <c r="E492" s="39"/>
      <c r="F492" s="39"/>
      <c r="G492" s="40"/>
      <c r="H492" s="40"/>
      <c r="I492" s="40"/>
      <c r="J492" s="37"/>
      <c r="K492" s="37"/>
      <c r="L492" s="37"/>
      <c r="M492" s="37"/>
      <c r="N492" s="37"/>
      <c r="O492" s="37"/>
    </row>
    <row r="493" spans="1:15" ht="14.25" customHeight="1" x14ac:dyDescent="0.3">
      <c r="A493" s="39"/>
      <c r="B493" s="39"/>
      <c r="C493" s="39"/>
      <c r="D493" s="40"/>
      <c r="E493" s="39"/>
      <c r="F493" s="39"/>
      <c r="G493" s="40"/>
      <c r="H493" s="40"/>
      <c r="I493" s="40"/>
      <c r="J493" s="37"/>
      <c r="K493" s="37"/>
      <c r="L493" s="37"/>
      <c r="M493" s="37"/>
      <c r="N493" s="37"/>
      <c r="O493" s="37"/>
    </row>
    <row r="494" spans="1:15" ht="14.25" customHeight="1" x14ac:dyDescent="0.3">
      <c r="A494" s="39"/>
      <c r="B494" s="39"/>
      <c r="C494" s="39"/>
      <c r="D494" s="40"/>
      <c r="E494" s="39"/>
      <c r="F494" s="39"/>
      <c r="G494" s="40"/>
      <c r="H494" s="40"/>
      <c r="I494" s="40"/>
      <c r="J494" s="37"/>
      <c r="K494" s="37"/>
      <c r="L494" s="37"/>
      <c r="M494" s="37"/>
      <c r="N494" s="37"/>
      <c r="O494" s="37"/>
    </row>
    <row r="495" spans="1:15" ht="14.25" customHeight="1" x14ac:dyDescent="0.3">
      <c r="A495" s="39"/>
      <c r="B495" s="39"/>
      <c r="C495" s="39"/>
      <c r="D495" s="40"/>
      <c r="E495" s="39"/>
      <c r="F495" s="39"/>
      <c r="G495" s="40"/>
      <c r="H495" s="40"/>
      <c r="I495" s="40"/>
      <c r="J495" s="37"/>
      <c r="K495" s="37"/>
      <c r="L495" s="37"/>
      <c r="M495" s="37"/>
      <c r="N495" s="37"/>
      <c r="O495" s="37"/>
    </row>
    <row r="496" spans="1:15" ht="14.25" customHeight="1" x14ac:dyDescent="0.3">
      <c r="A496" s="39"/>
      <c r="B496" s="39"/>
      <c r="C496" s="39"/>
      <c r="D496" s="40"/>
      <c r="E496" s="39"/>
      <c r="F496" s="39"/>
      <c r="G496" s="40"/>
      <c r="H496" s="40"/>
      <c r="I496" s="40"/>
      <c r="J496" s="37"/>
      <c r="K496" s="37"/>
      <c r="L496" s="37"/>
      <c r="M496" s="37"/>
      <c r="N496" s="37"/>
      <c r="O496" s="37"/>
    </row>
    <row r="497" spans="1:15" ht="14.25" customHeight="1" x14ac:dyDescent="0.3">
      <c r="A497" s="39"/>
      <c r="B497" s="39"/>
      <c r="C497" s="39"/>
      <c r="D497" s="40"/>
      <c r="E497" s="39"/>
      <c r="F497" s="39"/>
      <c r="G497" s="40"/>
      <c r="H497" s="40"/>
      <c r="I497" s="40"/>
      <c r="J497" s="37"/>
      <c r="K497" s="37"/>
      <c r="L497" s="37"/>
      <c r="M497" s="37"/>
      <c r="N497" s="37"/>
      <c r="O497" s="37"/>
    </row>
    <row r="498" spans="1:15" ht="14.25" customHeight="1" x14ac:dyDescent="0.3">
      <c r="A498" s="39"/>
      <c r="B498" s="39"/>
      <c r="C498" s="39"/>
      <c r="D498" s="40"/>
      <c r="E498" s="39"/>
      <c r="F498" s="39"/>
      <c r="G498" s="40"/>
      <c r="H498" s="40"/>
      <c r="I498" s="40"/>
      <c r="J498" s="37"/>
      <c r="K498" s="37"/>
      <c r="L498" s="37"/>
      <c r="M498" s="37"/>
      <c r="N498" s="37"/>
      <c r="O498" s="37"/>
    </row>
    <row r="499" spans="1:15" ht="14.25" customHeight="1" x14ac:dyDescent="0.3">
      <c r="A499" s="39"/>
      <c r="B499" s="39"/>
      <c r="C499" s="39"/>
      <c r="D499" s="40"/>
      <c r="E499" s="39"/>
      <c r="F499" s="39"/>
      <c r="G499" s="40"/>
      <c r="H499" s="40"/>
      <c r="I499" s="40"/>
      <c r="J499" s="37"/>
      <c r="K499" s="37"/>
      <c r="L499" s="37"/>
      <c r="M499" s="37"/>
      <c r="N499" s="37"/>
      <c r="O499" s="37"/>
    </row>
    <row r="500" spans="1:15" ht="14.25" customHeight="1" x14ac:dyDescent="0.3">
      <c r="A500" s="39"/>
      <c r="B500" s="39"/>
      <c r="C500" s="39"/>
      <c r="D500" s="40"/>
      <c r="E500" s="39"/>
      <c r="F500" s="39"/>
      <c r="G500" s="40"/>
      <c r="H500" s="40"/>
      <c r="I500" s="40"/>
      <c r="J500" s="37"/>
      <c r="K500" s="37"/>
      <c r="L500" s="37"/>
      <c r="M500" s="37"/>
      <c r="N500" s="37"/>
      <c r="O500" s="37"/>
    </row>
    <row r="501" spans="1:15" ht="14.25" customHeight="1" x14ac:dyDescent="0.3">
      <c r="A501" s="39"/>
      <c r="B501" s="39"/>
      <c r="C501" s="39"/>
      <c r="D501" s="40"/>
      <c r="E501" s="39"/>
      <c r="F501" s="39"/>
      <c r="G501" s="40"/>
      <c r="H501" s="40"/>
      <c r="I501" s="40"/>
      <c r="J501" s="37"/>
      <c r="K501" s="37"/>
      <c r="L501" s="37"/>
      <c r="M501" s="37"/>
      <c r="N501" s="37"/>
      <c r="O501" s="37"/>
    </row>
    <row r="502" spans="1:15" ht="14.25" customHeight="1" x14ac:dyDescent="0.3">
      <c r="A502" s="39"/>
      <c r="B502" s="39"/>
      <c r="C502" s="39"/>
      <c r="D502" s="40"/>
      <c r="E502" s="39"/>
      <c r="F502" s="39"/>
      <c r="G502" s="40"/>
      <c r="H502" s="40"/>
      <c r="I502" s="40"/>
      <c r="J502" s="37"/>
      <c r="K502" s="37"/>
      <c r="L502" s="37"/>
      <c r="M502" s="37"/>
      <c r="N502" s="37"/>
      <c r="O502" s="37"/>
    </row>
    <row r="503" spans="1:15" ht="14.25" customHeight="1" x14ac:dyDescent="0.3">
      <c r="A503" s="39"/>
      <c r="B503" s="39"/>
      <c r="C503" s="39"/>
      <c r="D503" s="40"/>
      <c r="E503" s="39"/>
      <c r="F503" s="39"/>
      <c r="G503" s="40"/>
      <c r="H503" s="40"/>
      <c r="I503" s="40"/>
      <c r="J503" s="37"/>
      <c r="K503" s="37"/>
      <c r="L503" s="37"/>
      <c r="M503" s="37"/>
      <c r="N503" s="37"/>
      <c r="O503" s="37"/>
    </row>
    <row r="504" spans="1:15" ht="14.25" customHeight="1" x14ac:dyDescent="0.3">
      <c r="A504" s="39"/>
      <c r="B504" s="39"/>
      <c r="C504" s="39"/>
      <c r="D504" s="40"/>
      <c r="E504" s="39"/>
      <c r="F504" s="39"/>
      <c r="G504" s="40"/>
      <c r="H504" s="40"/>
      <c r="I504" s="40"/>
      <c r="J504" s="37"/>
      <c r="K504" s="37"/>
      <c r="L504" s="37"/>
      <c r="M504" s="37"/>
      <c r="N504" s="37"/>
      <c r="O504" s="37"/>
    </row>
    <row r="505" spans="1:15" ht="14.25" customHeight="1" x14ac:dyDescent="0.3">
      <c r="A505" s="39"/>
      <c r="B505" s="39"/>
      <c r="C505" s="39"/>
      <c r="D505" s="40"/>
      <c r="E505" s="39"/>
      <c r="F505" s="39"/>
      <c r="G505" s="40"/>
      <c r="H505" s="40"/>
      <c r="I505" s="40"/>
      <c r="J505" s="37"/>
      <c r="K505" s="37"/>
      <c r="L505" s="37"/>
      <c r="M505" s="37"/>
      <c r="N505" s="37"/>
      <c r="O505" s="37"/>
    </row>
    <row r="506" spans="1:15" ht="14.25" customHeight="1" x14ac:dyDescent="0.3">
      <c r="A506" s="39"/>
      <c r="B506" s="39"/>
      <c r="C506" s="39"/>
      <c r="D506" s="40"/>
      <c r="E506" s="39"/>
      <c r="F506" s="39"/>
      <c r="G506" s="40"/>
      <c r="H506" s="40"/>
      <c r="I506" s="40"/>
      <c r="J506" s="37"/>
      <c r="K506" s="37"/>
      <c r="L506" s="37"/>
      <c r="M506" s="37"/>
      <c r="N506" s="37"/>
      <c r="O506" s="37"/>
    </row>
    <row r="507" spans="1:15" ht="14.25" customHeight="1" x14ac:dyDescent="0.3">
      <c r="A507" s="39"/>
      <c r="B507" s="39"/>
      <c r="C507" s="39"/>
      <c r="D507" s="40"/>
      <c r="E507" s="39"/>
      <c r="F507" s="39"/>
      <c r="G507" s="40"/>
      <c r="H507" s="40"/>
      <c r="I507" s="40"/>
      <c r="J507" s="37"/>
      <c r="K507" s="37"/>
      <c r="L507" s="37"/>
      <c r="M507" s="37"/>
      <c r="N507" s="37"/>
      <c r="O507" s="37"/>
    </row>
    <row r="508" spans="1:15" ht="14.25" customHeight="1" x14ac:dyDescent="0.3">
      <c r="A508" s="39"/>
      <c r="B508" s="39"/>
      <c r="C508" s="39"/>
      <c r="D508" s="40"/>
      <c r="E508" s="39"/>
      <c r="F508" s="39"/>
      <c r="G508" s="40"/>
      <c r="H508" s="40"/>
      <c r="I508" s="40"/>
      <c r="J508" s="37"/>
      <c r="K508" s="37"/>
      <c r="L508" s="37"/>
      <c r="M508" s="37"/>
      <c r="N508" s="37"/>
      <c r="O508" s="37"/>
    </row>
    <row r="509" spans="1:15" ht="14.25" customHeight="1" x14ac:dyDescent="0.3">
      <c r="A509" s="39"/>
      <c r="B509" s="39"/>
      <c r="C509" s="39"/>
      <c r="D509" s="40"/>
      <c r="E509" s="39"/>
      <c r="F509" s="39"/>
      <c r="G509" s="40"/>
      <c r="H509" s="40"/>
      <c r="I509" s="40"/>
      <c r="J509" s="37"/>
      <c r="K509" s="37"/>
      <c r="L509" s="37"/>
      <c r="M509" s="37"/>
      <c r="N509" s="37"/>
      <c r="O509" s="37"/>
    </row>
    <row r="510" spans="1:15" ht="14.25" customHeight="1" x14ac:dyDescent="0.3">
      <c r="A510" s="39"/>
      <c r="B510" s="39"/>
      <c r="C510" s="39"/>
      <c r="D510" s="40"/>
      <c r="E510" s="39"/>
      <c r="F510" s="39"/>
      <c r="G510" s="40"/>
      <c r="H510" s="40"/>
      <c r="I510" s="40"/>
      <c r="J510" s="37"/>
      <c r="K510" s="37"/>
      <c r="L510" s="37"/>
      <c r="M510" s="37"/>
      <c r="N510" s="37"/>
      <c r="O510" s="37"/>
    </row>
    <row r="511" spans="1:15" ht="14.25" customHeight="1" x14ac:dyDescent="0.3">
      <c r="A511" s="39"/>
      <c r="B511" s="39"/>
      <c r="C511" s="39"/>
      <c r="D511" s="40"/>
      <c r="E511" s="39"/>
      <c r="F511" s="39"/>
      <c r="G511" s="40"/>
      <c r="H511" s="40"/>
      <c r="I511" s="40"/>
      <c r="J511" s="37"/>
      <c r="K511" s="37"/>
      <c r="L511" s="37"/>
      <c r="M511" s="37"/>
      <c r="N511" s="37"/>
      <c r="O511" s="37"/>
    </row>
    <row r="512" spans="1:15" ht="14.25" customHeight="1" x14ac:dyDescent="0.3">
      <c r="A512" s="39"/>
      <c r="B512" s="39"/>
      <c r="C512" s="39"/>
      <c r="D512" s="40"/>
      <c r="E512" s="39"/>
      <c r="F512" s="39"/>
      <c r="G512" s="40"/>
      <c r="H512" s="40"/>
      <c r="I512" s="40"/>
      <c r="J512" s="37"/>
      <c r="K512" s="37"/>
      <c r="L512" s="37"/>
      <c r="M512" s="37"/>
      <c r="N512" s="37"/>
      <c r="O512" s="37"/>
    </row>
    <row r="513" spans="1:15" ht="14.25" customHeight="1" x14ac:dyDescent="0.3">
      <c r="A513" s="39"/>
      <c r="B513" s="39"/>
      <c r="C513" s="39"/>
      <c r="D513" s="40"/>
      <c r="E513" s="39"/>
      <c r="F513" s="39"/>
      <c r="G513" s="40"/>
      <c r="H513" s="40"/>
      <c r="I513" s="40"/>
      <c r="J513" s="37"/>
      <c r="K513" s="37"/>
      <c r="L513" s="37"/>
      <c r="M513" s="37"/>
      <c r="N513" s="37"/>
      <c r="O513" s="37"/>
    </row>
    <row r="514" spans="1:15" ht="14.25" customHeight="1" x14ac:dyDescent="0.3">
      <c r="A514" s="39"/>
      <c r="B514" s="39"/>
      <c r="C514" s="39"/>
      <c r="D514" s="40"/>
      <c r="E514" s="39"/>
      <c r="F514" s="39"/>
      <c r="G514" s="40"/>
      <c r="H514" s="40"/>
      <c r="I514" s="40"/>
      <c r="J514" s="37"/>
      <c r="K514" s="37"/>
      <c r="L514" s="37"/>
      <c r="M514" s="37"/>
      <c r="N514" s="37"/>
      <c r="O514" s="37"/>
    </row>
    <row r="515" spans="1:15" ht="14.25" customHeight="1" x14ac:dyDescent="0.3">
      <c r="A515" s="39"/>
      <c r="B515" s="39"/>
      <c r="C515" s="39"/>
      <c r="D515" s="40"/>
      <c r="E515" s="39"/>
      <c r="F515" s="39"/>
      <c r="G515" s="40"/>
      <c r="H515" s="40"/>
      <c r="I515" s="40"/>
      <c r="J515" s="37"/>
      <c r="K515" s="37"/>
      <c r="L515" s="37"/>
      <c r="M515" s="37"/>
      <c r="N515" s="37"/>
      <c r="O515" s="37"/>
    </row>
    <row r="516" spans="1:15" ht="14.25" customHeight="1" x14ac:dyDescent="0.3">
      <c r="A516" s="39"/>
      <c r="B516" s="39"/>
      <c r="C516" s="39"/>
      <c r="D516" s="40"/>
      <c r="E516" s="39"/>
      <c r="F516" s="39"/>
      <c r="G516" s="40"/>
      <c r="H516" s="40"/>
      <c r="I516" s="40"/>
      <c r="J516" s="37"/>
      <c r="K516" s="37"/>
      <c r="L516" s="37"/>
      <c r="M516" s="37"/>
      <c r="N516" s="37"/>
      <c r="O516" s="37"/>
    </row>
    <row r="517" spans="1:15" ht="14.25" customHeight="1" x14ac:dyDescent="0.3">
      <c r="A517" s="39"/>
      <c r="B517" s="39"/>
      <c r="C517" s="39"/>
      <c r="D517" s="40"/>
      <c r="E517" s="39"/>
      <c r="F517" s="39"/>
      <c r="G517" s="40"/>
      <c r="H517" s="40"/>
      <c r="I517" s="40"/>
      <c r="J517" s="37"/>
      <c r="K517" s="37"/>
      <c r="L517" s="37"/>
      <c r="M517" s="37"/>
      <c r="N517" s="37"/>
      <c r="O517" s="37"/>
    </row>
    <row r="518" spans="1:15" ht="14.25" customHeight="1" x14ac:dyDescent="0.3">
      <c r="A518" s="39"/>
      <c r="B518" s="39"/>
      <c r="C518" s="39"/>
      <c r="D518" s="40"/>
      <c r="E518" s="39"/>
      <c r="F518" s="39"/>
      <c r="G518" s="40"/>
      <c r="H518" s="40"/>
      <c r="I518" s="40"/>
      <c r="J518" s="37"/>
      <c r="K518" s="37"/>
      <c r="L518" s="37"/>
      <c r="M518" s="37"/>
      <c r="N518" s="37"/>
      <c r="O518" s="37"/>
    </row>
    <row r="519" spans="1:15" ht="14.25" customHeight="1" x14ac:dyDescent="0.3">
      <c r="A519" s="39"/>
      <c r="B519" s="39"/>
      <c r="C519" s="39"/>
      <c r="D519" s="40"/>
      <c r="E519" s="39"/>
      <c r="F519" s="39"/>
      <c r="G519" s="40"/>
      <c r="H519" s="40"/>
      <c r="I519" s="40"/>
      <c r="J519" s="37"/>
      <c r="K519" s="37"/>
      <c r="L519" s="37"/>
      <c r="M519" s="37"/>
      <c r="N519" s="37"/>
      <c r="O519" s="37"/>
    </row>
    <row r="520" spans="1:15" ht="14.25" customHeight="1" x14ac:dyDescent="0.3">
      <c r="A520" s="39"/>
      <c r="B520" s="39"/>
      <c r="C520" s="39"/>
      <c r="D520" s="40"/>
      <c r="E520" s="39"/>
      <c r="F520" s="39"/>
      <c r="G520" s="40"/>
      <c r="H520" s="40"/>
      <c r="I520" s="40"/>
      <c r="J520" s="37"/>
      <c r="K520" s="37"/>
      <c r="L520" s="37"/>
      <c r="M520" s="37"/>
      <c r="N520" s="37"/>
      <c r="O520" s="37"/>
    </row>
    <row r="521" spans="1:15" ht="14.25" customHeight="1" x14ac:dyDescent="0.3">
      <c r="A521" s="39"/>
      <c r="B521" s="39"/>
      <c r="C521" s="39"/>
      <c r="D521" s="40"/>
      <c r="E521" s="39"/>
      <c r="F521" s="39"/>
      <c r="G521" s="40"/>
      <c r="H521" s="40"/>
      <c r="I521" s="40"/>
      <c r="J521" s="37"/>
      <c r="K521" s="37"/>
      <c r="L521" s="37"/>
      <c r="M521" s="37"/>
      <c r="N521" s="37"/>
      <c r="O521" s="37"/>
    </row>
    <row r="522" spans="1:15" ht="14.25" customHeight="1" x14ac:dyDescent="0.3">
      <c r="A522" s="39"/>
      <c r="B522" s="39"/>
      <c r="C522" s="39"/>
      <c r="D522" s="40"/>
      <c r="E522" s="39"/>
      <c r="F522" s="39"/>
      <c r="G522" s="40"/>
      <c r="H522" s="40"/>
      <c r="I522" s="40"/>
      <c r="J522" s="37"/>
      <c r="K522" s="37"/>
      <c r="L522" s="37"/>
      <c r="M522" s="37"/>
      <c r="N522" s="37"/>
      <c r="O522" s="37"/>
    </row>
    <row r="523" spans="1:15" ht="14.25" customHeight="1" x14ac:dyDescent="0.3">
      <c r="A523" s="39"/>
      <c r="B523" s="39"/>
      <c r="C523" s="39"/>
      <c r="D523" s="40"/>
      <c r="E523" s="39"/>
      <c r="F523" s="39"/>
      <c r="G523" s="40"/>
      <c r="H523" s="40"/>
      <c r="I523" s="40"/>
      <c r="J523" s="37"/>
      <c r="K523" s="37"/>
      <c r="L523" s="37"/>
      <c r="M523" s="37"/>
      <c r="N523" s="37"/>
      <c r="O523" s="37"/>
    </row>
    <row r="524" spans="1:15" ht="14.25" customHeight="1" x14ac:dyDescent="0.3">
      <c r="A524" s="39"/>
      <c r="B524" s="39"/>
      <c r="C524" s="39"/>
      <c r="D524" s="40"/>
      <c r="E524" s="39"/>
      <c r="F524" s="39"/>
      <c r="G524" s="40"/>
      <c r="H524" s="40"/>
      <c r="I524" s="40"/>
      <c r="J524" s="37"/>
      <c r="K524" s="37"/>
      <c r="L524" s="37"/>
      <c r="M524" s="37"/>
      <c r="N524" s="37"/>
      <c r="O524" s="37"/>
    </row>
    <row r="525" spans="1:15" ht="14.25" customHeight="1" x14ac:dyDescent="0.3">
      <c r="A525" s="39"/>
      <c r="B525" s="39"/>
      <c r="C525" s="39"/>
      <c r="D525" s="40"/>
      <c r="E525" s="39"/>
      <c r="F525" s="39"/>
      <c r="G525" s="40"/>
      <c r="H525" s="40"/>
      <c r="I525" s="40"/>
      <c r="J525" s="37"/>
      <c r="K525" s="37"/>
      <c r="L525" s="37"/>
      <c r="M525" s="37"/>
      <c r="N525" s="37"/>
      <c r="O525" s="37"/>
    </row>
    <row r="526" spans="1:15" ht="14.25" customHeight="1" x14ac:dyDescent="0.3">
      <c r="A526" s="39"/>
      <c r="B526" s="39"/>
      <c r="C526" s="39"/>
      <c r="D526" s="40"/>
      <c r="E526" s="39"/>
      <c r="F526" s="39"/>
      <c r="G526" s="40"/>
      <c r="H526" s="40"/>
      <c r="I526" s="40"/>
      <c r="J526" s="37"/>
      <c r="K526" s="37"/>
      <c r="L526" s="37"/>
      <c r="M526" s="37"/>
      <c r="N526" s="37"/>
      <c r="O526" s="37"/>
    </row>
    <row r="527" spans="1:15" ht="14.25" customHeight="1" x14ac:dyDescent="0.3">
      <c r="A527" s="39"/>
      <c r="B527" s="39"/>
      <c r="C527" s="39"/>
      <c r="D527" s="40"/>
      <c r="E527" s="39"/>
      <c r="F527" s="39"/>
      <c r="G527" s="40"/>
      <c r="H527" s="40"/>
      <c r="I527" s="40"/>
      <c r="J527" s="37"/>
      <c r="K527" s="37"/>
      <c r="L527" s="37"/>
      <c r="M527" s="37"/>
      <c r="N527" s="37"/>
      <c r="O527" s="37"/>
    </row>
    <row r="528" spans="1:15" ht="14.25" customHeight="1" x14ac:dyDescent="0.3">
      <c r="A528" s="39"/>
      <c r="B528" s="39"/>
      <c r="C528" s="39"/>
      <c r="D528" s="40"/>
      <c r="E528" s="39"/>
      <c r="F528" s="39"/>
      <c r="G528" s="40"/>
      <c r="H528" s="40"/>
      <c r="I528" s="40"/>
      <c r="J528" s="37"/>
      <c r="K528" s="37"/>
      <c r="L528" s="37"/>
      <c r="M528" s="37"/>
      <c r="N528" s="37"/>
      <c r="O528" s="37"/>
    </row>
    <row r="529" spans="1:15" ht="14.25" customHeight="1" x14ac:dyDescent="0.3">
      <c r="A529" s="39"/>
      <c r="B529" s="39"/>
      <c r="C529" s="39"/>
      <c r="D529" s="40"/>
      <c r="E529" s="39"/>
      <c r="F529" s="39"/>
      <c r="G529" s="40"/>
      <c r="H529" s="40"/>
      <c r="I529" s="40"/>
      <c r="J529" s="37"/>
      <c r="K529" s="37"/>
      <c r="L529" s="37"/>
      <c r="M529" s="37"/>
      <c r="N529" s="37"/>
      <c r="O529" s="37"/>
    </row>
    <row r="530" spans="1:15" ht="14.25" customHeight="1" x14ac:dyDescent="0.3">
      <c r="A530" s="39"/>
      <c r="B530" s="39"/>
      <c r="C530" s="39"/>
      <c r="D530" s="40"/>
      <c r="E530" s="39"/>
      <c r="F530" s="39"/>
      <c r="G530" s="40"/>
      <c r="H530" s="40"/>
      <c r="I530" s="40"/>
      <c r="J530" s="37"/>
      <c r="K530" s="37"/>
      <c r="L530" s="37"/>
      <c r="M530" s="37"/>
      <c r="N530" s="37"/>
      <c r="O530" s="37"/>
    </row>
    <row r="531" spans="1:15" ht="14.25" customHeight="1" x14ac:dyDescent="0.3">
      <c r="A531" s="39"/>
      <c r="B531" s="39"/>
      <c r="C531" s="39"/>
      <c r="D531" s="40"/>
      <c r="E531" s="39"/>
      <c r="F531" s="39"/>
      <c r="G531" s="40"/>
      <c r="H531" s="40"/>
      <c r="I531" s="40"/>
      <c r="J531" s="37"/>
      <c r="K531" s="37"/>
      <c r="L531" s="37"/>
      <c r="M531" s="37"/>
      <c r="N531" s="37"/>
      <c r="O531" s="37"/>
    </row>
    <row r="532" spans="1:15" ht="14.25" customHeight="1" x14ac:dyDescent="0.3">
      <c r="A532" s="39"/>
      <c r="B532" s="39"/>
      <c r="C532" s="39"/>
      <c r="D532" s="40"/>
      <c r="E532" s="39"/>
      <c r="F532" s="39"/>
      <c r="G532" s="40"/>
      <c r="H532" s="40"/>
      <c r="I532" s="40"/>
      <c r="J532" s="37"/>
      <c r="K532" s="37"/>
      <c r="L532" s="37"/>
      <c r="M532" s="37"/>
      <c r="N532" s="37"/>
      <c r="O532" s="37"/>
    </row>
    <row r="533" spans="1:15" ht="14.25" customHeight="1" x14ac:dyDescent="0.3">
      <c r="A533" s="39"/>
      <c r="B533" s="39"/>
      <c r="C533" s="39"/>
      <c r="D533" s="40"/>
      <c r="E533" s="39"/>
      <c r="F533" s="39"/>
      <c r="G533" s="40"/>
      <c r="H533" s="40"/>
      <c r="I533" s="40"/>
      <c r="J533" s="37"/>
      <c r="K533" s="37"/>
      <c r="L533" s="37"/>
      <c r="M533" s="37"/>
      <c r="N533" s="37"/>
      <c r="O533" s="37"/>
    </row>
    <row r="534" spans="1:15" ht="14.25" customHeight="1" x14ac:dyDescent="0.3">
      <c r="A534" s="39"/>
      <c r="B534" s="39"/>
      <c r="C534" s="39"/>
      <c r="D534" s="40"/>
      <c r="E534" s="39"/>
      <c r="F534" s="39"/>
      <c r="G534" s="40"/>
      <c r="H534" s="40"/>
      <c r="I534" s="40"/>
      <c r="J534" s="37"/>
      <c r="K534" s="37"/>
      <c r="L534" s="37"/>
      <c r="M534" s="37"/>
      <c r="N534" s="37"/>
      <c r="O534" s="37"/>
    </row>
    <row r="535" spans="1:15" ht="14.25" customHeight="1" x14ac:dyDescent="0.3">
      <c r="A535" s="39"/>
      <c r="B535" s="39"/>
      <c r="C535" s="39"/>
      <c r="D535" s="40"/>
      <c r="E535" s="39"/>
      <c r="F535" s="39"/>
      <c r="G535" s="40"/>
      <c r="H535" s="40"/>
      <c r="I535" s="40"/>
      <c r="J535" s="37"/>
      <c r="K535" s="37"/>
      <c r="L535" s="37"/>
      <c r="M535" s="37"/>
      <c r="N535" s="37"/>
      <c r="O535" s="37"/>
    </row>
    <row r="536" spans="1:15" ht="14.25" customHeight="1" x14ac:dyDescent="0.3">
      <c r="A536" s="39"/>
      <c r="B536" s="39"/>
      <c r="C536" s="39"/>
      <c r="D536" s="40"/>
      <c r="E536" s="39"/>
      <c r="F536" s="39"/>
      <c r="G536" s="40"/>
      <c r="H536" s="40"/>
      <c r="I536" s="40"/>
      <c r="J536" s="37"/>
      <c r="K536" s="37"/>
      <c r="L536" s="37"/>
      <c r="M536" s="37"/>
      <c r="N536" s="37"/>
      <c r="O536" s="37"/>
    </row>
    <row r="537" spans="1:15" ht="14.25" customHeight="1" x14ac:dyDescent="0.3">
      <c r="A537" s="39"/>
      <c r="B537" s="39"/>
      <c r="C537" s="39"/>
      <c r="D537" s="40"/>
      <c r="E537" s="39"/>
      <c r="F537" s="39"/>
      <c r="G537" s="40"/>
      <c r="H537" s="40"/>
      <c r="I537" s="40"/>
      <c r="J537" s="37"/>
      <c r="K537" s="37"/>
      <c r="L537" s="37"/>
      <c r="M537" s="37"/>
      <c r="N537" s="37"/>
      <c r="O537" s="37"/>
    </row>
    <row r="538" spans="1:15" ht="14.25" customHeight="1" x14ac:dyDescent="0.3">
      <c r="A538" s="39"/>
      <c r="B538" s="39"/>
      <c r="C538" s="39"/>
      <c r="D538" s="40"/>
      <c r="E538" s="39"/>
      <c r="F538" s="39"/>
      <c r="G538" s="40"/>
      <c r="H538" s="40"/>
      <c r="I538" s="40"/>
      <c r="J538" s="37"/>
      <c r="K538" s="37"/>
      <c r="L538" s="37"/>
      <c r="M538" s="37"/>
      <c r="N538" s="37"/>
      <c r="O538" s="37"/>
    </row>
    <row r="539" spans="1:15" ht="14.25" customHeight="1" x14ac:dyDescent="0.3">
      <c r="A539" s="39"/>
      <c r="B539" s="39"/>
      <c r="C539" s="39"/>
      <c r="D539" s="40"/>
      <c r="E539" s="39"/>
      <c r="F539" s="39"/>
      <c r="G539" s="40"/>
      <c r="H539" s="40"/>
      <c r="I539" s="40"/>
      <c r="J539" s="37"/>
      <c r="K539" s="37"/>
      <c r="L539" s="37"/>
      <c r="M539" s="37"/>
      <c r="N539" s="37"/>
      <c r="O539" s="37"/>
    </row>
    <row r="540" spans="1:15" ht="14.25" customHeight="1" x14ac:dyDescent="0.3">
      <c r="A540" s="39"/>
      <c r="B540" s="39"/>
      <c r="C540" s="39"/>
      <c r="D540" s="40"/>
      <c r="E540" s="39"/>
      <c r="F540" s="39"/>
      <c r="G540" s="40"/>
      <c r="H540" s="40"/>
      <c r="I540" s="40"/>
      <c r="J540" s="37"/>
      <c r="K540" s="37"/>
      <c r="L540" s="37"/>
      <c r="M540" s="37"/>
      <c r="N540" s="37"/>
      <c r="O540" s="37"/>
    </row>
    <row r="541" spans="1:15" ht="14.25" customHeight="1" x14ac:dyDescent="0.3">
      <c r="A541" s="39"/>
      <c r="B541" s="39"/>
      <c r="C541" s="39"/>
      <c r="D541" s="40"/>
      <c r="E541" s="39"/>
      <c r="F541" s="39"/>
      <c r="G541" s="40"/>
      <c r="H541" s="40"/>
      <c r="I541" s="40"/>
      <c r="J541" s="37"/>
      <c r="K541" s="37"/>
      <c r="L541" s="37"/>
      <c r="M541" s="37"/>
      <c r="N541" s="37"/>
      <c r="O541" s="37"/>
    </row>
    <row r="542" spans="1:15" ht="14.25" customHeight="1" x14ac:dyDescent="0.3">
      <c r="A542" s="39"/>
      <c r="B542" s="39"/>
      <c r="C542" s="39"/>
      <c r="D542" s="40"/>
      <c r="E542" s="39"/>
      <c r="F542" s="39"/>
      <c r="G542" s="40"/>
      <c r="H542" s="40"/>
      <c r="I542" s="40"/>
      <c r="J542" s="37"/>
      <c r="K542" s="37"/>
      <c r="L542" s="37"/>
      <c r="M542" s="37"/>
      <c r="N542" s="37"/>
      <c r="O542" s="37"/>
    </row>
    <row r="543" spans="1:15" ht="14.25" customHeight="1" x14ac:dyDescent="0.3">
      <c r="A543" s="39"/>
      <c r="B543" s="39"/>
      <c r="C543" s="39"/>
      <c r="D543" s="40"/>
      <c r="E543" s="39"/>
      <c r="F543" s="39"/>
      <c r="G543" s="40"/>
      <c r="H543" s="40"/>
      <c r="I543" s="40"/>
      <c r="J543" s="37"/>
      <c r="K543" s="37"/>
      <c r="L543" s="37"/>
      <c r="M543" s="37"/>
      <c r="N543" s="37"/>
      <c r="O543" s="37"/>
    </row>
    <row r="544" spans="1:15" ht="14.25" customHeight="1" x14ac:dyDescent="0.3">
      <c r="A544" s="39"/>
      <c r="B544" s="39"/>
      <c r="C544" s="39"/>
      <c r="D544" s="40"/>
      <c r="E544" s="39"/>
      <c r="F544" s="39"/>
      <c r="G544" s="40"/>
      <c r="H544" s="40"/>
      <c r="I544" s="40"/>
      <c r="J544" s="37"/>
      <c r="K544" s="37"/>
      <c r="L544" s="37"/>
      <c r="M544" s="37"/>
      <c r="N544" s="37"/>
      <c r="O544" s="37"/>
    </row>
    <row r="545" spans="1:15" ht="14.25" customHeight="1" x14ac:dyDescent="0.3">
      <c r="A545" s="39"/>
      <c r="B545" s="39"/>
      <c r="C545" s="39"/>
      <c r="D545" s="40"/>
      <c r="E545" s="39"/>
      <c r="F545" s="39"/>
      <c r="G545" s="40"/>
      <c r="H545" s="40"/>
      <c r="I545" s="40"/>
      <c r="J545" s="37"/>
      <c r="K545" s="37"/>
      <c r="L545" s="37"/>
      <c r="M545" s="37"/>
      <c r="N545" s="37"/>
      <c r="O545" s="37"/>
    </row>
    <row r="546" spans="1:15" ht="14.25" customHeight="1" x14ac:dyDescent="0.3">
      <c r="A546" s="39"/>
      <c r="B546" s="39"/>
      <c r="C546" s="39"/>
      <c r="D546" s="40"/>
      <c r="E546" s="39"/>
      <c r="F546" s="39"/>
      <c r="G546" s="40"/>
      <c r="H546" s="40"/>
      <c r="I546" s="40"/>
      <c r="J546" s="37"/>
      <c r="K546" s="37"/>
      <c r="L546" s="37"/>
      <c r="M546" s="37"/>
      <c r="N546" s="37"/>
      <c r="O546" s="37"/>
    </row>
    <row r="547" spans="1:15" ht="14.25" customHeight="1" x14ac:dyDescent="0.3">
      <c r="A547" s="39"/>
      <c r="B547" s="39"/>
      <c r="C547" s="39"/>
      <c r="D547" s="40"/>
      <c r="E547" s="39"/>
      <c r="F547" s="39"/>
      <c r="G547" s="40"/>
      <c r="H547" s="40"/>
      <c r="I547" s="40"/>
      <c r="J547" s="37"/>
      <c r="K547" s="37"/>
      <c r="L547" s="37"/>
      <c r="M547" s="37"/>
      <c r="N547" s="37"/>
      <c r="O547" s="37"/>
    </row>
    <row r="548" spans="1:15" ht="14.25" customHeight="1" x14ac:dyDescent="0.3">
      <c r="A548" s="39"/>
      <c r="B548" s="39"/>
      <c r="C548" s="39"/>
      <c r="D548" s="40"/>
      <c r="E548" s="39"/>
      <c r="F548" s="39"/>
      <c r="G548" s="40"/>
      <c r="H548" s="40"/>
      <c r="I548" s="40"/>
      <c r="J548" s="37"/>
      <c r="K548" s="37"/>
      <c r="L548" s="37"/>
      <c r="M548" s="37"/>
      <c r="N548" s="37"/>
      <c r="O548" s="37"/>
    </row>
    <row r="549" spans="1:15" ht="14.25" customHeight="1" x14ac:dyDescent="0.3">
      <c r="A549" s="39"/>
      <c r="B549" s="39"/>
      <c r="C549" s="39"/>
      <c r="D549" s="40"/>
      <c r="E549" s="39"/>
      <c r="F549" s="39"/>
      <c r="G549" s="40"/>
      <c r="H549" s="40"/>
      <c r="I549" s="40"/>
      <c r="J549" s="37"/>
      <c r="K549" s="37"/>
      <c r="L549" s="37"/>
      <c r="M549" s="37"/>
      <c r="N549" s="37"/>
      <c r="O549" s="37"/>
    </row>
    <row r="550" spans="1:15" ht="14.25" customHeight="1" x14ac:dyDescent="0.3">
      <c r="A550" s="39"/>
      <c r="B550" s="39"/>
      <c r="C550" s="39"/>
      <c r="D550" s="40"/>
      <c r="E550" s="39"/>
      <c r="F550" s="39"/>
      <c r="G550" s="40"/>
      <c r="H550" s="40"/>
      <c r="I550" s="40"/>
      <c r="J550" s="37"/>
      <c r="K550" s="37"/>
      <c r="L550" s="37"/>
      <c r="M550" s="37"/>
      <c r="N550" s="37"/>
      <c r="O550" s="37"/>
    </row>
    <row r="551" spans="1:15" ht="14.25" customHeight="1" x14ac:dyDescent="0.3">
      <c r="A551" s="39"/>
      <c r="B551" s="39"/>
      <c r="C551" s="39"/>
      <c r="D551" s="40"/>
      <c r="E551" s="39"/>
      <c r="F551" s="39"/>
      <c r="G551" s="40"/>
      <c r="H551" s="40"/>
      <c r="I551" s="40"/>
      <c r="J551" s="37"/>
      <c r="K551" s="37"/>
      <c r="L551" s="37"/>
      <c r="M551" s="37"/>
      <c r="N551" s="37"/>
      <c r="O551" s="37"/>
    </row>
    <row r="552" spans="1:15" ht="14.25" customHeight="1" x14ac:dyDescent="0.3">
      <c r="A552" s="39"/>
      <c r="B552" s="39"/>
      <c r="C552" s="39"/>
      <c r="D552" s="40"/>
      <c r="E552" s="39"/>
      <c r="F552" s="39"/>
      <c r="G552" s="40"/>
      <c r="H552" s="40"/>
      <c r="I552" s="40"/>
      <c r="J552" s="37"/>
      <c r="K552" s="37"/>
      <c r="L552" s="37"/>
      <c r="M552" s="37"/>
      <c r="N552" s="37"/>
      <c r="O552" s="37"/>
    </row>
    <row r="553" spans="1:15" ht="14.25" customHeight="1" x14ac:dyDescent="0.3">
      <c r="A553" s="39"/>
      <c r="B553" s="39"/>
      <c r="C553" s="39"/>
      <c r="D553" s="40"/>
      <c r="E553" s="39"/>
      <c r="F553" s="39"/>
      <c r="G553" s="40"/>
      <c r="H553" s="40"/>
      <c r="I553" s="40"/>
      <c r="J553" s="37"/>
      <c r="K553" s="37"/>
      <c r="L553" s="37"/>
      <c r="M553" s="37"/>
      <c r="N553" s="37"/>
      <c r="O553" s="37"/>
    </row>
    <row r="554" spans="1:15" ht="14.25" customHeight="1" x14ac:dyDescent="0.3">
      <c r="A554" s="39"/>
      <c r="B554" s="39"/>
      <c r="C554" s="39"/>
      <c r="D554" s="40"/>
      <c r="E554" s="39"/>
      <c r="F554" s="39"/>
      <c r="G554" s="40"/>
      <c r="H554" s="40"/>
      <c r="I554" s="40"/>
      <c r="J554" s="37"/>
      <c r="K554" s="37"/>
      <c r="L554" s="37"/>
      <c r="M554" s="37"/>
      <c r="N554" s="37"/>
      <c r="O554" s="37"/>
    </row>
    <row r="555" spans="1:15" ht="14.25" customHeight="1" x14ac:dyDescent="0.3">
      <c r="A555" s="39"/>
      <c r="B555" s="39"/>
      <c r="C555" s="39"/>
      <c r="D555" s="40"/>
      <c r="E555" s="39"/>
      <c r="F555" s="39"/>
      <c r="G555" s="40"/>
      <c r="H555" s="40"/>
      <c r="I555" s="40"/>
      <c r="J555" s="37"/>
      <c r="K555" s="37"/>
      <c r="L555" s="37"/>
      <c r="M555" s="37"/>
      <c r="N555" s="37"/>
      <c r="O555" s="37"/>
    </row>
    <row r="556" spans="1:15" ht="14.25" customHeight="1" x14ac:dyDescent="0.3">
      <c r="A556" s="39"/>
      <c r="B556" s="39"/>
      <c r="C556" s="39"/>
      <c r="D556" s="40"/>
      <c r="E556" s="39"/>
      <c r="F556" s="39"/>
      <c r="G556" s="40"/>
      <c r="H556" s="40"/>
      <c r="I556" s="40"/>
      <c r="J556" s="37"/>
      <c r="K556" s="37"/>
      <c r="L556" s="37"/>
      <c r="M556" s="37"/>
      <c r="N556" s="37"/>
      <c r="O556" s="37"/>
    </row>
    <row r="557" spans="1:15" ht="14.25" customHeight="1" x14ac:dyDescent="0.3">
      <c r="A557" s="39"/>
      <c r="B557" s="39"/>
      <c r="C557" s="39"/>
      <c r="D557" s="40"/>
      <c r="E557" s="39"/>
      <c r="F557" s="39"/>
      <c r="G557" s="40"/>
      <c r="H557" s="40"/>
      <c r="I557" s="40"/>
      <c r="J557" s="37"/>
      <c r="K557" s="37"/>
      <c r="L557" s="37"/>
      <c r="M557" s="37"/>
      <c r="N557" s="37"/>
      <c r="O557" s="37"/>
    </row>
    <row r="558" spans="1:15" ht="14.25" customHeight="1" x14ac:dyDescent="0.3">
      <c r="A558" s="39"/>
      <c r="B558" s="39"/>
      <c r="C558" s="39"/>
      <c r="D558" s="40"/>
      <c r="E558" s="39"/>
      <c r="F558" s="39"/>
      <c r="G558" s="40"/>
      <c r="H558" s="40"/>
      <c r="I558" s="40"/>
      <c r="J558" s="37"/>
      <c r="K558" s="37"/>
      <c r="L558" s="37"/>
      <c r="M558" s="37"/>
      <c r="N558" s="37"/>
      <c r="O558" s="37"/>
    </row>
    <row r="559" spans="1:15" ht="14.25" customHeight="1" x14ac:dyDescent="0.3">
      <c r="A559" s="39"/>
      <c r="B559" s="39"/>
      <c r="C559" s="39"/>
      <c r="D559" s="40"/>
      <c r="E559" s="39"/>
      <c r="F559" s="39"/>
      <c r="G559" s="40"/>
      <c r="H559" s="40"/>
      <c r="I559" s="40"/>
      <c r="J559" s="37"/>
      <c r="K559" s="37"/>
      <c r="L559" s="37"/>
      <c r="M559" s="37"/>
      <c r="N559" s="37"/>
      <c r="O559" s="37"/>
    </row>
    <row r="560" spans="1:15" ht="14.25" customHeight="1" x14ac:dyDescent="0.3">
      <c r="A560" s="39"/>
      <c r="B560" s="39"/>
      <c r="C560" s="39"/>
      <c r="D560" s="40"/>
      <c r="E560" s="39"/>
      <c r="F560" s="39"/>
      <c r="G560" s="40"/>
      <c r="H560" s="40"/>
      <c r="I560" s="40"/>
      <c r="J560" s="37"/>
      <c r="K560" s="37"/>
      <c r="L560" s="37"/>
      <c r="M560" s="37"/>
      <c r="N560" s="37"/>
      <c r="O560" s="37"/>
    </row>
    <row r="561" spans="1:15" ht="14.25" customHeight="1" x14ac:dyDescent="0.3">
      <c r="A561" s="39"/>
      <c r="B561" s="39"/>
      <c r="C561" s="39"/>
      <c r="D561" s="40"/>
      <c r="E561" s="39"/>
      <c r="F561" s="39"/>
      <c r="G561" s="40"/>
      <c r="H561" s="40"/>
      <c r="I561" s="40"/>
      <c r="J561" s="37"/>
      <c r="K561" s="37"/>
      <c r="L561" s="37"/>
      <c r="M561" s="37"/>
      <c r="N561" s="37"/>
      <c r="O561" s="37"/>
    </row>
    <row r="562" spans="1:15" ht="14.25" customHeight="1" x14ac:dyDescent="0.3">
      <c r="A562" s="39"/>
      <c r="B562" s="39"/>
      <c r="C562" s="39"/>
      <c r="D562" s="40"/>
      <c r="E562" s="39"/>
      <c r="F562" s="39"/>
      <c r="G562" s="40"/>
      <c r="H562" s="40"/>
      <c r="I562" s="40"/>
      <c r="J562" s="37"/>
      <c r="K562" s="37"/>
      <c r="L562" s="37"/>
      <c r="M562" s="37"/>
      <c r="N562" s="37"/>
      <c r="O562" s="37"/>
    </row>
    <row r="563" spans="1:15" ht="14.25" customHeight="1" x14ac:dyDescent="0.3">
      <c r="A563" s="39"/>
      <c r="B563" s="39"/>
      <c r="C563" s="39"/>
      <c r="D563" s="40"/>
      <c r="E563" s="39"/>
      <c r="F563" s="39"/>
      <c r="G563" s="40"/>
      <c r="H563" s="40"/>
      <c r="I563" s="40"/>
      <c r="J563" s="37"/>
      <c r="K563" s="37"/>
      <c r="L563" s="37"/>
      <c r="M563" s="37"/>
      <c r="N563" s="37"/>
      <c r="O563" s="37"/>
    </row>
    <row r="564" spans="1:15" ht="14.25" customHeight="1" x14ac:dyDescent="0.3">
      <c r="A564" s="39"/>
      <c r="B564" s="39"/>
      <c r="C564" s="39"/>
      <c r="D564" s="40"/>
      <c r="E564" s="39"/>
      <c r="F564" s="39"/>
      <c r="G564" s="40"/>
      <c r="H564" s="40"/>
      <c r="I564" s="40"/>
      <c r="J564" s="37"/>
      <c r="K564" s="37"/>
      <c r="L564" s="37"/>
      <c r="M564" s="37"/>
      <c r="N564" s="37"/>
      <c r="O564" s="37"/>
    </row>
    <row r="565" spans="1:15" ht="14.25" customHeight="1" x14ac:dyDescent="0.3">
      <c r="A565" s="39"/>
      <c r="B565" s="39"/>
      <c r="C565" s="39"/>
      <c r="D565" s="40"/>
      <c r="E565" s="39"/>
      <c r="F565" s="39"/>
      <c r="G565" s="40"/>
      <c r="H565" s="40"/>
      <c r="I565" s="40"/>
      <c r="J565" s="37"/>
      <c r="K565" s="37"/>
      <c r="L565" s="37"/>
      <c r="M565" s="37"/>
      <c r="N565" s="37"/>
      <c r="O565" s="37"/>
    </row>
    <row r="566" spans="1:15" ht="14.25" customHeight="1" x14ac:dyDescent="0.3">
      <c r="A566" s="39"/>
      <c r="B566" s="39"/>
      <c r="C566" s="39"/>
      <c r="D566" s="40"/>
      <c r="E566" s="39"/>
      <c r="F566" s="39"/>
      <c r="G566" s="40"/>
      <c r="H566" s="40"/>
      <c r="I566" s="40"/>
      <c r="J566" s="37"/>
      <c r="K566" s="37"/>
      <c r="L566" s="37"/>
      <c r="M566" s="37"/>
      <c r="N566" s="37"/>
      <c r="O566" s="37"/>
    </row>
    <row r="567" spans="1:15" ht="14.25" customHeight="1" x14ac:dyDescent="0.3">
      <c r="A567" s="39"/>
      <c r="B567" s="39"/>
      <c r="C567" s="39"/>
      <c r="D567" s="40"/>
      <c r="E567" s="39"/>
      <c r="F567" s="39"/>
      <c r="G567" s="40"/>
      <c r="H567" s="40"/>
      <c r="I567" s="40"/>
      <c r="J567" s="37"/>
      <c r="K567" s="37"/>
      <c r="L567" s="37"/>
      <c r="M567" s="37"/>
      <c r="N567" s="37"/>
      <c r="O567" s="37"/>
    </row>
    <row r="568" spans="1:15" ht="14.25" customHeight="1" x14ac:dyDescent="0.3">
      <c r="A568" s="39"/>
      <c r="B568" s="39"/>
      <c r="C568" s="39"/>
      <c r="D568" s="40"/>
      <c r="E568" s="39"/>
      <c r="F568" s="39"/>
      <c r="G568" s="40"/>
      <c r="H568" s="40"/>
      <c r="I568" s="40"/>
      <c r="J568" s="37"/>
      <c r="K568" s="37"/>
      <c r="L568" s="37"/>
      <c r="M568" s="37"/>
      <c r="N568" s="37"/>
      <c r="O568" s="37"/>
    </row>
    <row r="569" spans="1:15" ht="14.25" customHeight="1" x14ac:dyDescent="0.3">
      <c r="A569" s="39"/>
      <c r="B569" s="39"/>
      <c r="C569" s="39"/>
      <c r="D569" s="40"/>
      <c r="E569" s="39"/>
      <c r="F569" s="39"/>
      <c r="G569" s="40"/>
      <c r="H569" s="40"/>
      <c r="I569" s="40"/>
      <c r="J569" s="37"/>
      <c r="K569" s="37"/>
      <c r="L569" s="37"/>
      <c r="M569" s="37"/>
      <c r="N569" s="37"/>
      <c r="O569" s="37"/>
    </row>
    <row r="570" spans="1:15" ht="14.25" customHeight="1" x14ac:dyDescent="0.3">
      <c r="A570" s="39"/>
      <c r="B570" s="39"/>
      <c r="C570" s="39"/>
      <c r="D570" s="40"/>
      <c r="E570" s="39"/>
      <c r="F570" s="39"/>
      <c r="G570" s="40"/>
      <c r="H570" s="40"/>
      <c r="I570" s="40"/>
      <c r="J570" s="37"/>
      <c r="K570" s="37"/>
      <c r="L570" s="37"/>
      <c r="M570" s="37"/>
      <c r="N570" s="37"/>
      <c r="O570" s="37"/>
    </row>
    <row r="571" spans="1:15" ht="14.25" customHeight="1" x14ac:dyDescent="0.3">
      <c r="A571" s="39"/>
      <c r="B571" s="39"/>
      <c r="C571" s="39"/>
      <c r="D571" s="40"/>
      <c r="E571" s="39"/>
      <c r="F571" s="39"/>
      <c r="G571" s="40"/>
      <c r="H571" s="40"/>
      <c r="I571" s="40"/>
      <c r="J571" s="37"/>
      <c r="K571" s="37"/>
      <c r="L571" s="37"/>
      <c r="M571" s="37"/>
      <c r="N571" s="37"/>
      <c r="O571" s="37"/>
    </row>
    <row r="572" spans="1:15" ht="14.25" customHeight="1" x14ac:dyDescent="0.3">
      <c r="A572" s="39"/>
      <c r="B572" s="39"/>
      <c r="C572" s="39"/>
      <c r="D572" s="40"/>
      <c r="E572" s="39"/>
      <c r="F572" s="39"/>
      <c r="G572" s="40"/>
      <c r="H572" s="40"/>
      <c r="I572" s="40"/>
      <c r="J572" s="37"/>
      <c r="K572" s="37"/>
      <c r="L572" s="37"/>
      <c r="M572" s="37"/>
      <c r="N572" s="37"/>
      <c r="O572" s="37"/>
    </row>
    <row r="573" spans="1:15" ht="14.25" customHeight="1" x14ac:dyDescent="0.3">
      <c r="A573" s="39"/>
      <c r="B573" s="39"/>
      <c r="C573" s="39"/>
      <c r="D573" s="40"/>
      <c r="E573" s="39"/>
      <c r="F573" s="39"/>
      <c r="G573" s="40"/>
      <c r="H573" s="40"/>
      <c r="I573" s="40"/>
      <c r="J573" s="37"/>
      <c r="K573" s="37"/>
      <c r="L573" s="37"/>
      <c r="M573" s="37"/>
      <c r="N573" s="37"/>
      <c r="O573" s="37"/>
    </row>
    <row r="574" spans="1:15" ht="14.25" customHeight="1" x14ac:dyDescent="0.3">
      <c r="A574" s="39"/>
      <c r="B574" s="39"/>
      <c r="C574" s="39"/>
      <c r="D574" s="40"/>
      <c r="E574" s="39"/>
      <c r="F574" s="39"/>
      <c r="G574" s="40"/>
      <c r="H574" s="40"/>
      <c r="I574" s="40"/>
      <c r="J574" s="37"/>
      <c r="K574" s="37"/>
      <c r="L574" s="37"/>
      <c r="M574" s="37"/>
      <c r="N574" s="37"/>
      <c r="O574" s="37"/>
    </row>
    <row r="575" spans="1:15" ht="14.25" customHeight="1" x14ac:dyDescent="0.3">
      <c r="A575" s="39"/>
      <c r="B575" s="39"/>
      <c r="C575" s="39"/>
      <c r="D575" s="40"/>
      <c r="E575" s="39"/>
      <c r="F575" s="39"/>
      <c r="G575" s="40"/>
      <c r="H575" s="40"/>
      <c r="I575" s="40"/>
      <c r="J575" s="37"/>
      <c r="K575" s="37"/>
      <c r="L575" s="37"/>
      <c r="M575" s="37"/>
      <c r="N575" s="37"/>
      <c r="O575" s="37"/>
    </row>
    <row r="576" spans="1:15" ht="14.25" customHeight="1" x14ac:dyDescent="0.3">
      <c r="A576" s="39"/>
      <c r="B576" s="39"/>
      <c r="C576" s="39"/>
      <c r="D576" s="40"/>
      <c r="E576" s="39"/>
      <c r="F576" s="39"/>
      <c r="G576" s="40"/>
      <c r="H576" s="40"/>
      <c r="I576" s="40"/>
      <c r="J576" s="37"/>
      <c r="K576" s="37"/>
      <c r="L576" s="37"/>
      <c r="M576" s="37"/>
      <c r="N576" s="37"/>
      <c r="O576" s="37"/>
    </row>
    <row r="577" spans="1:15" ht="14.25" customHeight="1" x14ac:dyDescent="0.3">
      <c r="A577" s="39"/>
      <c r="B577" s="39"/>
      <c r="C577" s="39"/>
      <c r="D577" s="40"/>
      <c r="E577" s="39"/>
      <c r="F577" s="39"/>
      <c r="G577" s="40"/>
      <c r="H577" s="40"/>
      <c r="I577" s="40"/>
      <c r="J577" s="37"/>
      <c r="K577" s="37"/>
      <c r="L577" s="37"/>
      <c r="M577" s="37"/>
      <c r="N577" s="37"/>
      <c r="O577" s="37"/>
    </row>
    <row r="578" spans="1:15" ht="14.25" customHeight="1" x14ac:dyDescent="0.3">
      <c r="A578" s="39"/>
      <c r="B578" s="39"/>
      <c r="C578" s="39"/>
      <c r="D578" s="40"/>
      <c r="E578" s="39"/>
      <c r="F578" s="39"/>
      <c r="G578" s="40"/>
      <c r="H578" s="40"/>
      <c r="I578" s="40"/>
      <c r="J578" s="37"/>
      <c r="K578" s="37"/>
      <c r="L578" s="37"/>
      <c r="M578" s="37"/>
      <c r="N578" s="37"/>
      <c r="O578" s="37"/>
    </row>
    <row r="579" spans="1:15" ht="14.25" customHeight="1" x14ac:dyDescent="0.3">
      <c r="A579" s="39"/>
      <c r="B579" s="39"/>
      <c r="C579" s="39"/>
      <c r="D579" s="40"/>
      <c r="E579" s="39"/>
      <c r="F579" s="39"/>
      <c r="G579" s="40"/>
      <c r="H579" s="40"/>
      <c r="I579" s="40"/>
      <c r="J579" s="37"/>
      <c r="K579" s="37"/>
      <c r="L579" s="37"/>
      <c r="M579" s="37"/>
      <c r="N579" s="37"/>
      <c r="O579" s="37"/>
    </row>
    <row r="580" spans="1:15" ht="14.25" customHeight="1" x14ac:dyDescent="0.3">
      <c r="A580" s="39"/>
      <c r="B580" s="39"/>
      <c r="C580" s="39"/>
      <c r="D580" s="40"/>
      <c r="E580" s="39"/>
      <c r="F580" s="39"/>
      <c r="G580" s="40"/>
      <c r="H580" s="40"/>
      <c r="I580" s="40"/>
      <c r="J580" s="37"/>
      <c r="K580" s="37"/>
      <c r="L580" s="37"/>
      <c r="M580" s="37"/>
      <c r="N580" s="37"/>
      <c r="O580" s="37"/>
    </row>
    <row r="581" spans="1:15" ht="14.25" customHeight="1" x14ac:dyDescent="0.3">
      <c r="A581" s="39"/>
      <c r="B581" s="39"/>
      <c r="C581" s="39"/>
      <c r="D581" s="40"/>
      <c r="E581" s="39"/>
      <c r="F581" s="39"/>
      <c r="G581" s="40"/>
      <c r="H581" s="40"/>
      <c r="I581" s="40"/>
      <c r="J581" s="37"/>
      <c r="K581" s="37"/>
      <c r="L581" s="37"/>
      <c r="M581" s="37"/>
      <c r="N581" s="37"/>
      <c r="O581" s="37"/>
    </row>
    <row r="582" spans="1:15" ht="14.25" customHeight="1" x14ac:dyDescent="0.3">
      <c r="A582" s="39"/>
      <c r="B582" s="39"/>
      <c r="C582" s="39"/>
      <c r="D582" s="40"/>
      <c r="E582" s="39"/>
      <c r="F582" s="39"/>
      <c r="G582" s="40"/>
      <c r="H582" s="40"/>
      <c r="I582" s="40"/>
      <c r="J582" s="37"/>
      <c r="K582" s="37"/>
      <c r="L582" s="37"/>
      <c r="M582" s="37"/>
      <c r="N582" s="37"/>
      <c r="O582" s="37"/>
    </row>
    <row r="583" spans="1:15" ht="14.25" customHeight="1" x14ac:dyDescent="0.3">
      <c r="A583" s="39"/>
      <c r="B583" s="39"/>
      <c r="C583" s="39"/>
      <c r="D583" s="40"/>
      <c r="E583" s="39"/>
      <c r="F583" s="39"/>
      <c r="G583" s="40"/>
      <c r="H583" s="40"/>
      <c r="I583" s="40"/>
      <c r="J583" s="37"/>
      <c r="K583" s="37"/>
      <c r="L583" s="37"/>
      <c r="M583" s="37"/>
      <c r="N583" s="37"/>
      <c r="O583" s="37"/>
    </row>
    <row r="584" spans="1:15" ht="14.25" customHeight="1" x14ac:dyDescent="0.3">
      <c r="A584" s="39"/>
      <c r="B584" s="39"/>
      <c r="C584" s="39"/>
      <c r="D584" s="40"/>
      <c r="E584" s="39"/>
      <c r="F584" s="39"/>
      <c r="G584" s="40"/>
      <c r="H584" s="40"/>
      <c r="I584" s="40"/>
      <c r="J584" s="37"/>
      <c r="K584" s="37"/>
      <c r="L584" s="37"/>
      <c r="M584" s="37"/>
      <c r="N584" s="37"/>
      <c r="O584" s="37"/>
    </row>
    <row r="585" spans="1:15" ht="14.25" customHeight="1" x14ac:dyDescent="0.3">
      <c r="A585" s="39"/>
      <c r="B585" s="39"/>
      <c r="C585" s="39"/>
      <c r="D585" s="40"/>
      <c r="E585" s="39"/>
      <c r="F585" s="39"/>
      <c r="G585" s="40"/>
      <c r="H585" s="40"/>
      <c r="I585" s="40"/>
      <c r="J585" s="37"/>
      <c r="K585" s="37"/>
      <c r="L585" s="37"/>
      <c r="M585" s="37"/>
      <c r="N585" s="37"/>
      <c r="O585" s="37"/>
    </row>
    <row r="586" spans="1:15" ht="14.25" customHeight="1" x14ac:dyDescent="0.3">
      <c r="A586" s="39"/>
      <c r="B586" s="39"/>
      <c r="C586" s="39"/>
      <c r="D586" s="40"/>
      <c r="E586" s="39"/>
      <c r="F586" s="39"/>
      <c r="G586" s="40"/>
      <c r="H586" s="40"/>
      <c r="I586" s="40"/>
      <c r="J586" s="37"/>
      <c r="K586" s="37"/>
      <c r="L586" s="37"/>
      <c r="M586" s="37"/>
      <c r="N586" s="37"/>
      <c r="O586" s="37"/>
    </row>
    <row r="587" spans="1:15" ht="14.25" customHeight="1" x14ac:dyDescent="0.3">
      <c r="A587" s="39"/>
      <c r="B587" s="39"/>
      <c r="C587" s="39"/>
      <c r="D587" s="40"/>
      <c r="E587" s="39"/>
      <c r="F587" s="39"/>
      <c r="G587" s="40"/>
      <c r="H587" s="40"/>
      <c r="I587" s="40"/>
      <c r="J587" s="37"/>
      <c r="K587" s="37"/>
      <c r="L587" s="37"/>
      <c r="M587" s="37"/>
      <c r="N587" s="37"/>
      <c r="O587" s="37"/>
    </row>
    <row r="588" spans="1:15" ht="14.25" customHeight="1" x14ac:dyDescent="0.3">
      <c r="A588" s="39"/>
      <c r="B588" s="39"/>
      <c r="C588" s="39"/>
      <c r="D588" s="40"/>
      <c r="E588" s="39"/>
      <c r="F588" s="39"/>
      <c r="G588" s="40"/>
      <c r="H588" s="40"/>
      <c r="I588" s="40"/>
      <c r="J588" s="37"/>
      <c r="K588" s="37"/>
      <c r="L588" s="37"/>
      <c r="M588" s="37"/>
      <c r="N588" s="37"/>
      <c r="O588" s="37"/>
    </row>
    <row r="589" spans="1:15" ht="14.25" customHeight="1" x14ac:dyDescent="0.3">
      <c r="A589" s="39"/>
      <c r="B589" s="39"/>
      <c r="C589" s="39"/>
      <c r="D589" s="40"/>
      <c r="E589" s="39"/>
      <c r="F589" s="39"/>
      <c r="G589" s="40"/>
      <c r="H589" s="40"/>
      <c r="I589" s="40"/>
      <c r="J589" s="37"/>
      <c r="K589" s="37"/>
      <c r="L589" s="37"/>
      <c r="M589" s="37"/>
      <c r="N589" s="37"/>
      <c r="O589" s="37"/>
    </row>
    <row r="590" spans="1:15" ht="14.25" customHeight="1" x14ac:dyDescent="0.3">
      <c r="A590" s="39"/>
      <c r="B590" s="39"/>
      <c r="C590" s="39"/>
      <c r="D590" s="40"/>
      <c r="E590" s="39"/>
      <c r="F590" s="39"/>
      <c r="G590" s="40"/>
      <c r="H590" s="40"/>
      <c r="I590" s="40"/>
      <c r="J590" s="37"/>
      <c r="K590" s="37"/>
      <c r="L590" s="37"/>
      <c r="M590" s="37"/>
      <c r="N590" s="37"/>
      <c r="O590" s="37"/>
    </row>
    <row r="591" spans="1:15" ht="14.25" customHeight="1" x14ac:dyDescent="0.3">
      <c r="A591" s="39"/>
      <c r="B591" s="39"/>
      <c r="C591" s="39"/>
      <c r="D591" s="40"/>
      <c r="E591" s="39"/>
      <c r="F591" s="39"/>
      <c r="G591" s="40"/>
      <c r="H591" s="40"/>
      <c r="I591" s="40"/>
      <c r="J591" s="37"/>
      <c r="K591" s="37"/>
      <c r="L591" s="37"/>
      <c r="M591" s="37"/>
      <c r="N591" s="37"/>
      <c r="O591" s="37"/>
    </row>
    <row r="592" spans="1:15" ht="14.25" customHeight="1" x14ac:dyDescent="0.3">
      <c r="A592" s="39"/>
      <c r="B592" s="39"/>
      <c r="C592" s="39"/>
      <c r="D592" s="40"/>
      <c r="E592" s="39"/>
      <c r="F592" s="39"/>
      <c r="G592" s="40"/>
      <c r="H592" s="40"/>
      <c r="I592" s="40"/>
      <c r="J592" s="37"/>
      <c r="K592" s="37"/>
      <c r="L592" s="37"/>
      <c r="M592" s="37"/>
      <c r="N592" s="37"/>
      <c r="O592" s="37"/>
    </row>
    <row r="593" spans="1:15" ht="14.25" customHeight="1" x14ac:dyDescent="0.3">
      <c r="A593" s="39"/>
      <c r="B593" s="39"/>
      <c r="C593" s="39"/>
      <c r="D593" s="40"/>
      <c r="E593" s="39"/>
      <c r="F593" s="39"/>
      <c r="G593" s="40"/>
      <c r="H593" s="40"/>
      <c r="I593" s="40"/>
      <c r="J593" s="37"/>
      <c r="K593" s="37"/>
      <c r="L593" s="37"/>
      <c r="M593" s="37"/>
      <c r="N593" s="37"/>
      <c r="O593" s="37"/>
    </row>
    <row r="594" spans="1:15" ht="14.25" customHeight="1" x14ac:dyDescent="0.3">
      <c r="A594" s="39"/>
      <c r="B594" s="39"/>
      <c r="C594" s="39"/>
      <c r="D594" s="40"/>
      <c r="E594" s="39"/>
      <c r="F594" s="39"/>
      <c r="G594" s="40"/>
      <c r="H594" s="40"/>
      <c r="I594" s="40"/>
      <c r="J594" s="37"/>
      <c r="K594" s="37"/>
      <c r="L594" s="37"/>
      <c r="M594" s="37"/>
      <c r="N594" s="37"/>
      <c r="O594" s="37"/>
    </row>
    <row r="595" spans="1:15" ht="14.25" customHeight="1" x14ac:dyDescent="0.3">
      <c r="A595" s="39"/>
      <c r="B595" s="39"/>
      <c r="C595" s="39"/>
      <c r="D595" s="40"/>
      <c r="E595" s="39"/>
      <c r="F595" s="39"/>
      <c r="G595" s="40"/>
      <c r="H595" s="40"/>
      <c r="I595" s="40"/>
      <c r="J595" s="37"/>
      <c r="K595" s="37"/>
      <c r="L595" s="37"/>
      <c r="M595" s="37"/>
      <c r="N595" s="37"/>
      <c r="O595" s="37"/>
    </row>
    <row r="596" spans="1:15" ht="14.25" customHeight="1" x14ac:dyDescent="0.3">
      <c r="A596" s="39"/>
      <c r="B596" s="39"/>
      <c r="C596" s="39"/>
      <c r="D596" s="40"/>
      <c r="E596" s="39"/>
      <c r="F596" s="39"/>
      <c r="G596" s="40"/>
      <c r="H596" s="40"/>
      <c r="I596" s="40"/>
      <c r="J596" s="37"/>
      <c r="K596" s="37"/>
      <c r="L596" s="37"/>
      <c r="M596" s="37"/>
      <c r="N596" s="37"/>
      <c r="O596" s="37"/>
    </row>
    <row r="597" spans="1:15" ht="14.25" customHeight="1" x14ac:dyDescent="0.3">
      <c r="A597" s="39"/>
      <c r="B597" s="39"/>
      <c r="C597" s="39"/>
      <c r="D597" s="40"/>
      <c r="E597" s="39"/>
      <c r="F597" s="39"/>
      <c r="G597" s="40"/>
      <c r="H597" s="40"/>
      <c r="I597" s="40"/>
      <c r="J597" s="37"/>
      <c r="K597" s="37"/>
      <c r="L597" s="37"/>
      <c r="M597" s="37"/>
      <c r="N597" s="37"/>
      <c r="O597" s="37"/>
    </row>
    <row r="598" spans="1:15" ht="14.25" customHeight="1" x14ac:dyDescent="0.3">
      <c r="A598" s="39"/>
      <c r="B598" s="39"/>
      <c r="C598" s="39"/>
      <c r="D598" s="40"/>
      <c r="E598" s="39"/>
      <c r="F598" s="39"/>
      <c r="G598" s="40"/>
      <c r="H598" s="40"/>
      <c r="I598" s="40"/>
      <c r="J598" s="37"/>
      <c r="K598" s="37"/>
      <c r="L598" s="37"/>
      <c r="M598" s="37"/>
      <c r="N598" s="37"/>
      <c r="O598" s="37"/>
    </row>
    <row r="599" spans="1:15" ht="14.25" customHeight="1" x14ac:dyDescent="0.3">
      <c r="A599" s="39"/>
      <c r="B599" s="39"/>
      <c r="C599" s="39"/>
      <c r="D599" s="40"/>
      <c r="E599" s="39"/>
      <c r="F599" s="39"/>
      <c r="G599" s="40"/>
      <c r="H599" s="40"/>
      <c r="I599" s="40"/>
      <c r="J599" s="37"/>
      <c r="K599" s="37"/>
      <c r="L599" s="37"/>
      <c r="M599" s="37"/>
      <c r="N599" s="37"/>
      <c r="O599" s="37"/>
    </row>
    <row r="600" spans="1:15" ht="14.25" customHeight="1" x14ac:dyDescent="0.3">
      <c r="A600" s="39"/>
      <c r="B600" s="39"/>
      <c r="C600" s="39"/>
      <c r="D600" s="40"/>
      <c r="E600" s="39"/>
      <c r="F600" s="39"/>
      <c r="G600" s="40"/>
      <c r="H600" s="40"/>
      <c r="I600" s="40"/>
      <c r="J600" s="37"/>
      <c r="K600" s="37"/>
      <c r="L600" s="37"/>
      <c r="M600" s="37"/>
      <c r="N600" s="37"/>
      <c r="O600" s="37"/>
    </row>
    <row r="601" spans="1:15" ht="14.25" customHeight="1" x14ac:dyDescent="0.3">
      <c r="A601" s="39"/>
      <c r="B601" s="39"/>
      <c r="C601" s="39"/>
      <c r="D601" s="40"/>
      <c r="E601" s="39"/>
      <c r="F601" s="39"/>
      <c r="G601" s="40"/>
      <c r="H601" s="40"/>
      <c r="I601" s="40"/>
      <c r="J601" s="37"/>
      <c r="K601" s="37"/>
      <c r="L601" s="37"/>
      <c r="M601" s="37"/>
      <c r="N601" s="37"/>
      <c r="O601" s="37"/>
    </row>
    <row r="602" spans="1:15" ht="14.25" customHeight="1" x14ac:dyDescent="0.3">
      <c r="A602" s="39"/>
      <c r="B602" s="39"/>
      <c r="C602" s="39"/>
      <c r="D602" s="40"/>
      <c r="E602" s="39"/>
      <c r="F602" s="39"/>
      <c r="G602" s="40"/>
      <c r="H602" s="40"/>
      <c r="I602" s="40"/>
      <c r="J602" s="37"/>
      <c r="K602" s="37"/>
      <c r="L602" s="37"/>
      <c r="M602" s="37"/>
      <c r="N602" s="37"/>
      <c r="O602" s="37"/>
    </row>
    <row r="603" spans="1:15" ht="14.25" customHeight="1" x14ac:dyDescent="0.3">
      <c r="A603" s="39"/>
      <c r="B603" s="39"/>
      <c r="C603" s="39"/>
      <c r="D603" s="40"/>
      <c r="E603" s="39"/>
      <c r="F603" s="39"/>
      <c r="G603" s="40"/>
      <c r="H603" s="40"/>
      <c r="I603" s="40"/>
      <c r="J603" s="37"/>
      <c r="K603" s="37"/>
      <c r="L603" s="37"/>
      <c r="M603" s="37"/>
      <c r="N603" s="37"/>
      <c r="O603" s="37"/>
    </row>
    <row r="604" spans="1:15" ht="14.25" customHeight="1" x14ac:dyDescent="0.3">
      <c r="A604" s="39"/>
      <c r="B604" s="39"/>
      <c r="C604" s="39"/>
      <c r="D604" s="40"/>
      <c r="E604" s="39"/>
      <c r="F604" s="39"/>
      <c r="G604" s="40"/>
      <c r="H604" s="40"/>
      <c r="I604" s="40"/>
      <c r="J604" s="37"/>
      <c r="K604" s="37"/>
      <c r="L604" s="37"/>
      <c r="M604" s="37"/>
      <c r="N604" s="37"/>
      <c r="O604" s="37"/>
    </row>
    <row r="605" spans="1:15" ht="14.25" customHeight="1" x14ac:dyDescent="0.3">
      <c r="A605" s="39"/>
      <c r="B605" s="39"/>
      <c r="C605" s="39"/>
      <c r="D605" s="40"/>
      <c r="E605" s="39"/>
      <c r="F605" s="39"/>
      <c r="G605" s="40"/>
      <c r="H605" s="40"/>
      <c r="I605" s="40"/>
      <c r="J605" s="37"/>
      <c r="K605" s="37"/>
      <c r="L605" s="37"/>
      <c r="M605" s="37"/>
      <c r="N605" s="37"/>
      <c r="O605" s="37"/>
    </row>
    <row r="606" spans="1:15" ht="14.25" customHeight="1" x14ac:dyDescent="0.3">
      <c r="A606" s="39"/>
      <c r="B606" s="39"/>
      <c r="C606" s="39"/>
      <c r="D606" s="40"/>
      <c r="E606" s="39"/>
      <c r="F606" s="39"/>
      <c r="G606" s="40"/>
      <c r="H606" s="40"/>
      <c r="I606" s="40"/>
      <c r="J606" s="37"/>
      <c r="K606" s="37"/>
      <c r="L606" s="37"/>
      <c r="M606" s="37"/>
      <c r="N606" s="37"/>
      <c r="O606" s="37"/>
    </row>
    <row r="607" spans="1:15" ht="14.25" customHeight="1" x14ac:dyDescent="0.3">
      <c r="A607" s="39"/>
      <c r="B607" s="39"/>
      <c r="C607" s="39"/>
      <c r="D607" s="40"/>
      <c r="E607" s="39"/>
      <c r="F607" s="39"/>
      <c r="G607" s="40"/>
      <c r="H607" s="40"/>
      <c r="I607" s="40"/>
      <c r="J607" s="37"/>
      <c r="K607" s="37"/>
      <c r="L607" s="37"/>
      <c r="M607" s="37"/>
      <c r="N607" s="37"/>
      <c r="O607" s="37"/>
    </row>
    <row r="608" spans="1:15" ht="14.25" customHeight="1" x14ac:dyDescent="0.3">
      <c r="A608" s="39"/>
      <c r="B608" s="39"/>
      <c r="C608" s="39"/>
      <c r="D608" s="40"/>
      <c r="E608" s="39"/>
      <c r="F608" s="39"/>
      <c r="G608" s="40"/>
      <c r="H608" s="40"/>
      <c r="I608" s="40"/>
      <c r="J608" s="37"/>
      <c r="K608" s="37"/>
      <c r="L608" s="37"/>
      <c r="M608" s="37"/>
      <c r="N608" s="37"/>
      <c r="O608" s="37"/>
    </row>
    <row r="609" spans="1:15" ht="14.25" customHeight="1" x14ac:dyDescent="0.3">
      <c r="A609" s="39"/>
      <c r="B609" s="39"/>
      <c r="C609" s="39"/>
      <c r="D609" s="40"/>
      <c r="E609" s="39"/>
      <c r="F609" s="39"/>
      <c r="G609" s="40"/>
      <c r="H609" s="40"/>
      <c r="I609" s="40"/>
      <c r="J609" s="37"/>
      <c r="K609" s="37"/>
      <c r="L609" s="37"/>
      <c r="M609" s="37"/>
      <c r="N609" s="37"/>
      <c r="O609" s="37"/>
    </row>
    <row r="610" spans="1:15" ht="14.25" customHeight="1" x14ac:dyDescent="0.3">
      <c r="A610" s="39"/>
      <c r="B610" s="39"/>
      <c r="C610" s="39"/>
      <c r="D610" s="40"/>
      <c r="E610" s="39"/>
      <c r="F610" s="39"/>
      <c r="G610" s="40"/>
      <c r="H610" s="40"/>
      <c r="I610" s="40"/>
      <c r="J610" s="37"/>
      <c r="K610" s="37"/>
      <c r="L610" s="37"/>
      <c r="M610" s="37"/>
      <c r="N610" s="37"/>
      <c r="O610" s="37"/>
    </row>
    <row r="611" spans="1:15" ht="14.25" customHeight="1" x14ac:dyDescent="0.3">
      <c r="A611" s="39"/>
      <c r="B611" s="39"/>
      <c r="C611" s="39"/>
      <c r="D611" s="40"/>
      <c r="E611" s="39"/>
      <c r="F611" s="39"/>
      <c r="G611" s="40"/>
      <c r="H611" s="40"/>
      <c r="I611" s="40"/>
      <c r="J611" s="37"/>
      <c r="K611" s="37"/>
      <c r="L611" s="37"/>
      <c r="M611" s="37"/>
      <c r="N611" s="37"/>
      <c r="O611" s="37"/>
    </row>
    <row r="612" spans="1:15" ht="14.25" customHeight="1" x14ac:dyDescent="0.3">
      <c r="A612" s="39"/>
      <c r="B612" s="39"/>
      <c r="C612" s="39"/>
      <c r="D612" s="40"/>
      <c r="E612" s="39"/>
      <c r="F612" s="39"/>
      <c r="G612" s="40"/>
      <c r="H612" s="40"/>
      <c r="I612" s="40"/>
      <c r="J612" s="37"/>
      <c r="K612" s="37"/>
      <c r="L612" s="37"/>
      <c r="M612" s="37"/>
      <c r="N612" s="37"/>
      <c r="O612" s="37"/>
    </row>
    <row r="613" spans="1:15" ht="14.25" customHeight="1" x14ac:dyDescent="0.3">
      <c r="A613" s="39"/>
      <c r="B613" s="39"/>
      <c r="C613" s="39"/>
      <c r="D613" s="40"/>
      <c r="E613" s="39"/>
      <c r="F613" s="39"/>
      <c r="G613" s="40"/>
      <c r="H613" s="40"/>
      <c r="I613" s="40"/>
      <c r="J613" s="37"/>
      <c r="K613" s="37"/>
      <c r="L613" s="37"/>
      <c r="M613" s="37"/>
      <c r="N613" s="37"/>
      <c r="O613" s="37"/>
    </row>
    <row r="614" spans="1:15" ht="14.25" customHeight="1" x14ac:dyDescent="0.3">
      <c r="A614" s="39"/>
      <c r="B614" s="39"/>
      <c r="C614" s="39"/>
      <c r="D614" s="40"/>
      <c r="E614" s="39"/>
      <c r="F614" s="39"/>
      <c r="G614" s="40"/>
      <c r="H614" s="40"/>
      <c r="I614" s="40"/>
      <c r="J614" s="37"/>
      <c r="K614" s="37"/>
      <c r="L614" s="37"/>
      <c r="M614" s="37"/>
      <c r="N614" s="37"/>
      <c r="O614" s="37"/>
    </row>
    <row r="615" spans="1:15" ht="14.25" customHeight="1" x14ac:dyDescent="0.3">
      <c r="A615" s="39"/>
      <c r="B615" s="39"/>
      <c r="C615" s="39"/>
      <c r="D615" s="40"/>
      <c r="E615" s="39"/>
      <c r="F615" s="39"/>
      <c r="G615" s="40"/>
      <c r="H615" s="40"/>
      <c r="I615" s="40"/>
      <c r="J615" s="37"/>
      <c r="K615" s="37"/>
      <c r="L615" s="37"/>
      <c r="M615" s="37"/>
      <c r="N615" s="37"/>
      <c r="O615" s="37"/>
    </row>
    <row r="616" spans="1:15" ht="14.25" customHeight="1" x14ac:dyDescent="0.3">
      <c r="A616" s="39"/>
      <c r="B616" s="39"/>
      <c r="C616" s="39"/>
      <c r="D616" s="40"/>
      <c r="E616" s="39"/>
      <c r="F616" s="39"/>
      <c r="G616" s="40"/>
      <c r="H616" s="40"/>
      <c r="I616" s="40"/>
      <c r="J616" s="37"/>
      <c r="K616" s="37"/>
      <c r="L616" s="37"/>
      <c r="M616" s="37"/>
      <c r="N616" s="37"/>
      <c r="O616" s="37"/>
    </row>
    <row r="617" spans="1:15" ht="14.25" customHeight="1" x14ac:dyDescent="0.3">
      <c r="A617" s="39"/>
      <c r="B617" s="39"/>
      <c r="C617" s="39"/>
      <c r="D617" s="40"/>
      <c r="E617" s="39"/>
      <c r="F617" s="39"/>
      <c r="G617" s="40"/>
      <c r="H617" s="40"/>
      <c r="I617" s="40"/>
      <c r="J617" s="37"/>
      <c r="K617" s="37"/>
      <c r="L617" s="37"/>
      <c r="M617" s="37"/>
      <c r="N617" s="37"/>
      <c r="O617" s="37"/>
    </row>
    <row r="618" spans="1:15" ht="14.25" customHeight="1" x14ac:dyDescent="0.3">
      <c r="A618" s="39"/>
      <c r="B618" s="39"/>
      <c r="C618" s="39"/>
      <c r="D618" s="40"/>
      <c r="E618" s="39"/>
      <c r="F618" s="39"/>
      <c r="G618" s="40"/>
      <c r="H618" s="40"/>
      <c r="I618" s="40"/>
      <c r="J618" s="37"/>
      <c r="K618" s="37"/>
      <c r="L618" s="37"/>
      <c r="M618" s="37"/>
      <c r="N618" s="37"/>
      <c r="O618" s="37"/>
    </row>
    <row r="619" spans="1:15" ht="14.25" customHeight="1" x14ac:dyDescent="0.3">
      <c r="A619" s="39"/>
      <c r="B619" s="39"/>
      <c r="C619" s="39"/>
      <c r="D619" s="40"/>
      <c r="E619" s="39"/>
      <c r="F619" s="39"/>
      <c r="G619" s="40"/>
      <c r="H619" s="40"/>
      <c r="I619" s="40"/>
      <c r="J619" s="37"/>
      <c r="K619" s="37"/>
      <c r="L619" s="37"/>
      <c r="M619" s="37"/>
      <c r="N619" s="37"/>
      <c r="O619" s="37"/>
    </row>
    <row r="620" spans="1:15" ht="14.25" customHeight="1" x14ac:dyDescent="0.3">
      <c r="A620" s="39"/>
      <c r="B620" s="39"/>
      <c r="C620" s="39"/>
      <c r="D620" s="40"/>
      <c r="E620" s="39"/>
      <c r="F620" s="39"/>
      <c r="G620" s="40"/>
      <c r="H620" s="40"/>
      <c r="I620" s="40"/>
      <c r="J620" s="37"/>
      <c r="K620" s="37"/>
      <c r="L620" s="37"/>
      <c r="M620" s="37"/>
      <c r="N620" s="37"/>
      <c r="O620" s="37"/>
    </row>
    <row r="621" spans="1:15" ht="14.25" customHeight="1" x14ac:dyDescent="0.3">
      <c r="A621" s="39"/>
      <c r="B621" s="39"/>
      <c r="C621" s="39"/>
      <c r="D621" s="40"/>
      <c r="E621" s="39"/>
      <c r="F621" s="39"/>
      <c r="G621" s="40"/>
      <c r="H621" s="40"/>
      <c r="I621" s="40"/>
      <c r="J621" s="37"/>
      <c r="K621" s="37"/>
      <c r="L621" s="37"/>
      <c r="M621" s="37"/>
      <c r="N621" s="37"/>
      <c r="O621" s="37"/>
    </row>
    <row r="622" spans="1:15" ht="14.25" customHeight="1" x14ac:dyDescent="0.3">
      <c r="A622" s="39"/>
      <c r="B622" s="39"/>
      <c r="C622" s="39"/>
      <c r="D622" s="40"/>
      <c r="E622" s="39"/>
      <c r="F622" s="39"/>
      <c r="G622" s="40"/>
      <c r="H622" s="40"/>
      <c r="I622" s="40"/>
      <c r="J622" s="37"/>
      <c r="K622" s="37"/>
      <c r="L622" s="37"/>
      <c r="M622" s="37"/>
      <c r="N622" s="37"/>
      <c r="O622" s="37"/>
    </row>
    <row r="623" spans="1:15" ht="14.25" customHeight="1" x14ac:dyDescent="0.3">
      <c r="A623" s="39"/>
      <c r="B623" s="39"/>
      <c r="C623" s="39"/>
      <c r="D623" s="40"/>
      <c r="E623" s="39"/>
      <c r="F623" s="39"/>
      <c r="G623" s="40"/>
      <c r="H623" s="40"/>
      <c r="I623" s="40"/>
      <c r="J623" s="37"/>
      <c r="K623" s="37"/>
      <c r="L623" s="37"/>
      <c r="M623" s="37"/>
      <c r="N623" s="37"/>
      <c r="O623" s="37"/>
    </row>
    <row r="624" spans="1:15" ht="14.25" customHeight="1" x14ac:dyDescent="0.3">
      <c r="A624" s="39"/>
      <c r="B624" s="39"/>
      <c r="C624" s="39"/>
      <c r="D624" s="40"/>
      <c r="E624" s="39"/>
      <c r="F624" s="39"/>
      <c r="G624" s="40"/>
      <c r="H624" s="40"/>
      <c r="I624" s="40"/>
      <c r="J624" s="37"/>
      <c r="K624" s="37"/>
      <c r="L624" s="37"/>
      <c r="M624" s="37"/>
      <c r="N624" s="37"/>
      <c r="O624" s="37"/>
    </row>
    <row r="625" spans="1:15" ht="14.25" customHeight="1" x14ac:dyDescent="0.3">
      <c r="A625" s="39"/>
      <c r="B625" s="39"/>
      <c r="C625" s="39"/>
      <c r="D625" s="40"/>
      <c r="E625" s="39"/>
      <c r="F625" s="39"/>
      <c r="G625" s="40"/>
      <c r="H625" s="40"/>
      <c r="I625" s="40"/>
      <c r="J625" s="37"/>
      <c r="K625" s="37"/>
      <c r="L625" s="37"/>
      <c r="M625" s="37"/>
      <c r="N625" s="37"/>
      <c r="O625" s="37"/>
    </row>
    <row r="626" spans="1:15" ht="14.25" customHeight="1" x14ac:dyDescent="0.3">
      <c r="A626" s="39"/>
      <c r="B626" s="39"/>
      <c r="C626" s="39"/>
      <c r="D626" s="40"/>
      <c r="E626" s="39"/>
      <c r="F626" s="39"/>
      <c r="G626" s="40"/>
      <c r="H626" s="40"/>
      <c r="I626" s="40"/>
      <c r="J626" s="37"/>
      <c r="K626" s="37"/>
      <c r="L626" s="37"/>
      <c r="M626" s="37"/>
      <c r="N626" s="37"/>
      <c r="O626" s="37"/>
    </row>
    <row r="627" spans="1:15" ht="14.25" customHeight="1" x14ac:dyDescent="0.3">
      <c r="A627" s="39"/>
      <c r="B627" s="39"/>
      <c r="C627" s="39"/>
      <c r="D627" s="40"/>
      <c r="E627" s="39"/>
      <c r="F627" s="39"/>
      <c r="G627" s="40"/>
      <c r="H627" s="40"/>
      <c r="I627" s="40"/>
      <c r="J627" s="37"/>
      <c r="K627" s="37"/>
      <c r="L627" s="37"/>
      <c r="M627" s="37"/>
      <c r="N627" s="37"/>
      <c r="O627" s="37"/>
    </row>
    <row r="628" spans="1:15" ht="14.25" customHeight="1" x14ac:dyDescent="0.3">
      <c r="A628" s="39"/>
      <c r="B628" s="39"/>
      <c r="C628" s="39"/>
      <c r="D628" s="40"/>
      <c r="E628" s="39"/>
      <c r="F628" s="39"/>
      <c r="G628" s="40"/>
      <c r="H628" s="40"/>
      <c r="I628" s="40"/>
      <c r="J628" s="37"/>
      <c r="K628" s="37"/>
      <c r="L628" s="37"/>
      <c r="M628" s="37"/>
      <c r="N628" s="37"/>
      <c r="O628" s="37"/>
    </row>
    <row r="629" spans="1:15" ht="14.25" customHeight="1" x14ac:dyDescent="0.3">
      <c r="A629" s="39"/>
      <c r="B629" s="39"/>
      <c r="C629" s="39"/>
      <c r="D629" s="40"/>
      <c r="E629" s="39"/>
      <c r="F629" s="39"/>
      <c r="G629" s="40"/>
      <c r="H629" s="40"/>
      <c r="I629" s="40"/>
      <c r="J629" s="37"/>
      <c r="K629" s="37"/>
      <c r="L629" s="37"/>
      <c r="M629" s="37"/>
      <c r="N629" s="37"/>
      <c r="O629" s="37"/>
    </row>
    <row r="630" spans="1:15" ht="14.25" customHeight="1" x14ac:dyDescent="0.3">
      <c r="A630" s="39"/>
      <c r="B630" s="39"/>
      <c r="C630" s="39"/>
      <c r="D630" s="40"/>
      <c r="E630" s="39"/>
      <c r="F630" s="39"/>
      <c r="G630" s="40"/>
      <c r="H630" s="40"/>
      <c r="I630" s="40"/>
      <c r="J630" s="37"/>
      <c r="K630" s="37"/>
      <c r="L630" s="37"/>
      <c r="M630" s="37"/>
      <c r="N630" s="37"/>
      <c r="O630" s="37"/>
    </row>
    <row r="631" spans="1:15" ht="14.25" customHeight="1" x14ac:dyDescent="0.3">
      <c r="A631" s="39"/>
      <c r="B631" s="39"/>
      <c r="C631" s="39"/>
      <c r="D631" s="40"/>
      <c r="E631" s="39"/>
      <c r="F631" s="39"/>
      <c r="G631" s="40"/>
      <c r="H631" s="40"/>
      <c r="I631" s="40"/>
      <c r="J631" s="37"/>
      <c r="K631" s="37"/>
      <c r="L631" s="37"/>
      <c r="M631" s="37"/>
      <c r="N631" s="37"/>
      <c r="O631" s="37"/>
    </row>
    <row r="632" spans="1:15" ht="14.25" customHeight="1" x14ac:dyDescent="0.3">
      <c r="A632" s="39"/>
      <c r="B632" s="39"/>
      <c r="C632" s="39"/>
      <c r="D632" s="40"/>
      <c r="E632" s="39"/>
      <c r="F632" s="39"/>
      <c r="G632" s="40"/>
      <c r="H632" s="40"/>
      <c r="I632" s="40"/>
      <c r="J632" s="37"/>
      <c r="K632" s="37"/>
      <c r="L632" s="37"/>
      <c r="M632" s="37"/>
      <c r="N632" s="37"/>
      <c r="O632" s="37"/>
    </row>
    <row r="633" spans="1:15" ht="14.25" customHeight="1" x14ac:dyDescent="0.3">
      <c r="A633" s="39"/>
      <c r="B633" s="39"/>
      <c r="C633" s="39"/>
      <c r="D633" s="40"/>
      <c r="E633" s="39"/>
      <c r="F633" s="39"/>
      <c r="G633" s="40"/>
      <c r="H633" s="40"/>
      <c r="I633" s="40"/>
      <c r="J633" s="37"/>
      <c r="K633" s="37"/>
      <c r="L633" s="37"/>
      <c r="M633" s="37"/>
      <c r="N633" s="37"/>
      <c r="O633" s="37"/>
    </row>
    <row r="634" spans="1:15" ht="14.25" customHeight="1" x14ac:dyDescent="0.3">
      <c r="A634" s="39"/>
      <c r="B634" s="39"/>
      <c r="C634" s="39"/>
      <c r="D634" s="40"/>
      <c r="E634" s="39"/>
      <c r="F634" s="39"/>
      <c r="G634" s="40"/>
      <c r="H634" s="40"/>
      <c r="I634" s="40"/>
      <c r="J634" s="37"/>
      <c r="K634" s="37"/>
      <c r="L634" s="37"/>
      <c r="M634" s="37"/>
      <c r="N634" s="37"/>
      <c r="O634" s="37"/>
    </row>
    <row r="635" spans="1:15" ht="14.25" customHeight="1" x14ac:dyDescent="0.3">
      <c r="A635" s="39"/>
      <c r="B635" s="39"/>
      <c r="C635" s="39"/>
      <c r="D635" s="40"/>
      <c r="E635" s="39"/>
      <c r="F635" s="39"/>
      <c r="G635" s="40"/>
      <c r="H635" s="40"/>
      <c r="I635" s="40"/>
      <c r="J635" s="37"/>
      <c r="K635" s="37"/>
      <c r="L635" s="37"/>
      <c r="M635" s="37"/>
      <c r="N635" s="37"/>
      <c r="O635" s="37"/>
    </row>
    <row r="636" spans="1:15" ht="14.25" customHeight="1" x14ac:dyDescent="0.3">
      <c r="A636" s="39"/>
      <c r="B636" s="39"/>
      <c r="C636" s="39"/>
      <c r="D636" s="40"/>
      <c r="E636" s="39"/>
      <c r="F636" s="39"/>
      <c r="G636" s="40"/>
      <c r="H636" s="40"/>
      <c r="I636" s="40"/>
      <c r="J636" s="37"/>
      <c r="K636" s="37"/>
      <c r="L636" s="37"/>
      <c r="M636" s="37"/>
      <c r="N636" s="37"/>
      <c r="O636" s="37"/>
    </row>
    <row r="637" spans="1:15" ht="14.25" customHeight="1" x14ac:dyDescent="0.3">
      <c r="A637" s="39"/>
      <c r="B637" s="39"/>
      <c r="C637" s="39"/>
      <c r="D637" s="40"/>
      <c r="E637" s="39"/>
      <c r="F637" s="39"/>
      <c r="G637" s="40"/>
      <c r="H637" s="40"/>
      <c r="I637" s="40"/>
      <c r="J637" s="37"/>
      <c r="K637" s="37"/>
      <c r="L637" s="37"/>
      <c r="M637" s="37"/>
      <c r="N637" s="37"/>
      <c r="O637" s="37"/>
    </row>
    <row r="638" spans="1:15" ht="14.25" customHeight="1" x14ac:dyDescent="0.3">
      <c r="A638" s="39"/>
      <c r="B638" s="39"/>
      <c r="C638" s="39"/>
      <c r="D638" s="40"/>
      <c r="E638" s="39"/>
      <c r="F638" s="39"/>
      <c r="G638" s="40"/>
      <c r="H638" s="40"/>
      <c r="I638" s="40"/>
      <c r="J638" s="37"/>
      <c r="K638" s="37"/>
      <c r="L638" s="37"/>
      <c r="M638" s="37"/>
      <c r="N638" s="37"/>
      <c r="O638" s="37"/>
    </row>
    <row r="639" spans="1:15" ht="14.25" customHeight="1" x14ac:dyDescent="0.3">
      <c r="A639" s="39"/>
      <c r="B639" s="39"/>
      <c r="C639" s="39"/>
      <c r="D639" s="40"/>
      <c r="E639" s="39"/>
      <c r="F639" s="39"/>
      <c r="G639" s="40"/>
      <c r="H639" s="40"/>
      <c r="I639" s="40"/>
      <c r="J639" s="37"/>
      <c r="K639" s="37"/>
      <c r="L639" s="37"/>
      <c r="M639" s="37"/>
      <c r="N639" s="37"/>
      <c r="O639" s="37"/>
    </row>
    <row r="640" spans="1:15" ht="14.25" customHeight="1" x14ac:dyDescent="0.3">
      <c r="A640" s="39"/>
      <c r="B640" s="39"/>
      <c r="C640" s="39"/>
      <c r="D640" s="40"/>
      <c r="E640" s="39"/>
      <c r="F640" s="39"/>
      <c r="G640" s="40"/>
      <c r="H640" s="40"/>
      <c r="I640" s="40"/>
      <c r="J640" s="37"/>
      <c r="K640" s="37"/>
      <c r="L640" s="37"/>
      <c r="M640" s="37"/>
      <c r="N640" s="37"/>
      <c r="O640" s="37"/>
    </row>
    <row r="641" spans="1:15" ht="14.25" customHeight="1" x14ac:dyDescent="0.3">
      <c r="A641" s="39"/>
      <c r="B641" s="39"/>
      <c r="C641" s="39"/>
      <c r="D641" s="40"/>
      <c r="E641" s="39"/>
      <c r="F641" s="39"/>
      <c r="G641" s="40"/>
      <c r="H641" s="40"/>
      <c r="I641" s="40"/>
      <c r="J641" s="37"/>
      <c r="K641" s="37"/>
      <c r="L641" s="37"/>
      <c r="M641" s="37"/>
      <c r="N641" s="37"/>
      <c r="O641" s="37"/>
    </row>
    <row r="642" spans="1:15" ht="14.25" customHeight="1" x14ac:dyDescent="0.3">
      <c r="A642" s="39"/>
      <c r="B642" s="39"/>
      <c r="C642" s="39"/>
      <c r="D642" s="40"/>
      <c r="E642" s="39"/>
      <c r="F642" s="39"/>
      <c r="G642" s="40"/>
      <c r="H642" s="40"/>
      <c r="I642" s="40"/>
      <c r="J642" s="37"/>
      <c r="K642" s="37"/>
      <c r="L642" s="37"/>
      <c r="M642" s="37"/>
      <c r="N642" s="37"/>
      <c r="O642" s="37"/>
    </row>
    <row r="643" spans="1:15" ht="14.25" customHeight="1" x14ac:dyDescent="0.3">
      <c r="A643" s="39"/>
      <c r="B643" s="39"/>
      <c r="C643" s="39"/>
      <c r="D643" s="40"/>
      <c r="E643" s="39"/>
      <c r="F643" s="39"/>
      <c r="G643" s="40"/>
      <c r="H643" s="40"/>
      <c r="I643" s="40"/>
      <c r="J643" s="37"/>
      <c r="K643" s="37"/>
      <c r="L643" s="37"/>
      <c r="M643" s="37"/>
      <c r="N643" s="37"/>
      <c r="O643" s="37"/>
    </row>
    <row r="644" spans="1:15" ht="14.25" customHeight="1" x14ac:dyDescent="0.3">
      <c r="A644" s="39"/>
      <c r="B644" s="39"/>
      <c r="C644" s="39"/>
      <c r="D644" s="40"/>
      <c r="E644" s="39"/>
      <c r="F644" s="39"/>
      <c r="G644" s="40"/>
      <c r="H644" s="40"/>
      <c r="I644" s="40"/>
      <c r="J644" s="37"/>
      <c r="K644" s="37"/>
      <c r="L644" s="37"/>
      <c r="M644" s="37"/>
      <c r="N644" s="37"/>
      <c r="O644" s="37"/>
    </row>
    <row r="645" spans="1:15" ht="14.25" customHeight="1" x14ac:dyDescent="0.3">
      <c r="A645" s="39"/>
      <c r="B645" s="39"/>
      <c r="C645" s="39"/>
      <c r="D645" s="40"/>
      <c r="E645" s="39"/>
      <c r="F645" s="39"/>
      <c r="G645" s="40"/>
      <c r="H645" s="40"/>
      <c r="I645" s="40"/>
      <c r="J645" s="37"/>
      <c r="K645" s="37"/>
      <c r="L645" s="37"/>
      <c r="M645" s="37"/>
      <c r="N645" s="37"/>
      <c r="O645" s="37"/>
    </row>
    <row r="646" spans="1:15" ht="14.25" customHeight="1" x14ac:dyDescent="0.3">
      <c r="A646" s="39"/>
      <c r="B646" s="39"/>
      <c r="C646" s="39"/>
      <c r="D646" s="40"/>
      <c r="E646" s="39"/>
      <c r="F646" s="39"/>
      <c r="G646" s="40"/>
      <c r="H646" s="40"/>
      <c r="I646" s="40"/>
      <c r="J646" s="37"/>
      <c r="K646" s="37"/>
      <c r="L646" s="37"/>
      <c r="M646" s="37"/>
      <c r="N646" s="37"/>
      <c r="O646" s="37"/>
    </row>
    <row r="647" spans="1:15" ht="14.25" customHeight="1" x14ac:dyDescent="0.3">
      <c r="A647" s="39"/>
      <c r="B647" s="39"/>
      <c r="C647" s="39"/>
      <c r="D647" s="40"/>
      <c r="E647" s="39"/>
      <c r="F647" s="39"/>
      <c r="G647" s="40"/>
      <c r="H647" s="40"/>
      <c r="I647" s="40"/>
      <c r="J647" s="37"/>
      <c r="K647" s="37"/>
      <c r="L647" s="37"/>
      <c r="M647" s="37"/>
      <c r="N647" s="37"/>
      <c r="O647" s="37"/>
    </row>
    <row r="648" spans="1:15" ht="14.25" customHeight="1" x14ac:dyDescent="0.3">
      <c r="A648" s="39"/>
      <c r="B648" s="39"/>
      <c r="C648" s="39"/>
      <c r="D648" s="40"/>
      <c r="E648" s="39"/>
      <c r="F648" s="39"/>
      <c r="G648" s="40"/>
      <c r="H648" s="40"/>
      <c r="I648" s="40"/>
      <c r="J648" s="37"/>
      <c r="K648" s="37"/>
      <c r="L648" s="37"/>
      <c r="M648" s="37"/>
      <c r="N648" s="37"/>
      <c r="O648" s="37"/>
    </row>
    <row r="649" spans="1:15" ht="14.25" customHeight="1" x14ac:dyDescent="0.3">
      <c r="A649" s="39"/>
      <c r="B649" s="39"/>
      <c r="C649" s="39"/>
      <c r="D649" s="40"/>
      <c r="E649" s="39"/>
      <c r="F649" s="39"/>
      <c r="G649" s="40"/>
      <c r="H649" s="40"/>
      <c r="I649" s="40"/>
      <c r="J649" s="37"/>
      <c r="K649" s="37"/>
      <c r="L649" s="37"/>
      <c r="M649" s="37"/>
      <c r="N649" s="37"/>
      <c r="O649" s="37"/>
    </row>
    <row r="650" spans="1:15" ht="14.25" customHeight="1" x14ac:dyDescent="0.3">
      <c r="A650" s="39"/>
      <c r="B650" s="39"/>
      <c r="C650" s="39"/>
      <c r="D650" s="40"/>
      <c r="E650" s="39"/>
      <c r="F650" s="39"/>
      <c r="G650" s="40"/>
      <c r="H650" s="40"/>
      <c r="I650" s="40"/>
      <c r="J650" s="37"/>
      <c r="K650" s="37"/>
      <c r="L650" s="37"/>
      <c r="M650" s="37"/>
      <c r="N650" s="37"/>
      <c r="O650" s="37"/>
    </row>
    <row r="651" spans="1:15" ht="14.25" customHeight="1" x14ac:dyDescent="0.3">
      <c r="A651" s="39"/>
      <c r="B651" s="39"/>
      <c r="C651" s="39"/>
      <c r="D651" s="40"/>
      <c r="E651" s="39"/>
      <c r="F651" s="39"/>
      <c r="G651" s="40"/>
      <c r="H651" s="40"/>
      <c r="I651" s="40"/>
      <c r="J651" s="37"/>
      <c r="K651" s="37"/>
      <c r="L651" s="37"/>
      <c r="M651" s="37"/>
      <c r="N651" s="37"/>
      <c r="O651" s="37"/>
    </row>
    <row r="652" spans="1:15" ht="14.25" customHeight="1" x14ac:dyDescent="0.3">
      <c r="A652" s="39"/>
      <c r="B652" s="39"/>
      <c r="C652" s="39"/>
      <c r="D652" s="40"/>
      <c r="E652" s="39"/>
      <c r="F652" s="39"/>
      <c r="G652" s="40"/>
      <c r="H652" s="40"/>
      <c r="I652" s="40"/>
      <c r="J652" s="37"/>
      <c r="K652" s="37"/>
      <c r="L652" s="37"/>
      <c r="M652" s="37"/>
      <c r="N652" s="37"/>
      <c r="O652" s="37"/>
    </row>
    <row r="653" spans="1:15" ht="14.25" customHeight="1" x14ac:dyDescent="0.3">
      <c r="A653" s="39"/>
      <c r="B653" s="39"/>
      <c r="C653" s="39"/>
      <c r="D653" s="40"/>
      <c r="E653" s="39"/>
      <c r="F653" s="39"/>
      <c r="G653" s="40"/>
      <c r="H653" s="40"/>
      <c r="I653" s="40"/>
      <c r="J653" s="37"/>
      <c r="K653" s="37"/>
      <c r="L653" s="37"/>
      <c r="M653" s="37"/>
      <c r="N653" s="37"/>
      <c r="O653" s="37"/>
    </row>
    <row r="654" spans="1:15" ht="14.25" customHeight="1" x14ac:dyDescent="0.3">
      <c r="A654" s="39"/>
      <c r="B654" s="39"/>
      <c r="C654" s="39"/>
      <c r="D654" s="40"/>
      <c r="E654" s="39"/>
      <c r="F654" s="39"/>
      <c r="G654" s="40"/>
      <c r="H654" s="40"/>
      <c r="I654" s="40"/>
      <c r="J654" s="37"/>
      <c r="K654" s="37"/>
      <c r="L654" s="37"/>
      <c r="M654" s="37"/>
      <c r="N654" s="37"/>
      <c r="O654" s="37"/>
    </row>
    <row r="655" spans="1:15" ht="14.25" customHeight="1" x14ac:dyDescent="0.3">
      <c r="A655" s="39"/>
      <c r="B655" s="39"/>
      <c r="C655" s="39"/>
      <c r="D655" s="40"/>
      <c r="E655" s="39"/>
      <c r="F655" s="39"/>
      <c r="G655" s="40"/>
      <c r="H655" s="40"/>
      <c r="I655" s="40"/>
      <c r="J655" s="37"/>
      <c r="K655" s="37"/>
      <c r="L655" s="37"/>
      <c r="M655" s="37"/>
      <c r="N655" s="37"/>
      <c r="O655" s="37"/>
    </row>
    <row r="656" spans="1:15" ht="14.25" customHeight="1" x14ac:dyDescent="0.3">
      <c r="A656" s="39"/>
      <c r="B656" s="39"/>
      <c r="C656" s="39"/>
      <c r="D656" s="40"/>
      <c r="E656" s="39"/>
      <c r="F656" s="39"/>
      <c r="G656" s="40"/>
      <c r="H656" s="40"/>
      <c r="I656" s="40"/>
      <c r="J656" s="37"/>
      <c r="K656" s="37"/>
      <c r="L656" s="37"/>
      <c r="M656" s="37"/>
      <c r="N656" s="37"/>
      <c r="O656" s="37"/>
    </row>
    <row r="657" spans="1:15" ht="14.25" customHeight="1" x14ac:dyDescent="0.3">
      <c r="A657" s="39"/>
      <c r="B657" s="39"/>
      <c r="C657" s="39"/>
      <c r="D657" s="40"/>
      <c r="E657" s="39"/>
      <c r="F657" s="39"/>
      <c r="G657" s="40"/>
      <c r="H657" s="40"/>
      <c r="I657" s="40"/>
      <c r="J657" s="37"/>
      <c r="K657" s="37"/>
      <c r="L657" s="37"/>
      <c r="M657" s="37"/>
      <c r="N657" s="37"/>
      <c r="O657" s="37"/>
    </row>
    <row r="658" spans="1:15" ht="14.25" customHeight="1" x14ac:dyDescent="0.3">
      <c r="A658" s="39"/>
      <c r="B658" s="39"/>
      <c r="C658" s="39"/>
      <c r="D658" s="40"/>
      <c r="E658" s="39"/>
      <c r="F658" s="39"/>
      <c r="G658" s="40"/>
      <c r="H658" s="40"/>
      <c r="I658" s="40"/>
      <c r="J658" s="37"/>
      <c r="K658" s="37"/>
      <c r="L658" s="37"/>
      <c r="M658" s="37"/>
      <c r="N658" s="37"/>
      <c r="O658" s="37"/>
    </row>
    <row r="659" spans="1:15" ht="14.25" customHeight="1" x14ac:dyDescent="0.3">
      <c r="A659" s="39"/>
      <c r="B659" s="39"/>
      <c r="C659" s="39"/>
      <c r="D659" s="40"/>
      <c r="E659" s="39"/>
      <c r="F659" s="39"/>
      <c r="G659" s="40"/>
      <c r="H659" s="40"/>
      <c r="I659" s="40"/>
      <c r="J659" s="37"/>
      <c r="K659" s="37"/>
      <c r="L659" s="37"/>
      <c r="M659" s="37"/>
      <c r="N659" s="37"/>
      <c r="O659" s="37"/>
    </row>
    <row r="660" spans="1:15" ht="14.25" customHeight="1" x14ac:dyDescent="0.3">
      <c r="A660" s="39"/>
      <c r="B660" s="39"/>
      <c r="C660" s="39"/>
      <c r="D660" s="40"/>
      <c r="E660" s="39"/>
      <c r="F660" s="39"/>
      <c r="G660" s="40"/>
      <c r="H660" s="40"/>
      <c r="I660" s="40"/>
      <c r="J660" s="37"/>
      <c r="K660" s="37"/>
      <c r="L660" s="37"/>
      <c r="M660" s="37"/>
      <c r="N660" s="37"/>
      <c r="O660" s="37"/>
    </row>
    <row r="661" spans="1:15" ht="14.25" customHeight="1" x14ac:dyDescent="0.3">
      <c r="A661" s="39"/>
      <c r="B661" s="39"/>
      <c r="C661" s="39"/>
      <c r="D661" s="40"/>
      <c r="E661" s="39"/>
      <c r="F661" s="39"/>
      <c r="G661" s="40"/>
      <c r="H661" s="40"/>
      <c r="I661" s="40"/>
      <c r="J661" s="37"/>
      <c r="K661" s="37"/>
      <c r="L661" s="37"/>
      <c r="M661" s="37"/>
      <c r="N661" s="37"/>
      <c r="O661" s="37"/>
    </row>
    <row r="662" spans="1:15" ht="14.25" customHeight="1" x14ac:dyDescent="0.3">
      <c r="A662" s="39"/>
      <c r="B662" s="39"/>
      <c r="C662" s="39"/>
      <c r="D662" s="40"/>
      <c r="E662" s="39"/>
      <c r="F662" s="39"/>
      <c r="G662" s="40"/>
      <c r="H662" s="40"/>
      <c r="I662" s="40"/>
      <c r="J662" s="37"/>
      <c r="K662" s="37"/>
      <c r="L662" s="37"/>
      <c r="M662" s="37"/>
      <c r="N662" s="37"/>
      <c r="O662" s="37"/>
    </row>
    <row r="663" spans="1:15" ht="14.25" customHeight="1" x14ac:dyDescent="0.3">
      <c r="A663" s="39"/>
      <c r="B663" s="39"/>
      <c r="C663" s="39"/>
      <c r="D663" s="40"/>
      <c r="E663" s="39"/>
      <c r="F663" s="39"/>
      <c r="G663" s="40"/>
      <c r="H663" s="40"/>
      <c r="I663" s="40"/>
      <c r="J663" s="37"/>
      <c r="K663" s="37"/>
      <c r="L663" s="37"/>
      <c r="M663" s="37"/>
      <c r="N663" s="37"/>
      <c r="O663" s="37"/>
    </row>
    <row r="664" spans="1:15" ht="14.25" customHeight="1" x14ac:dyDescent="0.3">
      <c r="A664" s="39"/>
      <c r="B664" s="39"/>
      <c r="C664" s="39"/>
      <c r="D664" s="40"/>
      <c r="E664" s="39"/>
      <c r="F664" s="39"/>
      <c r="G664" s="40"/>
      <c r="H664" s="40"/>
      <c r="I664" s="40"/>
      <c r="J664" s="37"/>
      <c r="K664" s="37"/>
      <c r="L664" s="37"/>
      <c r="M664" s="37"/>
      <c r="N664" s="37"/>
      <c r="O664" s="37"/>
    </row>
    <row r="665" spans="1:15" ht="14.25" customHeight="1" x14ac:dyDescent="0.3">
      <c r="A665" s="39"/>
      <c r="B665" s="39"/>
      <c r="C665" s="39"/>
      <c r="D665" s="40"/>
      <c r="E665" s="39"/>
      <c r="F665" s="39"/>
      <c r="G665" s="40"/>
      <c r="H665" s="40"/>
      <c r="I665" s="40"/>
      <c r="J665" s="37"/>
      <c r="K665" s="37"/>
      <c r="L665" s="37"/>
      <c r="M665" s="37"/>
      <c r="N665" s="37"/>
      <c r="O665" s="37"/>
    </row>
    <row r="666" spans="1:15" ht="14.25" customHeight="1" x14ac:dyDescent="0.3">
      <c r="A666" s="39"/>
      <c r="B666" s="39"/>
      <c r="C666" s="39"/>
      <c r="D666" s="40"/>
      <c r="E666" s="39"/>
      <c r="F666" s="39"/>
      <c r="G666" s="40"/>
      <c r="H666" s="40"/>
      <c r="I666" s="40"/>
      <c r="J666" s="37"/>
      <c r="K666" s="37"/>
      <c r="L666" s="37"/>
      <c r="M666" s="37"/>
      <c r="N666" s="37"/>
      <c r="O666" s="37"/>
    </row>
    <row r="667" spans="1:15" ht="14.25" customHeight="1" x14ac:dyDescent="0.3">
      <c r="A667" s="39"/>
      <c r="B667" s="39"/>
      <c r="C667" s="39"/>
      <c r="D667" s="40"/>
      <c r="E667" s="39"/>
      <c r="F667" s="39"/>
      <c r="G667" s="40"/>
      <c r="H667" s="40"/>
      <c r="I667" s="40"/>
      <c r="J667" s="37"/>
      <c r="K667" s="37"/>
      <c r="L667" s="37"/>
      <c r="M667" s="37"/>
      <c r="N667" s="37"/>
      <c r="O667" s="37"/>
    </row>
    <row r="668" spans="1:15" ht="14.25" customHeight="1" x14ac:dyDescent="0.3">
      <c r="A668" s="39"/>
      <c r="B668" s="39"/>
      <c r="C668" s="39"/>
      <c r="D668" s="40"/>
      <c r="E668" s="39"/>
      <c r="F668" s="39"/>
      <c r="G668" s="40"/>
      <c r="H668" s="40"/>
      <c r="I668" s="40"/>
      <c r="J668" s="37"/>
      <c r="K668" s="37"/>
      <c r="L668" s="37"/>
      <c r="M668" s="37"/>
      <c r="N668" s="37"/>
      <c r="O668" s="37"/>
    </row>
    <row r="669" spans="1:15" ht="14.25" customHeight="1" x14ac:dyDescent="0.3">
      <c r="A669" s="39"/>
      <c r="B669" s="39"/>
      <c r="C669" s="39"/>
      <c r="D669" s="40"/>
      <c r="E669" s="39"/>
      <c r="F669" s="39"/>
      <c r="G669" s="40"/>
      <c r="H669" s="40"/>
      <c r="I669" s="40"/>
      <c r="J669" s="37"/>
      <c r="K669" s="37"/>
      <c r="L669" s="37"/>
      <c r="M669" s="37"/>
      <c r="N669" s="37"/>
      <c r="O669" s="37"/>
    </row>
    <row r="670" spans="1:15" ht="14.25" customHeight="1" x14ac:dyDescent="0.3">
      <c r="A670" s="39"/>
      <c r="B670" s="39"/>
      <c r="C670" s="39"/>
      <c r="D670" s="40"/>
      <c r="E670" s="39"/>
      <c r="F670" s="39"/>
      <c r="G670" s="40"/>
      <c r="H670" s="40"/>
      <c r="I670" s="40"/>
      <c r="J670" s="37"/>
      <c r="K670" s="37"/>
      <c r="L670" s="37"/>
      <c r="M670" s="37"/>
      <c r="N670" s="37"/>
      <c r="O670" s="37"/>
    </row>
    <row r="671" spans="1:15" ht="14.25" customHeight="1" x14ac:dyDescent="0.3">
      <c r="A671" s="39"/>
      <c r="B671" s="39"/>
      <c r="C671" s="39"/>
      <c r="D671" s="40"/>
      <c r="E671" s="39"/>
      <c r="F671" s="39"/>
      <c r="G671" s="40"/>
      <c r="H671" s="40"/>
      <c r="I671" s="40"/>
      <c r="J671" s="37"/>
      <c r="K671" s="37"/>
      <c r="L671" s="37"/>
      <c r="M671" s="37"/>
      <c r="N671" s="37"/>
      <c r="O671" s="37"/>
    </row>
    <row r="672" spans="1:15" ht="14.25" customHeight="1" x14ac:dyDescent="0.3">
      <c r="A672" s="39"/>
      <c r="B672" s="39"/>
      <c r="C672" s="39"/>
      <c r="D672" s="40"/>
      <c r="E672" s="39"/>
      <c r="F672" s="39"/>
      <c r="G672" s="40"/>
      <c r="H672" s="40"/>
      <c r="I672" s="40"/>
      <c r="J672" s="37"/>
      <c r="K672" s="37"/>
      <c r="L672" s="37"/>
      <c r="M672" s="37"/>
      <c r="N672" s="37"/>
      <c r="O672" s="37"/>
    </row>
    <row r="673" spans="1:15" ht="14.25" customHeight="1" x14ac:dyDescent="0.3">
      <c r="A673" s="39"/>
      <c r="B673" s="39"/>
      <c r="C673" s="39"/>
      <c r="D673" s="40"/>
      <c r="E673" s="39"/>
      <c r="F673" s="39"/>
      <c r="G673" s="40"/>
      <c r="H673" s="40"/>
      <c r="I673" s="40"/>
      <c r="J673" s="37"/>
      <c r="K673" s="37"/>
      <c r="L673" s="37"/>
      <c r="M673" s="37"/>
      <c r="N673" s="37"/>
      <c r="O673" s="37"/>
    </row>
    <row r="674" spans="1:15" ht="14.25" customHeight="1" x14ac:dyDescent="0.3">
      <c r="A674" s="39"/>
      <c r="B674" s="39"/>
      <c r="C674" s="39"/>
      <c r="D674" s="40"/>
      <c r="E674" s="39"/>
      <c r="F674" s="39"/>
      <c r="G674" s="40"/>
      <c r="H674" s="40"/>
      <c r="I674" s="40"/>
      <c r="J674" s="37"/>
      <c r="K674" s="37"/>
      <c r="L674" s="37"/>
      <c r="M674" s="37"/>
      <c r="N674" s="37"/>
      <c r="O674" s="37"/>
    </row>
    <row r="675" spans="1:15" ht="14.25" customHeight="1" x14ac:dyDescent="0.3">
      <c r="A675" s="39"/>
      <c r="B675" s="39"/>
      <c r="C675" s="39"/>
      <c r="D675" s="40"/>
      <c r="E675" s="39"/>
      <c r="F675" s="39"/>
      <c r="G675" s="40"/>
      <c r="H675" s="40"/>
      <c r="I675" s="40"/>
      <c r="J675" s="37"/>
      <c r="K675" s="37"/>
      <c r="L675" s="37"/>
      <c r="M675" s="37"/>
      <c r="N675" s="37"/>
      <c r="O675" s="37"/>
    </row>
    <row r="676" spans="1:15" ht="14.25" customHeight="1" x14ac:dyDescent="0.3">
      <c r="A676" s="39"/>
      <c r="B676" s="39"/>
      <c r="C676" s="39"/>
      <c r="D676" s="40"/>
      <c r="E676" s="39"/>
      <c r="F676" s="39"/>
      <c r="G676" s="40"/>
      <c r="H676" s="40"/>
      <c r="I676" s="40"/>
      <c r="J676" s="37"/>
      <c r="K676" s="37"/>
      <c r="L676" s="37"/>
      <c r="M676" s="37"/>
      <c r="N676" s="37"/>
      <c r="O676" s="37"/>
    </row>
    <row r="677" spans="1:15" ht="14.25" customHeight="1" x14ac:dyDescent="0.3">
      <c r="A677" s="39"/>
      <c r="B677" s="39"/>
      <c r="C677" s="39"/>
      <c r="D677" s="40"/>
      <c r="E677" s="39"/>
      <c r="F677" s="39"/>
      <c r="G677" s="40"/>
      <c r="H677" s="40"/>
      <c r="I677" s="40"/>
      <c r="J677" s="37"/>
      <c r="K677" s="37"/>
      <c r="L677" s="37"/>
      <c r="M677" s="37"/>
      <c r="N677" s="37"/>
      <c r="O677" s="37"/>
    </row>
    <row r="678" spans="1:15" ht="14.25" customHeight="1" x14ac:dyDescent="0.3">
      <c r="A678" s="39"/>
      <c r="B678" s="39"/>
      <c r="C678" s="39"/>
      <c r="D678" s="40"/>
      <c r="E678" s="39"/>
      <c r="F678" s="39"/>
      <c r="G678" s="40"/>
      <c r="H678" s="40"/>
      <c r="I678" s="40"/>
      <c r="J678" s="37"/>
      <c r="K678" s="37"/>
      <c r="L678" s="37"/>
      <c r="M678" s="37"/>
      <c r="N678" s="37"/>
      <c r="O678" s="37"/>
    </row>
    <row r="679" spans="1:15" ht="14.25" customHeight="1" x14ac:dyDescent="0.3">
      <c r="A679" s="39"/>
      <c r="B679" s="39"/>
      <c r="C679" s="39"/>
      <c r="D679" s="40"/>
      <c r="E679" s="39"/>
      <c r="F679" s="39"/>
      <c r="G679" s="40"/>
      <c r="H679" s="40"/>
      <c r="I679" s="40"/>
      <c r="J679" s="37"/>
      <c r="K679" s="37"/>
      <c r="L679" s="37"/>
      <c r="M679" s="37"/>
      <c r="N679" s="37"/>
      <c r="O679" s="37"/>
    </row>
    <row r="680" spans="1:15" ht="14.25" customHeight="1" x14ac:dyDescent="0.3">
      <c r="A680" s="39"/>
      <c r="B680" s="39"/>
      <c r="C680" s="39"/>
      <c r="D680" s="40"/>
      <c r="E680" s="39"/>
      <c r="F680" s="39"/>
      <c r="G680" s="40"/>
      <c r="H680" s="40"/>
      <c r="I680" s="40"/>
      <c r="J680" s="37"/>
      <c r="K680" s="37"/>
      <c r="L680" s="37"/>
      <c r="M680" s="37"/>
      <c r="N680" s="37"/>
      <c r="O680" s="37"/>
    </row>
    <row r="681" spans="1:15" ht="14.25" customHeight="1" x14ac:dyDescent="0.3">
      <c r="A681" s="39"/>
      <c r="B681" s="39"/>
      <c r="C681" s="39"/>
      <c r="D681" s="40"/>
      <c r="E681" s="39"/>
      <c r="F681" s="39"/>
      <c r="G681" s="40"/>
      <c r="H681" s="40"/>
      <c r="I681" s="40"/>
      <c r="J681" s="37"/>
      <c r="K681" s="37"/>
      <c r="L681" s="37"/>
      <c r="M681" s="37"/>
      <c r="N681" s="37"/>
      <c r="O681" s="37"/>
    </row>
    <row r="682" spans="1:15" ht="14.25" customHeight="1" x14ac:dyDescent="0.3">
      <c r="A682" s="39"/>
      <c r="B682" s="39"/>
      <c r="C682" s="39"/>
      <c r="D682" s="40"/>
      <c r="E682" s="39"/>
      <c r="F682" s="39"/>
      <c r="G682" s="40"/>
      <c r="H682" s="40"/>
      <c r="I682" s="40"/>
      <c r="J682" s="37"/>
      <c r="K682" s="37"/>
      <c r="L682" s="37"/>
      <c r="M682" s="37"/>
      <c r="N682" s="37"/>
      <c r="O682" s="37"/>
    </row>
    <row r="683" spans="1:15" ht="14.25" customHeight="1" x14ac:dyDescent="0.3">
      <c r="A683" s="39"/>
      <c r="B683" s="39"/>
      <c r="C683" s="39"/>
      <c r="D683" s="40"/>
      <c r="E683" s="39"/>
      <c r="F683" s="39"/>
      <c r="G683" s="40"/>
      <c r="H683" s="40"/>
      <c r="I683" s="40"/>
      <c r="J683" s="37"/>
      <c r="K683" s="37"/>
      <c r="L683" s="37"/>
      <c r="M683" s="37"/>
      <c r="N683" s="37"/>
      <c r="O683" s="37"/>
    </row>
    <row r="684" spans="1:15" ht="14.25" customHeight="1" x14ac:dyDescent="0.3">
      <c r="A684" s="39"/>
      <c r="B684" s="39"/>
      <c r="C684" s="39"/>
      <c r="D684" s="40"/>
      <c r="E684" s="39"/>
      <c r="F684" s="39"/>
      <c r="G684" s="40"/>
      <c r="H684" s="40"/>
      <c r="I684" s="40"/>
      <c r="J684" s="37"/>
      <c r="K684" s="37"/>
      <c r="L684" s="37"/>
      <c r="M684" s="37"/>
      <c r="N684" s="37"/>
      <c r="O684" s="37"/>
    </row>
    <row r="685" spans="1:15" ht="14.25" customHeight="1" x14ac:dyDescent="0.3">
      <c r="A685" s="39"/>
      <c r="B685" s="39"/>
      <c r="C685" s="39"/>
      <c r="D685" s="40"/>
      <c r="E685" s="39"/>
      <c r="F685" s="39"/>
      <c r="G685" s="40"/>
      <c r="H685" s="40"/>
      <c r="I685" s="40"/>
      <c r="J685" s="37"/>
      <c r="K685" s="37"/>
      <c r="L685" s="37"/>
      <c r="M685" s="37"/>
      <c r="N685" s="37"/>
      <c r="O685" s="37"/>
    </row>
    <row r="686" spans="1:15" ht="14.25" customHeight="1" x14ac:dyDescent="0.3">
      <c r="A686" s="39"/>
      <c r="B686" s="39"/>
      <c r="C686" s="39"/>
      <c r="D686" s="40"/>
      <c r="E686" s="39"/>
      <c r="F686" s="39"/>
      <c r="G686" s="40"/>
      <c r="H686" s="40"/>
      <c r="I686" s="40"/>
      <c r="J686" s="37"/>
      <c r="K686" s="37"/>
      <c r="L686" s="37"/>
      <c r="M686" s="37"/>
      <c r="N686" s="37"/>
      <c r="O686" s="37"/>
    </row>
    <row r="687" spans="1:15" ht="14.25" customHeight="1" x14ac:dyDescent="0.3">
      <c r="A687" s="39"/>
      <c r="B687" s="39"/>
      <c r="C687" s="39"/>
      <c r="D687" s="40"/>
      <c r="E687" s="39"/>
      <c r="F687" s="39"/>
      <c r="G687" s="40"/>
      <c r="H687" s="40"/>
      <c r="I687" s="40"/>
      <c r="J687" s="37"/>
      <c r="K687" s="37"/>
      <c r="L687" s="37"/>
      <c r="M687" s="37"/>
      <c r="N687" s="37"/>
      <c r="O687" s="37"/>
    </row>
    <row r="688" spans="1:15" ht="14.25" customHeight="1" x14ac:dyDescent="0.3">
      <c r="A688" s="39"/>
      <c r="B688" s="39"/>
      <c r="C688" s="39"/>
      <c r="D688" s="40"/>
      <c r="E688" s="39"/>
      <c r="F688" s="39"/>
      <c r="G688" s="40"/>
      <c r="H688" s="40"/>
      <c r="I688" s="40"/>
      <c r="J688" s="37"/>
      <c r="K688" s="37"/>
      <c r="L688" s="37"/>
      <c r="M688" s="37"/>
      <c r="N688" s="37"/>
      <c r="O688" s="37"/>
    </row>
    <row r="689" spans="1:15" ht="14.25" customHeight="1" x14ac:dyDescent="0.3">
      <c r="A689" s="39"/>
      <c r="B689" s="39"/>
      <c r="C689" s="39"/>
      <c r="D689" s="40"/>
      <c r="E689" s="39"/>
      <c r="F689" s="39"/>
      <c r="G689" s="40"/>
      <c r="H689" s="40"/>
      <c r="I689" s="40"/>
      <c r="J689" s="37"/>
      <c r="K689" s="37"/>
      <c r="L689" s="37"/>
      <c r="M689" s="37"/>
      <c r="N689" s="37"/>
      <c r="O689" s="37"/>
    </row>
    <row r="690" spans="1:15" ht="14.25" customHeight="1" x14ac:dyDescent="0.3">
      <c r="A690" s="39"/>
      <c r="B690" s="39"/>
      <c r="C690" s="39"/>
      <c r="D690" s="40"/>
      <c r="E690" s="39"/>
      <c r="F690" s="39"/>
      <c r="G690" s="40"/>
      <c r="H690" s="40"/>
      <c r="I690" s="40"/>
      <c r="J690" s="37"/>
      <c r="K690" s="37"/>
      <c r="L690" s="37"/>
      <c r="M690" s="37"/>
      <c r="N690" s="37"/>
      <c r="O690" s="37"/>
    </row>
    <row r="691" spans="1:15" ht="14.25" customHeight="1" x14ac:dyDescent="0.3">
      <c r="A691" s="39"/>
      <c r="B691" s="39"/>
      <c r="C691" s="39"/>
      <c r="D691" s="40"/>
      <c r="E691" s="39"/>
      <c r="F691" s="39"/>
      <c r="G691" s="40"/>
      <c r="H691" s="40"/>
      <c r="I691" s="40"/>
      <c r="J691" s="37"/>
      <c r="K691" s="37"/>
      <c r="L691" s="37"/>
      <c r="M691" s="37"/>
      <c r="N691" s="37"/>
      <c r="O691" s="37"/>
    </row>
    <row r="692" spans="1:15" ht="14.25" customHeight="1" x14ac:dyDescent="0.3">
      <c r="A692" s="39"/>
      <c r="B692" s="39"/>
      <c r="C692" s="39"/>
      <c r="D692" s="40"/>
      <c r="E692" s="39"/>
      <c r="F692" s="39"/>
      <c r="G692" s="40"/>
      <c r="H692" s="40"/>
      <c r="I692" s="40"/>
      <c r="J692" s="37"/>
      <c r="K692" s="37"/>
      <c r="L692" s="37"/>
      <c r="M692" s="37"/>
      <c r="N692" s="37"/>
      <c r="O692" s="37"/>
    </row>
    <row r="693" spans="1:15" ht="14.25" customHeight="1" x14ac:dyDescent="0.3">
      <c r="A693" s="39"/>
      <c r="B693" s="39"/>
      <c r="C693" s="39"/>
      <c r="D693" s="40"/>
      <c r="E693" s="39"/>
      <c r="F693" s="39"/>
      <c r="G693" s="40"/>
      <c r="H693" s="40"/>
      <c r="I693" s="40"/>
      <c r="J693" s="37"/>
      <c r="K693" s="37"/>
      <c r="L693" s="37"/>
      <c r="M693" s="37"/>
      <c r="N693" s="37"/>
      <c r="O693" s="37"/>
    </row>
    <row r="694" spans="1:15" ht="14.25" customHeight="1" x14ac:dyDescent="0.3">
      <c r="A694" s="39"/>
      <c r="B694" s="39"/>
      <c r="C694" s="39"/>
      <c r="D694" s="40"/>
      <c r="E694" s="39"/>
      <c r="F694" s="39"/>
      <c r="G694" s="40"/>
      <c r="H694" s="40"/>
      <c r="I694" s="40"/>
      <c r="J694" s="37"/>
      <c r="K694" s="37"/>
      <c r="L694" s="37"/>
      <c r="M694" s="37"/>
      <c r="N694" s="37"/>
      <c r="O694" s="37"/>
    </row>
    <row r="695" spans="1:15" ht="14.25" customHeight="1" x14ac:dyDescent="0.3">
      <c r="A695" s="39"/>
      <c r="B695" s="39"/>
      <c r="C695" s="39"/>
      <c r="D695" s="40"/>
      <c r="E695" s="39"/>
      <c r="F695" s="39"/>
      <c r="G695" s="40"/>
      <c r="H695" s="40"/>
      <c r="I695" s="40"/>
      <c r="J695" s="37"/>
      <c r="K695" s="37"/>
      <c r="L695" s="37"/>
      <c r="M695" s="37"/>
      <c r="N695" s="37"/>
      <c r="O695" s="37"/>
    </row>
    <row r="696" spans="1:15" ht="14.25" customHeight="1" x14ac:dyDescent="0.3">
      <c r="A696" s="39"/>
      <c r="B696" s="39"/>
      <c r="C696" s="39"/>
      <c r="D696" s="40"/>
      <c r="E696" s="39"/>
      <c r="F696" s="39"/>
      <c r="G696" s="40"/>
      <c r="H696" s="40"/>
      <c r="I696" s="40"/>
      <c r="J696" s="37"/>
      <c r="K696" s="37"/>
      <c r="L696" s="37"/>
      <c r="M696" s="37"/>
      <c r="N696" s="37"/>
      <c r="O696" s="37"/>
    </row>
    <row r="697" spans="1:15" ht="14.25" customHeight="1" x14ac:dyDescent="0.3">
      <c r="A697" s="39"/>
      <c r="B697" s="39"/>
      <c r="C697" s="39"/>
      <c r="D697" s="40"/>
      <c r="E697" s="39"/>
      <c r="F697" s="39"/>
      <c r="G697" s="40"/>
      <c r="H697" s="40"/>
      <c r="I697" s="40"/>
      <c r="J697" s="37"/>
      <c r="K697" s="37"/>
      <c r="L697" s="37"/>
      <c r="M697" s="37"/>
      <c r="N697" s="37"/>
      <c r="O697" s="37"/>
    </row>
    <row r="698" spans="1:15" ht="14.25" customHeight="1" x14ac:dyDescent="0.3">
      <c r="A698" s="39"/>
      <c r="B698" s="39"/>
      <c r="C698" s="39"/>
      <c r="D698" s="40"/>
      <c r="E698" s="39"/>
      <c r="F698" s="39"/>
      <c r="G698" s="40"/>
      <c r="H698" s="40"/>
      <c r="I698" s="40"/>
      <c r="J698" s="37"/>
      <c r="K698" s="37"/>
      <c r="L698" s="37"/>
      <c r="M698" s="37"/>
      <c r="N698" s="37"/>
      <c r="O698" s="37"/>
    </row>
    <row r="699" spans="1:15" ht="14.25" customHeight="1" x14ac:dyDescent="0.3">
      <c r="A699" s="39"/>
      <c r="B699" s="39"/>
      <c r="C699" s="39"/>
      <c r="D699" s="40"/>
      <c r="E699" s="39"/>
      <c r="F699" s="39"/>
      <c r="G699" s="40"/>
      <c r="H699" s="40"/>
      <c r="I699" s="40"/>
      <c r="J699" s="37"/>
      <c r="K699" s="37"/>
      <c r="L699" s="37"/>
      <c r="M699" s="37"/>
      <c r="N699" s="37"/>
      <c r="O699" s="37"/>
    </row>
    <row r="700" spans="1:15" ht="14.25" customHeight="1" x14ac:dyDescent="0.3">
      <c r="A700" s="39"/>
      <c r="B700" s="39"/>
      <c r="C700" s="39"/>
      <c r="D700" s="40"/>
      <c r="E700" s="39"/>
      <c r="F700" s="39"/>
      <c r="G700" s="40"/>
      <c r="H700" s="40"/>
      <c r="I700" s="40"/>
      <c r="J700" s="37"/>
      <c r="K700" s="37"/>
      <c r="L700" s="37"/>
      <c r="M700" s="37"/>
      <c r="N700" s="37"/>
      <c r="O700" s="37"/>
    </row>
    <row r="701" spans="1:15" ht="14.25" customHeight="1" x14ac:dyDescent="0.3">
      <c r="A701" s="39"/>
      <c r="B701" s="39"/>
      <c r="C701" s="39"/>
      <c r="D701" s="40"/>
      <c r="E701" s="39"/>
      <c r="F701" s="39"/>
      <c r="G701" s="40"/>
      <c r="H701" s="40"/>
      <c r="I701" s="40"/>
      <c r="J701" s="37"/>
      <c r="K701" s="37"/>
      <c r="L701" s="37"/>
      <c r="M701" s="37"/>
      <c r="N701" s="37"/>
      <c r="O701" s="37"/>
    </row>
    <row r="702" spans="1:15" ht="14.25" customHeight="1" x14ac:dyDescent="0.3">
      <c r="A702" s="39"/>
      <c r="B702" s="39"/>
      <c r="C702" s="39"/>
      <c r="D702" s="40"/>
      <c r="E702" s="39"/>
      <c r="F702" s="39"/>
      <c r="G702" s="40"/>
      <c r="H702" s="40"/>
      <c r="I702" s="40"/>
      <c r="J702" s="37"/>
      <c r="K702" s="37"/>
      <c r="L702" s="37"/>
      <c r="M702" s="37"/>
      <c r="N702" s="37"/>
      <c r="O702" s="37"/>
    </row>
    <row r="703" spans="1:15" ht="14.25" customHeight="1" x14ac:dyDescent="0.3">
      <c r="A703" s="39"/>
      <c r="B703" s="39"/>
      <c r="C703" s="39"/>
      <c r="D703" s="40"/>
      <c r="E703" s="39"/>
      <c r="F703" s="39"/>
      <c r="G703" s="40"/>
      <c r="H703" s="40"/>
      <c r="I703" s="40"/>
      <c r="J703" s="37"/>
      <c r="K703" s="37"/>
      <c r="L703" s="37"/>
      <c r="M703" s="37"/>
      <c r="N703" s="37"/>
      <c r="O703" s="37"/>
    </row>
    <row r="704" spans="1:15" ht="14.25" customHeight="1" x14ac:dyDescent="0.3">
      <c r="A704" s="39"/>
      <c r="B704" s="39"/>
      <c r="C704" s="39"/>
      <c r="D704" s="40"/>
      <c r="E704" s="39"/>
      <c r="F704" s="39"/>
      <c r="G704" s="40"/>
      <c r="H704" s="40"/>
      <c r="I704" s="40"/>
      <c r="J704" s="37"/>
      <c r="K704" s="37"/>
      <c r="L704" s="37"/>
      <c r="M704" s="37"/>
      <c r="N704" s="37"/>
      <c r="O704" s="37"/>
    </row>
    <row r="705" spans="1:15" ht="14.25" customHeight="1" x14ac:dyDescent="0.3">
      <c r="A705" s="39"/>
      <c r="B705" s="39"/>
      <c r="C705" s="39"/>
      <c r="D705" s="40"/>
      <c r="E705" s="39"/>
      <c r="F705" s="39"/>
      <c r="G705" s="40"/>
      <c r="H705" s="40"/>
      <c r="I705" s="40"/>
      <c r="J705" s="37"/>
      <c r="K705" s="37"/>
      <c r="L705" s="37"/>
      <c r="M705" s="37"/>
      <c r="N705" s="37"/>
      <c r="O705" s="37"/>
    </row>
    <row r="706" spans="1:15" ht="14.25" customHeight="1" x14ac:dyDescent="0.3">
      <c r="A706" s="39"/>
      <c r="B706" s="39"/>
      <c r="C706" s="39"/>
      <c r="D706" s="40"/>
      <c r="E706" s="39"/>
      <c r="F706" s="39"/>
      <c r="G706" s="40"/>
      <c r="H706" s="40"/>
      <c r="I706" s="40"/>
      <c r="J706" s="37"/>
      <c r="K706" s="37"/>
      <c r="L706" s="37"/>
      <c r="M706" s="37"/>
      <c r="N706" s="37"/>
      <c r="O706" s="37"/>
    </row>
    <row r="707" spans="1:15" ht="14.25" customHeight="1" x14ac:dyDescent="0.3">
      <c r="A707" s="39"/>
      <c r="B707" s="39"/>
      <c r="C707" s="39"/>
      <c r="D707" s="40"/>
      <c r="E707" s="39"/>
      <c r="F707" s="39"/>
      <c r="G707" s="40"/>
      <c r="H707" s="40"/>
      <c r="I707" s="40"/>
      <c r="J707" s="37"/>
      <c r="K707" s="37"/>
      <c r="L707" s="37"/>
      <c r="M707" s="37"/>
      <c r="N707" s="37"/>
      <c r="O707" s="37"/>
    </row>
    <row r="708" spans="1:15" ht="14.25" customHeight="1" x14ac:dyDescent="0.3">
      <c r="A708" s="39"/>
      <c r="B708" s="39"/>
      <c r="C708" s="39"/>
      <c r="D708" s="40"/>
      <c r="E708" s="39"/>
      <c r="F708" s="39"/>
      <c r="G708" s="40"/>
      <c r="H708" s="40"/>
      <c r="I708" s="40"/>
      <c r="J708" s="37"/>
      <c r="K708" s="37"/>
      <c r="L708" s="37"/>
      <c r="M708" s="37"/>
      <c r="N708" s="37"/>
      <c r="O708" s="37"/>
    </row>
    <row r="709" spans="1:15" ht="14.25" customHeight="1" x14ac:dyDescent="0.3">
      <c r="A709" s="39"/>
      <c r="B709" s="39"/>
      <c r="C709" s="39"/>
      <c r="D709" s="40"/>
      <c r="E709" s="39"/>
      <c r="F709" s="39"/>
      <c r="G709" s="40"/>
      <c r="H709" s="40"/>
      <c r="I709" s="40"/>
      <c r="J709" s="37"/>
      <c r="K709" s="37"/>
      <c r="L709" s="37"/>
      <c r="M709" s="37"/>
      <c r="N709" s="37"/>
      <c r="O709" s="37"/>
    </row>
    <row r="710" spans="1:15" ht="14.25" customHeight="1" x14ac:dyDescent="0.3">
      <c r="A710" s="39"/>
      <c r="B710" s="39"/>
      <c r="C710" s="39"/>
      <c r="D710" s="40"/>
      <c r="E710" s="39"/>
      <c r="F710" s="39"/>
      <c r="G710" s="40"/>
      <c r="H710" s="40"/>
      <c r="I710" s="40"/>
      <c r="J710" s="37"/>
      <c r="K710" s="37"/>
      <c r="L710" s="37"/>
      <c r="M710" s="37"/>
      <c r="N710" s="37"/>
      <c r="O710" s="37"/>
    </row>
    <row r="711" spans="1:15" ht="14.25" customHeight="1" x14ac:dyDescent="0.3">
      <c r="A711" s="39"/>
      <c r="B711" s="39"/>
      <c r="C711" s="39"/>
      <c r="D711" s="40"/>
      <c r="E711" s="39"/>
      <c r="F711" s="39"/>
      <c r="G711" s="40"/>
      <c r="H711" s="40"/>
      <c r="I711" s="40"/>
      <c r="J711" s="37"/>
      <c r="K711" s="37"/>
      <c r="L711" s="37"/>
      <c r="M711" s="37"/>
      <c r="N711" s="37"/>
      <c r="O711" s="37"/>
    </row>
    <row r="712" spans="1:15" ht="14.25" customHeight="1" x14ac:dyDescent="0.3">
      <c r="A712" s="39"/>
      <c r="B712" s="39"/>
      <c r="C712" s="39"/>
      <c r="D712" s="40"/>
      <c r="E712" s="39"/>
      <c r="F712" s="39"/>
      <c r="G712" s="40"/>
      <c r="H712" s="40"/>
      <c r="I712" s="40"/>
      <c r="J712" s="37"/>
      <c r="K712" s="37"/>
      <c r="L712" s="37"/>
      <c r="M712" s="37"/>
      <c r="N712" s="37"/>
      <c r="O712" s="37"/>
    </row>
    <row r="713" spans="1:15" ht="14.25" customHeight="1" x14ac:dyDescent="0.3">
      <c r="A713" s="39"/>
      <c r="B713" s="39"/>
      <c r="C713" s="39"/>
      <c r="D713" s="40"/>
      <c r="E713" s="39"/>
      <c r="F713" s="39"/>
      <c r="G713" s="40"/>
      <c r="H713" s="40"/>
      <c r="I713" s="40"/>
      <c r="J713" s="37"/>
      <c r="K713" s="37"/>
      <c r="L713" s="37"/>
      <c r="M713" s="37"/>
      <c r="N713" s="37"/>
      <c r="O713" s="37"/>
    </row>
    <row r="714" spans="1:15" ht="14.25" customHeight="1" x14ac:dyDescent="0.3">
      <c r="A714" s="39"/>
      <c r="B714" s="39"/>
      <c r="C714" s="39"/>
      <c r="D714" s="40"/>
      <c r="E714" s="39"/>
      <c r="F714" s="39"/>
      <c r="G714" s="40"/>
      <c r="H714" s="40"/>
      <c r="I714" s="40"/>
      <c r="J714" s="37"/>
      <c r="K714" s="37"/>
      <c r="L714" s="37"/>
      <c r="M714" s="37"/>
      <c r="N714" s="37"/>
      <c r="O714" s="37"/>
    </row>
    <row r="715" spans="1:15" ht="14.25" customHeight="1" x14ac:dyDescent="0.3">
      <c r="A715" s="39"/>
      <c r="B715" s="39"/>
      <c r="C715" s="39"/>
      <c r="D715" s="40"/>
      <c r="E715" s="39"/>
      <c r="F715" s="39"/>
      <c r="G715" s="40"/>
      <c r="H715" s="40"/>
      <c r="I715" s="40"/>
      <c r="J715" s="37"/>
      <c r="K715" s="37"/>
      <c r="L715" s="37"/>
      <c r="M715" s="37"/>
      <c r="N715" s="37"/>
      <c r="O715" s="37"/>
    </row>
    <row r="716" spans="1:15" ht="14.25" customHeight="1" x14ac:dyDescent="0.3">
      <c r="A716" s="39"/>
      <c r="B716" s="39"/>
      <c r="C716" s="39"/>
      <c r="D716" s="40"/>
      <c r="E716" s="39"/>
      <c r="F716" s="39"/>
      <c r="G716" s="40"/>
      <c r="H716" s="40"/>
      <c r="I716" s="40"/>
      <c r="J716" s="37"/>
      <c r="K716" s="37"/>
      <c r="L716" s="37"/>
      <c r="M716" s="37"/>
      <c r="N716" s="37"/>
      <c r="O716" s="37"/>
    </row>
    <row r="717" spans="1:15" ht="14.25" customHeight="1" x14ac:dyDescent="0.3">
      <c r="A717" s="39"/>
      <c r="B717" s="39"/>
      <c r="C717" s="39"/>
      <c r="D717" s="40"/>
      <c r="E717" s="39"/>
      <c r="F717" s="39"/>
      <c r="G717" s="40"/>
      <c r="H717" s="40"/>
      <c r="I717" s="40"/>
      <c r="J717" s="37"/>
      <c r="K717" s="37"/>
      <c r="L717" s="37"/>
      <c r="M717" s="37"/>
      <c r="N717" s="37"/>
      <c r="O717" s="37"/>
    </row>
    <row r="718" spans="1:15" ht="14.25" customHeight="1" x14ac:dyDescent="0.3">
      <c r="A718" s="39"/>
      <c r="B718" s="39"/>
      <c r="C718" s="39"/>
      <c r="D718" s="40"/>
      <c r="E718" s="39"/>
      <c r="F718" s="39"/>
      <c r="G718" s="40"/>
      <c r="H718" s="40"/>
      <c r="I718" s="40"/>
      <c r="J718" s="37"/>
      <c r="K718" s="37"/>
      <c r="L718" s="37"/>
      <c r="M718" s="37"/>
      <c r="N718" s="37"/>
      <c r="O718" s="37"/>
    </row>
    <row r="719" spans="1:15" ht="14.25" customHeight="1" x14ac:dyDescent="0.3">
      <c r="A719" s="39"/>
      <c r="B719" s="39"/>
      <c r="C719" s="39"/>
      <c r="D719" s="40"/>
      <c r="E719" s="39"/>
      <c r="F719" s="39"/>
      <c r="G719" s="40"/>
      <c r="H719" s="40"/>
      <c r="I719" s="40"/>
      <c r="J719" s="37"/>
      <c r="K719" s="37"/>
      <c r="L719" s="37"/>
      <c r="M719" s="37"/>
      <c r="N719" s="37"/>
      <c r="O719" s="37"/>
    </row>
    <row r="720" spans="1:15" ht="14.25" customHeight="1" x14ac:dyDescent="0.3">
      <c r="A720" s="39"/>
      <c r="B720" s="39"/>
      <c r="C720" s="39"/>
      <c r="D720" s="40"/>
      <c r="E720" s="39"/>
      <c r="F720" s="39"/>
      <c r="G720" s="40"/>
      <c r="H720" s="40"/>
      <c r="I720" s="40"/>
      <c r="J720" s="37"/>
      <c r="K720" s="37"/>
      <c r="L720" s="37"/>
      <c r="M720" s="37"/>
      <c r="N720" s="37"/>
      <c r="O720" s="37"/>
    </row>
    <row r="721" spans="1:15" ht="14.25" customHeight="1" x14ac:dyDescent="0.3">
      <c r="A721" s="39"/>
      <c r="B721" s="39"/>
      <c r="C721" s="39"/>
      <c r="D721" s="40"/>
      <c r="E721" s="39"/>
      <c r="F721" s="39"/>
      <c r="G721" s="40"/>
      <c r="H721" s="40"/>
      <c r="I721" s="40"/>
      <c r="J721" s="37"/>
      <c r="K721" s="37"/>
      <c r="L721" s="37"/>
      <c r="M721" s="37"/>
      <c r="N721" s="37"/>
      <c r="O721" s="37"/>
    </row>
    <row r="722" spans="1:15" ht="14.25" customHeight="1" x14ac:dyDescent="0.3">
      <c r="A722" s="39"/>
      <c r="B722" s="39"/>
      <c r="C722" s="39"/>
      <c r="D722" s="40"/>
      <c r="E722" s="39"/>
      <c r="F722" s="39"/>
      <c r="G722" s="40"/>
      <c r="H722" s="40"/>
      <c r="I722" s="40"/>
      <c r="J722" s="37"/>
      <c r="K722" s="37"/>
      <c r="L722" s="37"/>
      <c r="M722" s="37"/>
      <c r="N722" s="37"/>
      <c r="O722" s="37"/>
    </row>
    <row r="723" spans="1:15" ht="14.25" customHeight="1" x14ac:dyDescent="0.3">
      <c r="A723" s="39"/>
      <c r="B723" s="39"/>
      <c r="C723" s="39"/>
      <c r="D723" s="40"/>
      <c r="E723" s="39"/>
      <c r="F723" s="39"/>
      <c r="G723" s="40"/>
      <c r="H723" s="40"/>
      <c r="I723" s="40"/>
      <c r="J723" s="37"/>
      <c r="K723" s="37"/>
      <c r="L723" s="37"/>
      <c r="M723" s="37"/>
      <c r="N723" s="37"/>
      <c r="O723" s="37"/>
    </row>
    <row r="724" spans="1:15" ht="14.25" customHeight="1" x14ac:dyDescent="0.3">
      <c r="A724" s="39"/>
      <c r="B724" s="39"/>
      <c r="C724" s="39"/>
      <c r="D724" s="40"/>
      <c r="E724" s="39"/>
      <c r="F724" s="39"/>
      <c r="G724" s="40"/>
      <c r="H724" s="40"/>
      <c r="I724" s="40"/>
      <c r="J724" s="37"/>
      <c r="K724" s="37"/>
      <c r="L724" s="37"/>
      <c r="M724" s="37"/>
      <c r="N724" s="37"/>
      <c r="O724" s="37"/>
    </row>
    <row r="725" spans="1:15" ht="14.25" customHeight="1" x14ac:dyDescent="0.3">
      <c r="A725" s="39"/>
      <c r="B725" s="39"/>
      <c r="C725" s="39"/>
      <c r="D725" s="40"/>
      <c r="E725" s="39"/>
      <c r="F725" s="39"/>
      <c r="G725" s="40"/>
      <c r="H725" s="40"/>
      <c r="I725" s="40"/>
      <c r="J725" s="37"/>
      <c r="K725" s="37"/>
      <c r="L725" s="37"/>
      <c r="M725" s="37"/>
      <c r="N725" s="37"/>
      <c r="O725" s="37"/>
    </row>
    <row r="726" spans="1:15" ht="14.25" customHeight="1" x14ac:dyDescent="0.3">
      <c r="A726" s="39"/>
      <c r="B726" s="39"/>
      <c r="C726" s="39"/>
      <c r="D726" s="40"/>
      <c r="E726" s="39"/>
      <c r="F726" s="39"/>
      <c r="G726" s="40"/>
      <c r="H726" s="40"/>
      <c r="I726" s="40"/>
      <c r="J726" s="37"/>
      <c r="K726" s="37"/>
      <c r="L726" s="37"/>
      <c r="M726" s="37"/>
      <c r="N726" s="37"/>
      <c r="O726" s="37"/>
    </row>
    <row r="727" spans="1:15" ht="14.25" customHeight="1" x14ac:dyDescent="0.3">
      <c r="A727" s="39"/>
      <c r="B727" s="39"/>
      <c r="C727" s="39"/>
      <c r="D727" s="40"/>
      <c r="E727" s="39"/>
      <c r="F727" s="39"/>
      <c r="G727" s="40"/>
      <c r="H727" s="40"/>
      <c r="I727" s="40"/>
      <c r="J727" s="37"/>
      <c r="K727" s="37"/>
      <c r="L727" s="37"/>
      <c r="M727" s="37"/>
      <c r="N727" s="37"/>
      <c r="O727" s="37"/>
    </row>
    <row r="728" spans="1:15" ht="14.25" customHeight="1" x14ac:dyDescent="0.3">
      <c r="A728" s="39"/>
      <c r="B728" s="39"/>
      <c r="C728" s="39"/>
      <c r="D728" s="40"/>
      <c r="E728" s="39"/>
      <c r="F728" s="39"/>
      <c r="G728" s="40"/>
      <c r="H728" s="40"/>
      <c r="I728" s="40"/>
      <c r="J728" s="37"/>
      <c r="K728" s="37"/>
      <c r="L728" s="37"/>
      <c r="M728" s="37"/>
      <c r="N728" s="37"/>
      <c r="O728" s="37"/>
    </row>
    <row r="729" spans="1:15" ht="14.25" customHeight="1" x14ac:dyDescent="0.3">
      <c r="A729" s="39"/>
      <c r="B729" s="39"/>
      <c r="C729" s="39"/>
      <c r="D729" s="40"/>
      <c r="E729" s="39"/>
      <c r="F729" s="39"/>
      <c r="G729" s="40"/>
      <c r="H729" s="40"/>
      <c r="I729" s="40"/>
      <c r="J729" s="37"/>
      <c r="K729" s="37"/>
      <c r="L729" s="37"/>
      <c r="M729" s="37"/>
      <c r="N729" s="37"/>
      <c r="O729" s="37"/>
    </row>
    <row r="730" spans="1:15" ht="14.25" customHeight="1" x14ac:dyDescent="0.3">
      <c r="A730" s="39"/>
      <c r="B730" s="39"/>
      <c r="C730" s="39"/>
      <c r="D730" s="40"/>
      <c r="E730" s="39"/>
      <c r="F730" s="39"/>
      <c r="G730" s="40"/>
      <c r="H730" s="40"/>
      <c r="I730" s="40"/>
      <c r="J730" s="37"/>
      <c r="K730" s="37"/>
      <c r="L730" s="37"/>
      <c r="M730" s="37"/>
      <c r="N730" s="37"/>
      <c r="O730" s="37"/>
    </row>
    <row r="731" spans="1:15" ht="14.25" customHeight="1" x14ac:dyDescent="0.3">
      <c r="A731" s="39"/>
      <c r="B731" s="39"/>
      <c r="C731" s="39"/>
      <c r="D731" s="40"/>
      <c r="E731" s="39"/>
      <c r="F731" s="39"/>
      <c r="G731" s="40"/>
      <c r="H731" s="40"/>
      <c r="I731" s="40"/>
      <c r="J731" s="37"/>
      <c r="K731" s="37"/>
      <c r="L731" s="37"/>
      <c r="M731" s="37"/>
      <c r="N731" s="37"/>
      <c r="O731" s="37"/>
    </row>
    <row r="732" spans="1:15" ht="14.25" customHeight="1" x14ac:dyDescent="0.3">
      <c r="A732" s="39"/>
      <c r="B732" s="39"/>
      <c r="C732" s="39"/>
      <c r="D732" s="40"/>
      <c r="E732" s="39"/>
      <c r="F732" s="39"/>
      <c r="G732" s="40"/>
      <c r="H732" s="40"/>
      <c r="I732" s="40"/>
      <c r="J732" s="37"/>
      <c r="K732" s="37"/>
      <c r="L732" s="37"/>
      <c r="M732" s="37"/>
      <c r="N732" s="37"/>
      <c r="O732" s="37"/>
    </row>
    <row r="733" spans="1:15" ht="14.25" customHeight="1" x14ac:dyDescent="0.3">
      <c r="A733" s="39"/>
      <c r="B733" s="39"/>
      <c r="C733" s="39"/>
      <c r="D733" s="40"/>
      <c r="E733" s="39"/>
      <c r="F733" s="39"/>
      <c r="G733" s="40"/>
      <c r="H733" s="40"/>
      <c r="I733" s="40"/>
      <c r="J733" s="37"/>
      <c r="K733" s="37"/>
      <c r="L733" s="37"/>
      <c r="M733" s="37"/>
      <c r="N733" s="37"/>
      <c r="O733" s="37"/>
    </row>
    <row r="734" spans="1:15" ht="14.25" customHeight="1" x14ac:dyDescent="0.3">
      <c r="A734" s="39"/>
      <c r="B734" s="39"/>
      <c r="C734" s="39"/>
      <c r="D734" s="40"/>
      <c r="E734" s="39"/>
      <c r="F734" s="39"/>
      <c r="G734" s="40"/>
      <c r="H734" s="40"/>
      <c r="I734" s="40"/>
      <c r="J734" s="37"/>
      <c r="K734" s="37"/>
      <c r="L734" s="37"/>
      <c r="M734" s="37"/>
      <c r="N734" s="37"/>
      <c r="O734" s="37"/>
    </row>
    <row r="735" spans="1:15" ht="14.25" customHeight="1" x14ac:dyDescent="0.3">
      <c r="A735" s="39"/>
      <c r="B735" s="39"/>
      <c r="C735" s="39"/>
      <c r="D735" s="40"/>
      <c r="E735" s="39"/>
      <c r="F735" s="39"/>
      <c r="G735" s="40"/>
      <c r="H735" s="40"/>
      <c r="I735" s="40"/>
      <c r="J735" s="37"/>
      <c r="K735" s="37"/>
      <c r="L735" s="37"/>
      <c r="M735" s="37"/>
      <c r="N735" s="37"/>
      <c r="O735" s="37"/>
    </row>
    <row r="736" spans="1:15" ht="14.25" customHeight="1" x14ac:dyDescent="0.3">
      <c r="A736" s="39"/>
      <c r="B736" s="39"/>
      <c r="C736" s="39"/>
      <c r="D736" s="40"/>
      <c r="E736" s="39"/>
      <c r="F736" s="39"/>
      <c r="G736" s="40"/>
      <c r="H736" s="40"/>
      <c r="I736" s="40"/>
      <c r="J736" s="37"/>
      <c r="K736" s="37"/>
      <c r="L736" s="37"/>
      <c r="M736" s="37"/>
      <c r="N736" s="37"/>
      <c r="O736" s="37"/>
    </row>
    <row r="737" spans="1:15" ht="14.25" customHeight="1" x14ac:dyDescent="0.3">
      <c r="A737" s="39"/>
      <c r="B737" s="39"/>
      <c r="C737" s="39"/>
      <c r="D737" s="40"/>
      <c r="E737" s="39"/>
      <c r="F737" s="39"/>
      <c r="G737" s="40"/>
      <c r="H737" s="40"/>
      <c r="I737" s="40"/>
      <c r="J737" s="37"/>
      <c r="K737" s="37"/>
      <c r="L737" s="37"/>
      <c r="M737" s="37"/>
      <c r="N737" s="37"/>
      <c r="O737" s="37"/>
    </row>
    <row r="738" spans="1:15" ht="14.25" customHeight="1" x14ac:dyDescent="0.3">
      <c r="A738" s="39"/>
      <c r="B738" s="39"/>
      <c r="C738" s="39"/>
      <c r="D738" s="40"/>
      <c r="E738" s="39"/>
      <c r="F738" s="39"/>
      <c r="G738" s="40"/>
      <c r="H738" s="40"/>
      <c r="I738" s="40"/>
      <c r="J738" s="37"/>
      <c r="K738" s="37"/>
      <c r="L738" s="37"/>
      <c r="M738" s="37"/>
      <c r="N738" s="37"/>
      <c r="O738" s="37"/>
    </row>
    <row r="739" spans="1:15" ht="14.25" customHeight="1" x14ac:dyDescent="0.3">
      <c r="A739" s="39"/>
      <c r="B739" s="39"/>
      <c r="C739" s="39"/>
      <c r="D739" s="40"/>
      <c r="E739" s="39"/>
      <c r="F739" s="39"/>
      <c r="G739" s="40"/>
      <c r="H739" s="40"/>
      <c r="I739" s="40"/>
      <c r="J739" s="37"/>
      <c r="K739" s="37"/>
      <c r="L739" s="37"/>
      <c r="M739" s="37"/>
      <c r="N739" s="37"/>
      <c r="O739" s="37"/>
    </row>
    <row r="740" spans="1:15" ht="14.25" customHeight="1" x14ac:dyDescent="0.3">
      <c r="A740" s="39"/>
      <c r="B740" s="39"/>
      <c r="C740" s="39"/>
      <c r="D740" s="40"/>
      <c r="E740" s="39"/>
      <c r="F740" s="39"/>
      <c r="G740" s="40"/>
      <c r="H740" s="40"/>
      <c r="I740" s="40"/>
      <c r="J740" s="37"/>
      <c r="K740" s="37"/>
      <c r="L740" s="37"/>
      <c r="M740" s="37"/>
      <c r="N740" s="37"/>
      <c r="O740" s="37"/>
    </row>
    <row r="741" spans="1:15" ht="14.25" customHeight="1" x14ac:dyDescent="0.3">
      <c r="A741" s="39"/>
      <c r="B741" s="39"/>
      <c r="C741" s="39"/>
      <c r="D741" s="40"/>
      <c r="E741" s="39"/>
      <c r="F741" s="39"/>
      <c r="G741" s="40"/>
      <c r="H741" s="40"/>
      <c r="I741" s="40"/>
      <c r="J741" s="37"/>
      <c r="K741" s="37"/>
      <c r="L741" s="37"/>
      <c r="M741" s="37"/>
      <c r="N741" s="37"/>
      <c r="O741" s="37"/>
    </row>
    <row r="742" spans="1:15" ht="14.25" customHeight="1" x14ac:dyDescent="0.3">
      <c r="A742" s="39"/>
      <c r="B742" s="39"/>
      <c r="C742" s="39"/>
      <c r="D742" s="40"/>
      <c r="E742" s="39"/>
      <c r="F742" s="39"/>
      <c r="G742" s="40"/>
      <c r="H742" s="40"/>
      <c r="I742" s="40"/>
      <c r="J742" s="37"/>
      <c r="K742" s="37"/>
      <c r="L742" s="37"/>
      <c r="M742" s="37"/>
      <c r="N742" s="37"/>
      <c r="O742" s="37"/>
    </row>
    <row r="743" spans="1:15" ht="14.25" customHeight="1" x14ac:dyDescent="0.3">
      <c r="A743" s="39"/>
      <c r="B743" s="39"/>
      <c r="C743" s="39"/>
      <c r="D743" s="40"/>
      <c r="E743" s="39"/>
      <c r="F743" s="39"/>
      <c r="G743" s="40"/>
      <c r="H743" s="40"/>
      <c r="I743" s="40"/>
      <c r="J743" s="37"/>
      <c r="K743" s="37"/>
      <c r="L743" s="37"/>
      <c r="M743" s="37"/>
      <c r="N743" s="37"/>
      <c r="O743" s="37"/>
    </row>
    <row r="744" spans="1:15" ht="14.25" customHeight="1" x14ac:dyDescent="0.3">
      <c r="A744" s="39"/>
      <c r="B744" s="39"/>
      <c r="C744" s="39"/>
      <c r="D744" s="40"/>
      <c r="E744" s="39"/>
      <c r="F744" s="39"/>
      <c r="G744" s="40"/>
      <c r="H744" s="40"/>
      <c r="I744" s="40"/>
      <c r="J744" s="37"/>
      <c r="K744" s="37"/>
      <c r="L744" s="37"/>
      <c r="M744" s="37"/>
      <c r="N744" s="37"/>
      <c r="O744" s="37"/>
    </row>
    <row r="745" spans="1:15" ht="14.25" customHeight="1" x14ac:dyDescent="0.3">
      <c r="A745" s="39"/>
      <c r="B745" s="39"/>
      <c r="C745" s="39"/>
      <c r="D745" s="40"/>
      <c r="E745" s="39"/>
      <c r="F745" s="39"/>
      <c r="G745" s="40"/>
      <c r="H745" s="40"/>
      <c r="I745" s="40"/>
      <c r="J745" s="37"/>
      <c r="K745" s="37"/>
      <c r="L745" s="37"/>
      <c r="M745" s="37"/>
      <c r="N745" s="37"/>
      <c r="O745" s="37"/>
    </row>
    <row r="746" spans="1:15" ht="14.25" customHeight="1" x14ac:dyDescent="0.3">
      <c r="A746" s="39"/>
      <c r="B746" s="39"/>
      <c r="C746" s="39"/>
      <c r="D746" s="40"/>
      <c r="E746" s="39"/>
      <c r="F746" s="39"/>
      <c r="G746" s="40"/>
      <c r="H746" s="40"/>
      <c r="I746" s="40"/>
      <c r="J746" s="37"/>
      <c r="K746" s="37"/>
      <c r="L746" s="37"/>
      <c r="M746" s="37"/>
      <c r="N746" s="37"/>
      <c r="O746" s="37"/>
    </row>
    <row r="747" spans="1:15" ht="14.25" customHeight="1" x14ac:dyDescent="0.3">
      <c r="A747" s="39"/>
      <c r="B747" s="39"/>
      <c r="C747" s="39"/>
      <c r="D747" s="40"/>
      <c r="E747" s="39"/>
      <c r="F747" s="39"/>
      <c r="G747" s="40"/>
      <c r="H747" s="40"/>
      <c r="I747" s="40"/>
      <c r="J747" s="37"/>
      <c r="K747" s="37"/>
      <c r="L747" s="37"/>
      <c r="M747" s="37"/>
      <c r="N747" s="37"/>
      <c r="O747" s="37"/>
    </row>
    <row r="748" spans="1:15" ht="14.25" customHeight="1" x14ac:dyDescent="0.3">
      <c r="A748" s="39"/>
      <c r="B748" s="39"/>
      <c r="C748" s="39"/>
      <c r="D748" s="40"/>
      <c r="E748" s="39"/>
      <c r="F748" s="39"/>
      <c r="G748" s="40"/>
      <c r="H748" s="40"/>
      <c r="I748" s="40"/>
      <c r="J748" s="37"/>
      <c r="K748" s="37"/>
      <c r="L748" s="37"/>
      <c r="M748" s="37"/>
      <c r="N748" s="37"/>
      <c r="O748" s="37"/>
    </row>
    <row r="749" spans="1:15" ht="14.25" customHeight="1" x14ac:dyDescent="0.3">
      <c r="A749" s="39"/>
      <c r="B749" s="39"/>
      <c r="C749" s="39"/>
      <c r="D749" s="40"/>
      <c r="E749" s="39"/>
      <c r="F749" s="39"/>
      <c r="G749" s="40"/>
      <c r="H749" s="40"/>
      <c r="I749" s="40"/>
      <c r="J749" s="37"/>
      <c r="K749" s="37"/>
      <c r="L749" s="37"/>
      <c r="M749" s="37"/>
      <c r="N749" s="37"/>
      <c r="O749" s="37"/>
    </row>
    <row r="750" spans="1:15" ht="14.25" customHeight="1" x14ac:dyDescent="0.3">
      <c r="A750" s="39"/>
      <c r="B750" s="39"/>
      <c r="C750" s="39"/>
      <c r="D750" s="40"/>
      <c r="E750" s="39"/>
      <c r="F750" s="39"/>
      <c r="G750" s="40"/>
      <c r="H750" s="40"/>
      <c r="I750" s="40"/>
      <c r="J750" s="37"/>
      <c r="K750" s="37"/>
      <c r="L750" s="37"/>
      <c r="M750" s="37"/>
      <c r="N750" s="37"/>
      <c r="O750" s="37"/>
    </row>
    <row r="751" spans="1:15" ht="14.25" customHeight="1" x14ac:dyDescent="0.3">
      <c r="A751" s="39"/>
      <c r="B751" s="39"/>
      <c r="C751" s="39"/>
      <c r="D751" s="40"/>
      <c r="E751" s="39"/>
      <c r="F751" s="39"/>
      <c r="G751" s="40"/>
      <c r="H751" s="40"/>
      <c r="I751" s="40"/>
      <c r="J751" s="37"/>
      <c r="K751" s="37"/>
      <c r="L751" s="37"/>
      <c r="M751" s="37"/>
      <c r="N751" s="37"/>
      <c r="O751" s="37"/>
    </row>
    <row r="752" spans="1:15" ht="14.25" customHeight="1" x14ac:dyDescent="0.3">
      <c r="A752" s="39"/>
      <c r="B752" s="39"/>
      <c r="C752" s="39"/>
      <c r="D752" s="40"/>
      <c r="E752" s="39"/>
      <c r="F752" s="39"/>
      <c r="G752" s="40"/>
      <c r="H752" s="40"/>
      <c r="I752" s="40"/>
      <c r="J752" s="37"/>
      <c r="K752" s="37"/>
      <c r="L752" s="37"/>
      <c r="M752" s="37"/>
      <c r="N752" s="37"/>
      <c r="O752" s="37"/>
    </row>
    <row r="753" spans="1:15" ht="14.25" customHeight="1" x14ac:dyDescent="0.3">
      <c r="A753" s="39"/>
      <c r="B753" s="39"/>
      <c r="C753" s="39"/>
      <c r="D753" s="40"/>
      <c r="E753" s="39"/>
      <c r="F753" s="39"/>
      <c r="G753" s="40"/>
      <c r="H753" s="40"/>
      <c r="I753" s="40"/>
      <c r="J753" s="37"/>
      <c r="K753" s="37"/>
      <c r="L753" s="37"/>
      <c r="M753" s="37"/>
      <c r="N753" s="37"/>
      <c r="O753" s="37"/>
    </row>
    <row r="754" spans="1:15" ht="14.25" customHeight="1" x14ac:dyDescent="0.3">
      <c r="A754" s="39"/>
      <c r="B754" s="39"/>
      <c r="C754" s="39"/>
      <c r="D754" s="40"/>
      <c r="E754" s="39"/>
      <c r="F754" s="39"/>
      <c r="G754" s="40"/>
      <c r="H754" s="40"/>
      <c r="I754" s="40"/>
      <c r="J754" s="37"/>
      <c r="K754" s="37"/>
      <c r="L754" s="37"/>
      <c r="M754" s="37"/>
      <c r="N754" s="37"/>
      <c r="O754" s="37"/>
    </row>
    <row r="755" spans="1:15" ht="14.25" customHeight="1" x14ac:dyDescent="0.3">
      <c r="A755" s="39"/>
      <c r="B755" s="39"/>
      <c r="C755" s="39"/>
      <c r="D755" s="40"/>
      <c r="E755" s="39"/>
      <c r="F755" s="39"/>
      <c r="G755" s="40"/>
      <c r="H755" s="40"/>
      <c r="I755" s="40"/>
      <c r="J755" s="37"/>
      <c r="K755" s="37"/>
      <c r="L755" s="37"/>
      <c r="M755" s="37"/>
      <c r="N755" s="37"/>
      <c r="O755" s="37"/>
    </row>
    <row r="756" spans="1:15" ht="14.25" customHeight="1" x14ac:dyDescent="0.3">
      <c r="A756" s="39"/>
      <c r="B756" s="39"/>
      <c r="C756" s="39"/>
      <c r="D756" s="40"/>
      <c r="E756" s="39"/>
      <c r="F756" s="39"/>
      <c r="G756" s="40"/>
      <c r="H756" s="40"/>
      <c r="I756" s="40"/>
      <c r="J756" s="37"/>
      <c r="K756" s="37"/>
      <c r="L756" s="37"/>
      <c r="M756" s="37"/>
      <c r="N756" s="37"/>
      <c r="O756" s="37"/>
    </row>
    <row r="757" spans="1:15" ht="14.25" customHeight="1" x14ac:dyDescent="0.3">
      <c r="A757" s="39"/>
      <c r="B757" s="39"/>
      <c r="C757" s="39"/>
      <c r="D757" s="40"/>
      <c r="E757" s="39"/>
      <c r="F757" s="39"/>
      <c r="G757" s="40"/>
      <c r="H757" s="40"/>
      <c r="I757" s="40"/>
      <c r="J757" s="37"/>
      <c r="K757" s="37"/>
      <c r="L757" s="37"/>
      <c r="M757" s="37"/>
      <c r="N757" s="37"/>
      <c r="O757" s="37"/>
    </row>
    <row r="758" spans="1:15" ht="14.25" customHeight="1" x14ac:dyDescent="0.3">
      <c r="A758" s="39"/>
      <c r="B758" s="39"/>
      <c r="C758" s="39"/>
      <c r="D758" s="40"/>
      <c r="E758" s="39"/>
      <c r="F758" s="39"/>
      <c r="G758" s="40"/>
      <c r="H758" s="40"/>
      <c r="I758" s="40"/>
      <c r="J758" s="37"/>
      <c r="K758" s="37"/>
      <c r="L758" s="37"/>
      <c r="M758" s="37"/>
      <c r="N758" s="37"/>
      <c r="O758" s="37"/>
    </row>
    <row r="759" spans="1:15" ht="14.25" customHeight="1" x14ac:dyDescent="0.3">
      <c r="A759" s="39"/>
      <c r="B759" s="39"/>
      <c r="C759" s="39"/>
      <c r="D759" s="40"/>
      <c r="E759" s="39"/>
      <c r="F759" s="39"/>
      <c r="G759" s="40"/>
      <c r="H759" s="40"/>
      <c r="I759" s="40"/>
      <c r="J759" s="37"/>
      <c r="K759" s="37"/>
      <c r="L759" s="37"/>
      <c r="M759" s="37"/>
      <c r="N759" s="37"/>
      <c r="O759" s="37"/>
    </row>
    <row r="760" spans="1:15" ht="14.25" customHeight="1" x14ac:dyDescent="0.3">
      <c r="A760" s="39"/>
      <c r="B760" s="39"/>
      <c r="C760" s="39"/>
      <c r="D760" s="40"/>
      <c r="E760" s="39"/>
      <c r="F760" s="39"/>
      <c r="G760" s="40"/>
      <c r="H760" s="40"/>
      <c r="I760" s="40"/>
      <c r="J760" s="37"/>
      <c r="K760" s="37"/>
      <c r="L760" s="37"/>
      <c r="M760" s="37"/>
      <c r="N760" s="37"/>
      <c r="O760" s="37"/>
    </row>
    <row r="761" spans="1:15" ht="14.25" customHeight="1" x14ac:dyDescent="0.3">
      <c r="A761" s="39"/>
      <c r="B761" s="39"/>
      <c r="C761" s="39"/>
      <c r="D761" s="40"/>
      <c r="E761" s="39"/>
      <c r="F761" s="39"/>
      <c r="G761" s="40"/>
      <c r="H761" s="40"/>
      <c r="I761" s="40"/>
      <c r="J761" s="37"/>
      <c r="K761" s="37"/>
      <c r="L761" s="37"/>
      <c r="M761" s="37"/>
      <c r="N761" s="37"/>
      <c r="O761" s="37"/>
    </row>
    <row r="762" spans="1:15" ht="14.25" customHeight="1" x14ac:dyDescent="0.3">
      <c r="A762" s="39"/>
      <c r="B762" s="39"/>
      <c r="C762" s="39"/>
      <c r="D762" s="40"/>
      <c r="E762" s="39"/>
      <c r="F762" s="39"/>
      <c r="G762" s="40"/>
      <c r="H762" s="40"/>
      <c r="I762" s="40"/>
      <c r="J762" s="37"/>
      <c r="K762" s="37"/>
      <c r="L762" s="37"/>
      <c r="M762" s="37"/>
      <c r="N762" s="37"/>
      <c r="O762" s="37"/>
    </row>
    <row r="763" spans="1:15" ht="14.25" customHeight="1" x14ac:dyDescent="0.3">
      <c r="A763" s="39"/>
      <c r="B763" s="39"/>
      <c r="C763" s="39"/>
      <c r="D763" s="40"/>
      <c r="E763" s="39"/>
      <c r="F763" s="39"/>
      <c r="G763" s="40"/>
      <c r="H763" s="40"/>
      <c r="I763" s="40"/>
      <c r="J763" s="37"/>
      <c r="K763" s="37"/>
      <c r="L763" s="37"/>
      <c r="M763" s="37"/>
      <c r="N763" s="37"/>
      <c r="O763" s="37"/>
    </row>
    <row r="764" spans="1:15" ht="14.25" customHeight="1" x14ac:dyDescent="0.3">
      <c r="A764" s="39"/>
      <c r="B764" s="39"/>
      <c r="C764" s="39"/>
      <c r="D764" s="40"/>
      <c r="E764" s="39"/>
      <c r="F764" s="39"/>
      <c r="G764" s="40"/>
      <c r="H764" s="40"/>
      <c r="I764" s="40"/>
      <c r="J764" s="37"/>
      <c r="K764" s="37"/>
      <c r="L764" s="37"/>
      <c r="M764" s="37"/>
      <c r="N764" s="37"/>
      <c r="O764" s="37"/>
    </row>
    <row r="765" spans="1:15" ht="14.25" customHeight="1" x14ac:dyDescent="0.3">
      <c r="A765" s="39"/>
      <c r="B765" s="39"/>
      <c r="C765" s="39"/>
      <c r="D765" s="40"/>
      <c r="E765" s="39"/>
      <c r="F765" s="39"/>
      <c r="G765" s="40"/>
      <c r="H765" s="40"/>
      <c r="I765" s="40"/>
      <c r="J765" s="37"/>
      <c r="K765" s="37"/>
      <c r="L765" s="37"/>
      <c r="M765" s="37"/>
      <c r="N765" s="37"/>
      <c r="O765" s="37"/>
    </row>
    <row r="766" spans="1:15" ht="14.25" customHeight="1" x14ac:dyDescent="0.3">
      <c r="A766" s="39"/>
      <c r="B766" s="39"/>
      <c r="C766" s="39"/>
      <c r="D766" s="40"/>
      <c r="E766" s="39"/>
      <c r="F766" s="39"/>
      <c r="G766" s="40"/>
      <c r="H766" s="40"/>
      <c r="I766" s="40"/>
      <c r="J766" s="37"/>
      <c r="K766" s="37"/>
      <c r="L766" s="37"/>
      <c r="M766" s="37"/>
      <c r="N766" s="37"/>
      <c r="O766" s="37"/>
    </row>
    <row r="767" spans="1:15" ht="14.25" customHeight="1" x14ac:dyDescent="0.3">
      <c r="A767" s="39"/>
      <c r="B767" s="39"/>
      <c r="C767" s="39"/>
      <c r="D767" s="40"/>
      <c r="E767" s="39"/>
      <c r="F767" s="39"/>
      <c r="G767" s="40"/>
      <c r="H767" s="40"/>
      <c r="I767" s="40"/>
      <c r="J767" s="37"/>
      <c r="K767" s="37"/>
      <c r="L767" s="37"/>
      <c r="M767" s="37"/>
      <c r="N767" s="37"/>
      <c r="O767" s="37"/>
    </row>
    <row r="768" spans="1:15" ht="14.25" customHeight="1" x14ac:dyDescent="0.3">
      <c r="A768" s="39"/>
      <c r="B768" s="39"/>
      <c r="C768" s="39"/>
      <c r="D768" s="40"/>
      <c r="E768" s="39"/>
      <c r="F768" s="39"/>
      <c r="G768" s="40"/>
      <c r="H768" s="40"/>
      <c r="I768" s="40"/>
      <c r="J768" s="37"/>
      <c r="K768" s="37"/>
      <c r="L768" s="37"/>
      <c r="M768" s="37"/>
      <c r="N768" s="37"/>
      <c r="O768" s="37"/>
    </row>
    <row r="769" spans="1:15" ht="14.25" customHeight="1" x14ac:dyDescent="0.3">
      <c r="A769" s="39"/>
      <c r="B769" s="39"/>
      <c r="C769" s="39"/>
      <c r="D769" s="40"/>
      <c r="E769" s="39"/>
      <c r="F769" s="39"/>
      <c r="G769" s="40"/>
      <c r="H769" s="40"/>
      <c r="I769" s="40"/>
      <c r="J769" s="37"/>
      <c r="K769" s="37"/>
      <c r="L769" s="37"/>
      <c r="M769" s="37"/>
      <c r="N769" s="37"/>
      <c r="O769" s="37"/>
    </row>
    <row r="770" spans="1:15" ht="14.25" customHeight="1" x14ac:dyDescent="0.3">
      <c r="A770" s="39"/>
      <c r="B770" s="39"/>
      <c r="C770" s="39"/>
      <c r="D770" s="40"/>
      <c r="E770" s="39"/>
      <c r="F770" s="39"/>
      <c r="G770" s="40"/>
      <c r="H770" s="40"/>
      <c r="I770" s="40"/>
      <c r="J770" s="37"/>
      <c r="K770" s="37"/>
      <c r="L770" s="37"/>
      <c r="M770" s="37"/>
      <c r="N770" s="37"/>
      <c r="O770" s="37"/>
    </row>
    <row r="771" spans="1:15" ht="14.25" customHeight="1" x14ac:dyDescent="0.3">
      <c r="A771" s="39"/>
      <c r="B771" s="39"/>
      <c r="C771" s="39"/>
      <c r="D771" s="40"/>
      <c r="E771" s="39"/>
      <c r="F771" s="39"/>
      <c r="G771" s="40"/>
      <c r="H771" s="40"/>
      <c r="I771" s="40"/>
      <c r="J771" s="37"/>
      <c r="K771" s="37"/>
      <c r="L771" s="37"/>
      <c r="M771" s="37"/>
      <c r="N771" s="37"/>
      <c r="O771" s="37"/>
    </row>
    <row r="772" spans="1:15" ht="14.25" customHeight="1" x14ac:dyDescent="0.3">
      <c r="A772" s="39"/>
      <c r="B772" s="39"/>
      <c r="C772" s="39"/>
      <c r="D772" s="40"/>
      <c r="E772" s="39"/>
      <c r="F772" s="39"/>
      <c r="G772" s="40"/>
      <c r="H772" s="40"/>
      <c r="I772" s="40"/>
      <c r="J772" s="37"/>
      <c r="K772" s="37"/>
      <c r="L772" s="37"/>
      <c r="M772" s="37"/>
      <c r="N772" s="37"/>
      <c r="O772" s="37"/>
    </row>
    <row r="773" spans="1:15" ht="14.25" customHeight="1" x14ac:dyDescent="0.3">
      <c r="A773" s="39"/>
      <c r="B773" s="39"/>
      <c r="C773" s="39"/>
      <c r="D773" s="40"/>
      <c r="E773" s="39"/>
      <c r="F773" s="39"/>
      <c r="G773" s="40"/>
      <c r="H773" s="40"/>
      <c r="I773" s="40"/>
      <c r="J773" s="37"/>
      <c r="K773" s="37"/>
      <c r="L773" s="37"/>
      <c r="M773" s="37"/>
      <c r="N773" s="37"/>
      <c r="O773" s="37"/>
    </row>
    <row r="774" spans="1:15" ht="14.25" customHeight="1" x14ac:dyDescent="0.3">
      <c r="A774" s="39"/>
      <c r="B774" s="39"/>
      <c r="C774" s="39"/>
      <c r="D774" s="40"/>
      <c r="E774" s="39"/>
      <c r="F774" s="39"/>
      <c r="G774" s="40"/>
      <c r="H774" s="40"/>
      <c r="I774" s="40"/>
      <c r="J774" s="37"/>
      <c r="K774" s="37"/>
      <c r="L774" s="37"/>
      <c r="M774" s="37"/>
      <c r="N774" s="37"/>
      <c r="O774" s="37"/>
    </row>
    <row r="775" spans="1:15" ht="14.25" customHeight="1" x14ac:dyDescent="0.3">
      <c r="A775" s="39"/>
      <c r="B775" s="39"/>
      <c r="C775" s="39"/>
      <c r="D775" s="40"/>
      <c r="E775" s="39"/>
      <c r="F775" s="39"/>
      <c r="G775" s="40"/>
      <c r="H775" s="40"/>
      <c r="I775" s="40"/>
      <c r="J775" s="37"/>
      <c r="K775" s="37"/>
      <c r="L775" s="37"/>
      <c r="M775" s="37"/>
      <c r="N775" s="37"/>
      <c r="O775" s="37"/>
    </row>
    <row r="776" spans="1:15" ht="14.25" customHeight="1" x14ac:dyDescent="0.3">
      <c r="A776" s="39"/>
      <c r="B776" s="39"/>
      <c r="C776" s="39"/>
      <c r="D776" s="40"/>
      <c r="E776" s="39"/>
      <c r="F776" s="39"/>
      <c r="G776" s="40"/>
      <c r="H776" s="40"/>
      <c r="I776" s="40"/>
      <c r="J776" s="37"/>
      <c r="K776" s="37"/>
      <c r="L776" s="37"/>
      <c r="M776" s="37"/>
      <c r="N776" s="37"/>
      <c r="O776" s="37"/>
    </row>
    <row r="777" spans="1:15" ht="14.25" customHeight="1" x14ac:dyDescent="0.3">
      <c r="A777" s="39"/>
      <c r="B777" s="39"/>
      <c r="C777" s="39"/>
      <c r="D777" s="40"/>
      <c r="E777" s="39"/>
      <c r="F777" s="39"/>
      <c r="G777" s="40"/>
      <c r="H777" s="40"/>
      <c r="I777" s="40"/>
      <c r="J777" s="37"/>
      <c r="K777" s="37"/>
      <c r="L777" s="37"/>
      <c r="M777" s="37"/>
      <c r="N777" s="37"/>
      <c r="O777" s="37"/>
    </row>
    <row r="778" spans="1:15" ht="14.25" customHeight="1" x14ac:dyDescent="0.3">
      <c r="A778" s="39"/>
      <c r="B778" s="39"/>
      <c r="C778" s="39"/>
      <c r="D778" s="40"/>
      <c r="E778" s="39"/>
      <c r="F778" s="39"/>
      <c r="G778" s="40"/>
      <c r="H778" s="40"/>
      <c r="I778" s="40"/>
      <c r="J778" s="37"/>
      <c r="K778" s="37"/>
      <c r="L778" s="37"/>
      <c r="M778" s="37"/>
      <c r="N778" s="37"/>
      <c r="O778" s="37"/>
    </row>
    <row r="779" spans="1:15" ht="14.25" customHeight="1" x14ac:dyDescent="0.3">
      <c r="A779" s="39"/>
      <c r="B779" s="39"/>
      <c r="C779" s="39"/>
      <c r="D779" s="40"/>
      <c r="E779" s="39"/>
      <c r="F779" s="39"/>
      <c r="G779" s="40"/>
      <c r="H779" s="40"/>
      <c r="I779" s="40"/>
      <c r="J779" s="37"/>
      <c r="K779" s="37"/>
      <c r="L779" s="37"/>
      <c r="M779" s="37"/>
      <c r="N779" s="37"/>
      <c r="O779" s="37"/>
    </row>
    <row r="780" spans="1:15" ht="14.25" customHeight="1" x14ac:dyDescent="0.3">
      <c r="A780" s="39"/>
      <c r="B780" s="39"/>
      <c r="C780" s="39"/>
      <c r="D780" s="40"/>
      <c r="E780" s="39"/>
      <c r="F780" s="39"/>
      <c r="G780" s="40"/>
      <c r="H780" s="40"/>
      <c r="I780" s="40"/>
      <c r="J780" s="37"/>
      <c r="K780" s="37"/>
      <c r="L780" s="37"/>
      <c r="M780" s="37"/>
      <c r="N780" s="37"/>
      <c r="O780" s="37"/>
    </row>
    <row r="781" spans="1:15" ht="14.25" customHeight="1" x14ac:dyDescent="0.3">
      <c r="A781" s="39"/>
      <c r="B781" s="39"/>
      <c r="C781" s="39"/>
      <c r="D781" s="40"/>
      <c r="E781" s="39"/>
      <c r="F781" s="39"/>
      <c r="G781" s="40"/>
      <c r="H781" s="40"/>
      <c r="I781" s="40"/>
      <c r="J781" s="37"/>
      <c r="K781" s="37"/>
      <c r="L781" s="37"/>
      <c r="M781" s="37"/>
      <c r="N781" s="37"/>
      <c r="O781" s="37"/>
    </row>
    <row r="782" spans="1:15" ht="14.25" customHeight="1" x14ac:dyDescent="0.3">
      <c r="A782" s="39"/>
      <c r="B782" s="39"/>
      <c r="C782" s="39"/>
      <c r="D782" s="40"/>
      <c r="E782" s="39"/>
      <c r="F782" s="39"/>
      <c r="G782" s="40"/>
      <c r="H782" s="40"/>
      <c r="I782" s="40"/>
      <c r="J782" s="37"/>
      <c r="K782" s="37"/>
      <c r="L782" s="37"/>
      <c r="M782" s="37"/>
      <c r="N782" s="37"/>
      <c r="O782" s="37"/>
    </row>
    <row r="783" spans="1:15" ht="14.25" customHeight="1" x14ac:dyDescent="0.3">
      <c r="A783" s="39"/>
      <c r="B783" s="39"/>
      <c r="C783" s="39"/>
      <c r="D783" s="40"/>
      <c r="E783" s="39"/>
      <c r="F783" s="39"/>
      <c r="G783" s="40"/>
      <c r="H783" s="40"/>
      <c r="I783" s="40"/>
      <c r="J783" s="37"/>
      <c r="K783" s="37"/>
      <c r="L783" s="37"/>
      <c r="M783" s="37"/>
      <c r="N783" s="37"/>
      <c r="O783" s="37"/>
    </row>
    <row r="784" spans="1:15" ht="14.25" customHeight="1" x14ac:dyDescent="0.3">
      <c r="A784" s="39"/>
      <c r="B784" s="39"/>
      <c r="C784" s="39"/>
      <c r="D784" s="40"/>
      <c r="E784" s="39"/>
      <c r="F784" s="39"/>
      <c r="G784" s="40"/>
      <c r="H784" s="40"/>
      <c r="I784" s="40"/>
      <c r="J784" s="37"/>
      <c r="K784" s="37"/>
      <c r="L784" s="37"/>
      <c r="M784" s="37"/>
      <c r="N784" s="37"/>
      <c r="O784" s="37"/>
    </row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</sheetData>
  <mergeCells count="4">
    <mergeCell ref="A1:I1"/>
    <mergeCell ref="A2:I2"/>
    <mergeCell ref="A4:I4"/>
    <mergeCell ref="A19:I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09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16" customWidth="1"/>
    <col min="2" max="2" width="22" customWidth="1"/>
    <col min="3" max="3" width="46" customWidth="1"/>
    <col min="4" max="4" width="16" customWidth="1"/>
    <col min="5" max="5" width="13" customWidth="1"/>
    <col min="6" max="7" width="16" customWidth="1"/>
    <col min="8" max="8" width="60" customWidth="1"/>
  </cols>
  <sheetData>
    <row r="1" spans="1:8" ht="15" customHeight="1" x14ac:dyDescent="0.3">
      <c r="A1" s="45" t="s">
        <v>387</v>
      </c>
    </row>
    <row r="2" spans="1:8" ht="15" customHeight="1" x14ac:dyDescent="0.3">
      <c r="A2" s="46" t="s">
        <v>388</v>
      </c>
    </row>
    <row r="4" spans="1:8" ht="15" customHeight="1" x14ac:dyDescent="0.3">
      <c r="A4" s="47" t="s">
        <v>9</v>
      </c>
      <c r="B4" s="47" t="s">
        <v>24</v>
      </c>
      <c r="C4" s="47" t="s">
        <v>151</v>
      </c>
      <c r="D4" s="47" t="s">
        <v>3</v>
      </c>
      <c r="E4" s="47" t="s">
        <v>152</v>
      </c>
      <c r="F4" s="47" t="s">
        <v>153</v>
      </c>
      <c r="G4" s="47" t="s">
        <v>389</v>
      </c>
      <c r="H4" s="47" t="s">
        <v>390</v>
      </c>
    </row>
    <row r="5" spans="1:8" ht="15" customHeight="1" x14ac:dyDescent="0.3">
      <c r="A5" t="s">
        <v>391</v>
      </c>
      <c r="B5" t="s">
        <v>392</v>
      </c>
      <c r="C5" t="s">
        <v>393</v>
      </c>
      <c r="D5" t="s">
        <v>289</v>
      </c>
      <c r="E5" s="48">
        <v>13402</v>
      </c>
      <c r="F5" s="24">
        <v>0.187098400414136</v>
      </c>
      <c r="G5" s="24">
        <v>2507.4927623502499</v>
      </c>
      <c r="H5" t="s">
        <v>394</v>
      </c>
    </row>
    <row r="6" spans="1:8" ht="15" customHeight="1" x14ac:dyDescent="0.3">
      <c r="A6" t="s">
        <v>391</v>
      </c>
      <c r="B6" t="s">
        <v>395</v>
      </c>
      <c r="C6" t="s">
        <v>86</v>
      </c>
      <c r="D6" t="s">
        <v>289</v>
      </c>
      <c r="E6" s="48">
        <v>13402</v>
      </c>
      <c r="F6" s="24">
        <v>0.20871322137043699</v>
      </c>
      <c r="G6" s="24">
        <v>2797.1745928065998</v>
      </c>
      <c r="H6" t="s">
        <v>394</v>
      </c>
    </row>
    <row r="7" spans="1:8" ht="15" customHeight="1" x14ac:dyDescent="0.3">
      <c r="A7" t="s">
        <v>391</v>
      </c>
      <c r="B7" t="s">
        <v>396</v>
      </c>
      <c r="C7" t="s">
        <v>397</v>
      </c>
      <c r="D7" t="s">
        <v>287</v>
      </c>
      <c r="E7" s="48">
        <v>0</v>
      </c>
      <c r="F7" s="24">
        <v>0</v>
      </c>
      <c r="G7" s="24">
        <v>0</v>
      </c>
      <c r="H7" t="s">
        <v>398</v>
      </c>
    </row>
    <row r="8" spans="1:8" ht="15" customHeight="1" x14ac:dyDescent="0.3">
      <c r="A8" t="s">
        <v>391</v>
      </c>
      <c r="B8" t="s">
        <v>396</v>
      </c>
      <c r="C8" t="s">
        <v>399</v>
      </c>
      <c r="D8" t="s">
        <v>287</v>
      </c>
      <c r="E8" s="48">
        <v>16</v>
      </c>
      <c r="F8" s="24">
        <v>2.85</v>
      </c>
      <c r="G8" s="24">
        <v>45.6</v>
      </c>
      <c r="H8" t="s">
        <v>400</v>
      </c>
    </row>
    <row r="9" spans="1:8" ht="15" customHeight="1" x14ac:dyDescent="0.3">
      <c r="A9" t="s">
        <v>391</v>
      </c>
      <c r="B9" t="s">
        <v>396</v>
      </c>
      <c r="C9" t="s">
        <v>397</v>
      </c>
      <c r="D9" t="s">
        <v>289</v>
      </c>
      <c r="E9" s="48">
        <v>0</v>
      </c>
      <c r="F9" s="24">
        <v>0</v>
      </c>
      <c r="G9" s="24">
        <v>0</v>
      </c>
      <c r="H9" t="s">
        <v>401</v>
      </c>
    </row>
    <row r="10" spans="1:8" ht="15" customHeight="1" x14ac:dyDescent="0.3">
      <c r="A10" t="s">
        <v>391</v>
      </c>
      <c r="B10" t="s">
        <v>396</v>
      </c>
      <c r="C10" t="s">
        <v>402</v>
      </c>
      <c r="D10" t="s">
        <v>289</v>
      </c>
      <c r="E10" s="48">
        <v>0</v>
      </c>
      <c r="F10" s="24">
        <v>0</v>
      </c>
      <c r="G10" s="24">
        <v>0</v>
      </c>
      <c r="H10" t="s">
        <v>403</v>
      </c>
    </row>
    <row r="11" spans="1:8" ht="15" customHeight="1" x14ac:dyDescent="0.3">
      <c r="A11" t="s">
        <v>391</v>
      </c>
      <c r="B11" t="s">
        <v>396</v>
      </c>
      <c r="C11" t="s">
        <v>397</v>
      </c>
      <c r="D11" t="s">
        <v>293</v>
      </c>
      <c r="E11" s="48">
        <v>0</v>
      </c>
      <c r="F11" s="24">
        <v>0</v>
      </c>
      <c r="G11" s="24">
        <v>0</v>
      </c>
      <c r="H11" t="s">
        <v>401</v>
      </c>
    </row>
    <row r="12" spans="1:8" ht="15" customHeight="1" x14ac:dyDescent="0.3">
      <c r="A12" t="s">
        <v>391</v>
      </c>
      <c r="B12" t="s">
        <v>396</v>
      </c>
      <c r="C12" t="s">
        <v>399</v>
      </c>
      <c r="D12" t="s">
        <v>293</v>
      </c>
      <c r="E12" s="48">
        <v>10</v>
      </c>
      <c r="F12" s="24">
        <v>2.85</v>
      </c>
      <c r="G12" s="24">
        <v>28.5</v>
      </c>
      <c r="H12" t="s">
        <v>400</v>
      </c>
    </row>
    <row r="13" spans="1:8" ht="15" customHeight="1" x14ac:dyDescent="0.3">
      <c r="A13" t="s">
        <v>391</v>
      </c>
      <c r="B13" t="s">
        <v>396</v>
      </c>
      <c r="C13" t="s">
        <v>397</v>
      </c>
      <c r="D13" t="s">
        <v>290</v>
      </c>
      <c r="E13" s="48">
        <v>0</v>
      </c>
      <c r="F13" s="24">
        <v>0</v>
      </c>
      <c r="G13" s="24">
        <v>0</v>
      </c>
      <c r="H13" t="s">
        <v>398</v>
      </c>
    </row>
    <row r="14" spans="1:8" ht="15" customHeight="1" x14ac:dyDescent="0.3">
      <c r="A14" t="s">
        <v>391</v>
      </c>
      <c r="B14" t="s">
        <v>396</v>
      </c>
      <c r="C14" t="s">
        <v>399</v>
      </c>
      <c r="D14" t="s">
        <v>290</v>
      </c>
      <c r="E14" s="48">
        <v>0</v>
      </c>
      <c r="F14" s="24">
        <v>0</v>
      </c>
      <c r="G14" s="24">
        <v>0</v>
      </c>
      <c r="H14" t="s">
        <v>404</v>
      </c>
    </row>
    <row r="15" spans="1:8" ht="15" customHeight="1" x14ac:dyDescent="0.3">
      <c r="A15" t="s">
        <v>391</v>
      </c>
      <c r="B15" t="s">
        <v>396</v>
      </c>
      <c r="C15" t="s">
        <v>397</v>
      </c>
      <c r="D15" t="s">
        <v>284</v>
      </c>
      <c r="E15" s="48">
        <v>0</v>
      </c>
      <c r="F15" s="24">
        <v>0</v>
      </c>
      <c r="G15" s="24">
        <v>0</v>
      </c>
      <c r="H15" t="s">
        <v>405</v>
      </c>
    </row>
    <row r="16" spans="1:8" ht="15" customHeight="1" x14ac:dyDescent="0.3">
      <c r="A16" t="s">
        <v>391</v>
      </c>
      <c r="B16" t="s">
        <v>396</v>
      </c>
      <c r="C16" t="s">
        <v>399</v>
      </c>
      <c r="D16" t="s">
        <v>284</v>
      </c>
      <c r="E16" s="48">
        <v>20</v>
      </c>
      <c r="F16" s="24">
        <v>2.85</v>
      </c>
      <c r="G16" s="24">
        <v>57</v>
      </c>
      <c r="H16" t="s">
        <v>400</v>
      </c>
    </row>
    <row r="17" spans="1:8" ht="15" customHeight="1" x14ac:dyDescent="0.3">
      <c r="A17" t="s">
        <v>391</v>
      </c>
      <c r="B17" t="s">
        <v>396</v>
      </c>
      <c r="C17" t="s">
        <v>397</v>
      </c>
      <c r="D17" t="s">
        <v>285</v>
      </c>
      <c r="E17" s="48">
        <v>0</v>
      </c>
      <c r="F17" s="24">
        <v>0</v>
      </c>
      <c r="G17" s="24">
        <v>0</v>
      </c>
      <c r="H17" t="s">
        <v>401</v>
      </c>
    </row>
    <row r="18" spans="1:8" ht="15" customHeight="1" x14ac:dyDescent="0.3">
      <c r="A18" t="s">
        <v>391</v>
      </c>
      <c r="B18" t="s">
        <v>396</v>
      </c>
      <c r="C18" t="s">
        <v>397</v>
      </c>
      <c r="D18" t="s">
        <v>285</v>
      </c>
      <c r="E18" s="48">
        <v>0</v>
      </c>
      <c r="F18" s="24">
        <v>0</v>
      </c>
      <c r="G18" s="24">
        <v>0</v>
      </c>
      <c r="H18" t="s">
        <v>406</v>
      </c>
    </row>
    <row r="19" spans="1:8" ht="15" customHeight="1" x14ac:dyDescent="0.3">
      <c r="A19" t="s">
        <v>391</v>
      </c>
      <c r="B19" t="s">
        <v>78</v>
      </c>
      <c r="C19" t="s">
        <v>407</v>
      </c>
      <c r="D19" t="s">
        <v>293</v>
      </c>
      <c r="E19" s="48">
        <v>3650</v>
      </c>
      <c r="F19" s="24">
        <v>0.45770244691830098</v>
      </c>
      <c r="G19" s="24">
        <v>1670.6139312518001</v>
      </c>
      <c r="H19" t="s">
        <v>394</v>
      </c>
    </row>
    <row r="20" spans="1:8" ht="15" customHeight="1" x14ac:dyDescent="0.3">
      <c r="A20" t="s">
        <v>391</v>
      </c>
      <c r="B20" t="s">
        <v>78</v>
      </c>
      <c r="C20" t="s">
        <v>407</v>
      </c>
      <c r="D20" t="s">
        <v>290</v>
      </c>
      <c r="E20" s="48">
        <v>6396</v>
      </c>
      <c r="F20" s="24">
        <v>0.45770244691830098</v>
      </c>
      <c r="G20" s="24">
        <v>2927.4648504894499</v>
      </c>
      <c r="H20" t="s">
        <v>394</v>
      </c>
    </row>
    <row r="21" spans="1:8" ht="15" customHeight="1" x14ac:dyDescent="0.3">
      <c r="A21" t="s">
        <v>391</v>
      </c>
      <c r="B21" t="s">
        <v>78</v>
      </c>
      <c r="C21" t="s">
        <v>407</v>
      </c>
      <c r="D21" t="s">
        <v>284</v>
      </c>
      <c r="E21" s="48">
        <v>14331</v>
      </c>
      <c r="F21" s="24">
        <v>0.45770244691830098</v>
      </c>
      <c r="G21" s="24">
        <v>6559.3337667861697</v>
      </c>
      <c r="H21" t="s">
        <v>394</v>
      </c>
    </row>
    <row r="22" spans="1:8" ht="15" customHeight="1" x14ac:dyDescent="0.3">
      <c r="A22" t="s">
        <v>391</v>
      </c>
      <c r="B22" t="s">
        <v>78</v>
      </c>
      <c r="C22" t="s">
        <v>407</v>
      </c>
      <c r="D22" t="s">
        <v>282</v>
      </c>
      <c r="E22" s="48">
        <v>4782</v>
      </c>
      <c r="F22" s="24">
        <v>0.45770244691830098</v>
      </c>
      <c r="G22" s="24">
        <v>2188.73310116332</v>
      </c>
      <c r="H22" t="s">
        <v>394</v>
      </c>
    </row>
    <row r="23" spans="1:8" ht="15" customHeight="1" x14ac:dyDescent="0.3">
      <c r="A23" t="s">
        <v>391</v>
      </c>
      <c r="B23" t="s">
        <v>408</v>
      </c>
      <c r="C23" t="s">
        <v>409</v>
      </c>
      <c r="D23" t="s">
        <v>275</v>
      </c>
      <c r="E23" s="48">
        <v>6246</v>
      </c>
      <c r="F23" s="24">
        <v>1.86</v>
      </c>
      <c r="G23" s="24">
        <v>11617.56</v>
      </c>
      <c r="H23" t="s">
        <v>410</v>
      </c>
    </row>
    <row r="24" spans="1:8" ht="15" customHeight="1" x14ac:dyDescent="0.3">
      <c r="A24" t="s">
        <v>391</v>
      </c>
      <c r="B24" t="s">
        <v>408</v>
      </c>
      <c r="C24" t="s">
        <v>409</v>
      </c>
      <c r="D24" t="s">
        <v>287</v>
      </c>
      <c r="E24" s="48">
        <v>296</v>
      </c>
      <c r="F24" s="24">
        <v>1.86</v>
      </c>
      <c r="G24" s="24">
        <v>550.55999999999995</v>
      </c>
      <c r="H24" t="s">
        <v>410</v>
      </c>
    </row>
    <row r="25" spans="1:8" ht="15" customHeight="1" x14ac:dyDescent="0.3">
      <c r="A25" t="s">
        <v>391</v>
      </c>
      <c r="B25" t="s">
        <v>408</v>
      </c>
      <c r="C25" t="s">
        <v>411</v>
      </c>
      <c r="D25" t="s">
        <v>287</v>
      </c>
      <c r="E25" s="48">
        <v>2</v>
      </c>
      <c r="F25" s="24">
        <v>383.56</v>
      </c>
      <c r="G25" s="24">
        <v>767.12</v>
      </c>
      <c r="H25" t="s">
        <v>412</v>
      </c>
    </row>
    <row r="26" spans="1:8" ht="15" customHeight="1" x14ac:dyDescent="0.3">
      <c r="A26" t="s">
        <v>391</v>
      </c>
      <c r="B26" t="s">
        <v>408</v>
      </c>
      <c r="C26" t="s">
        <v>413</v>
      </c>
      <c r="D26" t="s">
        <v>287</v>
      </c>
      <c r="E26" s="48">
        <v>0</v>
      </c>
      <c r="F26" s="24">
        <v>0</v>
      </c>
      <c r="G26" s="24">
        <v>0</v>
      </c>
      <c r="H26" t="s">
        <v>414</v>
      </c>
    </row>
    <row r="27" spans="1:8" ht="15" customHeight="1" x14ac:dyDescent="0.3">
      <c r="A27" t="s">
        <v>391</v>
      </c>
      <c r="B27" t="s">
        <v>408</v>
      </c>
      <c r="C27" t="s">
        <v>415</v>
      </c>
      <c r="D27" t="s">
        <v>287</v>
      </c>
      <c r="E27" s="48">
        <v>3</v>
      </c>
      <c r="F27" s="24">
        <v>300.37</v>
      </c>
      <c r="G27" s="24">
        <v>901.11</v>
      </c>
      <c r="H27" t="s">
        <v>416</v>
      </c>
    </row>
    <row r="28" spans="1:8" ht="15" customHeight="1" x14ac:dyDescent="0.3">
      <c r="A28" t="s">
        <v>391</v>
      </c>
      <c r="B28" t="s">
        <v>408</v>
      </c>
      <c r="C28" t="s">
        <v>417</v>
      </c>
      <c r="D28" t="s">
        <v>287</v>
      </c>
      <c r="E28" s="48">
        <v>-1</v>
      </c>
      <c r="F28" s="24">
        <v>812.42</v>
      </c>
      <c r="G28" s="24">
        <v>-812.42</v>
      </c>
      <c r="H28" t="s">
        <v>418</v>
      </c>
    </row>
    <row r="29" spans="1:8" ht="15" customHeight="1" x14ac:dyDescent="0.3">
      <c r="A29" t="s">
        <v>391</v>
      </c>
      <c r="B29" t="s">
        <v>408</v>
      </c>
      <c r="C29" t="s">
        <v>417</v>
      </c>
      <c r="D29" t="s">
        <v>287</v>
      </c>
      <c r="E29" s="48">
        <v>-1</v>
      </c>
      <c r="F29" s="24">
        <v>4015.98</v>
      </c>
      <c r="G29" s="24">
        <v>-4015.98</v>
      </c>
      <c r="H29" t="s">
        <v>419</v>
      </c>
    </row>
    <row r="30" spans="1:8" ht="15" customHeight="1" x14ac:dyDescent="0.3">
      <c r="A30" t="s">
        <v>391</v>
      </c>
      <c r="B30" t="s">
        <v>408</v>
      </c>
      <c r="C30" t="s">
        <v>420</v>
      </c>
      <c r="D30" t="s">
        <v>287</v>
      </c>
      <c r="E30" s="48">
        <v>0</v>
      </c>
      <c r="F30" s="24">
        <v>0</v>
      </c>
      <c r="G30" s="24">
        <v>0</v>
      </c>
      <c r="H30" t="s">
        <v>421</v>
      </c>
    </row>
    <row r="31" spans="1:8" ht="15" customHeight="1" x14ac:dyDescent="0.3">
      <c r="A31" t="s">
        <v>391</v>
      </c>
      <c r="B31" t="s">
        <v>408</v>
      </c>
      <c r="C31" t="s">
        <v>422</v>
      </c>
      <c r="D31" t="s">
        <v>287</v>
      </c>
      <c r="E31" s="48">
        <v>0</v>
      </c>
      <c r="F31" s="24">
        <v>0</v>
      </c>
      <c r="G31" s="24">
        <v>0</v>
      </c>
      <c r="H31" t="s">
        <v>421</v>
      </c>
    </row>
    <row r="32" spans="1:8" ht="15" customHeight="1" x14ac:dyDescent="0.3">
      <c r="A32" t="s">
        <v>391</v>
      </c>
      <c r="B32" t="s">
        <v>408</v>
      </c>
      <c r="C32" t="s">
        <v>423</v>
      </c>
      <c r="D32" t="s">
        <v>287</v>
      </c>
      <c r="E32" s="48">
        <v>0</v>
      </c>
      <c r="F32" s="24">
        <v>0</v>
      </c>
      <c r="G32" s="24">
        <v>0</v>
      </c>
      <c r="H32" t="s">
        <v>421</v>
      </c>
    </row>
    <row r="33" spans="1:8" ht="15" customHeight="1" x14ac:dyDescent="0.3">
      <c r="A33" t="s">
        <v>391</v>
      </c>
      <c r="B33" t="s">
        <v>408</v>
      </c>
      <c r="C33" t="s">
        <v>424</v>
      </c>
      <c r="D33" t="s">
        <v>287</v>
      </c>
      <c r="E33" s="48">
        <v>0</v>
      </c>
      <c r="F33" s="24">
        <v>0</v>
      </c>
      <c r="G33" s="24">
        <v>0</v>
      </c>
      <c r="H33" t="s">
        <v>421</v>
      </c>
    </row>
    <row r="34" spans="1:8" ht="15" customHeight="1" x14ac:dyDescent="0.3">
      <c r="A34" t="s">
        <v>391</v>
      </c>
      <c r="B34" t="s">
        <v>408</v>
      </c>
      <c r="C34" t="s">
        <v>425</v>
      </c>
      <c r="D34" t="s">
        <v>287</v>
      </c>
      <c r="E34" s="48">
        <v>0</v>
      </c>
      <c r="F34" s="24">
        <v>0</v>
      </c>
      <c r="G34" s="24">
        <v>0</v>
      </c>
      <c r="H34" t="s">
        <v>421</v>
      </c>
    </row>
    <row r="35" spans="1:8" ht="15" customHeight="1" x14ac:dyDescent="0.3">
      <c r="A35" t="s">
        <v>391</v>
      </c>
      <c r="B35" t="s">
        <v>408</v>
      </c>
      <c r="C35" t="s">
        <v>426</v>
      </c>
      <c r="D35" t="s">
        <v>289</v>
      </c>
      <c r="E35" s="48">
        <v>1</v>
      </c>
      <c r="F35" s="24">
        <v>33.5</v>
      </c>
      <c r="G35" s="24">
        <v>33.5</v>
      </c>
      <c r="H35" t="s">
        <v>427</v>
      </c>
    </row>
    <row r="36" spans="1:8" ht="15" customHeight="1" x14ac:dyDescent="0.3">
      <c r="A36" t="s">
        <v>391</v>
      </c>
      <c r="B36" t="s">
        <v>408</v>
      </c>
      <c r="C36" t="s">
        <v>426</v>
      </c>
      <c r="D36" t="s">
        <v>289</v>
      </c>
      <c r="E36" s="48">
        <v>1</v>
      </c>
      <c r="F36" s="24">
        <v>22</v>
      </c>
      <c r="G36" s="24">
        <v>22</v>
      </c>
      <c r="H36" t="s">
        <v>428</v>
      </c>
    </row>
    <row r="37" spans="1:8" ht="15" customHeight="1" x14ac:dyDescent="0.3">
      <c r="A37" t="s">
        <v>391</v>
      </c>
      <c r="B37" t="s">
        <v>408</v>
      </c>
      <c r="C37" t="s">
        <v>409</v>
      </c>
      <c r="D37" t="s">
        <v>289</v>
      </c>
      <c r="E37" s="48">
        <v>328</v>
      </c>
      <c r="F37" s="24">
        <v>1.86</v>
      </c>
      <c r="G37" s="24">
        <v>610.08000000000004</v>
      </c>
      <c r="H37" t="s">
        <v>410</v>
      </c>
    </row>
    <row r="38" spans="1:8" ht="15" customHeight="1" x14ac:dyDescent="0.3">
      <c r="A38" t="s">
        <v>391</v>
      </c>
      <c r="B38" t="s">
        <v>408</v>
      </c>
      <c r="C38" t="s">
        <v>411</v>
      </c>
      <c r="D38" t="s">
        <v>289</v>
      </c>
      <c r="E38" s="48">
        <v>5</v>
      </c>
      <c r="F38" s="24">
        <v>383.56</v>
      </c>
      <c r="G38" s="24">
        <v>1917.8</v>
      </c>
      <c r="H38" t="s">
        <v>429</v>
      </c>
    </row>
    <row r="39" spans="1:8" ht="15" customHeight="1" x14ac:dyDescent="0.3">
      <c r="A39" t="s">
        <v>391</v>
      </c>
      <c r="B39" t="s">
        <v>408</v>
      </c>
      <c r="C39" t="s">
        <v>413</v>
      </c>
      <c r="D39" t="s">
        <v>289</v>
      </c>
      <c r="E39" s="48">
        <v>1</v>
      </c>
      <c r="F39" s="24">
        <v>338.53</v>
      </c>
      <c r="G39" s="24">
        <v>338.53</v>
      </c>
      <c r="H39" t="s">
        <v>430</v>
      </c>
    </row>
    <row r="40" spans="1:8" ht="15" customHeight="1" x14ac:dyDescent="0.3">
      <c r="A40" t="s">
        <v>391</v>
      </c>
      <c r="B40" t="s">
        <v>408</v>
      </c>
      <c r="C40" t="s">
        <v>415</v>
      </c>
      <c r="D40" t="s">
        <v>289</v>
      </c>
      <c r="E40" s="48">
        <v>1</v>
      </c>
      <c r="F40" s="24">
        <v>400.26</v>
      </c>
      <c r="G40" s="24">
        <v>400.26</v>
      </c>
      <c r="H40" t="s">
        <v>431</v>
      </c>
    </row>
    <row r="41" spans="1:8" ht="15" customHeight="1" x14ac:dyDescent="0.3">
      <c r="A41" t="s">
        <v>391</v>
      </c>
      <c r="B41" t="s">
        <v>408</v>
      </c>
      <c r="C41" t="s">
        <v>417</v>
      </c>
      <c r="D41" t="s">
        <v>289</v>
      </c>
      <c r="E41" s="48">
        <v>1</v>
      </c>
      <c r="F41" s="24">
        <v>268.13</v>
      </c>
      <c r="G41" s="24">
        <v>268.13</v>
      </c>
      <c r="H41" t="s">
        <v>432</v>
      </c>
    </row>
    <row r="42" spans="1:8" ht="15" customHeight="1" x14ac:dyDescent="0.3">
      <c r="A42" t="s">
        <v>391</v>
      </c>
      <c r="B42" t="s">
        <v>408</v>
      </c>
      <c r="C42" t="s">
        <v>417</v>
      </c>
      <c r="D42" t="s">
        <v>289</v>
      </c>
      <c r="E42" s="48">
        <v>52</v>
      </c>
      <c r="F42" s="24">
        <v>20.059999999999999</v>
      </c>
      <c r="G42" s="24">
        <v>1043.1199999999999</v>
      </c>
      <c r="H42" t="s">
        <v>433</v>
      </c>
    </row>
    <row r="43" spans="1:8" ht="15" customHeight="1" x14ac:dyDescent="0.3">
      <c r="A43" t="s">
        <v>391</v>
      </c>
      <c r="B43" t="s">
        <v>408</v>
      </c>
      <c r="C43" t="s">
        <v>434</v>
      </c>
      <c r="D43" t="s">
        <v>289</v>
      </c>
      <c r="E43" s="48">
        <v>0</v>
      </c>
      <c r="F43" s="24">
        <v>0</v>
      </c>
      <c r="G43" s="24">
        <v>0</v>
      </c>
      <c r="H43" t="s">
        <v>421</v>
      </c>
    </row>
    <row r="44" spans="1:8" ht="15" customHeight="1" x14ac:dyDescent="0.3">
      <c r="A44" t="s">
        <v>391</v>
      </c>
      <c r="B44" t="s">
        <v>408</v>
      </c>
      <c r="C44" t="s">
        <v>422</v>
      </c>
      <c r="D44" t="s">
        <v>289</v>
      </c>
      <c r="E44" s="48">
        <v>1</v>
      </c>
      <c r="F44" s="24">
        <v>0</v>
      </c>
      <c r="G44" s="24">
        <v>0</v>
      </c>
      <c r="H44" t="s">
        <v>421</v>
      </c>
    </row>
    <row r="45" spans="1:8" ht="15" customHeight="1" x14ac:dyDescent="0.3">
      <c r="A45" t="s">
        <v>391</v>
      </c>
      <c r="B45" t="s">
        <v>408</v>
      </c>
      <c r="C45" t="s">
        <v>435</v>
      </c>
      <c r="D45" t="s">
        <v>289</v>
      </c>
      <c r="E45" s="48">
        <v>0</v>
      </c>
      <c r="F45" s="24">
        <v>0</v>
      </c>
      <c r="G45" s="24">
        <v>0</v>
      </c>
      <c r="H45" t="s">
        <v>421</v>
      </c>
    </row>
    <row r="46" spans="1:8" ht="15" customHeight="1" x14ac:dyDescent="0.3">
      <c r="A46" t="s">
        <v>391</v>
      </c>
      <c r="B46" t="s">
        <v>408</v>
      </c>
      <c r="C46" t="s">
        <v>436</v>
      </c>
      <c r="D46" t="s">
        <v>289</v>
      </c>
      <c r="E46" s="48">
        <v>1</v>
      </c>
      <c r="F46" s="24">
        <v>0</v>
      </c>
      <c r="G46" s="24">
        <v>0</v>
      </c>
      <c r="H46" t="s">
        <v>421</v>
      </c>
    </row>
    <row r="47" spans="1:8" ht="15" customHeight="1" x14ac:dyDescent="0.3">
      <c r="A47" t="s">
        <v>391</v>
      </c>
      <c r="B47" t="s">
        <v>408</v>
      </c>
      <c r="C47" t="s">
        <v>437</v>
      </c>
      <c r="D47" t="s">
        <v>289</v>
      </c>
      <c r="E47" s="48">
        <v>0</v>
      </c>
      <c r="F47" s="24">
        <v>0</v>
      </c>
      <c r="G47" s="24">
        <v>0</v>
      </c>
      <c r="H47" t="s">
        <v>421</v>
      </c>
    </row>
    <row r="48" spans="1:8" ht="15" customHeight="1" x14ac:dyDescent="0.3">
      <c r="A48" t="s">
        <v>391</v>
      </c>
      <c r="B48" t="s">
        <v>408</v>
      </c>
      <c r="C48" t="s">
        <v>438</v>
      </c>
      <c r="D48" t="s">
        <v>289</v>
      </c>
      <c r="E48" s="48">
        <v>0</v>
      </c>
      <c r="F48" s="24">
        <v>0</v>
      </c>
      <c r="G48" s="24">
        <v>0</v>
      </c>
      <c r="H48" t="s">
        <v>421</v>
      </c>
    </row>
    <row r="49" spans="1:8" ht="15" customHeight="1" x14ac:dyDescent="0.3">
      <c r="A49" t="s">
        <v>391</v>
      </c>
      <c r="B49" t="s">
        <v>408</v>
      </c>
      <c r="C49" t="s">
        <v>409</v>
      </c>
      <c r="D49" t="s">
        <v>293</v>
      </c>
      <c r="E49" s="48">
        <v>236</v>
      </c>
      <c r="F49" s="24">
        <v>1.86</v>
      </c>
      <c r="G49" s="24">
        <v>438.96</v>
      </c>
      <c r="H49" t="s">
        <v>410</v>
      </c>
    </row>
    <row r="50" spans="1:8" ht="15" customHeight="1" x14ac:dyDescent="0.3">
      <c r="A50" t="s">
        <v>391</v>
      </c>
      <c r="B50" t="s">
        <v>408</v>
      </c>
      <c r="C50" t="s">
        <v>411</v>
      </c>
      <c r="D50" t="s">
        <v>293</v>
      </c>
      <c r="E50" s="48">
        <v>0</v>
      </c>
      <c r="F50" s="24">
        <v>0</v>
      </c>
      <c r="G50" s="24">
        <v>0</v>
      </c>
      <c r="H50" t="s">
        <v>412</v>
      </c>
    </row>
    <row r="51" spans="1:8" ht="15" customHeight="1" x14ac:dyDescent="0.3">
      <c r="A51" t="s">
        <v>391</v>
      </c>
      <c r="B51" t="s">
        <v>408</v>
      </c>
      <c r="C51" t="s">
        <v>413</v>
      </c>
      <c r="D51" t="s">
        <v>293</v>
      </c>
      <c r="E51" s="48">
        <v>2</v>
      </c>
      <c r="F51" s="24">
        <v>338.53</v>
      </c>
      <c r="G51" s="24">
        <v>677.06</v>
      </c>
      <c r="H51" t="s">
        <v>412</v>
      </c>
    </row>
    <row r="52" spans="1:8" ht="15" customHeight="1" x14ac:dyDescent="0.3">
      <c r="A52" t="s">
        <v>391</v>
      </c>
      <c r="B52" t="s">
        <v>408</v>
      </c>
      <c r="C52" t="s">
        <v>415</v>
      </c>
      <c r="D52" t="s">
        <v>293</v>
      </c>
      <c r="E52" s="48">
        <v>1</v>
      </c>
      <c r="F52" s="24">
        <v>300.37</v>
      </c>
      <c r="G52" s="24">
        <v>300.37</v>
      </c>
      <c r="H52" t="s">
        <v>439</v>
      </c>
    </row>
    <row r="53" spans="1:8" ht="15" customHeight="1" x14ac:dyDescent="0.3">
      <c r="A53" t="s">
        <v>391</v>
      </c>
      <c r="B53" t="s">
        <v>408</v>
      </c>
      <c r="C53" t="s">
        <v>422</v>
      </c>
      <c r="D53" t="s">
        <v>293</v>
      </c>
      <c r="E53" s="48">
        <v>1</v>
      </c>
      <c r="F53" s="24">
        <v>0</v>
      </c>
      <c r="G53" s="24">
        <v>0</v>
      </c>
      <c r="H53" t="s">
        <v>421</v>
      </c>
    </row>
    <row r="54" spans="1:8" ht="15" customHeight="1" x14ac:dyDescent="0.3">
      <c r="A54" t="s">
        <v>391</v>
      </c>
      <c r="B54" t="s">
        <v>408</v>
      </c>
      <c r="C54" t="s">
        <v>440</v>
      </c>
      <c r="D54" t="s">
        <v>293</v>
      </c>
      <c r="E54" s="48">
        <v>1</v>
      </c>
      <c r="F54" s="24">
        <v>0</v>
      </c>
      <c r="G54" s="24">
        <v>0</v>
      </c>
      <c r="H54" t="s">
        <v>421</v>
      </c>
    </row>
    <row r="55" spans="1:8" ht="15" customHeight="1" x14ac:dyDescent="0.3">
      <c r="A55" t="s">
        <v>391</v>
      </c>
      <c r="B55" t="s">
        <v>408</v>
      </c>
      <c r="C55" t="s">
        <v>441</v>
      </c>
      <c r="D55" t="s">
        <v>293</v>
      </c>
      <c r="E55" s="48">
        <v>0</v>
      </c>
      <c r="F55" s="24">
        <v>0</v>
      </c>
      <c r="G55" s="24">
        <v>0</v>
      </c>
      <c r="H55" t="s">
        <v>421</v>
      </c>
    </row>
    <row r="56" spans="1:8" ht="15" customHeight="1" x14ac:dyDescent="0.3">
      <c r="A56" t="s">
        <v>391</v>
      </c>
      <c r="B56" t="s">
        <v>408</v>
      </c>
      <c r="C56" t="s">
        <v>442</v>
      </c>
      <c r="D56" t="s">
        <v>293</v>
      </c>
      <c r="E56" s="48">
        <v>0</v>
      </c>
      <c r="F56" s="24">
        <v>0</v>
      </c>
      <c r="G56" s="24">
        <v>0</v>
      </c>
      <c r="H56" t="s">
        <v>421</v>
      </c>
    </row>
    <row r="57" spans="1:8" ht="15" customHeight="1" x14ac:dyDescent="0.3">
      <c r="A57" t="s">
        <v>391</v>
      </c>
      <c r="B57" t="s">
        <v>408</v>
      </c>
      <c r="C57" t="s">
        <v>409</v>
      </c>
      <c r="D57" t="s">
        <v>290</v>
      </c>
      <c r="E57" s="48">
        <v>666</v>
      </c>
      <c r="F57" s="24">
        <v>1.86</v>
      </c>
      <c r="G57" s="24">
        <v>1238.76</v>
      </c>
      <c r="H57" t="s">
        <v>410</v>
      </c>
    </row>
    <row r="58" spans="1:8" ht="15" customHeight="1" x14ac:dyDescent="0.3">
      <c r="A58" t="s">
        <v>391</v>
      </c>
      <c r="B58" t="s">
        <v>408</v>
      </c>
      <c r="C58" t="s">
        <v>411</v>
      </c>
      <c r="D58" t="s">
        <v>290</v>
      </c>
      <c r="E58" s="48">
        <v>4</v>
      </c>
      <c r="F58" s="24">
        <v>383.56</v>
      </c>
      <c r="G58" s="24">
        <v>1534.24</v>
      </c>
      <c r="H58" t="s">
        <v>443</v>
      </c>
    </row>
    <row r="59" spans="1:8" ht="15" customHeight="1" x14ac:dyDescent="0.3">
      <c r="A59" t="s">
        <v>391</v>
      </c>
      <c r="B59" t="s">
        <v>408</v>
      </c>
      <c r="C59" t="s">
        <v>413</v>
      </c>
      <c r="D59" t="s">
        <v>290</v>
      </c>
      <c r="E59" s="48">
        <v>4</v>
      </c>
      <c r="F59" s="24">
        <v>338.53</v>
      </c>
      <c r="G59" s="24">
        <v>1354.12</v>
      </c>
      <c r="H59" t="s">
        <v>444</v>
      </c>
    </row>
    <row r="60" spans="1:8" ht="15" customHeight="1" x14ac:dyDescent="0.3">
      <c r="A60" t="s">
        <v>391</v>
      </c>
      <c r="B60" t="s">
        <v>408</v>
      </c>
      <c r="C60" t="s">
        <v>415</v>
      </c>
      <c r="D60" t="s">
        <v>290</v>
      </c>
      <c r="E60" s="48">
        <v>2</v>
      </c>
      <c r="F60" s="24">
        <v>400.26</v>
      </c>
      <c r="G60" s="24">
        <v>800.52</v>
      </c>
      <c r="H60" t="s">
        <v>445</v>
      </c>
    </row>
    <row r="61" spans="1:8" ht="15" customHeight="1" x14ac:dyDescent="0.3">
      <c r="A61" t="s">
        <v>391</v>
      </c>
      <c r="B61" t="s">
        <v>408</v>
      </c>
      <c r="C61" t="s">
        <v>417</v>
      </c>
      <c r="D61" t="s">
        <v>290</v>
      </c>
      <c r="E61" s="48">
        <v>1</v>
      </c>
      <c r="F61" s="24">
        <v>588.98</v>
      </c>
      <c r="G61" s="24">
        <v>588.98</v>
      </c>
      <c r="H61" t="s">
        <v>446</v>
      </c>
    </row>
    <row r="62" spans="1:8" ht="15" customHeight="1" x14ac:dyDescent="0.3">
      <c r="A62" t="s">
        <v>391</v>
      </c>
      <c r="B62" t="s">
        <v>408</v>
      </c>
      <c r="C62" t="s">
        <v>417</v>
      </c>
      <c r="D62" t="s">
        <v>290</v>
      </c>
      <c r="E62" s="48">
        <v>149</v>
      </c>
      <c r="F62" s="24">
        <v>20.059999999999999</v>
      </c>
      <c r="G62" s="24">
        <v>2988.94</v>
      </c>
      <c r="H62" t="s">
        <v>447</v>
      </c>
    </row>
    <row r="63" spans="1:8" ht="15" customHeight="1" x14ac:dyDescent="0.3">
      <c r="A63" t="s">
        <v>391</v>
      </c>
      <c r="B63" t="s">
        <v>408</v>
      </c>
      <c r="C63" t="s">
        <v>448</v>
      </c>
      <c r="D63" t="s">
        <v>290</v>
      </c>
      <c r="E63" s="48">
        <v>2</v>
      </c>
      <c r="F63" s="24">
        <v>0</v>
      </c>
      <c r="G63" s="24">
        <v>0</v>
      </c>
      <c r="H63" t="s">
        <v>421</v>
      </c>
    </row>
    <row r="64" spans="1:8" ht="15" customHeight="1" x14ac:dyDescent="0.3">
      <c r="A64" t="s">
        <v>391</v>
      </c>
      <c r="B64" t="s">
        <v>408</v>
      </c>
      <c r="C64" t="s">
        <v>449</v>
      </c>
      <c r="D64" t="s">
        <v>290</v>
      </c>
      <c r="E64" s="48">
        <v>0</v>
      </c>
      <c r="F64" s="24">
        <v>0</v>
      </c>
      <c r="G64" s="24">
        <v>0</v>
      </c>
      <c r="H64" t="s">
        <v>421</v>
      </c>
    </row>
    <row r="65" spans="1:8" ht="15" customHeight="1" x14ac:dyDescent="0.3">
      <c r="A65" t="s">
        <v>391</v>
      </c>
      <c r="B65" t="s">
        <v>408</v>
      </c>
      <c r="C65" t="s">
        <v>450</v>
      </c>
      <c r="D65" t="s">
        <v>290</v>
      </c>
      <c r="E65" s="48">
        <v>2</v>
      </c>
      <c r="F65" s="24">
        <v>0</v>
      </c>
      <c r="G65" s="24">
        <v>0</v>
      </c>
      <c r="H65" t="s">
        <v>421</v>
      </c>
    </row>
    <row r="66" spans="1:8" ht="15" customHeight="1" x14ac:dyDescent="0.3">
      <c r="A66" t="s">
        <v>391</v>
      </c>
      <c r="B66" t="s">
        <v>408</v>
      </c>
      <c r="C66" t="s">
        <v>451</v>
      </c>
      <c r="D66" t="s">
        <v>290</v>
      </c>
      <c r="E66" s="48">
        <v>0</v>
      </c>
      <c r="F66" s="24">
        <v>0</v>
      </c>
      <c r="G66" s="24">
        <v>0</v>
      </c>
      <c r="H66" t="s">
        <v>421</v>
      </c>
    </row>
    <row r="67" spans="1:8" ht="15" customHeight="1" x14ac:dyDescent="0.3">
      <c r="A67" t="s">
        <v>391</v>
      </c>
      <c r="B67" t="s">
        <v>408</v>
      </c>
      <c r="C67" t="s">
        <v>409</v>
      </c>
      <c r="D67" t="s">
        <v>284</v>
      </c>
      <c r="E67" s="48">
        <v>537</v>
      </c>
      <c r="F67" s="24">
        <v>1.86</v>
      </c>
      <c r="G67" s="24">
        <v>998.82</v>
      </c>
      <c r="H67" t="s">
        <v>410</v>
      </c>
    </row>
    <row r="68" spans="1:8" ht="15" customHeight="1" x14ac:dyDescent="0.3">
      <c r="A68" t="s">
        <v>391</v>
      </c>
      <c r="B68" t="s">
        <v>408</v>
      </c>
      <c r="C68" t="s">
        <v>411</v>
      </c>
      <c r="D68" t="s">
        <v>284</v>
      </c>
      <c r="E68" s="48">
        <v>1</v>
      </c>
      <c r="F68" s="24">
        <v>383.56</v>
      </c>
      <c r="G68" s="24">
        <v>383.56</v>
      </c>
      <c r="H68" t="s">
        <v>452</v>
      </c>
    </row>
    <row r="69" spans="1:8" ht="15" customHeight="1" x14ac:dyDescent="0.3">
      <c r="A69" t="s">
        <v>391</v>
      </c>
      <c r="B69" t="s">
        <v>408</v>
      </c>
      <c r="C69" t="s">
        <v>413</v>
      </c>
      <c r="D69" t="s">
        <v>284</v>
      </c>
      <c r="E69" s="48">
        <v>4</v>
      </c>
      <c r="F69" s="24">
        <v>338.53</v>
      </c>
      <c r="G69" s="24">
        <v>1354.12</v>
      </c>
      <c r="H69" t="s">
        <v>453</v>
      </c>
    </row>
    <row r="70" spans="1:8" ht="15" customHeight="1" x14ac:dyDescent="0.3">
      <c r="A70" t="s">
        <v>391</v>
      </c>
      <c r="B70" t="s">
        <v>408</v>
      </c>
      <c r="C70" t="s">
        <v>415</v>
      </c>
      <c r="D70" t="s">
        <v>284</v>
      </c>
      <c r="E70" s="48">
        <v>1</v>
      </c>
      <c r="F70" s="24">
        <v>400.26</v>
      </c>
      <c r="G70" s="24">
        <v>400.26</v>
      </c>
      <c r="H70" t="s">
        <v>454</v>
      </c>
    </row>
    <row r="71" spans="1:8" ht="15" customHeight="1" x14ac:dyDescent="0.3">
      <c r="A71" t="s">
        <v>391</v>
      </c>
      <c r="B71" t="s">
        <v>408</v>
      </c>
      <c r="C71" t="s">
        <v>455</v>
      </c>
      <c r="D71" t="s">
        <v>284</v>
      </c>
      <c r="E71" s="48">
        <v>1</v>
      </c>
      <c r="F71" s="24">
        <v>434.14</v>
      </c>
      <c r="G71" s="24">
        <v>434.14</v>
      </c>
      <c r="H71" t="s">
        <v>456</v>
      </c>
    </row>
    <row r="72" spans="1:8" ht="15" customHeight="1" x14ac:dyDescent="0.3">
      <c r="A72" t="s">
        <v>391</v>
      </c>
      <c r="B72" t="s">
        <v>408</v>
      </c>
      <c r="C72" t="s">
        <v>455</v>
      </c>
      <c r="D72" t="s">
        <v>284</v>
      </c>
      <c r="E72" s="48">
        <v>9</v>
      </c>
      <c r="F72" s="24">
        <v>9.6999999999999993</v>
      </c>
      <c r="G72" s="24">
        <v>87.3</v>
      </c>
      <c r="H72" t="s">
        <v>433</v>
      </c>
    </row>
    <row r="73" spans="1:8" ht="15" customHeight="1" x14ac:dyDescent="0.3">
      <c r="A73" t="s">
        <v>391</v>
      </c>
      <c r="B73" t="s">
        <v>408</v>
      </c>
      <c r="C73" t="s">
        <v>422</v>
      </c>
      <c r="D73" t="s">
        <v>284</v>
      </c>
      <c r="E73" s="48">
        <v>15</v>
      </c>
      <c r="F73" s="24">
        <v>0</v>
      </c>
      <c r="G73" s="24">
        <v>0</v>
      </c>
      <c r="H73" t="s">
        <v>421</v>
      </c>
    </row>
    <row r="74" spans="1:8" ht="15" customHeight="1" x14ac:dyDescent="0.3">
      <c r="A74" t="s">
        <v>391</v>
      </c>
      <c r="B74" t="s">
        <v>408</v>
      </c>
      <c r="C74" t="s">
        <v>457</v>
      </c>
      <c r="D74" t="s">
        <v>284</v>
      </c>
      <c r="E74" s="48">
        <v>0</v>
      </c>
      <c r="F74" s="24">
        <v>0</v>
      </c>
      <c r="G74" s="24">
        <v>0</v>
      </c>
      <c r="H74" t="s">
        <v>421</v>
      </c>
    </row>
    <row r="75" spans="1:8" ht="15" customHeight="1" x14ac:dyDescent="0.3">
      <c r="A75" t="s">
        <v>391</v>
      </c>
      <c r="B75" t="s">
        <v>408</v>
      </c>
      <c r="C75" t="s">
        <v>458</v>
      </c>
      <c r="D75" t="s">
        <v>284</v>
      </c>
      <c r="E75" s="48">
        <v>0</v>
      </c>
      <c r="F75" s="24">
        <v>0</v>
      </c>
      <c r="G75" s="24">
        <v>0</v>
      </c>
      <c r="H75" t="s">
        <v>421</v>
      </c>
    </row>
    <row r="76" spans="1:8" ht="15" customHeight="1" x14ac:dyDescent="0.3">
      <c r="A76" t="s">
        <v>391</v>
      </c>
      <c r="B76" t="s">
        <v>408</v>
      </c>
      <c r="C76" t="s">
        <v>459</v>
      </c>
      <c r="D76" t="s">
        <v>284</v>
      </c>
      <c r="E76" s="48">
        <v>0</v>
      </c>
      <c r="F76" s="24">
        <v>0</v>
      </c>
      <c r="G76" s="24">
        <v>0</v>
      </c>
      <c r="H76" t="s">
        <v>421</v>
      </c>
    </row>
    <row r="77" spans="1:8" ht="15" customHeight="1" x14ac:dyDescent="0.3">
      <c r="A77" t="s">
        <v>391</v>
      </c>
      <c r="B77" t="s">
        <v>408</v>
      </c>
      <c r="C77" t="s">
        <v>409</v>
      </c>
      <c r="D77" t="s">
        <v>285</v>
      </c>
      <c r="E77" s="48">
        <v>163</v>
      </c>
      <c r="F77" s="24">
        <v>1.86</v>
      </c>
      <c r="G77" s="24">
        <v>303.18</v>
      </c>
      <c r="H77" t="s">
        <v>410</v>
      </c>
    </row>
    <row r="78" spans="1:8" ht="15" customHeight="1" x14ac:dyDescent="0.3">
      <c r="A78" t="s">
        <v>391</v>
      </c>
      <c r="B78" t="s">
        <v>408</v>
      </c>
      <c r="C78" t="s">
        <v>411</v>
      </c>
      <c r="D78" t="s">
        <v>285</v>
      </c>
      <c r="E78" s="48">
        <v>1</v>
      </c>
      <c r="F78" s="24">
        <v>383.56</v>
      </c>
      <c r="G78" s="24">
        <v>383.56</v>
      </c>
      <c r="H78" t="s">
        <v>460</v>
      </c>
    </row>
    <row r="79" spans="1:8" ht="15" customHeight="1" x14ac:dyDescent="0.3">
      <c r="A79" t="s">
        <v>391</v>
      </c>
      <c r="B79" t="s">
        <v>408</v>
      </c>
      <c r="C79" t="s">
        <v>413</v>
      </c>
      <c r="D79" t="s">
        <v>285</v>
      </c>
      <c r="E79" s="48">
        <v>0</v>
      </c>
      <c r="F79" s="24">
        <v>0</v>
      </c>
      <c r="G79" s="24">
        <v>0</v>
      </c>
      <c r="H79" t="s">
        <v>461</v>
      </c>
    </row>
    <row r="80" spans="1:8" ht="15" customHeight="1" x14ac:dyDescent="0.3">
      <c r="A80" t="s">
        <v>391</v>
      </c>
      <c r="B80" t="s">
        <v>408</v>
      </c>
      <c r="C80" t="s">
        <v>415</v>
      </c>
      <c r="D80" t="s">
        <v>285</v>
      </c>
      <c r="E80" s="48">
        <v>1</v>
      </c>
      <c r="F80" s="24">
        <v>400.26</v>
      </c>
      <c r="G80" s="24">
        <v>400.26</v>
      </c>
      <c r="H80" t="s">
        <v>412</v>
      </c>
    </row>
    <row r="81" spans="1:8" ht="15" customHeight="1" x14ac:dyDescent="0.3">
      <c r="A81" t="s">
        <v>391</v>
      </c>
      <c r="B81" t="s">
        <v>408</v>
      </c>
      <c r="C81" t="s">
        <v>455</v>
      </c>
      <c r="D81" t="s">
        <v>285</v>
      </c>
      <c r="E81" s="48">
        <v>1</v>
      </c>
      <c r="F81" s="24">
        <v>867</v>
      </c>
      <c r="G81" s="24">
        <v>867</v>
      </c>
      <c r="H81" t="s">
        <v>462</v>
      </c>
    </row>
    <row r="82" spans="1:8" ht="15" customHeight="1" x14ac:dyDescent="0.3">
      <c r="A82" t="s">
        <v>391</v>
      </c>
      <c r="B82" t="s">
        <v>408</v>
      </c>
      <c r="C82" t="s">
        <v>455</v>
      </c>
      <c r="D82" t="s">
        <v>285</v>
      </c>
      <c r="E82" s="48">
        <v>21</v>
      </c>
      <c r="F82" s="24">
        <v>9.6999999999999993</v>
      </c>
      <c r="G82" s="24">
        <v>203.7</v>
      </c>
      <c r="H82" t="s">
        <v>433</v>
      </c>
    </row>
    <row r="83" spans="1:8" ht="15" customHeight="1" x14ac:dyDescent="0.3">
      <c r="A83" t="s">
        <v>391</v>
      </c>
      <c r="B83" t="s">
        <v>408</v>
      </c>
      <c r="C83" t="s">
        <v>422</v>
      </c>
      <c r="D83" t="s">
        <v>285</v>
      </c>
      <c r="E83" s="48">
        <v>0</v>
      </c>
      <c r="F83" s="24">
        <v>0</v>
      </c>
      <c r="G83" s="24">
        <v>0</v>
      </c>
      <c r="H83" t="s">
        <v>421</v>
      </c>
    </row>
    <row r="84" spans="1:8" ht="15" customHeight="1" x14ac:dyDescent="0.3">
      <c r="A84" t="s">
        <v>391</v>
      </c>
      <c r="B84" t="s">
        <v>408</v>
      </c>
      <c r="C84" t="s">
        <v>463</v>
      </c>
      <c r="D84" t="s">
        <v>285</v>
      </c>
      <c r="E84" s="48">
        <v>0</v>
      </c>
      <c r="F84" s="24">
        <v>0</v>
      </c>
      <c r="G84" s="24">
        <v>0</v>
      </c>
      <c r="H84" t="s">
        <v>421</v>
      </c>
    </row>
    <row r="85" spans="1:8" ht="15" customHeight="1" x14ac:dyDescent="0.3">
      <c r="A85" t="s">
        <v>391</v>
      </c>
      <c r="B85" t="s">
        <v>408</v>
      </c>
      <c r="C85" t="s">
        <v>409</v>
      </c>
      <c r="D85" t="s">
        <v>282</v>
      </c>
      <c r="E85" s="48">
        <v>378</v>
      </c>
      <c r="F85" s="24">
        <v>1.86</v>
      </c>
      <c r="G85" s="24">
        <v>703.08</v>
      </c>
      <c r="H85" t="s">
        <v>410</v>
      </c>
    </row>
    <row r="86" spans="1:8" ht="15" customHeight="1" x14ac:dyDescent="0.3">
      <c r="A86" t="s">
        <v>391</v>
      </c>
      <c r="B86" t="s">
        <v>408</v>
      </c>
      <c r="C86" t="s">
        <v>411</v>
      </c>
      <c r="D86" t="s">
        <v>282</v>
      </c>
      <c r="E86" s="48">
        <v>1</v>
      </c>
      <c r="F86" s="24">
        <v>383.56</v>
      </c>
      <c r="G86" s="24">
        <v>383.56</v>
      </c>
      <c r="H86" t="s">
        <v>464</v>
      </c>
    </row>
    <row r="87" spans="1:8" ht="15" customHeight="1" x14ac:dyDescent="0.3">
      <c r="A87" t="s">
        <v>391</v>
      </c>
      <c r="B87" t="s">
        <v>408</v>
      </c>
      <c r="C87" t="s">
        <v>413</v>
      </c>
      <c r="D87" t="s">
        <v>282</v>
      </c>
      <c r="E87" s="48">
        <v>2</v>
      </c>
      <c r="F87" s="24">
        <v>338.53</v>
      </c>
      <c r="G87" s="24">
        <v>677.06</v>
      </c>
      <c r="H87" t="s">
        <v>465</v>
      </c>
    </row>
    <row r="88" spans="1:8" ht="15" customHeight="1" x14ac:dyDescent="0.3">
      <c r="A88" t="s">
        <v>391</v>
      </c>
      <c r="B88" t="s">
        <v>408</v>
      </c>
      <c r="C88" t="s">
        <v>415</v>
      </c>
      <c r="D88" t="s">
        <v>282</v>
      </c>
      <c r="E88" s="48">
        <v>2</v>
      </c>
      <c r="F88" s="24">
        <v>400.26</v>
      </c>
      <c r="G88" s="24">
        <v>800.52</v>
      </c>
      <c r="H88" t="s">
        <v>466</v>
      </c>
    </row>
    <row r="89" spans="1:8" ht="15" customHeight="1" x14ac:dyDescent="0.3">
      <c r="A89" t="s">
        <v>391</v>
      </c>
      <c r="B89" t="s">
        <v>408</v>
      </c>
      <c r="C89" t="s">
        <v>422</v>
      </c>
      <c r="D89" t="s">
        <v>282</v>
      </c>
      <c r="E89" s="48">
        <v>4</v>
      </c>
      <c r="F89" s="24">
        <v>0</v>
      </c>
      <c r="G89" s="24">
        <v>0</v>
      </c>
      <c r="H89" t="s">
        <v>421</v>
      </c>
    </row>
    <row r="90" spans="1:8" ht="15" customHeight="1" x14ac:dyDescent="0.3">
      <c r="A90" t="s">
        <v>391</v>
      </c>
      <c r="B90" t="s">
        <v>408</v>
      </c>
      <c r="C90" t="s">
        <v>467</v>
      </c>
      <c r="D90" t="s">
        <v>282</v>
      </c>
      <c r="E90" s="48">
        <v>0</v>
      </c>
      <c r="F90" s="24">
        <v>0</v>
      </c>
      <c r="G90" s="24">
        <v>0</v>
      </c>
      <c r="H90" t="s">
        <v>421</v>
      </c>
    </row>
    <row r="91" spans="1:8" ht="15" customHeight="1" x14ac:dyDescent="0.3">
      <c r="A91" t="s">
        <v>391</v>
      </c>
      <c r="B91" t="s">
        <v>408</v>
      </c>
      <c r="C91" t="s">
        <v>468</v>
      </c>
      <c r="D91" t="s">
        <v>282</v>
      </c>
      <c r="E91" s="48">
        <v>-15</v>
      </c>
      <c r="F91" s="24">
        <v>0</v>
      </c>
      <c r="G91" s="24">
        <v>0</v>
      </c>
      <c r="H91" t="s">
        <v>421</v>
      </c>
    </row>
    <row r="92" spans="1:8" ht="15" customHeight="1" x14ac:dyDescent="0.3">
      <c r="A92" t="s">
        <v>391</v>
      </c>
      <c r="B92" t="s">
        <v>408</v>
      </c>
      <c r="C92" t="s">
        <v>469</v>
      </c>
      <c r="D92" t="s">
        <v>282</v>
      </c>
      <c r="E92" s="48">
        <v>0</v>
      </c>
      <c r="F92" s="24">
        <v>0</v>
      </c>
      <c r="G92" s="24">
        <v>0</v>
      </c>
      <c r="H92" t="s">
        <v>421</v>
      </c>
    </row>
    <row r="93" spans="1:8" ht="15" customHeight="1" x14ac:dyDescent="0.3">
      <c r="A93" t="s">
        <v>391</v>
      </c>
      <c r="B93" t="s">
        <v>408</v>
      </c>
      <c r="C93" t="s">
        <v>470</v>
      </c>
      <c r="D93" t="s">
        <v>282</v>
      </c>
      <c r="E93" s="48">
        <v>0</v>
      </c>
      <c r="F93" s="24">
        <v>0</v>
      </c>
      <c r="G93" s="24">
        <v>0</v>
      </c>
      <c r="H93" t="s">
        <v>421</v>
      </c>
    </row>
    <row r="94" spans="1:8" ht="15" customHeight="1" x14ac:dyDescent="0.3">
      <c r="A94" t="s">
        <v>391</v>
      </c>
      <c r="B94" t="s">
        <v>143</v>
      </c>
      <c r="C94" t="s">
        <v>471</v>
      </c>
      <c r="D94" t="s">
        <v>287</v>
      </c>
      <c r="E94" s="48">
        <v>6280</v>
      </c>
      <c r="F94" s="24">
        <v>0.17862454502326899</v>
      </c>
      <c r="G94" s="24">
        <v>1121.7621427461299</v>
      </c>
      <c r="H94" t="s">
        <v>394</v>
      </c>
    </row>
    <row r="95" spans="1:8" ht="15" customHeight="1" x14ac:dyDescent="0.3">
      <c r="A95" t="s">
        <v>391</v>
      </c>
      <c r="B95" t="s">
        <v>143</v>
      </c>
      <c r="C95" t="s">
        <v>471</v>
      </c>
      <c r="D95" t="s">
        <v>289</v>
      </c>
      <c r="E95" s="48">
        <v>13402</v>
      </c>
      <c r="F95" s="24">
        <v>0.17862454502326899</v>
      </c>
      <c r="G95" s="24">
        <v>2393.9261524018498</v>
      </c>
      <c r="H95" t="s">
        <v>394</v>
      </c>
    </row>
    <row r="96" spans="1:8" ht="15" customHeight="1" x14ac:dyDescent="0.3">
      <c r="A96" t="s">
        <v>391</v>
      </c>
      <c r="B96" t="s">
        <v>143</v>
      </c>
      <c r="C96" t="s">
        <v>471</v>
      </c>
      <c r="D96" t="s">
        <v>293</v>
      </c>
      <c r="E96" s="48">
        <v>3650</v>
      </c>
      <c r="F96" s="24">
        <v>0.17862454502326899</v>
      </c>
      <c r="G96" s="24">
        <v>651.97958933493203</v>
      </c>
      <c r="H96" t="s">
        <v>394</v>
      </c>
    </row>
    <row r="97" spans="1:8" ht="15" customHeight="1" x14ac:dyDescent="0.3">
      <c r="A97" t="s">
        <v>391</v>
      </c>
      <c r="B97" t="s">
        <v>143</v>
      </c>
      <c r="C97" t="s">
        <v>471</v>
      </c>
      <c r="D97" t="s">
        <v>290</v>
      </c>
      <c r="E97" s="48">
        <v>6396</v>
      </c>
      <c r="F97" s="24">
        <v>0.17862454502326899</v>
      </c>
      <c r="G97" s="24">
        <v>1142.4825899688301</v>
      </c>
      <c r="H97" t="s">
        <v>394</v>
      </c>
    </row>
    <row r="98" spans="1:8" ht="15" customHeight="1" x14ac:dyDescent="0.3">
      <c r="A98" t="s">
        <v>391</v>
      </c>
      <c r="B98" t="s">
        <v>143</v>
      </c>
      <c r="C98" t="s">
        <v>471</v>
      </c>
      <c r="D98" t="s">
        <v>284</v>
      </c>
      <c r="E98" s="48">
        <v>14331</v>
      </c>
      <c r="F98" s="24">
        <v>0.17862454502326899</v>
      </c>
      <c r="G98" s="24">
        <v>2559.86835472847</v>
      </c>
      <c r="H98" t="s">
        <v>394</v>
      </c>
    </row>
    <row r="99" spans="1:8" ht="15" customHeight="1" x14ac:dyDescent="0.3">
      <c r="A99" t="s">
        <v>391</v>
      </c>
      <c r="B99" t="s">
        <v>143</v>
      </c>
      <c r="C99" t="s">
        <v>471</v>
      </c>
      <c r="D99" t="s">
        <v>285</v>
      </c>
      <c r="E99" s="48">
        <v>4730</v>
      </c>
      <c r="F99" s="24">
        <v>0.17862454502326899</v>
      </c>
      <c r="G99" s="24">
        <v>844.89409796006305</v>
      </c>
      <c r="H99" t="s">
        <v>394</v>
      </c>
    </row>
    <row r="100" spans="1:8" ht="15" customHeight="1" x14ac:dyDescent="0.3">
      <c r="A100" t="s">
        <v>391</v>
      </c>
      <c r="B100" t="s">
        <v>143</v>
      </c>
      <c r="C100" t="s">
        <v>471</v>
      </c>
      <c r="D100" t="s">
        <v>282</v>
      </c>
      <c r="E100" s="48">
        <v>4782</v>
      </c>
      <c r="F100" s="24">
        <v>0.17862454502326899</v>
      </c>
      <c r="G100" s="24">
        <v>854.18257430127301</v>
      </c>
      <c r="H100" t="s">
        <v>394</v>
      </c>
    </row>
    <row r="101" spans="1:8" ht="15" customHeight="1" x14ac:dyDescent="0.3">
      <c r="A101" t="s">
        <v>391</v>
      </c>
      <c r="B101" t="s">
        <v>141</v>
      </c>
      <c r="C101" t="s">
        <v>472</v>
      </c>
      <c r="D101" t="s">
        <v>289</v>
      </c>
      <c r="E101" s="48">
        <v>13402</v>
      </c>
      <c r="F101" s="24">
        <v>8.7142439691267295E-2</v>
      </c>
      <c r="G101" s="24">
        <v>1167.8829767423699</v>
      </c>
      <c r="H101" t="s">
        <v>394</v>
      </c>
    </row>
    <row r="102" spans="1:8" ht="15" customHeight="1" x14ac:dyDescent="0.3">
      <c r="A102" t="s">
        <v>391</v>
      </c>
      <c r="B102" t="s">
        <v>45</v>
      </c>
      <c r="C102" t="s">
        <v>473</v>
      </c>
      <c r="D102" t="s">
        <v>287</v>
      </c>
      <c r="E102" s="48">
        <v>1</v>
      </c>
      <c r="F102" s="24">
        <v>9145.68</v>
      </c>
      <c r="G102" s="24">
        <v>9145.68</v>
      </c>
      <c r="H102" t="s">
        <v>474</v>
      </c>
    </row>
    <row r="103" spans="1:8" ht="15" customHeight="1" x14ac:dyDescent="0.3">
      <c r="A103" t="s">
        <v>391</v>
      </c>
      <c r="B103" t="s">
        <v>45</v>
      </c>
      <c r="C103" t="s">
        <v>473</v>
      </c>
      <c r="D103" t="s">
        <v>293</v>
      </c>
      <c r="E103" s="48">
        <v>1</v>
      </c>
      <c r="F103" s="24">
        <v>3372.11</v>
      </c>
      <c r="G103" s="24">
        <v>3372.11</v>
      </c>
      <c r="H103" t="s">
        <v>474</v>
      </c>
    </row>
    <row r="104" spans="1:8" ht="15" customHeight="1" x14ac:dyDescent="0.3">
      <c r="A104" t="s">
        <v>391</v>
      </c>
      <c r="B104" t="s">
        <v>45</v>
      </c>
      <c r="C104" t="s">
        <v>473</v>
      </c>
      <c r="D104" t="s">
        <v>285</v>
      </c>
      <c r="E104" s="48">
        <v>1</v>
      </c>
      <c r="F104" s="24">
        <v>15695.77</v>
      </c>
      <c r="G104" s="24">
        <v>15695.77</v>
      </c>
      <c r="H104" t="s">
        <v>474</v>
      </c>
    </row>
    <row r="105" spans="1:8" ht="15" customHeight="1" x14ac:dyDescent="0.3">
      <c r="A105" t="s">
        <v>391</v>
      </c>
      <c r="B105" t="s">
        <v>45</v>
      </c>
      <c r="C105" t="s">
        <v>475</v>
      </c>
      <c r="D105" t="s">
        <v>282</v>
      </c>
      <c r="E105" s="48">
        <v>0</v>
      </c>
      <c r="F105" s="24">
        <v>0</v>
      </c>
      <c r="G105" s="24">
        <v>0</v>
      </c>
      <c r="H105" t="s">
        <v>476</v>
      </c>
    </row>
    <row r="106" spans="1:8" ht="15" customHeight="1" x14ac:dyDescent="0.3">
      <c r="A106" t="s">
        <v>391</v>
      </c>
      <c r="B106" t="s">
        <v>50</v>
      </c>
      <c r="C106" t="s">
        <v>477</v>
      </c>
      <c r="D106" t="s">
        <v>287</v>
      </c>
      <c r="E106" s="48">
        <v>1</v>
      </c>
      <c r="F106" s="24">
        <v>1128</v>
      </c>
      <c r="G106" s="24">
        <v>1128</v>
      </c>
      <c r="H106" t="s">
        <v>478</v>
      </c>
    </row>
    <row r="107" spans="1:8" ht="15" customHeight="1" x14ac:dyDescent="0.3">
      <c r="A107" t="s">
        <v>391</v>
      </c>
      <c r="B107" t="s">
        <v>50</v>
      </c>
      <c r="C107" t="s">
        <v>477</v>
      </c>
      <c r="D107" t="s">
        <v>293</v>
      </c>
      <c r="E107" s="48">
        <v>1</v>
      </c>
      <c r="F107" s="24">
        <v>676.8</v>
      </c>
      <c r="G107" s="24">
        <v>676.8</v>
      </c>
      <c r="H107" t="s">
        <v>478</v>
      </c>
    </row>
    <row r="108" spans="1:8" ht="15" customHeight="1" x14ac:dyDescent="0.3">
      <c r="A108" t="s">
        <v>391</v>
      </c>
      <c r="B108" t="s">
        <v>50</v>
      </c>
      <c r="C108" t="s">
        <v>477</v>
      </c>
      <c r="D108" t="s">
        <v>290</v>
      </c>
      <c r="E108" s="48">
        <v>1</v>
      </c>
      <c r="F108" s="24">
        <v>676.8</v>
      </c>
      <c r="G108" s="24">
        <v>676.8</v>
      </c>
      <c r="H108" t="s">
        <v>479</v>
      </c>
    </row>
    <row r="109" spans="1:8" ht="15" customHeight="1" x14ac:dyDescent="0.3">
      <c r="A109" t="s">
        <v>391</v>
      </c>
      <c r="B109" t="s">
        <v>50</v>
      </c>
      <c r="C109" t="s">
        <v>477</v>
      </c>
      <c r="D109" t="s">
        <v>290</v>
      </c>
      <c r="E109" s="48">
        <v>1</v>
      </c>
      <c r="F109" s="24">
        <v>338.4</v>
      </c>
      <c r="G109" s="24">
        <v>338.4</v>
      </c>
      <c r="H109" t="s">
        <v>478</v>
      </c>
    </row>
    <row r="110" spans="1:8" ht="15" customHeight="1" x14ac:dyDescent="0.3">
      <c r="A110" t="s">
        <v>391</v>
      </c>
      <c r="B110" t="s">
        <v>50</v>
      </c>
      <c r="C110" t="s">
        <v>477</v>
      </c>
      <c r="D110" t="s">
        <v>284</v>
      </c>
      <c r="E110" s="48">
        <v>1</v>
      </c>
      <c r="F110" s="24">
        <v>676.8</v>
      </c>
      <c r="G110" s="24">
        <v>676.8</v>
      </c>
      <c r="H110" t="s">
        <v>480</v>
      </c>
    </row>
    <row r="111" spans="1:8" ht="15" customHeight="1" x14ac:dyDescent="0.3">
      <c r="A111" t="s">
        <v>391</v>
      </c>
      <c r="B111" t="s">
        <v>50</v>
      </c>
      <c r="C111" t="s">
        <v>477</v>
      </c>
      <c r="D111" t="s">
        <v>284</v>
      </c>
      <c r="E111" s="48">
        <v>1</v>
      </c>
      <c r="F111" s="24">
        <v>2387.6</v>
      </c>
      <c r="G111" s="24">
        <v>2387.6</v>
      </c>
      <c r="H111" t="s">
        <v>478</v>
      </c>
    </row>
    <row r="112" spans="1:8" ht="15" customHeight="1" x14ac:dyDescent="0.3">
      <c r="A112" t="s">
        <v>391</v>
      </c>
      <c r="B112" t="s">
        <v>50</v>
      </c>
      <c r="C112" t="s">
        <v>477</v>
      </c>
      <c r="D112" t="s">
        <v>285</v>
      </c>
      <c r="E112" s="48">
        <v>1</v>
      </c>
      <c r="F112" s="24">
        <v>676.8</v>
      </c>
      <c r="G112" s="24">
        <v>676.8</v>
      </c>
      <c r="H112" t="s">
        <v>478</v>
      </c>
    </row>
    <row r="113" spans="1:8" ht="15" customHeight="1" x14ac:dyDescent="0.3">
      <c r="A113" t="s">
        <v>391</v>
      </c>
      <c r="B113" t="s">
        <v>50</v>
      </c>
      <c r="C113" t="s">
        <v>477</v>
      </c>
      <c r="D113" t="s">
        <v>282</v>
      </c>
      <c r="E113" s="48">
        <v>1</v>
      </c>
      <c r="F113" s="24">
        <v>569.64</v>
      </c>
      <c r="G113" s="24">
        <v>569.64</v>
      </c>
      <c r="H113" t="s">
        <v>478</v>
      </c>
    </row>
    <row r="114" spans="1:8" ht="15" customHeight="1" x14ac:dyDescent="0.3">
      <c r="A114" t="s">
        <v>391</v>
      </c>
      <c r="B114" t="s">
        <v>481</v>
      </c>
      <c r="C114" t="s">
        <v>482</v>
      </c>
      <c r="D114" t="s">
        <v>287</v>
      </c>
      <c r="E114" s="48">
        <v>0</v>
      </c>
      <c r="F114" s="24">
        <v>0</v>
      </c>
      <c r="G114" s="24">
        <v>0</v>
      </c>
      <c r="H114" t="s">
        <v>483</v>
      </c>
    </row>
    <row r="115" spans="1:8" ht="15" customHeight="1" x14ac:dyDescent="0.3">
      <c r="A115" t="s">
        <v>391</v>
      </c>
      <c r="B115" t="s">
        <v>481</v>
      </c>
      <c r="C115" t="s">
        <v>484</v>
      </c>
      <c r="D115" t="s">
        <v>287</v>
      </c>
      <c r="E115" s="48">
        <v>0</v>
      </c>
      <c r="F115" s="24">
        <v>0</v>
      </c>
      <c r="G115" s="24">
        <v>0</v>
      </c>
      <c r="H115" t="s">
        <v>485</v>
      </c>
    </row>
    <row r="116" spans="1:8" ht="15" customHeight="1" x14ac:dyDescent="0.3">
      <c r="A116" t="s">
        <v>391</v>
      </c>
      <c r="B116" t="s">
        <v>481</v>
      </c>
      <c r="C116" t="s">
        <v>486</v>
      </c>
      <c r="D116" t="s">
        <v>287</v>
      </c>
      <c r="E116" s="48">
        <v>10</v>
      </c>
      <c r="F116" s="24">
        <v>20</v>
      </c>
      <c r="G116" s="24">
        <v>200</v>
      </c>
      <c r="H116" t="s">
        <v>487</v>
      </c>
    </row>
    <row r="117" spans="1:8" ht="15" customHeight="1" x14ac:dyDescent="0.3">
      <c r="A117" t="s">
        <v>391</v>
      </c>
      <c r="B117" t="s">
        <v>481</v>
      </c>
      <c r="C117" t="s">
        <v>488</v>
      </c>
      <c r="D117" t="s">
        <v>287</v>
      </c>
      <c r="E117" s="48">
        <v>0</v>
      </c>
      <c r="F117" s="24">
        <v>0</v>
      </c>
      <c r="G117" s="24">
        <v>0</v>
      </c>
      <c r="H117" t="s">
        <v>489</v>
      </c>
    </row>
    <row r="118" spans="1:8" ht="15" customHeight="1" x14ac:dyDescent="0.3">
      <c r="A118" t="s">
        <v>391</v>
      </c>
      <c r="B118" t="s">
        <v>481</v>
      </c>
      <c r="C118" t="s">
        <v>490</v>
      </c>
      <c r="D118" t="s">
        <v>287</v>
      </c>
      <c r="E118" s="48">
        <v>0</v>
      </c>
      <c r="F118" s="24">
        <v>0</v>
      </c>
      <c r="G118" s="24">
        <v>0</v>
      </c>
      <c r="H118" t="s">
        <v>491</v>
      </c>
    </row>
    <row r="119" spans="1:8" ht="15" customHeight="1" x14ac:dyDescent="0.3">
      <c r="A119" t="s">
        <v>391</v>
      </c>
      <c r="B119" t="s">
        <v>481</v>
      </c>
      <c r="C119" t="s">
        <v>488</v>
      </c>
      <c r="D119" t="s">
        <v>289</v>
      </c>
      <c r="E119" s="48">
        <v>1</v>
      </c>
      <c r="F119" s="24">
        <v>1112.18</v>
      </c>
      <c r="G119" s="24">
        <v>1112.18</v>
      </c>
      <c r="H119" t="s">
        <v>489</v>
      </c>
    </row>
    <row r="120" spans="1:8" ht="15" customHeight="1" x14ac:dyDescent="0.3">
      <c r="A120" t="s">
        <v>391</v>
      </c>
      <c r="B120" t="s">
        <v>481</v>
      </c>
      <c r="C120" t="s">
        <v>486</v>
      </c>
      <c r="D120" t="s">
        <v>293</v>
      </c>
      <c r="E120" s="48">
        <v>3</v>
      </c>
      <c r="F120" s="24">
        <v>20</v>
      </c>
      <c r="G120" s="24">
        <v>60</v>
      </c>
      <c r="H120" t="s">
        <v>487</v>
      </c>
    </row>
    <row r="121" spans="1:8" ht="15" customHeight="1" x14ac:dyDescent="0.3">
      <c r="A121" t="s">
        <v>391</v>
      </c>
      <c r="B121" t="s">
        <v>481</v>
      </c>
      <c r="C121" t="s">
        <v>488</v>
      </c>
      <c r="D121" t="s">
        <v>293</v>
      </c>
      <c r="E121" s="48">
        <v>1</v>
      </c>
      <c r="F121" s="24">
        <v>387.64</v>
      </c>
      <c r="G121" s="24">
        <v>387.64</v>
      </c>
      <c r="H121" t="s">
        <v>489</v>
      </c>
    </row>
    <row r="122" spans="1:8" ht="15" customHeight="1" x14ac:dyDescent="0.3">
      <c r="A122" t="s">
        <v>391</v>
      </c>
      <c r="B122" t="s">
        <v>481</v>
      </c>
      <c r="C122" t="s">
        <v>490</v>
      </c>
      <c r="D122" t="s">
        <v>293</v>
      </c>
      <c r="E122" s="48">
        <v>0</v>
      </c>
      <c r="F122" s="24">
        <v>0</v>
      </c>
      <c r="G122" s="24">
        <v>0</v>
      </c>
      <c r="H122" t="s">
        <v>491</v>
      </c>
    </row>
    <row r="123" spans="1:8" ht="15" customHeight="1" x14ac:dyDescent="0.3">
      <c r="A123" t="s">
        <v>391</v>
      </c>
      <c r="B123" t="s">
        <v>481</v>
      </c>
      <c r="C123" t="s">
        <v>482</v>
      </c>
      <c r="D123" t="s">
        <v>290</v>
      </c>
      <c r="E123" s="48">
        <v>0</v>
      </c>
      <c r="F123" s="24">
        <v>0</v>
      </c>
      <c r="G123" s="24">
        <v>0</v>
      </c>
      <c r="H123" t="s">
        <v>492</v>
      </c>
    </row>
    <row r="124" spans="1:8" ht="15" customHeight="1" x14ac:dyDescent="0.3">
      <c r="A124" t="s">
        <v>391</v>
      </c>
      <c r="B124" t="s">
        <v>481</v>
      </c>
      <c r="C124" t="s">
        <v>484</v>
      </c>
      <c r="D124" t="s">
        <v>290</v>
      </c>
      <c r="E124" s="48">
        <v>0</v>
      </c>
      <c r="F124" s="24">
        <v>0</v>
      </c>
      <c r="G124" s="24">
        <v>0</v>
      </c>
      <c r="H124" t="s">
        <v>493</v>
      </c>
    </row>
    <row r="125" spans="1:8" ht="15" customHeight="1" x14ac:dyDescent="0.3">
      <c r="A125" t="s">
        <v>391</v>
      </c>
      <c r="B125" t="s">
        <v>481</v>
      </c>
      <c r="C125" t="s">
        <v>494</v>
      </c>
      <c r="D125" t="s">
        <v>290</v>
      </c>
      <c r="E125" s="48">
        <v>0</v>
      </c>
      <c r="F125" s="24">
        <v>0</v>
      </c>
      <c r="G125" s="24">
        <v>0</v>
      </c>
      <c r="H125" t="s">
        <v>491</v>
      </c>
    </row>
    <row r="126" spans="1:8" ht="15" customHeight="1" x14ac:dyDescent="0.3">
      <c r="A126" t="s">
        <v>391</v>
      </c>
      <c r="B126" t="s">
        <v>481</v>
      </c>
      <c r="C126" t="s">
        <v>486</v>
      </c>
      <c r="D126" t="s">
        <v>290</v>
      </c>
      <c r="E126" s="48">
        <v>13</v>
      </c>
      <c r="F126" s="24">
        <v>20</v>
      </c>
      <c r="G126" s="24">
        <v>260</v>
      </c>
      <c r="H126" t="s">
        <v>487</v>
      </c>
    </row>
    <row r="127" spans="1:8" ht="15" customHeight="1" x14ac:dyDescent="0.3">
      <c r="A127" t="s">
        <v>391</v>
      </c>
      <c r="B127" t="s">
        <v>481</v>
      </c>
      <c r="C127" t="s">
        <v>488</v>
      </c>
      <c r="D127" t="s">
        <v>290</v>
      </c>
      <c r="E127" s="48">
        <v>0</v>
      </c>
      <c r="F127" s="24">
        <v>0</v>
      </c>
      <c r="G127" s="24">
        <v>0</v>
      </c>
      <c r="H127" t="s">
        <v>489</v>
      </c>
    </row>
    <row r="128" spans="1:8" ht="15" customHeight="1" x14ac:dyDescent="0.3">
      <c r="A128" t="s">
        <v>391</v>
      </c>
      <c r="B128" t="s">
        <v>481</v>
      </c>
      <c r="C128" t="s">
        <v>490</v>
      </c>
      <c r="D128" t="s">
        <v>290</v>
      </c>
      <c r="E128" s="48">
        <v>0</v>
      </c>
      <c r="F128" s="24">
        <v>0</v>
      </c>
      <c r="G128" s="24">
        <v>0</v>
      </c>
      <c r="H128" t="s">
        <v>491</v>
      </c>
    </row>
    <row r="129" spans="1:8" ht="15" customHeight="1" x14ac:dyDescent="0.3">
      <c r="A129" t="s">
        <v>391</v>
      </c>
      <c r="B129" t="s">
        <v>481</v>
      </c>
      <c r="C129" t="s">
        <v>486</v>
      </c>
      <c r="D129" t="s">
        <v>284</v>
      </c>
      <c r="E129" s="48">
        <v>19</v>
      </c>
      <c r="F129" s="24">
        <v>20</v>
      </c>
      <c r="G129" s="24">
        <v>380</v>
      </c>
      <c r="H129" t="s">
        <v>487</v>
      </c>
    </row>
    <row r="130" spans="1:8" ht="15" customHeight="1" x14ac:dyDescent="0.3">
      <c r="A130" t="s">
        <v>391</v>
      </c>
      <c r="B130" t="s">
        <v>481</v>
      </c>
      <c r="C130" t="s">
        <v>488</v>
      </c>
      <c r="D130" t="s">
        <v>284</v>
      </c>
      <c r="E130" s="48">
        <v>1</v>
      </c>
      <c r="F130" s="24">
        <v>1092.02</v>
      </c>
      <c r="G130" s="24">
        <v>1092.02</v>
      </c>
      <c r="H130" t="s">
        <v>489</v>
      </c>
    </row>
    <row r="131" spans="1:8" ht="15" customHeight="1" x14ac:dyDescent="0.3">
      <c r="A131" t="s">
        <v>391</v>
      </c>
      <c r="B131" t="s">
        <v>481</v>
      </c>
      <c r="C131" t="s">
        <v>495</v>
      </c>
      <c r="D131" t="s">
        <v>284</v>
      </c>
      <c r="E131" s="48">
        <v>1</v>
      </c>
      <c r="F131" s="24">
        <v>1326.53</v>
      </c>
      <c r="G131" s="24">
        <v>1326.53</v>
      </c>
      <c r="H131" t="s">
        <v>491</v>
      </c>
    </row>
    <row r="132" spans="1:8" ht="15" customHeight="1" x14ac:dyDescent="0.3">
      <c r="A132" t="s">
        <v>391</v>
      </c>
      <c r="B132" t="s">
        <v>481</v>
      </c>
      <c r="C132" t="s">
        <v>494</v>
      </c>
      <c r="D132" t="s">
        <v>285</v>
      </c>
      <c r="E132" s="48">
        <v>0</v>
      </c>
      <c r="F132" s="24">
        <v>0</v>
      </c>
      <c r="G132" s="24">
        <v>0</v>
      </c>
      <c r="H132" t="s">
        <v>496</v>
      </c>
    </row>
    <row r="133" spans="1:8" ht="15" customHeight="1" x14ac:dyDescent="0.3">
      <c r="A133" t="s">
        <v>391</v>
      </c>
      <c r="B133" t="s">
        <v>481</v>
      </c>
      <c r="C133" t="s">
        <v>486</v>
      </c>
      <c r="D133" t="s">
        <v>285</v>
      </c>
      <c r="E133" s="48">
        <v>4</v>
      </c>
      <c r="F133" s="24">
        <v>20</v>
      </c>
      <c r="G133" s="24">
        <v>80</v>
      </c>
      <c r="H133" t="s">
        <v>487</v>
      </c>
    </row>
    <row r="134" spans="1:8" ht="15" customHeight="1" x14ac:dyDescent="0.3">
      <c r="A134" t="s">
        <v>391</v>
      </c>
      <c r="B134" t="s">
        <v>481</v>
      </c>
      <c r="C134" t="s">
        <v>488</v>
      </c>
      <c r="D134" t="s">
        <v>285</v>
      </c>
      <c r="E134" s="48">
        <v>0</v>
      </c>
      <c r="F134" s="24">
        <v>0</v>
      </c>
      <c r="G134" s="24">
        <v>0</v>
      </c>
      <c r="H134" t="s">
        <v>489</v>
      </c>
    </row>
    <row r="135" spans="1:8" ht="15" customHeight="1" x14ac:dyDescent="0.3">
      <c r="A135" t="s">
        <v>391</v>
      </c>
      <c r="B135" t="s">
        <v>481</v>
      </c>
      <c r="C135" t="s">
        <v>495</v>
      </c>
      <c r="D135" t="s">
        <v>285</v>
      </c>
      <c r="E135" s="48">
        <v>1</v>
      </c>
      <c r="F135" s="24">
        <v>366.53</v>
      </c>
      <c r="G135" s="24">
        <v>366.53</v>
      </c>
      <c r="H135" t="s">
        <v>491</v>
      </c>
    </row>
    <row r="136" spans="1:8" ht="15" customHeight="1" x14ac:dyDescent="0.3">
      <c r="A136" t="s">
        <v>391</v>
      </c>
      <c r="B136" t="s">
        <v>481</v>
      </c>
      <c r="C136" t="s">
        <v>482</v>
      </c>
      <c r="D136" t="s">
        <v>282</v>
      </c>
      <c r="E136" s="48">
        <v>0</v>
      </c>
      <c r="F136" s="24">
        <v>0</v>
      </c>
      <c r="G136" s="24">
        <v>0</v>
      </c>
      <c r="H136" t="s">
        <v>497</v>
      </c>
    </row>
    <row r="137" spans="1:8" ht="15" customHeight="1" x14ac:dyDescent="0.3">
      <c r="A137" t="s">
        <v>391</v>
      </c>
      <c r="B137" t="s">
        <v>481</v>
      </c>
      <c r="C137" t="s">
        <v>486</v>
      </c>
      <c r="D137" t="s">
        <v>282</v>
      </c>
      <c r="E137" s="48">
        <v>8</v>
      </c>
      <c r="F137" s="24">
        <v>20</v>
      </c>
      <c r="G137" s="24">
        <v>160</v>
      </c>
      <c r="H137" t="s">
        <v>487</v>
      </c>
    </row>
    <row r="138" spans="1:8" ht="15" customHeight="1" x14ac:dyDescent="0.3">
      <c r="A138" t="s">
        <v>391</v>
      </c>
      <c r="B138" t="s">
        <v>481</v>
      </c>
      <c r="C138" t="s">
        <v>488</v>
      </c>
      <c r="D138" t="s">
        <v>282</v>
      </c>
      <c r="E138" s="48">
        <v>1</v>
      </c>
      <c r="F138" s="24">
        <v>643.20000000000005</v>
      </c>
      <c r="G138" s="24">
        <v>643.20000000000005</v>
      </c>
      <c r="H138" t="s">
        <v>489</v>
      </c>
    </row>
    <row r="139" spans="1:8" ht="15" customHeight="1" x14ac:dyDescent="0.3">
      <c r="A139" t="s">
        <v>391</v>
      </c>
      <c r="B139" t="s">
        <v>481</v>
      </c>
      <c r="C139" t="s">
        <v>490</v>
      </c>
      <c r="D139" t="s">
        <v>282</v>
      </c>
      <c r="E139" s="48">
        <v>1</v>
      </c>
      <c r="F139" s="24">
        <v>664.27</v>
      </c>
      <c r="G139" s="24">
        <v>664.27</v>
      </c>
      <c r="H139" t="s">
        <v>491</v>
      </c>
    </row>
    <row r="140" spans="1:8" ht="15" customHeight="1" x14ac:dyDescent="0.3">
      <c r="A140" t="s">
        <v>391</v>
      </c>
      <c r="B140" t="s">
        <v>498</v>
      </c>
      <c r="C140" t="s">
        <v>499</v>
      </c>
      <c r="D140" t="s">
        <v>287</v>
      </c>
      <c r="E140" s="48">
        <v>0</v>
      </c>
      <c r="F140" s="24">
        <v>0</v>
      </c>
      <c r="G140" s="24">
        <v>0</v>
      </c>
      <c r="H140" t="s">
        <v>500</v>
      </c>
    </row>
    <row r="141" spans="1:8" ht="15" customHeight="1" x14ac:dyDescent="0.3">
      <c r="A141" t="s">
        <v>391</v>
      </c>
      <c r="B141" t="s">
        <v>498</v>
      </c>
      <c r="C141" t="s">
        <v>501</v>
      </c>
      <c r="D141" t="s">
        <v>287</v>
      </c>
      <c r="E141" s="48">
        <v>0</v>
      </c>
      <c r="F141" s="24">
        <v>0</v>
      </c>
      <c r="G141" s="24">
        <v>0</v>
      </c>
      <c r="H141" t="s">
        <v>502</v>
      </c>
    </row>
    <row r="142" spans="1:8" ht="15" customHeight="1" x14ac:dyDescent="0.3">
      <c r="A142" t="s">
        <v>391</v>
      </c>
      <c r="B142" t="s">
        <v>498</v>
      </c>
      <c r="C142" t="s">
        <v>503</v>
      </c>
      <c r="D142" t="s">
        <v>287</v>
      </c>
      <c r="E142" s="48">
        <v>0</v>
      </c>
      <c r="F142" s="24">
        <v>0</v>
      </c>
      <c r="G142" s="24">
        <v>0</v>
      </c>
      <c r="H142" t="s">
        <v>504</v>
      </c>
    </row>
    <row r="143" spans="1:8" ht="15" customHeight="1" x14ac:dyDescent="0.3">
      <c r="A143" t="s">
        <v>391</v>
      </c>
      <c r="B143" t="s">
        <v>498</v>
      </c>
      <c r="C143" t="s">
        <v>505</v>
      </c>
      <c r="D143" t="s">
        <v>287</v>
      </c>
      <c r="E143" s="48">
        <v>0</v>
      </c>
      <c r="F143" s="24">
        <v>0</v>
      </c>
      <c r="G143" s="24">
        <v>0</v>
      </c>
      <c r="H143" t="s">
        <v>506</v>
      </c>
    </row>
    <row r="144" spans="1:8" ht="15" customHeight="1" x14ac:dyDescent="0.3">
      <c r="A144" t="s">
        <v>391</v>
      </c>
      <c r="B144" t="s">
        <v>498</v>
      </c>
      <c r="C144" t="s">
        <v>507</v>
      </c>
      <c r="D144" t="s">
        <v>289</v>
      </c>
      <c r="E144" s="48">
        <v>1</v>
      </c>
      <c r="F144" s="24">
        <v>315.66000000000003</v>
      </c>
      <c r="G144" s="24">
        <v>315.66000000000003</v>
      </c>
      <c r="H144" t="s">
        <v>508</v>
      </c>
    </row>
    <row r="145" spans="1:8" ht="15" customHeight="1" x14ac:dyDescent="0.3">
      <c r="A145" t="s">
        <v>391</v>
      </c>
      <c r="B145" t="s">
        <v>498</v>
      </c>
      <c r="C145" t="s">
        <v>509</v>
      </c>
      <c r="D145" t="s">
        <v>289</v>
      </c>
      <c r="E145" s="48">
        <v>0</v>
      </c>
      <c r="F145" s="24">
        <v>0</v>
      </c>
      <c r="G145" s="24">
        <v>0</v>
      </c>
      <c r="H145" t="s">
        <v>510</v>
      </c>
    </row>
    <row r="146" spans="1:8" ht="15" customHeight="1" x14ac:dyDescent="0.3">
      <c r="A146" t="s">
        <v>391</v>
      </c>
      <c r="B146" t="s">
        <v>498</v>
      </c>
      <c r="C146" t="s">
        <v>511</v>
      </c>
      <c r="D146" t="s">
        <v>293</v>
      </c>
      <c r="E146" s="48">
        <v>1</v>
      </c>
      <c r="F146" s="24">
        <v>64.680000000000007</v>
      </c>
      <c r="G146" s="24">
        <v>64.680000000000007</v>
      </c>
      <c r="H146" t="s">
        <v>512</v>
      </c>
    </row>
    <row r="147" spans="1:8" ht="15" customHeight="1" x14ac:dyDescent="0.3">
      <c r="A147" t="s">
        <v>391</v>
      </c>
      <c r="B147" t="s">
        <v>498</v>
      </c>
      <c r="C147" t="s">
        <v>513</v>
      </c>
      <c r="D147" t="s">
        <v>293</v>
      </c>
      <c r="E147" s="48">
        <v>-1</v>
      </c>
      <c r="F147" s="24">
        <v>2120.7199999999998</v>
      </c>
      <c r="G147" s="24">
        <v>-2120.7199999999998</v>
      </c>
      <c r="H147" t="s">
        <v>514</v>
      </c>
    </row>
    <row r="148" spans="1:8" ht="15" customHeight="1" x14ac:dyDescent="0.3">
      <c r="A148" t="s">
        <v>391</v>
      </c>
      <c r="B148" t="s">
        <v>498</v>
      </c>
      <c r="C148" t="s">
        <v>515</v>
      </c>
      <c r="D148" t="s">
        <v>293</v>
      </c>
      <c r="E148" s="48">
        <v>0</v>
      </c>
      <c r="F148" s="24">
        <v>0</v>
      </c>
      <c r="G148" s="24">
        <v>0</v>
      </c>
      <c r="H148" t="s">
        <v>508</v>
      </c>
    </row>
    <row r="149" spans="1:8" ht="15" customHeight="1" x14ac:dyDescent="0.3">
      <c r="A149" t="s">
        <v>391</v>
      </c>
      <c r="B149" t="s">
        <v>498</v>
      </c>
      <c r="C149" t="s">
        <v>516</v>
      </c>
      <c r="D149" t="s">
        <v>293</v>
      </c>
      <c r="E149" s="48">
        <v>1</v>
      </c>
      <c r="F149" s="24">
        <v>310.32</v>
      </c>
      <c r="G149" s="24">
        <v>310.32</v>
      </c>
      <c r="H149" t="s">
        <v>517</v>
      </c>
    </row>
    <row r="150" spans="1:8" ht="15" customHeight="1" x14ac:dyDescent="0.3">
      <c r="A150" t="s">
        <v>391</v>
      </c>
      <c r="B150" t="s">
        <v>498</v>
      </c>
      <c r="C150" t="s">
        <v>518</v>
      </c>
      <c r="D150" t="s">
        <v>293</v>
      </c>
      <c r="E150" s="48">
        <v>-1</v>
      </c>
      <c r="F150" s="24">
        <v>4279.74</v>
      </c>
      <c r="G150" s="24">
        <v>-4279.74</v>
      </c>
      <c r="H150" t="s">
        <v>517</v>
      </c>
    </row>
    <row r="151" spans="1:8" ht="15" customHeight="1" x14ac:dyDescent="0.3">
      <c r="A151" t="s">
        <v>391</v>
      </c>
      <c r="B151" t="s">
        <v>498</v>
      </c>
      <c r="C151" t="s">
        <v>519</v>
      </c>
      <c r="D151" t="s">
        <v>293</v>
      </c>
      <c r="E151" s="48">
        <v>1</v>
      </c>
      <c r="F151" s="24">
        <v>1612.93</v>
      </c>
      <c r="G151" s="24">
        <v>1612.93</v>
      </c>
      <c r="H151" t="s">
        <v>520</v>
      </c>
    </row>
    <row r="152" spans="1:8" ht="15" customHeight="1" x14ac:dyDescent="0.3">
      <c r="A152" t="s">
        <v>391</v>
      </c>
      <c r="B152" t="s">
        <v>498</v>
      </c>
      <c r="C152" t="s">
        <v>521</v>
      </c>
      <c r="D152" t="s">
        <v>290</v>
      </c>
      <c r="E152" s="48">
        <v>0</v>
      </c>
      <c r="F152" s="24">
        <v>0</v>
      </c>
      <c r="G152" s="24">
        <v>0</v>
      </c>
      <c r="H152" t="s">
        <v>508</v>
      </c>
    </row>
    <row r="153" spans="1:8" ht="15" customHeight="1" x14ac:dyDescent="0.3">
      <c r="A153" t="s">
        <v>391</v>
      </c>
      <c r="B153" t="s">
        <v>498</v>
      </c>
      <c r="C153" t="s">
        <v>522</v>
      </c>
      <c r="D153" t="s">
        <v>290</v>
      </c>
      <c r="E153" s="48">
        <v>0</v>
      </c>
      <c r="F153" s="24">
        <v>0</v>
      </c>
      <c r="G153" s="24">
        <v>0</v>
      </c>
      <c r="H153" t="s">
        <v>523</v>
      </c>
    </row>
    <row r="154" spans="1:8" ht="15" customHeight="1" x14ac:dyDescent="0.3">
      <c r="A154" t="s">
        <v>391</v>
      </c>
      <c r="B154" t="s">
        <v>498</v>
      </c>
      <c r="C154" t="s">
        <v>524</v>
      </c>
      <c r="D154" t="s">
        <v>284</v>
      </c>
      <c r="E154" s="48">
        <v>0</v>
      </c>
      <c r="F154" s="24">
        <v>0</v>
      </c>
      <c r="G154" s="24">
        <v>0</v>
      </c>
      <c r="H154" t="s">
        <v>525</v>
      </c>
    </row>
    <row r="155" spans="1:8" ht="15" customHeight="1" x14ac:dyDescent="0.3">
      <c r="A155" t="s">
        <v>391</v>
      </c>
      <c r="B155" t="s">
        <v>498</v>
      </c>
      <c r="C155" t="s">
        <v>526</v>
      </c>
      <c r="D155" t="s">
        <v>284</v>
      </c>
      <c r="E155" s="48">
        <v>0</v>
      </c>
      <c r="F155" s="24">
        <v>0</v>
      </c>
      <c r="G155" s="24">
        <v>0</v>
      </c>
      <c r="H155" t="s">
        <v>500</v>
      </c>
    </row>
    <row r="156" spans="1:8" ht="15" customHeight="1" x14ac:dyDescent="0.3">
      <c r="A156" t="s">
        <v>391</v>
      </c>
      <c r="B156" t="s">
        <v>498</v>
      </c>
      <c r="C156" t="s">
        <v>527</v>
      </c>
      <c r="D156" t="s">
        <v>284</v>
      </c>
      <c r="E156" s="48">
        <v>0</v>
      </c>
      <c r="F156" s="24">
        <v>0</v>
      </c>
      <c r="G156" s="24">
        <v>0</v>
      </c>
      <c r="H156" t="s">
        <v>504</v>
      </c>
    </row>
    <row r="157" spans="1:8" ht="15" customHeight="1" x14ac:dyDescent="0.3">
      <c r="A157" t="s">
        <v>391</v>
      </c>
      <c r="B157" t="s">
        <v>498</v>
      </c>
      <c r="C157" t="s">
        <v>528</v>
      </c>
      <c r="D157" t="s">
        <v>284</v>
      </c>
      <c r="E157" s="48">
        <v>0</v>
      </c>
      <c r="F157" s="24">
        <v>0</v>
      </c>
      <c r="G157" s="24">
        <v>0</v>
      </c>
      <c r="H157" t="s">
        <v>510</v>
      </c>
    </row>
    <row r="158" spans="1:8" ht="15" customHeight="1" x14ac:dyDescent="0.3">
      <c r="A158" t="s">
        <v>391</v>
      </c>
      <c r="B158" t="s">
        <v>498</v>
      </c>
      <c r="C158" t="s">
        <v>524</v>
      </c>
      <c r="D158" t="s">
        <v>285</v>
      </c>
      <c r="E158" s="48">
        <v>0</v>
      </c>
      <c r="F158" s="24">
        <v>0</v>
      </c>
      <c r="G158" s="24">
        <v>0</v>
      </c>
      <c r="H158" t="s">
        <v>508</v>
      </c>
    </row>
    <row r="159" spans="1:8" ht="15" customHeight="1" x14ac:dyDescent="0.3">
      <c r="A159" t="s">
        <v>391</v>
      </c>
      <c r="B159" t="s">
        <v>498</v>
      </c>
      <c r="C159" t="s">
        <v>529</v>
      </c>
      <c r="D159" t="s">
        <v>285</v>
      </c>
      <c r="E159" s="48">
        <v>0</v>
      </c>
      <c r="F159" s="24">
        <v>0</v>
      </c>
      <c r="G159" s="24">
        <v>0</v>
      </c>
      <c r="H159" t="s">
        <v>508</v>
      </c>
    </row>
    <row r="160" spans="1:8" ht="15" customHeight="1" x14ac:dyDescent="0.3">
      <c r="A160" t="s">
        <v>391</v>
      </c>
      <c r="B160" t="s">
        <v>498</v>
      </c>
      <c r="C160" t="s">
        <v>530</v>
      </c>
      <c r="D160" t="s">
        <v>285</v>
      </c>
      <c r="E160" s="48">
        <v>0</v>
      </c>
      <c r="F160" s="24">
        <v>0</v>
      </c>
      <c r="G160" s="24">
        <v>0</v>
      </c>
      <c r="H160" t="s">
        <v>523</v>
      </c>
    </row>
    <row r="161" spans="1:8" ht="15" customHeight="1" x14ac:dyDescent="0.3">
      <c r="A161" t="s">
        <v>391</v>
      </c>
      <c r="B161" t="s">
        <v>498</v>
      </c>
      <c r="C161" t="s">
        <v>528</v>
      </c>
      <c r="D161" t="s">
        <v>285</v>
      </c>
      <c r="E161" s="48">
        <v>0</v>
      </c>
      <c r="F161" s="24">
        <v>0</v>
      </c>
      <c r="G161" s="24">
        <v>0</v>
      </c>
      <c r="H161" t="s">
        <v>531</v>
      </c>
    </row>
    <row r="162" spans="1:8" ht="15" customHeight="1" x14ac:dyDescent="0.3">
      <c r="A162" t="s">
        <v>391</v>
      </c>
      <c r="B162" t="s">
        <v>498</v>
      </c>
      <c r="C162" t="s">
        <v>532</v>
      </c>
      <c r="D162" t="s">
        <v>282</v>
      </c>
      <c r="E162" s="48">
        <v>4782</v>
      </c>
      <c r="F162" s="24">
        <v>0.31</v>
      </c>
      <c r="G162" s="24">
        <v>1482.42</v>
      </c>
      <c r="H162" t="s">
        <v>394</v>
      </c>
    </row>
    <row r="163" spans="1:8" ht="15" customHeight="1" x14ac:dyDescent="0.3">
      <c r="A163" t="s">
        <v>391</v>
      </c>
      <c r="B163" t="s">
        <v>498</v>
      </c>
      <c r="C163" t="s">
        <v>533</v>
      </c>
      <c r="D163" t="s">
        <v>282</v>
      </c>
      <c r="E163" s="48">
        <v>1</v>
      </c>
      <c r="F163" s="24">
        <v>2480.38</v>
      </c>
      <c r="G163" s="24">
        <v>2480.38</v>
      </c>
      <c r="H163" t="s">
        <v>508</v>
      </c>
    </row>
    <row r="164" spans="1:8" ht="15" customHeight="1" x14ac:dyDescent="0.3">
      <c r="A164" t="s">
        <v>391</v>
      </c>
      <c r="B164" t="s">
        <v>498</v>
      </c>
      <c r="C164" t="s">
        <v>534</v>
      </c>
      <c r="D164" t="s">
        <v>282</v>
      </c>
      <c r="E164" s="48">
        <v>0</v>
      </c>
      <c r="F164" s="24">
        <v>0</v>
      </c>
      <c r="G164" s="24">
        <v>0</v>
      </c>
      <c r="H164" t="s">
        <v>508</v>
      </c>
    </row>
    <row r="165" spans="1:8" ht="15" customHeight="1" x14ac:dyDescent="0.3">
      <c r="A165" t="s">
        <v>391</v>
      </c>
      <c r="B165" t="s">
        <v>498</v>
      </c>
      <c r="C165" t="s">
        <v>535</v>
      </c>
      <c r="D165" t="s">
        <v>282</v>
      </c>
      <c r="E165" s="48">
        <v>1</v>
      </c>
      <c r="F165" s="24">
        <v>13877.08</v>
      </c>
      <c r="G165" s="24">
        <v>13877.08</v>
      </c>
      <c r="H165" t="s">
        <v>531</v>
      </c>
    </row>
    <row r="166" spans="1:8" ht="15" customHeight="1" x14ac:dyDescent="0.3">
      <c r="A166" t="s">
        <v>391</v>
      </c>
      <c r="B166" t="s">
        <v>498</v>
      </c>
      <c r="C166" t="s">
        <v>536</v>
      </c>
      <c r="D166" t="s">
        <v>282</v>
      </c>
      <c r="E166" s="48">
        <v>0</v>
      </c>
      <c r="F166" s="24">
        <v>0</v>
      </c>
      <c r="G166" s="24">
        <v>0</v>
      </c>
      <c r="H166" t="s">
        <v>523</v>
      </c>
    </row>
    <row r="167" spans="1:8" ht="15" customHeight="1" x14ac:dyDescent="0.3">
      <c r="A167" t="s">
        <v>391</v>
      </c>
      <c r="B167" t="s">
        <v>537</v>
      </c>
      <c r="C167" t="s">
        <v>538</v>
      </c>
      <c r="D167" t="s">
        <v>289</v>
      </c>
      <c r="E167" s="48">
        <v>1</v>
      </c>
      <c r="F167" s="24">
        <v>238.88</v>
      </c>
      <c r="G167" s="24">
        <v>238.88</v>
      </c>
      <c r="H167" t="s">
        <v>539</v>
      </c>
    </row>
    <row r="168" spans="1:8" ht="15" customHeight="1" x14ac:dyDescent="0.3">
      <c r="A168" t="s">
        <v>391</v>
      </c>
      <c r="B168" t="s">
        <v>537</v>
      </c>
      <c r="C168" t="s">
        <v>540</v>
      </c>
      <c r="D168" t="s">
        <v>289</v>
      </c>
      <c r="E168" s="48">
        <v>1</v>
      </c>
      <c r="F168" s="24">
        <v>609.16999999999996</v>
      </c>
      <c r="G168" s="24">
        <v>609.16999999999996</v>
      </c>
      <c r="H168" t="s">
        <v>539</v>
      </c>
    </row>
    <row r="169" spans="1:8" ht="15" customHeight="1" x14ac:dyDescent="0.3">
      <c r="A169" t="s">
        <v>391</v>
      </c>
      <c r="B169" t="s">
        <v>537</v>
      </c>
      <c r="C169" t="s">
        <v>541</v>
      </c>
      <c r="D169" t="s">
        <v>289</v>
      </c>
      <c r="E169" s="48">
        <v>1</v>
      </c>
      <c r="F169" s="24">
        <v>510</v>
      </c>
      <c r="G169" s="24">
        <v>510</v>
      </c>
      <c r="H169" t="s">
        <v>539</v>
      </c>
    </row>
    <row r="170" spans="1:8" ht="15" customHeight="1" x14ac:dyDescent="0.3">
      <c r="A170" t="s">
        <v>391</v>
      </c>
      <c r="B170" t="s">
        <v>537</v>
      </c>
      <c r="C170" t="s">
        <v>542</v>
      </c>
      <c r="D170" t="s">
        <v>289</v>
      </c>
      <c r="E170" s="48">
        <v>1</v>
      </c>
      <c r="F170" s="24">
        <v>333.1</v>
      </c>
      <c r="G170" s="24">
        <v>333.1</v>
      </c>
      <c r="H170" t="s">
        <v>543</v>
      </c>
    </row>
    <row r="171" spans="1:8" ht="15" customHeight="1" x14ac:dyDescent="0.3">
      <c r="A171" t="s">
        <v>391</v>
      </c>
      <c r="B171" t="s">
        <v>537</v>
      </c>
      <c r="C171" t="s">
        <v>544</v>
      </c>
      <c r="D171" t="s">
        <v>289</v>
      </c>
      <c r="E171" s="48">
        <v>1</v>
      </c>
      <c r="F171" s="24">
        <v>1833.24</v>
      </c>
      <c r="G171" s="24">
        <v>1833.24</v>
      </c>
      <c r="H171" t="s">
        <v>539</v>
      </c>
    </row>
    <row r="172" spans="1:8" ht="15" customHeight="1" x14ac:dyDescent="0.3">
      <c r="A172" t="s">
        <v>391</v>
      </c>
      <c r="B172" t="s">
        <v>537</v>
      </c>
      <c r="C172" t="s">
        <v>545</v>
      </c>
      <c r="D172" t="s">
        <v>289</v>
      </c>
      <c r="E172" s="48">
        <v>1</v>
      </c>
      <c r="F172" s="24">
        <v>2973.2</v>
      </c>
      <c r="G172" s="24">
        <v>2973.2</v>
      </c>
      <c r="H172" t="s">
        <v>539</v>
      </c>
    </row>
    <row r="173" spans="1:8" ht="15" customHeight="1" x14ac:dyDescent="0.3">
      <c r="A173" t="s">
        <v>391</v>
      </c>
      <c r="B173" t="s">
        <v>537</v>
      </c>
      <c r="C173" t="s">
        <v>546</v>
      </c>
      <c r="D173" t="s">
        <v>289</v>
      </c>
      <c r="E173" s="48">
        <v>1</v>
      </c>
      <c r="F173" s="24">
        <v>7615.46</v>
      </c>
      <c r="G173" s="24">
        <v>7615.46</v>
      </c>
      <c r="H173" t="s">
        <v>539</v>
      </c>
    </row>
    <row r="174" spans="1:8" ht="15" customHeight="1" x14ac:dyDescent="0.3">
      <c r="A174" t="s">
        <v>391</v>
      </c>
      <c r="B174" t="s">
        <v>537</v>
      </c>
      <c r="C174" t="s">
        <v>547</v>
      </c>
      <c r="D174" t="s">
        <v>290</v>
      </c>
      <c r="E174" s="48">
        <v>-1</v>
      </c>
      <c r="F174" s="24">
        <v>837.25</v>
      </c>
      <c r="G174" s="24">
        <v>-837.25</v>
      </c>
      <c r="H174" t="s">
        <v>548</v>
      </c>
    </row>
    <row r="175" spans="1:8" ht="15" customHeight="1" x14ac:dyDescent="0.3">
      <c r="A175" t="s">
        <v>391</v>
      </c>
      <c r="B175" t="s">
        <v>537</v>
      </c>
      <c r="C175" t="s">
        <v>538</v>
      </c>
      <c r="D175" t="s">
        <v>290</v>
      </c>
      <c r="E175" s="48">
        <v>-1</v>
      </c>
      <c r="F175" s="24">
        <v>238.88</v>
      </c>
      <c r="G175" s="24">
        <v>-238.88</v>
      </c>
      <c r="H175" t="s">
        <v>539</v>
      </c>
    </row>
    <row r="176" spans="1:8" ht="15" customHeight="1" x14ac:dyDescent="0.3">
      <c r="A176" t="s">
        <v>391</v>
      </c>
      <c r="B176" t="s">
        <v>537</v>
      </c>
      <c r="C176" t="s">
        <v>538</v>
      </c>
      <c r="D176" t="s">
        <v>290</v>
      </c>
      <c r="E176" s="48">
        <v>1</v>
      </c>
      <c r="F176" s="24">
        <v>34.83</v>
      </c>
      <c r="G176" s="24">
        <v>34.83</v>
      </c>
      <c r="H176" t="s">
        <v>549</v>
      </c>
    </row>
    <row r="177" spans="1:8" ht="15" customHeight="1" x14ac:dyDescent="0.3">
      <c r="A177" t="s">
        <v>391</v>
      </c>
      <c r="B177" t="s">
        <v>537</v>
      </c>
      <c r="C177" t="s">
        <v>426</v>
      </c>
      <c r="D177" t="s">
        <v>282</v>
      </c>
      <c r="E177" s="48">
        <v>1</v>
      </c>
      <c r="F177" s="24">
        <v>25.5</v>
      </c>
      <c r="G177" s="24">
        <v>25.5</v>
      </c>
      <c r="H177" t="s">
        <v>550</v>
      </c>
    </row>
    <row r="178" spans="1:8" ht="15" customHeight="1" x14ac:dyDescent="0.3">
      <c r="A178" t="s">
        <v>391</v>
      </c>
      <c r="B178" t="s">
        <v>537</v>
      </c>
      <c r="C178" t="s">
        <v>541</v>
      </c>
      <c r="D178" t="s">
        <v>282</v>
      </c>
      <c r="E178" s="48">
        <v>1</v>
      </c>
      <c r="F178" s="24">
        <v>67.33</v>
      </c>
      <c r="G178" s="24">
        <v>67.33</v>
      </c>
      <c r="H178" t="s">
        <v>551</v>
      </c>
    </row>
    <row r="179" spans="1:8" ht="15" customHeight="1" x14ac:dyDescent="0.3">
      <c r="A179" t="s">
        <v>391</v>
      </c>
      <c r="B179" t="s">
        <v>537</v>
      </c>
      <c r="C179" t="s">
        <v>541</v>
      </c>
      <c r="D179" t="s">
        <v>282</v>
      </c>
      <c r="E179" s="48">
        <v>-1</v>
      </c>
      <c r="F179" s="24">
        <v>510</v>
      </c>
      <c r="G179" s="24">
        <v>-510</v>
      </c>
      <c r="H179" t="s">
        <v>539</v>
      </c>
    </row>
    <row r="180" spans="1:8" ht="15" customHeight="1" x14ac:dyDescent="0.3">
      <c r="A180" t="s">
        <v>391</v>
      </c>
      <c r="B180" t="s">
        <v>47</v>
      </c>
      <c r="C180" t="s">
        <v>552</v>
      </c>
      <c r="D180" t="s">
        <v>287</v>
      </c>
      <c r="E180" s="48">
        <v>1</v>
      </c>
      <c r="F180" s="24">
        <v>7780.43</v>
      </c>
      <c r="G180" s="24">
        <v>7780.43</v>
      </c>
      <c r="H180" t="s">
        <v>553</v>
      </c>
    </row>
    <row r="181" spans="1:8" ht="15" customHeight="1" x14ac:dyDescent="0.3">
      <c r="A181" t="s">
        <v>391</v>
      </c>
      <c r="B181" t="s">
        <v>47</v>
      </c>
      <c r="C181" t="s">
        <v>552</v>
      </c>
      <c r="D181" t="s">
        <v>289</v>
      </c>
      <c r="E181" s="48">
        <v>1</v>
      </c>
      <c r="F181" s="24">
        <v>2777.71</v>
      </c>
      <c r="G181" s="24">
        <v>2777.71</v>
      </c>
      <c r="H181" t="s">
        <v>554</v>
      </c>
    </row>
    <row r="182" spans="1:8" ht="15" customHeight="1" x14ac:dyDescent="0.3">
      <c r="A182" t="s">
        <v>391</v>
      </c>
      <c r="B182" t="s">
        <v>47</v>
      </c>
      <c r="C182" t="s">
        <v>552</v>
      </c>
      <c r="D182" t="s">
        <v>293</v>
      </c>
      <c r="E182" s="48">
        <v>0</v>
      </c>
      <c r="F182" s="24">
        <v>0</v>
      </c>
      <c r="G182" s="24">
        <v>0</v>
      </c>
      <c r="H182" t="s">
        <v>555</v>
      </c>
    </row>
    <row r="183" spans="1:8" ht="15" customHeight="1" x14ac:dyDescent="0.3">
      <c r="A183" t="s">
        <v>391</v>
      </c>
      <c r="B183" t="s">
        <v>47</v>
      </c>
      <c r="C183" t="s">
        <v>552</v>
      </c>
      <c r="D183" t="s">
        <v>290</v>
      </c>
      <c r="E183" s="48">
        <v>1</v>
      </c>
      <c r="F183" s="24">
        <v>4438.18</v>
      </c>
      <c r="G183" s="24">
        <v>4438.18</v>
      </c>
      <c r="H183" t="s">
        <v>556</v>
      </c>
    </row>
    <row r="184" spans="1:8" ht="15" customHeight="1" x14ac:dyDescent="0.3">
      <c r="A184" t="s">
        <v>391</v>
      </c>
      <c r="B184" t="s">
        <v>47</v>
      </c>
      <c r="C184" t="s">
        <v>552</v>
      </c>
      <c r="D184" t="s">
        <v>284</v>
      </c>
      <c r="E184" s="48">
        <v>1</v>
      </c>
      <c r="F184" s="24">
        <v>5054.07</v>
      </c>
      <c r="G184" s="24">
        <v>5054.07</v>
      </c>
      <c r="H184" t="s">
        <v>557</v>
      </c>
    </row>
    <row r="185" spans="1:8" ht="15" customHeight="1" x14ac:dyDescent="0.3">
      <c r="A185" t="s">
        <v>391</v>
      </c>
      <c r="B185" t="s">
        <v>47</v>
      </c>
      <c r="C185" t="s">
        <v>552</v>
      </c>
      <c r="D185" t="s">
        <v>285</v>
      </c>
      <c r="E185" s="48">
        <v>0</v>
      </c>
      <c r="F185" s="24">
        <v>0</v>
      </c>
      <c r="G185" s="24">
        <v>0</v>
      </c>
      <c r="H185" t="s">
        <v>555</v>
      </c>
    </row>
    <row r="186" spans="1:8" ht="15" customHeight="1" x14ac:dyDescent="0.3">
      <c r="A186" t="s">
        <v>391</v>
      </c>
      <c r="B186" t="s">
        <v>47</v>
      </c>
      <c r="C186" t="s">
        <v>552</v>
      </c>
      <c r="D186" t="s">
        <v>282</v>
      </c>
      <c r="E186" s="48">
        <v>1</v>
      </c>
      <c r="F186" s="24">
        <v>1379.96</v>
      </c>
      <c r="G186" s="24">
        <v>1379.96</v>
      </c>
      <c r="H186" t="s">
        <v>558</v>
      </c>
    </row>
    <row r="187" spans="1:8" ht="15" customHeight="1" x14ac:dyDescent="0.3">
      <c r="A187" t="s">
        <v>391</v>
      </c>
      <c r="B187" t="s">
        <v>85</v>
      </c>
      <c r="C187" t="s">
        <v>559</v>
      </c>
      <c r="D187" t="s">
        <v>275</v>
      </c>
      <c r="E187" s="48">
        <v>1</v>
      </c>
      <c r="F187" s="24">
        <v>404.4</v>
      </c>
      <c r="G187" s="24">
        <v>404.4</v>
      </c>
      <c r="H187" t="s">
        <v>560</v>
      </c>
    </row>
    <row r="188" spans="1:8" ht="15" customHeight="1" x14ac:dyDescent="0.3">
      <c r="A188" t="s">
        <v>391</v>
      </c>
      <c r="B188" t="s">
        <v>85</v>
      </c>
      <c r="C188" t="s">
        <v>559</v>
      </c>
      <c r="D188" t="s">
        <v>275</v>
      </c>
      <c r="E188" s="48">
        <v>139</v>
      </c>
      <c r="F188" s="24">
        <v>124.1</v>
      </c>
      <c r="G188" s="24">
        <v>17249.900000000001</v>
      </c>
      <c r="H188" t="s">
        <v>561</v>
      </c>
    </row>
    <row r="189" spans="1:8" ht="15" customHeight="1" x14ac:dyDescent="0.3">
      <c r="A189" t="s">
        <v>391</v>
      </c>
      <c r="B189" t="s">
        <v>85</v>
      </c>
      <c r="C189" t="s">
        <v>559</v>
      </c>
      <c r="D189" t="s">
        <v>287</v>
      </c>
      <c r="E189" s="48">
        <v>3</v>
      </c>
      <c r="F189" s="24">
        <v>143.82</v>
      </c>
      <c r="G189" s="24">
        <v>431.46</v>
      </c>
      <c r="H189" t="s">
        <v>561</v>
      </c>
    </row>
    <row r="190" spans="1:8" ht="15" customHeight="1" x14ac:dyDescent="0.3">
      <c r="A190" t="s">
        <v>391</v>
      </c>
      <c r="B190" t="s">
        <v>85</v>
      </c>
      <c r="C190" t="s">
        <v>559</v>
      </c>
      <c r="D190" t="s">
        <v>289</v>
      </c>
      <c r="E190" s="48">
        <v>12</v>
      </c>
      <c r="F190" s="24">
        <v>133.21</v>
      </c>
      <c r="G190" s="24">
        <v>1598.52</v>
      </c>
      <c r="H190" t="s">
        <v>561</v>
      </c>
    </row>
    <row r="191" spans="1:8" ht="15" customHeight="1" x14ac:dyDescent="0.3">
      <c r="A191" t="s">
        <v>391</v>
      </c>
      <c r="B191" t="s">
        <v>85</v>
      </c>
      <c r="C191" t="s">
        <v>559</v>
      </c>
      <c r="D191" t="s">
        <v>293</v>
      </c>
      <c r="E191" s="48">
        <v>15</v>
      </c>
      <c r="F191" s="24">
        <v>151.02000000000001</v>
      </c>
      <c r="G191" s="24">
        <v>2265.3000000000002</v>
      </c>
      <c r="H191" t="s">
        <v>561</v>
      </c>
    </row>
    <row r="192" spans="1:8" ht="15" customHeight="1" x14ac:dyDescent="0.3">
      <c r="A192" t="s">
        <v>391</v>
      </c>
      <c r="B192" t="s">
        <v>85</v>
      </c>
      <c r="C192" t="s">
        <v>559</v>
      </c>
      <c r="D192" t="s">
        <v>290</v>
      </c>
      <c r="E192" s="48">
        <v>20</v>
      </c>
      <c r="F192" s="24">
        <v>151.91999999999999</v>
      </c>
      <c r="G192" s="24">
        <v>3038.4</v>
      </c>
      <c r="H192" t="s">
        <v>561</v>
      </c>
    </row>
    <row r="193" spans="1:8" ht="15" customHeight="1" x14ac:dyDescent="0.3">
      <c r="A193" t="s">
        <v>391</v>
      </c>
      <c r="B193" t="s">
        <v>85</v>
      </c>
      <c r="C193" t="s">
        <v>559</v>
      </c>
      <c r="D193" t="s">
        <v>284</v>
      </c>
      <c r="E193" s="48">
        <v>10</v>
      </c>
      <c r="F193" s="24">
        <v>151.02000000000001</v>
      </c>
      <c r="G193" s="24">
        <v>1510.2</v>
      </c>
      <c r="H193" t="s">
        <v>561</v>
      </c>
    </row>
    <row r="194" spans="1:8" ht="15" customHeight="1" x14ac:dyDescent="0.3">
      <c r="A194" t="s">
        <v>391</v>
      </c>
      <c r="B194" t="s">
        <v>85</v>
      </c>
      <c r="C194" t="s">
        <v>559</v>
      </c>
      <c r="D194" t="s">
        <v>285</v>
      </c>
      <c r="E194" s="48">
        <v>1</v>
      </c>
      <c r="F194" s="24">
        <v>143.82</v>
      </c>
      <c r="G194" s="24">
        <v>143.82</v>
      </c>
      <c r="H194" t="s">
        <v>561</v>
      </c>
    </row>
    <row r="195" spans="1:8" ht="15" customHeight="1" x14ac:dyDescent="0.3">
      <c r="A195" t="s">
        <v>391</v>
      </c>
      <c r="B195" t="s">
        <v>85</v>
      </c>
      <c r="C195" t="s">
        <v>559</v>
      </c>
      <c r="D195" t="s">
        <v>282</v>
      </c>
      <c r="E195" s="48">
        <v>9</v>
      </c>
      <c r="F195" s="24">
        <v>123.18</v>
      </c>
      <c r="G195" s="24">
        <v>1108.6199999999999</v>
      </c>
      <c r="H195" t="s">
        <v>561</v>
      </c>
    </row>
    <row r="196" spans="1:8" ht="15" customHeight="1" x14ac:dyDescent="0.3">
      <c r="A196" t="s">
        <v>391</v>
      </c>
      <c r="B196" t="s">
        <v>32</v>
      </c>
      <c r="C196" t="s">
        <v>562</v>
      </c>
      <c r="D196" t="s">
        <v>287</v>
      </c>
      <c r="E196" s="48">
        <v>1</v>
      </c>
      <c r="F196" s="24">
        <v>209</v>
      </c>
      <c r="G196" s="24">
        <v>209</v>
      </c>
      <c r="H196" t="s">
        <v>563</v>
      </c>
    </row>
    <row r="197" spans="1:8" ht="15" customHeight="1" x14ac:dyDescent="0.3">
      <c r="A197" t="s">
        <v>391</v>
      </c>
      <c r="B197" t="s">
        <v>32</v>
      </c>
      <c r="C197" t="s">
        <v>564</v>
      </c>
      <c r="D197" t="s">
        <v>287</v>
      </c>
      <c r="E197" s="48">
        <v>1</v>
      </c>
      <c r="F197" s="24">
        <v>419.64</v>
      </c>
      <c r="G197" s="24">
        <v>419.64</v>
      </c>
      <c r="H197" t="s">
        <v>565</v>
      </c>
    </row>
    <row r="198" spans="1:8" ht="15" customHeight="1" x14ac:dyDescent="0.3">
      <c r="A198" t="s">
        <v>391</v>
      </c>
      <c r="B198" t="s">
        <v>32</v>
      </c>
      <c r="C198" t="s">
        <v>562</v>
      </c>
      <c r="D198" t="s">
        <v>293</v>
      </c>
      <c r="E198" s="48">
        <v>0</v>
      </c>
      <c r="F198" s="24">
        <v>0</v>
      </c>
      <c r="G198" s="24">
        <v>0</v>
      </c>
      <c r="H198" t="s">
        <v>563</v>
      </c>
    </row>
    <row r="199" spans="1:8" ht="15" customHeight="1" x14ac:dyDescent="0.3">
      <c r="A199" t="s">
        <v>391</v>
      </c>
      <c r="B199" t="s">
        <v>32</v>
      </c>
      <c r="C199" t="s">
        <v>564</v>
      </c>
      <c r="D199" t="s">
        <v>293</v>
      </c>
      <c r="E199" s="48">
        <v>0</v>
      </c>
      <c r="F199" s="24">
        <v>0</v>
      </c>
      <c r="G199" s="24">
        <v>0</v>
      </c>
      <c r="H199" t="s">
        <v>566</v>
      </c>
    </row>
    <row r="200" spans="1:8" ht="15" customHeight="1" x14ac:dyDescent="0.3">
      <c r="A200" t="s">
        <v>391</v>
      </c>
      <c r="B200" t="s">
        <v>32</v>
      </c>
      <c r="C200" t="s">
        <v>562</v>
      </c>
      <c r="D200" t="s">
        <v>290</v>
      </c>
      <c r="E200" s="48">
        <v>1</v>
      </c>
      <c r="F200" s="24">
        <v>280</v>
      </c>
      <c r="G200" s="24">
        <v>280</v>
      </c>
      <c r="H200" t="s">
        <v>563</v>
      </c>
    </row>
    <row r="201" spans="1:8" ht="15" customHeight="1" x14ac:dyDescent="0.3">
      <c r="A201" t="s">
        <v>391</v>
      </c>
      <c r="B201" t="s">
        <v>32</v>
      </c>
      <c r="C201" t="s">
        <v>562</v>
      </c>
      <c r="D201" t="s">
        <v>290</v>
      </c>
      <c r="E201" s="48">
        <v>0</v>
      </c>
      <c r="F201" s="24">
        <v>0</v>
      </c>
      <c r="G201" s="24">
        <v>0</v>
      </c>
      <c r="H201" t="s">
        <v>563</v>
      </c>
    </row>
    <row r="202" spans="1:8" ht="15" customHeight="1" x14ac:dyDescent="0.3">
      <c r="A202" t="s">
        <v>391</v>
      </c>
      <c r="B202" t="s">
        <v>32</v>
      </c>
      <c r="C202" t="s">
        <v>562</v>
      </c>
      <c r="D202" t="s">
        <v>284</v>
      </c>
      <c r="E202" s="48">
        <v>1</v>
      </c>
      <c r="F202" s="24">
        <v>492</v>
      </c>
      <c r="G202" s="24">
        <v>492</v>
      </c>
      <c r="H202" t="s">
        <v>563</v>
      </c>
    </row>
    <row r="203" spans="1:8" ht="15" customHeight="1" x14ac:dyDescent="0.3">
      <c r="A203" t="s">
        <v>391</v>
      </c>
      <c r="B203" t="s">
        <v>32</v>
      </c>
      <c r="C203" t="s">
        <v>564</v>
      </c>
      <c r="D203" t="s">
        <v>284</v>
      </c>
      <c r="E203" s="48">
        <v>1</v>
      </c>
      <c r="F203" s="24">
        <v>668.79</v>
      </c>
      <c r="G203" s="24">
        <v>668.79</v>
      </c>
      <c r="H203" t="s">
        <v>565</v>
      </c>
    </row>
    <row r="204" spans="1:8" ht="15" customHeight="1" x14ac:dyDescent="0.3">
      <c r="A204" t="s">
        <v>391</v>
      </c>
      <c r="B204" t="s">
        <v>32</v>
      </c>
      <c r="C204" t="s">
        <v>562</v>
      </c>
      <c r="D204" t="s">
        <v>285</v>
      </c>
      <c r="E204" s="48">
        <v>0</v>
      </c>
      <c r="F204" s="24">
        <v>0</v>
      </c>
      <c r="G204" s="24">
        <v>0</v>
      </c>
      <c r="H204" t="s">
        <v>563</v>
      </c>
    </row>
    <row r="205" spans="1:8" ht="15" customHeight="1" x14ac:dyDescent="0.3">
      <c r="A205" t="s">
        <v>391</v>
      </c>
      <c r="B205" t="s">
        <v>32</v>
      </c>
      <c r="C205" t="s">
        <v>562</v>
      </c>
      <c r="D205" t="s">
        <v>282</v>
      </c>
      <c r="E205" s="48">
        <v>1</v>
      </c>
      <c r="F205" s="24">
        <v>204</v>
      </c>
      <c r="G205" s="24">
        <v>204</v>
      </c>
      <c r="H205" t="s">
        <v>563</v>
      </c>
    </row>
    <row r="206" spans="1:8" ht="15" customHeight="1" x14ac:dyDescent="0.3">
      <c r="A206" t="s">
        <v>391</v>
      </c>
      <c r="B206" t="s">
        <v>32</v>
      </c>
      <c r="C206" t="s">
        <v>564</v>
      </c>
      <c r="D206" t="s">
        <v>282</v>
      </c>
      <c r="E206" s="48">
        <v>1</v>
      </c>
      <c r="F206" s="24">
        <v>348.7</v>
      </c>
      <c r="G206" s="24">
        <v>348.7</v>
      </c>
      <c r="H206" t="s">
        <v>567</v>
      </c>
    </row>
    <row r="207" spans="1:8" ht="15" customHeight="1" x14ac:dyDescent="0.3">
      <c r="A207" t="s">
        <v>391</v>
      </c>
      <c r="B207" t="s">
        <v>568</v>
      </c>
      <c r="C207" t="s">
        <v>569</v>
      </c>
      <c r="D207" t="s">
        <v>289</v>
      </c>
      <c r="E207" s="48">
        <v>13402</v>
      </c>
      <c r="F207" s="24">
        <v>2.2145965052997099</v>
      </c>
      <c r="G207" s="24">
        <v>29680.0223640267</v>
      </c>
      <c r="H207" t="s">
        <v>394</v>
      </c>
    </row>
    <row r="208" spans="1:8" ht="15" customHeight="1" x14ac:dyDescent="0.3">
      <c r="A208" t="s">
        <v>391</v>
      </c>
      <c r="B208" t="s">
        <v>44</v>
      </c>
      <c r="C208" t="s">
        <v>570</v>
      </c>
      <c r="D208" t="s">
        <v>287</v>
      </c>
      <c r="E208" s="48">
        <v>0</v>
      </c>
      <c r="F208" s="24">
        <v>0</v>
      </c>
      <c r="G208" s="24">
        <v>0</v>
      </c>
      <c r="H208" t="s">
        <v>571</v>
      </c>
    </row>
    <row r="209" spans="1:8" ht="15" customHeight="1" x14ac:dyDescent="0.3">
      <c r="A209" t="s">
        <v>391</v>
      </c>
      <c r="B209" t="s">
        <v>44</v>
      </c>
      <c r="C209" t="s">
        <v>570</v>
      </c>
      <c r="D209" t="s">
        <v>287</v>
      </c>
      <c r="E209" s="48">
        <v>1</v>
      </c>
      <c r="F209" s="24">
        <v>13006.38</v>
      </c>
      <c r="G209" s="24">
        <v>13006.38</v>
      </c>
      <c r="H209" t="s">
        <v>572</v>
      </c>
    </row>
    <row r="210" spans="1:8" ht="15" customHeight="1" x14ac:dyDescent="0.3">
      <c r="A210" t="s">
        <v>391</v>
      </c>
      <c r="B210" t="s">
        <v>44</v>
      </c>
      <c r="C210" t="s">
        <v>570</v>
      </c>
      <c r="D210" t="s">
        <v>289</v>
      </c>
      <c r="E210" s="48">
        <v>0</v>
      </c>
      <c r="F210" s="24">
        <v>0</v>
      </c>
      <c r="G210" s="24">
        <v>0</v>
      </c>
      <c r="H210" t="s">
        <v>572</v>
      </c>
    </row>
    <row r="211" spans="1:8" ht="15" customHeight="1" x14ac:dyDescent="0.3">
      <c r="A211" t="s">
        <v>391</v>
      </c>
      <c r="B211" t="s">
        <v>44</v>
      </c>
      <c r="C211" t="s">
        <v>573</v>
      </c>
      <c r="D211" t="s">
        <v>289</v>
      </c>
      <c r="E211" s="48">
        <v>0</v>
      </c>
      <c r="F211" s="24">
        <v>0</v>
      </c>
      <c r="G211" s="24">
        <v>0</v>
      </c>
      <c r="H211" t="s">
        <v>574</v>
      </c>
    </row>
    <row r="212" spans="1:8" ht="15" customHeight="1" x14ac:dyDescent="0.3">
      <c r="A212" t="s">
        <v>391</v>
      </c>
      <c r="B212" t="s">
        <v>44</v>
      </c>
      <c r="C212" t="s">
        <v>575</v>
      </c>
      <c r="D212" t="s">
        <v>289</v>
      </c>
      <c r="E212" s="48">
        <v>0</v>
      </c>
      <c r="F212" s="24">
        <v>0</v>
      </c>
      <c r="G212" s="24">
        <v>0</v>
      </c>
      <c r="H212" t="s">
        <v>576</v>
      </c>
    </row>
    <row r="213" spans="1:8" ht="15" customHeight="1" x14ac:dyDescent="0.3">
      <c r="A213" t="s">
        <v>391</v>
      </c>
      <c r="B213" t="s">
        <v>44</v>
      </c>
      <c r="C213" t="s">
        <v>577</v>
      </c>
      <c r="D213" t="s">
        <v>289</v>
      </c>
      <c r="E213" s="48">
        <v>0</v>
      </c>
      <c r="F213" s="24">
        <v>0</v>
      </c>
      <c r="G213" s="24">
        <v>0</v>
      </c>
      <c r="H213" t="s">
        <v>578</v>
      </c>
    </row>
    <row r="214" spans="1:8" ht="15" customHeight="1" x14ac:dyDescent="0.3">
      <c r="A214" t="s">
        <v>391</v>
      </c>
      <c r="B214" t="s">
        <v>44</v>
      </c>
      <c r="C214" t="s">
        <v>570</v>
      </c>
      <c r="D214" t="s">
        <v>293</v>
      </c>
      <c r="E214" s="48">
        <v>0</v>
      </c>
      <c r="F214" s="24">
        <v>0</v>
      </c>
      <c r="G214" s="24">
        <v>0</v>
      </c>
      <c r="H214" t="s">
        <v>571</v>
      </c>
    </row>
    <row r="215" spans="1:8" ht="15" customHeight="1" x14ac:dyDescent="0.3">
      <c r="A215" t="s">
        <v>391</v>
      </c>
      <c r="B215" t="s">
        <v>44</v>
      </c>
      <c r="C215" t="s">
        <v>570</v>
      </c>
      <c r="D215" t="s">
        <v>293</v>
      </c>
      <c r="E215" s="48">
        <v>1</v>
      </c>
      <c r="F215" s="24">
        <v>1234.54</v>
      </c>
      <c r="G215" s="24">
        <v>1234.54</v>
      </c>
      <c r="H215" t="s">
        <v>572</v>
      </c>
    </row>
    <row r="216" spans="1:8" ht="15" customHeight="1" x14ac:dyDescent="0.3">
      <c r="A216" t="s">
        <v>391</v>
      </c>
      <c r="B216" t="s">
        <v>44</v>
      </c>
      <c r="C216" t="s">
        <v>579</v>
      </c>
      <c r="D216" t="s">
        <v>293</v>
      </c>
      <c r="E216" s="48">
        <v>0</v>
      </c>
      <c r="F216" s="24">
        <v>0</v>
      </c>
      <c r="G216" s="24">
        <v>0</v>
      </c>
      <c r="H216" t="s">
        <v>574</v>
      </c>
    </row>
    <row r="217" spans="1:8" ht="15" customHeight="1" x14ac:dyDescent="0.3">
      <c r="A217" t="s">
        <v>391</v>
      </c>
      <c r="B217" t="s">
        <v>44</v>
      </c>
      <c r="C217" t="s">
        <v>580</v>
      </c>
      <c r="D217" t="s">
        <v>293</v>
      </c>
      <c r="E217" s="48">
        <v>0</v>
      </c>
      <c r="F217" s="24">
        <v>0</v>
      </c>
      <c r="G217" s="24">
        <v>0</v>
      </c>
      <c r="H217" t="s">
        <v>578</v>
      </c>
    </row>
    <row r="218" spans="1:8" ht="15" customHeight="1" x14ac:dyDescent="0.3">
      <c r="A218" t="s">
        <v>391</v>
      </c>
      <c r="B218" t="s">
        <v>44</v>
      </c>
      <c r="C218" t="s">
        <v>570</v>
      </c>
      <c r="D218" t="s">
        <v>290</v>
      </c>
      <c r="E218" s="48">
        <v>-1</v>
      </c>
      <c r="F218" s="24">
        <v>1580.87</v>
      </c>
      <c r="G218" s="24">
        <v>-1580.87</v>
      </c>
      <c r="H218" t="s">
        <v>571</v>
      </c>
    </row>
    <row r="219" spans="1:8" ht="15" customHeight="1" x14ac:dyDescent="0.3">
      <c r="A219" t="s">
        <v>391</v>
      </c>
      <c r="B219" t="s">
        <v>44</v>
      </c>
      <c r="C219" t="s">
        <v>570</v>
      </c>
      <c r="D219" t="s">
        <v>290</v>
      </c>
      <c r="E219" s="48">
        <v>1</v>
      </c>
      <c r="F219" s="24">
        <v>577</v>
      </c>
      <c r="G219" s="24">
        <v>577</v>
      </c>
      <c r="H219" t="s">
        <v>572</v>
      </c>
    </row>
    <row r="220" spans="1:8" ht="15" customHeight="1" x14ac:dyDescent="0.3">
      <c r="A220" t="s">
        <v>391</v>
      </c>
      <c r="B220" t="s">
        <v>44</v>
      </c>
      <c r="C220" t="s">
        <v>581</v>
      </c>
      <c r="D220" t="s">
        <v>290</v>
      </c>
      <c r="E220" s="48">
        <v>0</v>
      </c>
      <c r="F220" s="24">
        <v>0</v>
      </c>
      <c r="G220" s="24">
        <v>0</v>
      </c>
      <c r="H220" t="s">
        <v>574</v>
      </c>
    </row>
    <row r="221" spans="1:8" ht="15" customHeight="1" x14ac:dyDescent="0.3">
      <c r="A221" t="s">
        <v>391</v>
      </c>
      <c r="B221" t="s">
        <v>44</v>
      </c>
      <c r="C221" t="s">
        <v>582</v>
      </c>
      <c r="D221" t="s">
        <v>290</v>
      </c>
      <c r="E221" s="48">
        <v>0</v>
      </c>
      <c r="F221" s="24">
        <v>0</v>
      </c>
      <c r="G221" s="24">
        <v>0</v>
      </c>
      <c r="H221" t="s">
        <v>574</v>
      </c>
    </row>
    <row r="222" spans="1:8" ht="15" customHeight="1" x14ac:dyDescent="0.3">
      <c r="A222" t="s">
        <v>391</v>
      </c>
      <c r="B222" t="s">
        <v>44</v>
      </c>
      <c r="C222" t="s">
        <v>583</v>
      </c>
      <c r="D222" t="s">
        <v>290</v>
      </c>
      <c r="E222" s="48">
        <v>0</v>
      </c>
      <c r="F222" s="24">
        <v>0</v>
      </c>
      <c r="G222" s="24">
        <v>0</v>
      </c>
      <c r="H222" t="s">
        <v>578</v>
      </c>
    </row>
    <row r="223" spans="1:8" ht="15" customHeight="1" x14ac:dyDescent="0.3">
      <c r="A223" t="s">
        <v>391</v>
      </c>
      <c r="B223" t="s">
        <v>44</v>
      </c>
      <c r="C223" t="s">
        <v>584</v>
      </c>
      <c r="D223" t="s">
        <v>290</v>
      </c>
      <c r="E223" s="48">
        <v>0</v>
      </c>
      <c r="F223" s="24">
        <v>0</v>
      </c>
      <c r="G223" s="24">
        <v>0</v>
      </c>
      <c r="H223" t="s">
        <v>578</v>
      </c>
    </row>
    <row r="224" spans="1:8" ht="15" customHeight="1" x14ac:dyDescent="0.3">
      <c r="A224" t="s">
        <v>391</v>
      </c>
      <c r="B224" t="s">
        <v>44</v>
      </c>
      <c r="C224" t="s">
        <v>570</v>
      </c>
      <c r="D224" t="s">
        <v>284</v>
      </c>
      <c r="E224" s="48">
        <v>-1</v>
      </c>
      <c r="F224" s="24">
        <v>1333.53</v>
      </c>
      <c r="G224" s="24">
        <v>-1333.53</v>
      </c>
      <c r="H224" t="s">
        <v>571</v>
      </c>
    </row>
    <row r="225" spans="1:8" ht="15" customHeight="1" x14ac:dyDescent="0.3">
      <c r="A225" t="s">
        <v>391</v>
      </c>
      <c r="B225" t="s">
        <v>44</v>
      </c>
      <c r="C225" t="s">
        <v>570</v>
      </c>
      <c r="D225" t="s">
        <v>284</v>
      </c>
      <c r="E225" s="48">
        <v>1</v>
      </c>
      <c r="F225" s="24">
        <v>3555.83</v>
      </c>
      <c r="G225" s="24">
        <v>3555.83</v>
      </c>
      <c r="H225" t="s">
        <v>572</v>
      </c>
    </row>
    <row r="226" spans="1:8" ht="15" customHeight="1" x14ac:dyDescent="0.3">
      <c r="A226" t="s">
        <v>391</v>
      </c>
      <c r="B226" t="s">
        <v>44</v>
      </c>
      <c r="C226" t="s">
        <v>582</v>
      </c>
      <c r="D226" t="s">
        <v>284</v>
      </c>
      <c r="E226" s="48">
        <v>0</v>
      </c>
      <c r="F226" s="24">
        <v>0</v>
      </c>
      <c r="G226" s="24">
        <v>0</v>
      </c>
      <c r="H226" t="s">
        <v>578</v>
      </c>
    </row>
    <row r="227" spans="1:8" ht="15" customHeight="1" x14ac:dyDescent="0.3">
      <c r="A227" t="s">
        <v>391</v>
      </c>
      <c r="B227" t="s">
        <v>44</v>
      </c>
      <c r="C227" t="s">
        <v>583</v>
      </c>
      <c r="D227" t="s">
        <v>284</v>
      </c>
      <c r="E227" s="48">
        <v>0</v>
      </c>
      <c r="F227" s="24">
        <v>0</v>
      </c>
      <c r="G227" s="24">
        <v>0</v>
      </c>
      <c r="H227" t="s">
        <v>578</v>
      </c>
    </row>
    <row r="228" spans="1:8" ht="15" customHeight="1" x14ac:dyDescent="0.3">
      <c r="A228" t="s">
        <v>391</v>
      </c>
      <c r="B228" t="s">
        <v>44</v>
      </c>
      <c r="C228" t="s">
        <v>570</v>
      </c>
      <c r="D228" t="s">
        <v>285</v>
      </c>
      <c r="E228" s="48">
        <v>1</v>
      </c>
      <c r="F228" s="24">
        <v>1957.68</v>
      </c>
      <c r="G228" s="24">
        <v>1957.68</v>
      </c>
      <c r="H228" t="s">
        <v>572</v>
      </c>
    </row>
    <row r="229" spans="1:8" ht="15" customHeight="1" x14ac:dyDescent="0.3">
      <c r="A229" t="s">
        <v>391</v>
      </c>
      <c r="B229" t="s">
        <v>44</v>
      </c>
      <c r="C229" t="s">
        <v>570</v>
      </c>
      <c r="D229" t="s">
        <v>285</v>
      </c>
      <c r="E229" s="48">
        <v>0</v>
      </c>
      <c r="F229" s="24">
        <v>0</v>
      </c>
      <c r="G229" s="24">
        <v>0</v>
      </c>
      <c r="H229" t="s">
        <v>571</v>
      </c>
    </row>
    <row r="230" spans="1:8" ht="15" customHeight="1" x14ac:dyDescent="0.3">
      <c r="A230" t="s">
        <v>391</v>
      </c>
      <c r="B230" t="s">
        <v>44</v>
      </c>
      <c r="C230" t="s">
        <v>570</v>
      </c>
      <c r="D230" t="s">
        <v>282</v>
      </c>
      <c r="E230" s="48">
        <v>1</v>
      </c>
      <c r="F230" s="24">
        <v>3624.23</v>
      </c>
      <c r="G230" s="24">
        <v>3624.23</v>
      </c>
      <c r="H230" t="s">
        <v>572</v>
      </c>
    </row>
    <row r="231" spans="1:8" ht="15" customHeight="1" x14ac:dyDescent="0.3">
      <c r="A231" t="s">
        <v>391</v>
      </c>
      <c r="B231" t="s">
        <v>44</v>
      </c>
      <c r="C231" t="s">
        <v>570</v>
      </c>
      <c r="D231" t="s">
        <v>282</v>
      </c>
      <c r="E231" s="48">
        <v>-1</v>
      </c>
      <c r="F231" s="24">
        <v>494.68</v>
      </c>
      <c r="G231" s="24">
        <v>-494.68</v>
      </c>
      <c r="H231" t="s">
        <v>571</v>
      </c>
    </row>
    <row r="232" spans="1:8" ht="15" customHeight="1" x14ac:dyDescent="0.3">
      <c r="A232" t="s">
        <v>391</v>
      </c>
      <c r="B232" t="s">
        <v>44</v>
      </c>
      <c r="C232" t="s">
        <v>585</v>
      </c>
      <c r="D232" t="s">
        <v>282</v>
      </c>
      <c r="E232" s="48">
        <v>0</v>
      </c>
      <c r="F232" s="24">
        <v>0</v>
      </c>
      <c r="G232" s="24">
        <v>0</v>
      </c>
      <c r="H232" t="s">
        <v>574</v>
      </c>
    </row>
    <row r="233" spans="1:8" ht="15" customHeight="1" x14ac:dyDescent="0.3">
      <c r="A233" t="s">
        <v>391</v>
      </c>
      <c r="B233" t="s">
        <v>44</v>
      </c>
      <c r="C233" t="s">
        <v>580</v>
      </c>
      <c r="D233" t="s">
        <v>282</v>
      </c>
      <c r="E233" s="48">
        <v>0</v>
      </c>
      <c r="F233" s="24">
        <v>0</v>
      </c>
      <c r="G233" s="24">
        <v>0</v>
      </c>
      <c r="H233" t="s">
        <v>578</v>
      </c>
    </row>
    <row r="234" spans="1:8" ht="15" customHeight="1" x14ac:dyDescent="0.3">
      <c r="A234" t="s">
        <v>391</v>
      </c>
      <c r="B234" t="s">
        <v>87</v>
      </c>
      <c r="C234" t="s">
        <v>586</v>
      </c>
      <c r="D234" t="s">
        <v>287</v>
      </c>
      <c r="E234" s="48">
        <v>2</v>
      </c>
      <c r="F234" s="24">
        <v>50</v>
      </c>
      <c r="G234" s="24">
        <v>100</v>
      </c>
      <c r="H234" t="s">
        <v>587</v>
      </c>
    </row>
    <row r="235" spans="1:8" ht="15" customHeight="1" x14ac:dyDescent="0.3">
      <c r="A235" t="s">
        <v>391</v>
      </c>
      <c r="B235" t="s">
        <v>87</v>
      </c>
      <c r="C235" t="s">
        <v>586</v>
      </c>
      <c r="D235" t="s">
        <v>293</v>
      </c>
      <c r="E235" s="48">
        <v>1</v>
      </c>
      <c r="F235" s="24">
        <v>10</v>
      </c>
      <c r="G235" s="24">
        <v>10</v>
      </c>
      <c r="H235" t="s">
        <v>587</v>
      </c>
    </row>
    <row r="236" spans="1:8" ht="15" customHeight="1" x14ac:dyDescent="0.3">
      <c r="A236" t="s">
        <v>391</v>
      </c>
      <c r="B236" t="s">
        <v>87</v>
      </c>
      <c r="C236" t="s">
        <v>586</v>
      </c>
      <c r="D236" t="s">
        <v>290</v>
      </c>
      <c r="E236" s="48">
        <v>1</v>
      </c>
      <c r="F236" s="24">
        <v>10</v>
      </c>
      <c r="G236" s="24">
        <v>10</v>
      </c>
      <c r="H236" t="s">
        <v>587</v>
      </c>
    </row>
    <row r="237" spans="1:8" ht="15" customHeight="1" x14ac:dyDescent="0.3">
      <c r="A237" t="s">
        <v>391</v>
      </c>
      <c r="B237" t="s">
        <v>87</v>
      </c>
      <c r="C237" t="s">
        <v>586</v>
      </c>
      <c r="D237" t="s">
        <v>290</v>
      </c>
      <c r="E237" s="48">
        <v>5</v>
      </c>
      <c r="F237" s="24">
        <v>50</v>
      </c>
      <c r="G237" s="24">
        <v>250</v>
      </c>
      <c r="H237" t="s">
        <v>587</v>
      </c>
    </row>
    <row r="238" spans="1:8" ht="15" customHeight="1" x14ac:dyDescent="0.3">
      <c r="A238" t="s">
        <v>391</v>
      </c>
      <c r="B238" t="s">
        <v>87</v>
      </c>
      <c r="C238" t="s">
        <v>586</v>
      </c>
      <c r="D238" t="s">
        <v>284</v>
      </c>
      <c r="E238" s="48">
        <v>2</v>
      </c>
      <c r="F238" s="24">
        <v>50</v>
      </c>
      <c r="G238" s="24">
        <v>100</v>
      </c>
      <c r="H238" t="s">
        <v>587</v>
      </c>
    </row>
    <row r="239" spans="1:8" ht="15" customHeight="1" x14ac:dyDescent="0.3">
      <c r="A239" t="s">
        <v>391</v>
      </c>
      <c r="B239" t="s">
        <v>87</v>
      </c>
      <c r="C239" t="s">
        <v>586</v>
      </c>
      <c r="D239" t="s">
        <v>285</v>
      </c>
      <c r="E239" s="48">
        <v>1</v>
      </c>
      <c r="F239" s="24">
        <v>50</v>
      </c>
      <c r="G239" s="24">
        <v>50</v>
      </c>
      <c r="H239" t="s">
        <v>587</v>
      </c>
    </row>
    <row r="240" spans="1:8" ht="15" customHeight="1" x14ac:dyDescent="0.3">
      <c r="A240" t="s">
        <v>391</v>
      </c>
      <c r="B240" t="s">
        <v>87</v>
      </c>
      <c r="C240" t="s">
        <v>586</v>
      </c>
      <c r="D240" t="s">
        <v>282</v>
      </c>
      <c r="E240" s="48">
        <v>1</v>
      </c>
      <c r="F240" s="24">
        <v>90</v>
      </c>
      <c r="G240" s="24">
        <v>90</v>
      </c>
      <c r="H240" t="s">
        <v>587</v>
      </c>
    </row>
    <row r="241" spans="1:8" ht="15" customHeight="1" x14ac:dyDescent="0.3">
      <c r="A241" t="s">
        <v>391</v>
      </c>
      <c r="B241" t="s">
        <v>87</v>
      </c>
      <c r="C241" t="s">
        <v>586</v>
      </c>
      <c r="D241" t="s">
        <v>282</v>
      </c>
      <c r="E241" s="48">
        <v>2</v>
      </c>
      <c r="F241" s="24">
        <v>10</v>
      </c>
      <c r="G241" s="24">
        <v>20</v>
      </c>
      <c r="H241" t="s">
        <v>587</v>
      </c>
    </row>
    <row r="242" spans="1:8" ht="15" customHeight="1" x14ac:dyDescent="0.3">
      <c r="A242" t="s">
        <v>391</v>
      </c>
      <c r="B242" t="s">
        <v>87</v>
      </c>
      <c r="C242" t="s">
        <v>586</v>
      </c>
      <c r="D242" t="s">
        <v>282</v>
      </c>
      <c r="E242" s="48">
        <v>3</v>
      </c>
      <c r="F242" s="24">
        <v>50</v>
      </c>
      <c r="G242" s="24">
        <v>150</v>
      </c>
      <c r="H242" t="s">
        <v>587</v>
      </c>
    </row>
    <row r="243" spans="1:8" ht="15" customHeight="1" x14ac:dyDescent="0.3">
      <c r="A243" t="s">
        <v>588</v>
      </c>
      <c r="B243" t="s">
        <v>392</v>
      </c>
      <c r="C243" t="s">
        <v>393</v>
      </c>
      <c r="D243" t="s">
        <v>289</v>
      </c>
      <c r="E243" s="48">
        <v>13402</v>
      </c>
      <c r="F243" s="24">
        <v>0.36962547890332698</v>
      </c>
      <c r="G243" s="24">
        <v>4953.7206682623801</v>
      </c>
      <c r="H243" t="s">
        <v>394</v>
      </c>
    </row>
    <row r="244" spans="1:8" ht="15" customHeight="1" x14ac:dyDescent="0.3">
      <c r="A244" t="s">
        <v>588</v>
      </c>
      <c r="B244" t="s">
        <v>395</v>
      </c>
      <c r="C244" t="s">
        <v>86</v>
      </c>
      <c r="D244" t="s">
        <v>289</v>
      </c>
      <c r="E244" s="48">
        <v>13402</v>
      </c>
      <c r="F244" s="24">
        <v>0.213162125376571</v>
      </c>
      <c r="G244" s="24">
        <v>2856.7988042968</v>
      </c>
      <c r="H244" t="s">
        <v>394</v>
      </c>
    </row>
    <row r="245" spans="1:8" ht="15" customHeight="1" x14ac:dyDescent="0.3">
      <c r="A245" t="s">
        <v>588</v>
      </c>
      <c r="B245" t="s">
        <v>396</v>
      </c>
      <c r="C245" t="s">
        <v>397</v>
      </c>
      <c r="D245" t="s">
        <v>275</v>
      </c>
      <c r="E245" s="48">
        <v>1</v>
      </c>
      <c r="F245" s="24">
        <v>1391.04</v>
      </c>
      <c r="G245" s="24">
        <v>1391.04</v>
      </c>
      <c r="H245" t="s">
        <v>589</v>
      </c>
    </row>
    <row r="246" spans="1:8" ht="15" customHeight="1" x14ac:dyDescent="0.3">
      <c r="A246" t="s">
        <v>588</v>
      </c>
      <c r="B246" t="s">
        <v>396</v>
      </c>
      <c r="C246" t="s">
        <v>399</v>
      </c>
      <c r="D246" t="s">
        <v>275</v>
      </c>
      <c r="E246" s="48">
        <v>1</v>
      </c>
      <c r="F246" s="24">
        <v>6752.06</v>
      </c>
      <c r="G246" s="24">
        <v>6752.06</v>
      </c>
      <c r="H246" t="s">
        <v>589</v>
      </c>
    </row>
    <row r="247" spans="1:8" ht="15" customHeight="1" x14ac:dyDescent="0.3">
      <c r="A247" t="s">
        <v>588</v>
      </c>
      <c r="B247" t="s">
        <v>396</v>
      </c>
      <c r="C247" t="s">
        <v>397</v>
      </c>
      <c r="D247" t="s">
        <v>287</v>
      </c>
      <c r="E247" s="48">
        <v>0</v>
      </c>
      <c r="F247" s="24">
        <v>0</v>
      </c>
      <c r="G247" s="24">
        <v>0</v>
      </c>
      <c r="H247" t="s">
        <v>398</v>
      </c>
    </row>
    <row r="248" spans="1:8" ht="15" customHeight="1" x14ac:dyDescent="0.3">
      <c r="A248" t="s">
        <v>588</v>
      </c>
      <c r="B248" t="s">
        <v>396</v>
      </c>
      <c r="C248" t="s">
        <v>399</v>
      </c>
      <c r="D248" t="s">
        <v>287</v>
      </c>
      <c r="E248" s="48">
        <v>1</v>
      </c>
      <c r="F248" s="24">
        <v>71.25</v>
      </c>
      <c r="G248" s="24">
        <v>71.25</v>
      </c>
      <c r="H248" t="s">
        <v>589</v>
      </c>
    </row>
    <row r="249" spans="1:8" ht="15" customHeight="1" x14ac:dyDescent="0.3">
      <c r="A249" t="s">
        <v>588</v>
      </c>
      <c r="B249" t="s">
        <v>396</v>
      </c>
      <c r="C249" t="s">
        <v>397</v>
      </c>
      <c r="D249" t="s">
        <v>289</v>
      </c>
      <c r="E249" s="48">
        <v>0</v>
      </c>
      <c r="F249" s="24">
        <v>0</v>
      </c>
      <c r="G249" s="24">
        <v>0</v>
      </c>
      <c r="H249" t="s">
        <v>401</v>
      </c>
    </row>
    <row r="250" spans="1:8" ht="15" customHeight="1" x14ac:dyDescent="0.3">
      <c r="A250" t="s">
        <v>588</v>
      </c>
      <c r="B250" t="s">
        <v>396</v>
      </c>
      <c r="C250" t="s">
        <v>402</v>
      </c>
      <c r="D250" t="s">
        <v>289</v>
      </c>
      <c r="E250" s="48">
        <v>0</v>
      </c>
      <c r="F250" s="24">
        <v>0</v>
      </c>
      <c r="G250" s="24">
        <v>0</v>
      </c>
      <c r="H250" t="s">
        <v>403</v>
      </c>
    </row>
    <row r="251" spans="1:8" ht="15" customHeight="1" x14ac:dyDescent="0.3">
      <c r="A251" t="s">
        <v>588</v>
      </c>
      <c r="B251" t="s">
        <v>396</v>
      </c>
      <c r="C251" t="s">
        <v>397</v>
      </c>
      <c r="D251" t="s">
        <v>293</v>
      </c>
      <c r="E251" s="48">
        <v>0</v>
      </c>
      <c r="F251" s="24">
        <v>0</v>
      </c>
      <c r="G251" s="24">
        <v>0</v>
      </c>
      <c r="H251" t="s">
        <v>401</v>
      </c>
    </row>
    <row r="252" spans="1:8" ht="15" customHeight="1" x14ac:dyDescent="0.3">
      <c r="A252" t="s">
        <v>588</v>
      </c>
      <c r="B252" t="s">
        <v>396</v>
      </c>
      <c r="C252" t="s">
        <v>399</v>
      </c>
      <c r="D252" t="s">
        <v>293</v>
      </c>
      <c r="E252" s="48">
        <v>1</v>
      </c>
      <c r="F252" s="24">
        <v>38.5</v>
      </c>
      <c r="G252" s="24">
        <v>38.5</v>
      </c>
      <c r="H252" t="s">
        <v>589</v>
      </c>
    </row>
    <row r="253" spans="1:8" ht="15" customHeight="1" x14ac:dyDescent="0.3">
      <c r="A253" t="s">
        <v>588</v>
      </c>
      <c r="B253" t="s">
        <v>396</v>
      </c>
      <c r="C253" t="s">
        <v>397</v>
      </c>
      <c r="D253" t="s">
        <v>290</v>
      </c>
      <c r="E253" s="48">
        <v>0</v>
      </c>
      <c r="F253" s="24">
        <v>0</v>
      </c>
      <c r="G253" s="24">
        <v>0</v>
      </c>
      <c r="H253" t="s">
        <v>398</v>
      </c>
    </row>
    <row r="254" spans="1:8" ht="15" customHeight="1" x14ac:dyDescent="0.3">
      <c r="A254" t="s">
        <v>588</v>
      </c>
      <c r="B254" t="s">
        <v>396</v>
      </c>
      <c r="C254" t="s">
        <v>399</v>
      </c>
      <c r="D254" t="s">
        <v>290</v>
      </c>
      <c r="E254" s="48">
        <v>0</v>
      </c>
      <c r="F254" s="24">
        <v>0</v>
      </c>
      <c r="G254" s="24">
        <v>0</v>
      </c>
      <c r="H254" t="s">
        <v>404</v>
      </c>
    </row>
    <row r="255" spans="1:8" ht="15" customHeight="1" x14ac:dyDescent="0.3">
      <c r="A255" t="s">
        <v>588</v>
      </c>
      <c r="B255" t="s">
        <v>396</v>
      </c>
      <c r="C255" t="s">
        <v>397</v>
      </c>
      <c r="D255" t="s">
        <v>284</v>
      </c>
      <c r="E255" s="48">
        <v>0</v>
      </c>
      <c r="F255" s="24">
        <v>0</v>
      </c>
      <c r="G255" s="24">
        <v>0</v>
      </c>
      <c r="H255" t="s">
        <v>405</v>
      </c>
    </row>
    <row r="256" spans="1:8" ht="15" customHeight="1" x14ac:dyDescent="0.3">
      <c r="A256" t="s">
        <v>588</v>
      </c>
      <c r="B256" t="s">
        <v>396</v>
      </c>
      <c r="C256" t="s">
        <v>399</v>
      </c>
      <c r="D256" t="s">
        <v>284</v>
      </c>
      <c r="E256" s="48">
        <v>1</v>
      </c>
      <c r="F256" s="24">
        <v>114</v>
      </c>
      <c r="G256" s="24">
        <v>114</v>
      </c>
      <c r="H256" t="s">
        <v>589</v>
      </c>
    </row>
    <row r="257" spans="1:8" ht="15" customHeight="1" x14ac:dyDescent="0.3">
      <c r="A257" t="s">
        <v>588</v>
      </c>
      <c r="B257" t="s">
        <v>396</v>
      </c>
      <c r="C257" t="s">
        <v>399</v>
      </c>
      <c r="D257" t="s">
        <v>284</v>
      </c>
      <c r="E257" s="48">
        <v>0</v>
      </c>
      <c r="F257" s="24">
        <v>0</v>
      </c>
      <c r="G257" s="24">
        <v>0</v>
      </c>
      <c r="H257" t="s">
        <v>400</v>
      </c>
    </row>
    <row r="258" spans="1:8" ht="15" customHeight="1" x14ac:dyDescent="0.3">
      <c r="A258" t="s">
        <v>588</v>
      </c>
      <c r="B258" t="s">
        <v>396</v>
      </c>
      <c r="C258" t="s">
        <v>397</v>
      </c>
      <c r="D258" t="s">
        <v>285</v>
      </c>
      <c r="E258" s="48">
        <v>0</v>
      </c>
      <c r="F258" s="24">
        <v>0</v>
      </c>
      <c r="G258" s="24">
        <v>0</v>
      </c>
      <c r="H258" t="s">
        <v>401</v>
      </c>
    </row>
    <row r="259" spans="1:8" ht="15" customHeight="1" x14ac:dyDescent="0.3">
      <c r="A259" t="s">
        <v>588</v>
      </c>
      <c r="B259" t="s">
        <v>396</v>
      </c>
      <c r="C259" t="s">
        <v>397</v>
      </c>
      <c r="D259" t="s">
        <v>285</v>
      </c>
      <c r="E259" s="48">
        <v>0</v>
      </c>
      <c r="F259" s="24">
        <v>0</v>
      </c>
      <c r="G259" s="24">
        <v>0</v>
      </c>
      <c r="H259" t="s">
        <v>406</v>
      </c>
    </row>
    <row r="260" spans="1:8" ht="15" customHeight="1" x14ac:dyDescent="0.3">
      <c r="A260" t="s">
        <v>588</v>
      </c>
      <c r="B260" t="s">
        <v>78</v>
      </c>
      <c r="C260" t="s">
        <v>407</v>
      </c>
      <c r="D260" t="s">
        <v>293</v>
      </c>
      <c r="E260" s="48">
        <v>3650</v>
      </c>
      <c r="F260" s="24">
        <v>0.43472614110919999</v>
      </c>
      <c r="G260" s="24">
        <v>1586.750415</v>
      </c>
      <c r="H260" t="s">
        <v>394</v>
      </c>
    </row>
    <row r="261" spans="1:8" ht="15" customHeight="1" x14ac:dyDescent="0.3">
      <c r="A261" t="s">
        <v>588</v>
      </c>
      <c r="B261" t="s">
        <v>78</v>
      </c>
      <c r="C261" t="s">
        <v>407</v>
      </c>
      <c r="D261" t="s">
        <v>290</v>
      </c>
      <c r="E261" s="48">
        <v>6396</v>
      </c>
      <c r="F261" s="24">
        <v>0.43472614110919999</v>
      </c>
      <c r="G261" s="24">
        <v>2780.5083989999998</v>
      </c>
      <c r="H261" t="s">
        <v>394</v>
      </c>
    </row>
    <row r="262" spans="1:8" ht="15" customHeight="1" x14ac:dyDescent="0.3">
      <c r="A262" t="s">
        <v>588</v>
      </c>
      <c r="B262" t="s">
        <v>78</v>
      </c>
      <c r="C262" t="s">
        <v>407</v>
      </c>
      <c r="D262" t="s">
        <v>284</v>
      </c>
      <c r="E262" s="48">
        <v>14331</v>
      </c>
      <c r="F262" s="24">
        <v>0.43472614110919999</v>
      </c>
      <c r="G262" s="24">
        <v>6230.0603279999996</v>
      </c>
      <c r="H262" t="s">
        <v>394</v>
      </c>
    </row>
    <row r="263" spans="1:8" ht="15" customHeight="1" x14ac:dyDescent="0.3">
      <c r="A263" t="s">
        <v>588</v>
      </c>
      <c r="B263" t="s">
        <v>78</v>
      </c>
      <c r="C263" t="s">
        <v>407</v>
      </c>
      <c r="D263" t="s">
        <v>282</v>
      </c>
      <c r="E263" s="48">
        <v>4782</v>
      </c>
      <c r="F263" s="24">
        <v>0.43472614110919999</v>
      </c>
      <c r="G263" s="24">
        <v>2078.8604070000001</v>
      </c>
      <c r="H263" t="s">
        <v>394</v>
      </c>
    </row>
    <row r="264" spans="1:8" ht="15" customHeight="1" x14ac:dyDescent="0.3">
      <c r="A264" t="s">
        <v>588</v>
      </c>
      <c r="B264" t="s">
        <v>408</v>
      </c>
      <c r="C264" t="s">
        <v>409</v>
      </c>
      <c r="D264" t="s">
        <v>275</v>
      </c>
      <c r="E264" s="48">
        <v>4995</v>
      </c>
      <c r="F264" s="24">
        <v>1.86</v>
      </c>
      <c r="G264" s="24">
        <v>9290.7000000000007</v>
      </c>
      <c r="H264" t="s">
        <v>590</v>
      </c>
    </row>
    <row r="265" spans="1:8" ht="15" customHeight="1" x14ac:dyDescent="0.3">
      <c r="A265" t="s">
        <v>588</v>
      </c>
      <c r="B265" t="s">
        <v>408</v>
      </c>
      <c r="C265" t="s">
        <v>409</v>
      </c>
      <c r="D265" t="s">
        <v>275</v>
      </c>
      <c r="E265" s="48">
        <v>4995</v>
      </c>
      <c r="F265" s="24">
        <v>1.86</v>
      </c>
      <c r="G265" s="24">
        <v>9290.7000000000007</v>
      </c>
      <c r="H265" t="s">
        <v>590</v>
      </c>
    </row>
    <row r="266" spans="1:8" ht="15" customHeight="1" x14ac:dyDescent="0.3">
      <c r="A266" t="s">
        <v>588</v>
      </c>
      <c r="B266" t="s">
        <v>408</v>
      </c>
      <c r="C266" t="s">
        <v>409</v>
      </c>
      <c r="D266" t="s">
        <v>287</v>
      </c>
      <c r="E266" s="48">
        <v>305</v>
      </c>
      <c r="F266" s="24">
        <v>1.86</v>
      </c>
      <c r="G266" s="24">
        <v>567.29999999999995</v>
      </c>
      <c r="H266" t="s">
        <v>590</v>
      </c>
    </row>
    <row r="267" spans="1:8" ht="15" customHeight="1" x14ac:dyDescent="0.3">
      <c r="A267" t="s">
        <v>588</v>
      </c>
      <c r="B267" t="s">
        <v>408</v>
      </c>
      <c r="C267" t="s">
        <v>409</v>
      </c>
      <c r="D267" t="s">
        <v>287</v>
      </c>
      <c r="E267" s="48">
        <v>305</v>
      </c>
      <c r="F267" s="24">
        <v>1.86</v>
      </c>
      <c r="G267" s="24">
        <v>567.29999999999995</v>
      </c>
      <c r="H267" t="s">
        <v>590</v>
      </c>
    </row>
    <row r="268" spans="1:8" ht="15" customHeight="1" x14ac:dyDescent="0.3">
      <c r="A268" t="s">
        <v>588</v>
      </c>
      <c r="B268" t="s">
        <v>408</v>
      </c>
      <c r="C268" t="s">
        <v>411</v>
      </c>
      <c r="D268" t="s">
        <v>287</v>
      </c>
      <c r="E268" s="48">
        <v>2</v>
      </c>
      <c r="F268" s="24">
        <v>383.56</v>
      </c>
      <c r="G268" s="24">
        <v>767.12</v>
      </c>
      <c r="H268" t="s">
        <v>412</v>
      </c>
    </row>
    <row r="269" spans="1:8" ht="15" customHeight="1" x14ac:dyDescent="0.3">
      <c r="A269" t="s">
        <v>588</v>
      </c>
      <c r="B269" t="s">
        <v>408</v>
      </c>
      <c r="C269" t="s">
        <v>413</v>
      </c>
      <c r="D269" t="s">
        <v>287</v>
      </c>
      <c r="E269" s="48">
        <v>0</v>
      </c>
      <c r="F269" s="24">
        <v>0</v>
      </c>
      <c r="G269" s="24">
        <v>0</v>
      </c>
      <c r="H269" t="s">
        <v>414</v>
      </c>
    </row>
    <row r="270" spans="1:8" ht="15" customHeight="1" x14ac:dyDescent="0.3">
      <c r="A270" t="s">
        <v>588</v>
      </c>
      <c r="B270" t="s">
        <v>408</v>
      </c>
      <c r="C270" t="s">
        <v>415</v>
      </c>
      <c r="D270" t="s">
        <v>287</v>
      </c>
      <c r="E270" s="48">
        <v>0</v>
      </c>
      <c r="F270" s="24">
        <v>0</v>
      </c>
      <c r="G270" s="24">
        <v>0</v>
      </c>
      <c r="H270" t="s">
        <v>416</v>
      </c>
    </row>
    <row r="271" spans="1:8" ht="15" customHeight="1" x14ac:dyDescent="0.3">
      <c r="A271" t="s">
        <v>588</v>
      </c>
      <c r="B271" t="s">
        <v>408</v>
      </c>
      <c r="C271" t="s">
        <v>417</v>
      </c>
      <c r="D271" t="s">
        <v>287</v>
      </c>
      <c r="E271" s="48">
        <v>-1</v>
      </c>
      <c r="F271" s="24">
        <v>774.2</v>
      </c>
      <c r="G271" s="24">
        <v>-774.2</v>
      </c>
      <c r="H271" t="s">
        <v>418</v>
      </c>
    </row>
    <row r="272" spans="1:8" ht="15" customHeight="1" x14ac:dyDescent="0.3">
      <c r="A272" t="s">
        <v>588</v>
      </c>
      <c r="B272" t="s">
        <v>408</v>
      </c>
      <c r="C272" t="s">
        <v>417</v>
      </c>
      <c r="D272" t="s">
        <v>287</v>
      </c>
      <c r="E272" s="48">
        <v>-1</v>
      </c>
      <c r="F272" s="24">
        <v>4167</v>
      </c>
      <c r="G272" s="24">
        <v>-4167</v>
      </c>
      <c r="H272" t="s">
        <v>419</v>
      </c>
    </row>
    <row r="273" spans="1:8" ht="15" customHeight="1" x14ac:dyDescent="0.3">
      <c r="A273" t="s">
        <v>588</v>
      </c>
      <c r="B273" t="s">
        <v>408</v>
      </c>
      <c r="C273" t="s">
        <v>420</v>
      </c>
      <c r="D273" t="s">
        <v>287</v>
      </c>
      <c r="E273" s="48">
        <v>3</v>
      </c>
      <c r="F273" s="24">
        <v>0</v>
      </c>
      <c r="G273" s="24">
        <v>0</v>
      </c>
      <c r="H273" t="s">
        <v>421</v>
      </c>
    </row>
    <row r="274" spans="1:8" ht="15" customHeight="1" x14ac:dyDescent="0.3">
      <c r="A274" t="s">
        <v>588</v>
      </c>
      <c r="B274" t="s">
        <v>408</v>
      </c>
      <c r="C274" t="s">
        <v>422</v>
      </c>
      <c r="D274" t="s">
        <v>287</v>
      </c>
      <c r="E274" s="48">
        <v>0</v>
      </c>
      <c r="F274" s="24">
        <v>0</v>
      </c>
      <c r="G274" s="24">
        <v>0</v>
      </c>
      <c r="H274" t="s">
        <v>421</v>
      </c>
    </row>
    <row r="275" spans="1:8" ht="15" customHeight="1" x14ac:dyDescent="0.3">
      <c r="A275" t="s">
        <v>588</v>
      </c>
      <c r="B275" t="s">
        <v>408</v>
      </c>
      <c r="C275" t="s">
        <v>423</v>
      </c>
      <c r="D275" t="s">
        <v>287</v>
      </c>
      <c r="E275" s="48">
        <v>0</v>
      </c>
      <c r="F275" s="24">
        <v>0</v>
      </c>
      <c r="G275" s="24">
        <v>0</v>
      </c>
      <c r="H275" t="s">
        <v>421</v>
      </c>
    </row>
    <row r="276" spans="1:8" ht="15" customHeight="1" x14ac:dyDescent="0.3">
      <c r="A276" t="s">
        <v>588</v>
      </c>
      <c r="B276" t="s">
        <v>408</v>
      </c>
      <c r="C276" t="s">
        <v>424</v>
      </c>
      <c r="D276" t="s">
        <v>287</v>
      </c>
      <c r="E276" s="48">
        <v>5</v>
      </c>
      <c r="F276" s="24">
        <v>0</v>
      </c>
      <c r="G276" s="24">
        <v>0</v>
      </c>
      <c r="H276" t="s">
        <v>421</v>
      </c>
    </row>
    <row r="277" spans="1:8" ht="15" customHeight="1" x14ac:dyDescent="0.3">
      <c r="A277" t="s">
        <v>588</v>
      </c>
      <c r="B277" t="s">
        <v>408</v>
      </c>
      <c r="C277" t="s">
        <v>425</v>
      </c>
      <c r="D277" t="s">
        <v>287</v>
      </c>
      <c r="E277" s="48">
        <v>0</v>
      </c>
      <c r="F277" s="24">
        <v>0</v>
      </c>
      <c r="G277" s="24">
        <v>0</v>
      </c>
      <c r="H277" t="s">
        <v>421</v>
      </c>
    </row>
    <row r="278" spans="1:8" ht="15" customHeight="1" x14ac:dyDescent="0.3">
      <c r="A278" t="s">
        <v>588</v>
      </c>
      <c r="B278" t="s">
        <v>408</v>
      </c>
      <c r="C278" t="s">
        <v>426</v>
      </c>
      <c r="D278" t="s">
        <v>289</v>
      </c>
      <c r="E278" s="48">
        <v>1</v>
      </c>
      <c r="F278" s="24">
        <v>33.5</v>
      </c>
      <c r="G278" s="24">
        <v>33.5</v>
      </c>
      <c r="H278" t="s">
        <v>427</v>
      </c>
    </row>
    <row r="279" spans="1:8" ht="15" customHeight="1" x14ac:dyDescent="0.3">
      <c r="A279" t="s">
        <v>588</v>
      </c>
      <c r="B279" t="s">
        <v>408</v>
      </c>
      <c r="C279" t="s">
        <v>426</v>
      </c>
      <c r="D279" t="s">
        <v>289</v>
      </c>
      <c r="E279" s="48">
        <v>1</v>
      </c>
      <c r="F279" s="24">
        <v>22</v>
      </c>
      <c r="G279" s="24">
        <v>22</v>
      </c>
      <c r="H279" t="s">
        <v>428</v>
      </c>
    </row>
    <row r="280" spans="1:8" ht="15" customHeight="1" x14ac:dyDescent="0.3">
      <c r="A280" t="s">
        <v>588</v>
      </c>
      <c r="B280" t="s">
        <v>408</v>
      </c>
      <c r="C280" t="s">
        <v>409</v>
      </c>
      <c r="D280" t="s">
        <v>289</v>
      </c>
      <c r="E280" s="48">
        <v>322</v>
      </c>
      <c r="F280" s="24">
        <v>1.86</v>
      </c>
      <c r="G280" s="24">
        <v>598.91999999999996</v>
      </c>
      <c r="H280" t="s">
        <v>590</v>
      </c>
    </row>
    <row r="281" spans="1:8" ht="15" customHeight="1" x14ac:dyDescent="0.3">
      <c r="A281" t="s">
        <v>588</v>
      </c>
      <c r="B281" t="s">
        <v>408</v>
      </c>
      <c r="C281" t="s">
        <v>409</v>
      </c>
      <c r="D281" t="s">
        <v>289</v>
      </c>
      <c r="E281" s="48">
        <v>322</v>
      </c>
      <c r="F281" s="24">
        <v>1.86</v>
      </c>
      <c r="G281" s="24">
        <v>598.91999999999996</v>
      </c>
      <c r="H281" t="s">
        <v>590</v>
      </c>
    </row>
    <row r="282" spans="1:8" ht="15" customHeight="1" x14ac:dyDescent="0.3">
      <c r="A282" t="s">
        <v>588</v>
      </c>
      <c r="B282" t="s">
        <v>408</v>
      </c>
      <c r="C282" t="s">
        <v>411</v>
      </c>
      <c r="D282" t="s">
        <v>289</v>
      </c>
      <c r="E282" s="48">
        <v>5</v>
      </c>
      <c r="F282" s="24">
        <v>383.56</v>
      </c>
      <c r="G282" s="24">
        <v>1917.8</v>
      </c>
      <c r="H282" t="s">
        <v>429</v>
      </c>
    </row>
    <row r="283" spans="1:8" ht="15" customHeight="1" x14ac:dyDescent="0.3">
      <c r="A283" t="s">
        <v>588</v>
      </c>
      <c r="B283" t="s">
        <v>408</v>
      </c>
      <c r="C283" t="s">
        <v>413</v>
      </c>
      <c r="D283" t="s">
        <v>289</v>
      </c>
      <c r="E283" s="48">
        <v>1</v>
      </c>
      <c r="F283" s="24">
        <v>338.53</v>
      </c>
      <c r="G283" s="24">
        <v>338.53</v>
      </c>
      <c r="H283" t="s">
        <v>430</v>
      </c>
    </row>
    <row r="284" spans="1:8" ht="15" customHeight="1" x14ac:dyDescent="0.3">
      <c r="A284" t="s">
        <v>588</v>
      </c>
      <c r="B284" t="s">
        <v>408</v>
      </c>
      <c r="C284" t="s">
        <v>415</v>
      </c>
      <c r="D284" t="s">
        <v>289</v>
      </c>
      <c r="E284" s="48">
        <v>1</v>
      </c>
      <c r="F284" s="24">
        <v>400.26</v>
      </c>
      <c r="G284" s="24">
        <v>400.26</v>
      </c>
      <c r="H284" t="s">
        <v>431</v>
      </c>
    </row>
    <row r="285" spans="1:8" ht="15" customHeight="1" x14ac:dyDescent="0.3">
      <c r="A285" t="s">
        <v>588</v>
      </c>
      <c r="B285" t="s">
        <v>408</v>
      </c>
      <c r="C285" t="s">
        <v>417</v>
      </c>
      <c r="D285" t="s">
        <v>289</v>
      </c>
      <c r="E285" s="48">
        <v>1</v>
      </c>
      <c r="F285" s="24">
        <v>324</v>
      </c>
      <c r="G285" s="24">
        <v>324</v>
      </c>
      <c r="H285" t="s">
        <v>432</v>
      </c>
    </row>
    <row r="286" spans="1:8" ht="15" customHeight="1" x14ac:dyDescent="0.3">
      <c r="A286" t="s">
        <v>588</v>
      </c>
      <c r="B286" t="s">
        <v>408</v>
      </c>
      <c r="C286" t="s">
        <v>417</v>
      </c>
      <c r="D286" t="s">
        <v>289</v>
      </c>
      <c r="E286" s="48">
        <v>64</v>
      </c>
      <c r="F286" s="24">
        <v>23.15</v>
      </c>
      <c r="G286" s="24">
        <v>1481.6</v>
      </c>
      <c r="H286" t="s">
        <v>433</v>
      </c>
    </row>
    <row r="287" spans="1:8" ht="15" customHeight="1" x14ac:dyDescent="0.3">
      <c r="A287" t="s">
        <v>588</v>
      </c>
      <c r="B287" t="s">
        <v>408</v>
      </c>
      <c r="C287" t="s">
        <v>434</v>
      </c>
      <c r="D287" t="s">
        <v>289</v>
      </c>
      <c r="E287" s="48">
        <v>3</v>
      </c>
      <c r="F287" s="24">
        <v>0</v>
      </c>
      <c r="G287" s="24">
        <v>0</v>
      </c>
      <c r="H287" t="s">
        <v>421</v>
      </c>
    </row>
    <row r="288" spans="1:8" ht="15" customHeight="1" x14ac:dyDescent="0.3">
      <c r="A288" t="s">
        <v>588</v>
      </c>
      <c r="B288" t="s">
        <v>408</v>
      </c>
      <c r="C288" t="s">
        <v>422</v>
      </c>
      <c r="D288" t="s">
        <v>289</v>
      </c>
      <c r="E288" s="48">
        <v>1</v>
      </c>
      <c r="F288" s="24">
        <v>0</v>
      </c>
      <c r="G288" s="24">
        <v>0</v>
      </c>
      <c r="H288" t="s">
        <v>421</v>
      </c>
    </row>
    <row r="289" spans="1:8" ht="15" customHeight="1" x14ac:dyDescent="0.3">
      <c r="A289" t="s">
        <v>588</v>
      </c>
      <c r="B289" t="s">
        <v>408</v>
      </c>
      <c r="C289" t="s">
        <v>435</v>
      </c>
      <c r="D289" t="s">
        <v>289</v>
      </c>
      <c r="E289" s="48">
        <v>0</v>
      </c>
      <c r="F289" s="24">
        <v>0</v>
      </c>
      <c r="G289" s="24">
        <v>0</v>
      </c>
      <c r="H289" t="s">
        <v>421</v>
      </c>
    </row>
    <row r="290" spans="1:8" ht="15" customHeight="1" x14ac:dyDescent="0.3">
      <c r="A290" t="s">
        <v>588</v>
      </c>
      <c r="B290" t="s">
        <v>408</v>
      </c>
      <c r="C290" t="s">
        <v>436</v>
      </c>
      <c r="D290" t="s">
        <v>289</v>
      </c>
      <c r="E290" s="48">
        <v>2</v>
      </c>
      <c r="F290" s="24">
        <v>0</v>
      </c>
      <c r="G290" s="24">
        <v>0</v>
      </c>
      <c r="H290" t="s">
        <v>421</v>
      </c>
    </row>
    <row r="291" spans="1:8" ht="15" customHeight="1" x14ac:dyDescent="0.3">
      <c r="A291" t="s">
        <v>588</v>
      </c>
      <c r="B291" t="s">
        <v>408</v>
      </c>
      <c r="C291" t="s">
        <v>437</v>
      </c>
      <c r="D291" t="s">
        <v>289</v>
      </c>
      <c r="E291" s="48">
        <v>5</v>
      </c>
      <c r="F291" s="24">
        <v>0</v>
      </c>
      <c r="G291" s="24">
        <v>0</v>
      </c>
      <c r="H291" t="s">
        <v>421</v>
      </c>
    </row>
    <row r="292" spans="1:8" ht="15" customHeight="1" x14ac:dyDescent="0.3">
      <c r="A292" t="s">
        <v>588</v>
      </c>
      <c r="B292" t="s">
        <v>408</v>
      </c>
      <c r="C292" t="s">
        <v>438</v>
      </c>
      <c r="D292" t="s">
        <v>289</v>
      </c>
      <c r="E292" s="48">
        <v>0</v>
      </c>
      <c r="F292" s="24">
        <v>0</v>
      </c>
      <c r="G292" s="24">
        <v>0</v>
      </c>
      <c r="H292" t="s">
        <v>421</v>
      </c>
    </row>
    <row r="293" spans="1:8" ht="15" customHeight="1" x14ac:dyDescent="0.3">
      <c r="A293" t="s">
        <v>588</v>
      </c>
      <c r="B293" t="s">
        <v>408</v>
      </c>
      <c r="C293" t="s">
        <v>409</v>
      </c>
      <c r="D293" t="s">
        <v>293</v>
      </c>
      <c r="E293" s="48">
        <v>240</v>
      </c>
      <c r="F293" s="24">
        <v>1.86</v>
      </c>
      <c r="G293" s="24">
        <v>446.4</v>
      </c>
      <c r="H293" t="s">
        <v>590</v>
      </c>
    </row>
    <row r="294" spans="1:8" ht="15" customHeight="1" x14ac:dyDescent="0.3">
      <c r="A294" t="s">
        <v>588</v>
      </c>
      <c r="B294" t="s">
        <v>408</v>
      </c>
      <c r="C294" t="s">
        <v>409</v>
      </c>
      <c r="D294" t="s">
        <v>293</v>
      </c>
      <c r="E294" s="48">
        <v>240</v>
      </c>
      <c r="F294" s="24">
        <v>1.86</v>
      </c>
      <c r="G294" s="24">
        <v>446.4</v>
      </c>
      <c r="H294" t="s">
        <v>590</v>
      </c>
    </row>
    <row r="295" spans="1:8" ht="15" customHeight="1" x14ac:dyDescent="0.3">
      <c r="A295" t="s">
        <v>588</v>
      </c>
      <c r="B295" t="s">
        <v>408</v>
      </c>
      <c r="C295" t="s">
        <v>411</v>
      </c>
      <c r="D295" t="s">
        <v>293</v>
      </c>
      <c r="E295" s="48">
        <v>0</v>
      </c>
      <c r="F295" s="24">
        <v>0</v>
      </c>
      <c r="G295" s="24">
        <v>0</v>
      </c>
      <c r="H295" t="s">
        <v>412</v>
      </c>
    </row>
    <row r="296" spans="1:8" ht="15" customHeight="1" x14ac:dyDescent="0.3">
      <c r="A296" t="s">
        <v>588</v>
      </c>
      <c r="B296" t="s">
        <v>408</v>
      </c>
      <c r="C296" t="s">
        <v>413</v>
      </c>
      <c r="D296" t="s">
        <v>293</v>
      </c>
      <c r="E296" s="48">
        <v>2</v>
      </c>
      <c r="F296" s="24">
        <v>338.53</v>
      </c>
      <c r="G296" s="24">
        <v>677.06</v>
      </c>
      <c r="H296" t="s">
        <v>412</v>
      </c>
    </row>
    <row r="297" spans="1:8" ht="15" customHeight="1" x14ac:dyDescent="0.3">
      <c r="A297" t="s">
        <v>588</v>
      </c>
      <c r="B297" t="s">
        <v>408</v>
      </c>
      <c r="C297" t="s">
        <v>415</v>
      </c>
      <c r="D297" t="s">
        <v>293</v>
      </c>
      <c r="E297" s="48">
        <v>0</v>
      </c>
      <c r="F297" s="24">
        <v>0</v>
      </c>
      <c r="G297" s="24">
        <v>0</v>
      </c>
      <c r="H297" t="s">
        <v>439</v>
      </c>
    </row>
    <row r="298" spans="1:8" ht="15" customHeight="1" x14ac:dyDescent="0.3">
      <c r="A298" t="s">
        <v>588</v>
      </c>
      <c r="B298" t="s">
        <v>408</v>
      </c>
      <c r="C298" t="s">
        <v>422</v>
      </c>
      <c r="D298" t="s">
        <v>293</v>
      </c>
      <c r="E298" s="48">
        <v>1</v>
      </c>
      <c r="F298" s="24">
        <v>0</v>
      </c>
      <c r="G298" s="24">
        <v>0</v>
      </c>
      <c r="H298" t="s">
        <v>421</v>
      </c>
    </row>
    <row r="299" spans="1:8" ht="15" customHeight="1" x14ac:dyDescent="0.3">
      <c r="A299" t="s">
        <v>588</v>
      </c>
      <c r="B299" t="s">
        <v>408</v>
      </c>
      <c r="C299" t="s">
        <v>440</v>
      </c>
      <c r="D299" t="s">
        <v>293</v>
      </c>
      <c r="E299" s="48">
        <v>3</v>
      </c>
      <c r="F299" s="24">
        <v>0</v>
      </c>
      <c r="G299" s="24">
        <v>0</v>
      </c>
      <c r="H299" t="s">
        <v>421</v>
      </c>
    </row>
    <row r="300" spans="1:8" ht="15" customHeight="1" x14ac:dyDescent="0.3">
      <c r="A300" t="s">
        <v>588</v>
      </c>
      <c r="B300" t="s">
        <v>408</v>
      </c>
      <c r="C300" t="s">
        <v>441</v>
      </c>
      <c r="D300" t="s">
        <v>293</v>
      </c>
      <c r="E300" s="48">
        <v>0</v>
      </c>
      <c r="F300" s="24">
        <v>0</v>
      </c>
      <c r="G300" s="24">
        <v>0</v>
      </c>
      <c r="H300" t="s">
        <v>421</v>
      </c>
    </row>
    <row r="301" spans="1:8" ht="15" customHeight="1" x14ac:dyDescent="0.3">
      <c r="A301" t="s">
        <v>588</v>
      </c>
      <c r="B301" t="s">
        <v>408</v>
      </c>
      <c r="C301" t="s">
        <v>442</v>
      </c>
      <c r="D301" t="s">
        <v>293</v>
      </c>
      <c r="E301" s="48">
        <v>0</v>
      </c>
      <c r="F301" s="24">
        <v>0</v>
      </c>
      <c r="G301" s="24">
        <v>0</v>
      </c>
      <c r="H301" t="s">
        <v>421</v>
      </c>
    </row>
    <row r="302" spans="1:8" ht="15" customHeight="1" x14ac:dyDescent="0.3">
      <c r="A302" t="s">
        <v>588</v>
      </c>
      <c r="B302" t="s">
        <v>408</v>
      </c>
      <c r="C302" t="s">
        <v>409</v>
      </c>
      <c r="D302" t="s">
        <v>290</v>
      </c>
      <c r="E302" s="48">
        <v>679</v>
      </c>
      <c r="F302" s="24">
        <v>1.86</v>
      </c>
      <c r="G302" s="24">
        <v>1262.94</v>
      </c>
      <c r="H302" t="s">
        <v>590</v>
      </c>
    </row>
    <row r="303" spans="1:8" ht="15" customHeight="1" x14ac:dyDescent="0.3">
      <c r="A303" t="s">
        <v>588</v>
      </c>
      <c r="B303" t="s">
        <v>408</v>
      </c>
      <c r="C303" t="s">
        <v>409</v>
      </c>
      <c r="D303" t="s">
        <v>290</v>
      </c>
      <c r="E303" s="48">
        <v>679</v>
      </c>
      <c r="F303" s="24">
        <v>1.86</v>
      </c>
      <c r="G303" s="24">
        <v>1262.94</v>
      </c>
      <c r="H303" t="s">
        <v>590</v>
      </c>
    </row>
    <row r="304" spans="1:8" ht="15" customHeight="1" x14ac:dyDescent="0.3">
      <c r="A304" t="s">
        <v>588</v>
      </c>
      <c r="B304" t="s">
        <v>408</v>
      </c>
      <c r="C304" t="s">
        <v>411</v>
      </c>
      <c r="D304" t="s">
        <v>290</v>
      </c>
      <c r="E304" s="48">
        <v>4</v>
      </c>
      <c r="F304" s="24">
        <v>383.56</v>
      </c>
      <c r="G304" s="24">
        <v>1534.24</v>
      </c>
      <c r="H304" t="s">
        <v>443</v>
      </c>
    </row>
    <row r="305" spans="1:8" ht="15" customHeight="1" x14ac:dyDescent="0.3">
      <c r="A305" t="s">
        <v>588</v>
      </c>
      <c r="B305" t="s">
        <v>408</v>
      </c>
      <c r="C305" t="s">
        <v>413</v>
      </c>
      <c r="D305" t="s">
        <v>290</v>
      </c>
      <c r="E305" s="48">
        <v>4</v>
      </c>
      <c r="F305" s="24">
        <v>338.53</v>
      </c>
      <c r="G305" s="24">
        <v>1354.12</v>
      </c>
      <c r="H305" t="s">
        <v>444</v>
      </c>
    </row>
    <row r="306" spans="1:8" ht="15" customHeight="1" x14ac:dyDescent="0.3">
      <c r="A306" t="s">
        <v>588</v>
      </c>
      <c r="B306" t="s">
        <v>408</v>
      </c>
      <c r="C306" t="s">
        <v>415</v>
      </c>
      <c r="D306" t="s">
        <v>290</v>
      </c>
      <c r="E306" s="48">
        <v>2</v>
      </c>
      <c r="F306" s="24">
        <v>400.26</v>
      </c>
      <c r="G306" s="24">
        <v>800.52</v>
      </c>
      <c r="H306" t="s">
        <v>445</v>
      </c>
    </row>
    <row r="307" spans="1:8" ht="15" customHeight="1" x14ac:dyDescent="0.3">
      <c r="A307" t="s">
        <v>588</v>
      </c>
      <c r="B307" t="s">
        <v>408</v>
      </c>
      <c r="C307" t="s">
        <v>417</v>
      </c>
      <c r="D307" t="s">
        <v>290</v>
      </c>
      <c r="E307" s="48">
        <v>1</v>
      </c>
      <c r="F307" s="24">
        <v>448</v>
      </c>
      <c r="G307" s="24">
        <v>448</v>
      </c>
      <c r="H307" t="s">
        <v>446</v>
      </c>
    </row>
    <row r="308" spans="1:8" ht="15" customHeight="1" x14ac:dyDescent="0.3">
      <c r="A308" t="s">
        <v>588</v>
      </c>
      <c r="B308" t="s">
        <v>408</v>
      </c>
      <c r="C308" t="s">
        <v>417</v>
      </c>
      <c r="D308" t="s">
        <v>290</v>
      </c>
      <c r="E308" s="48">
        <v>116</v>
      </c>
      <c r="F308" s="24">
        <v>23.15</v>
      </c>
      <c r="G308" s="24">
        <v>2685.4</v>
      </c>
      <c r="H308" t="s">
        <v>447</v>
      </c>
    </row>
    <row r="309" spans="1:8" ht="15" customHeight="1" x14ac:dyDescent="0.3">
      <c r="A309" t="s">
        <v>588</v>
      </c>
      <c r="B309" t="s">
        <v>408</v>
      </c>
      <c r="C309" t="s">
        <v>448</v>
      </c>
      <c r="D309" t="s">
        <v>290</v>
      </c>
      <c r="E309" s="48">
        <v>2</v>
      </c>
      <c r="F309" s="24">
        <v>0</v>
      </c>
      <c r="G309" s="24">
        <v>0</v>
      </c>
      <c r="H309" t="s">
        <v>421</v>
      </c>
    </row>
    <row r="310" spans="1:8" ht="15" customHeight="1" x14ac:dyDescent="0.3">
      <c r="A310" t="s">
        <v>588</v>
      </c>
      <c r="B310" t="s">
        <v>408</v>
      </c>
      <c r="C310" t="s">
        <v>449</v>
      </c>
      <c r="D310" t="s">
        <v>290</v>
      </c>
      <c r="E310" s="48">
        <v>0</v>
      </c>
      <c r="F310" s="24">
        <v>0</v>
      </c>
      <c r="G310" s="24">
        <v>0</v>
      </c>
      <c r="H310" t="s">
        <v>421</v>
      </c>
    </row>
    <row r="311" spans="1:8" ht="15" customHeight="1" x14ac:dyDescent="0.3">
      <c r="A311" t="s">
        <v>588</v>
      </c>
      <c r="B311" t="s">
        <v>408</v>
      </c>
      <c r="C311" t="s">
        <v>450</v>
      </c>
      <c r="D311" t="s">
        <v>290</v>
      </c>
      <c r="E311" s="48">
        <v>0</v>
      </c>
      <c r="F311" s="24">
        <v>0</v>
      </c>
      <c r="G311" s="24">
        <v>0</v>
      </c>
      <c r="H311" t="s">
        <v>421</v>
      </c>
    </row>
    <row r="312" spans="1:8" ht="15" customHeight="1" x14ac:dyDescent="0.3">
      <c r="A312" t="s">
        <v>588</v>
      </c>
      <c r="B312" t="s">
        <v>408</v>
      </c>
      <c r="C312" t="s">
        <v>451</v>
      </c>
      <c r="D312" t="s">
        <v>290</v>
      </c>
      <c r="E312" s="48">
        <v>0</v>
      </c>
      <c r="F312" s="24">
        <v>0</v>
      </c>
      <c r="G312" s="24">
        <v>0</v>
      </c>
      <c r="H312" t="s">
        <v>421</v>
      </c>
    </row>
    <row r="313" spans="1:8" ht="15" customHeight="1" x14ac:dyDescent="0.3">
      <c r="A313" t="s">
        <v>588</v>
      </c>
      <c r="B313" t="s">
        <v>408</v>
      </c>
      <c r="C313" t="s">
        <v>409</v>
      </c>
      <c r="D313" t="s">
        <v>284</v>
      </c>
      <c r="E313" s="48">
        <v>508</v>
      </c>
      <c r="F313" s="24">
        <v>1.86</v>
      </c>
      <c r="G313" s="24">
        <v>944.88</v>
      </c>
      <c r="H313" t="s">
        <v>590</v>
      </c>
    </row>
    <row r="314" spans="1:8" ht="15" customHeight="1" x14ac:dyDescent="0.3">
      <c r="A314" t="s">
        <v>588</v>
      </c>
      <c r="B314" t="s">
        <v>408</v>
      </c>
      <c r="C314" t="s">
        <v>409</v>
      </c>
      <c r="D314" t="s">
        <v>284</v>
      </c>
      <c r="E314" s="48">
        <v>508</v>
      </c>
      <c r="F314" s="24">
        <v>1.86</v>
      </c>
      <c r="G314" s="24">
        <v>944.88</v>
      </c>
      <c r="H314" t="s">
        <v>590</v>
      </c>
    </row>
    <row r="315" spans="1:8" ht="15" customHeight="1" x14ac:dyDescent="0.3">
      <c r="A315" t="s">
        <v>588</v>
      </c>
      <c r="B315" t="s">
        <v>408</v>
      </c>
      <c r="C315" t="s">
        <v>411</v>
      </c>
      <c r="D315" t="s">
        <v>284</v>
      </c>
      <c r="E315" s="48">
        <v>1</v>
      </c>
      <c r="F315" s="24">
        <v>383.56</v>
      </c>
      <c r="G315" s="24">
        <v>383.56</v>
      </c>
      <c r="H315" t="s">
        <v>452</v>
      </c>
    </row>
    <row r="316" spans="1:8" ht="15" customHeight="1" x14ac:dyDescent="0.3">
      <c r="A316" t="s">
        <v>588</v>
      </c>
      <c r="B316" t="s">
        <v>408</v>
      </c>
      <c r="C316" t="s">
        <v>413</v>
      </c>
      <c r="D316" t="s">
        <v>284</v>
      </c>
      <c r="E316" s="48">
        <v>4</v>
      </c>
      <c r="F316" s="24">
        <v>338.53</v>
      </c>
      <c r="G316" s="24">
        <v>1354.12</v>
      </c>
      <c r="H316" t="s">
        <v>453</v>
      </c>
    </row>
    <row r="317" spans="1:8" ht="15" customHeight="1" x14ac:dyDescent="0.3">
      <c r="A317" t="s">
        <v>588</v>
      </c>
      <c r="B317" t="s">
        <v>408</v>
      </c>
      <c r="C317" t="s">
        <v>415</v>
      </c>
      <c r="D317" t="s">
        <v>284</v>
      </c>
      <c r="E317" s="48">
        <v>1</v>
      </c>
      <c r="F317" s="24">
        <v>400.26</v>
      </c>
      <c r="G317" s="24">
        <v>400.26</v>
      </c>
      <c r="H317" t="s">
        <v>454</v>
      </c>
    </row>
    <row r="318" spans="1:8" ht="15" customHeight="1" x14ac:dyDescent="0.3">
      <c r="A318" t="s">
        <v>588</v>
      </c>
      <c r="B318" t="s">
        <v>408</v>
      </c>
      <c r="C318" t="s">
        <v>455</v>
      </c>
      <c r="D318" t="s">
        <v>284</v>
      </c>
      <c r="E318" s="48">
        <v>1</v>
      </c>
      <c r="F318" s="24">
        <v>443</v>
      </c>
      <c r="G318" s="24">
        <v>443</v>
      </c>
      <c r="H318" t="s">
        <v>456</v>
      </c>
    </row>
    <row r="319" spans="1:8" ht="15" customHeight="1" x14ac:dyDescent="0.3">
      <c r="A319" t="s">
        <v>588</v>
      </c>
      <c r="B319" t="s">
        <v>408</v>
      </c>
      <c r="C319" t="s">
        <v>455</v>
      </c>
      <c r="D319" t="s">
        <v>284</v>
      </c>
      <c r="E319" s="48">
        <v>182</v>
      </c>
      <c r="F319" s="24">
        <v>12.34</v>
      </c>
      <c r="G319" s="24">
        <v>2245.88</v>
      </c>
      <c r="H319" t="s">
        <v>433</v>
      </c>
    </row>
    <row r="320" spans="1:8" ht="15" customHeight="1" x14ac:dyDescent="0.3">
      <c r="A320" t="s">
        <v>588</v>
      </c>
      <c r="B320" t="s">
        <v>408</v>
      </c>
      <c r="C320" t="s">
        <v>422</v>
      </c>
      <c r="D320" t="s">
        <v>284</v>
      </c>
      <c r="E320" s="48">
        <v>15</v>
      </c>
      <c r="F320" s="24">
        <v>0</v>
      </c>
      <c r="G320" s="24">
        <v>0</v>
      </c>
      <c r="H320" t="s">
        <v>421</v>
      </c>
    </row>
    <row r="321" spans="1:8" ht="15" customHeight="1" x14ac:dyDescent="0.3">
      <c r="A321" t="s">
        <v>588</v>
      </c>
      <c r="B321" t="s">
        <v>408</v>
      </c>
      <c r="C321" t="s">
        <v>457</v>
      </c>
      <c r="D321" t="s">
        <v>284</v>
      </c>
      <c r="E321" s="48">
        <v>0</v>
      </c>
      <c r="F321" s="24">
        <v>0</v>
      </c>
      <c r="G321" s="24">
        <v>0</v>
      </c>
      <c r="H321" t="s">
        <v>421</v>
      </c>
    </row>
    <row r="322" spans="1:8" ht="15" customHeight="1" x14ac:dyDescent="0.3">
      <c r="A322" t="s">
        <v>588</v>
      </c>
      <c r="B322" t="s">
        <v>408</v>
      </c>
      <c r="C322" t="s">
        <v>458</v>
      </c>
      <c r="D322" t="s">
        <v>284</v>
      </c>
      <c r="E322" s="48">
        <v>0</v>
      </c>
      <c r="F322" s="24">
        <v>0</v>
      </c>
      <c r="G322" s="24">
        <v>0</v>
      </c>
      <c r="H322" t="s">
        <v>421</v>
      </c>
    </row>
    <row r="323" spans="1:8" ht="15" customHeight="1" x14ac:dyDescent="0.3">
      <c r="A323" t="s">
        <v>588</v>
      </c>
      <c r="B323" t="s">
        <v>408</v>
      </c>
      <c r="C323" t="s">
        <v>459</v>
      </c>
      <c r="D323" t="s">
        <v>284</v>
      </c>
      <c r="E323" s="48">
        <v>0</v>
      </c>
      <c r="F323" s="24">
        <v>0</v>
      </c>
      <c r="G323" s="24">
        <v>0</v>
      </c>
      <c r="H323" t="s">
        <v>421</v>
      </c>
    </row>
    <row r="324" spans="1:8" ht="15" customHeight="1" x14ac:dyDescent="0.3">
      <c r="A324" t="s">
        <v>588</v>
      </c>
      <c r="B324" t="s">
        <v>408</v>
      </c>
      <c r="C324" t="s">
        <v>409</v>
      </c>
      <c r="D324" t="s">
        <v>285</v>
      </c>
      <c r="E324" s="48">
        <v>111</v>
      </c>
      <c r="F324" s="24">
        <v>1.86</v>
      </c>
      <c r="G324" s="24">
        <v>206.46</v>
      </c>
      <c r="H324" t="s">
        <v>590</v>
      </c>
    </row>
    <row r="325" spans="1:8" ht="15" customHeight="1" x14ac:dyDescent="0.3">
      <c r="A325" t="s">
        <v>588</v>
      </c>
      <c r="B325" t="s">
        <v>408</v>
      </c>
      <c r="C325" t="s">
        <v>409</v>
      </c>
      <c r="D325" t="s">
        <v>285</v>
      </c>
      <c r="E325" s="48">
        <v>111</v>
      </c>
      <c r="F325" s="24">
        <v>1.86</v>
      </c>
      <c r="G325" s="24">
        <v>206.46</v>
      </c>
      <c r="H325" t="s">
        <v>590</v>
      </c>
    </row>
    <row r="326" spans="1:8" ht="15" customHeight="1" x14ac:dyDescent="0.3">
      <c r="A326" t="s">
        <v>588</v>
      </c>
      <c r="B326" t="s">
        <v>408</v>
      </c>
      <c r="C326" t="s">
        <v>411</v>
      </c>
      <c r="D326" t="s">
        <v>285</v>
      </c>
      <c r="E326" s="48">
        <v>1</v>
      </c>
      <c r="F326" s="24">
        <v>383.56</v>
      </c>
      <c r="G326" s="24">
        <v>383.56</v>
      </c>
      <c r="H326" t="s">
        <v>460</v>
      </c>
    </row>
    <row r="327" spans="1:8" ht="15" customHeight="1" x14ac:dyDescent="0.3">
      <c r="A327" t="s">
        <v>588</v>
      </c>
      <c r="B327" t="s">
        <v>408</v>
      </c>
      <c r="C327" t="s">
        <v>413</v>
      </c>
      <c r="D327" t="s">
        <v>285</v>
      </c>
      <c r="E327" s="48">
        <v>0</v>
      </c>
      <c r="F327" s="24">
        <v>0</v>
      </c>
      <c r="G327" s="24">
        <v>0</v>
      </c>
      <c r="H327" t="s">
        <v>461</v>
      </c>
    </row>
    <row r="328" spans="1:8" ht="15" customHeight="1" x14ac:dyDescent="0.3">
      <c r="A328" t="s">
        <v>588</v>
      </c>
      <c r="B328" t="s">
        <v>408</v>
      </c>
      <c r="C328" t="s">
        <v>415</v>
      </c>
      <c r="D328" t="s">
        <v>285</v>
      </c>
      <c r="E328" s="48">
        <v>1</v>
      </c>
      <c r="F328" s="24">
        <v>400.26</v>
      </c>
      <c r="G328" s="24">
        <v>400.26</v>
      </c>
      <c r="H328" t="s">
        <v>412</v>
      </c>
    </row>
    <row r="329" spans="1:8" ht="15" customHeight="1" x14ac:dyDescent="0.3">
      <c r="A329" t="s">
        <v>588</v>
      </c>
      <c r="B329" t="s">
        <v>408</v>
      </c>
      <c r="C329" t="s">
        <v>455</v>
      </c>
      <c r="D329" t="s">
        <v>285</v>
      </c>
      <c r="E329" s="48">
        <v>1</v>
      </c>
      <c r="F329" s="24">
        <v>867</v>
      </c>
      <c r="G329" s="24">
        <v>867</v>
      </c>
      <c r="H329" t="s">
        <v>462</v>
      </c>
    </row>
    <row r="330" spans="1:8" ht="15" customHeight="1" x14ac:dyDescent="0.3">
      <c r="A330" t="s">
        <v>588</v>
      </c>
      <c r="B330" t="s">
        <v>408</v>
      </c>
      <c r="C330" t="s">
        <v>455</v>
      </c>
      <c r="D330" t="s">
        <v>285</v>
      </c>
      <c r="E330" s="48">
        <v>96</v>
      </c>
      <c r="F330" s="24">
        <v>12.34</v>
      </c>
      <c r="G330" s="24">
        <v>1184.6400000000001</v>
      </c>
      <c r="H330" t="s">
        <v>433</v>
      </c>
    </row>
    <row r="331" spans="1:8" ht="15" customHeight="1" x14ac:dyDescent="0.3">
      <c r="A331" t="s">
        <v>588</v>
      </c>
      <c r="B331" t="s">
        <v>408</v>
      </c>
      <c r="C331" t="s">
        <v>422</v>
      </c>
      <c r="D331" t="s">
        <v>285</v>
      </c>
      <c r="E331" s="48">
        <v>1</v>
      </c>
      <c r="F331" s="24">
        <v>0</v>
      </c>
      <c r="G331" s="24">
        <v>0</v>
      </c>
      <c r="H331" t="s">
        <v>421</v>
      </c>
    </row>
    <row r="332" spans="1:8" ht="15" customHeight="1" x14ac:dyDescent="0.3">
      <c r="A332" t="s">
        <v>588</v>
      </c>
      <c r="B332" t="s">
        <v>408</v>
      </c>
      <c r="C332" t="s">
        <v>463</v>
      </c>
      <c r="D332" t="s">
        <v>285</v>
      </c>
      <c r="E332" s="48">
        <v>2</v>
      </c>
      <c r="F332" s="24">
        <v>0</v>
      </c>
      <c r="G332" s="24">
        <v>0</v>
      </c>
      <c r="H332" t="s">
        <v>421</v>
      </c>
    </row>
    <row r="333" spans="1:8" ht="15" customHeight="1" x14ac:dyDescent="0.3">
      <c r="A333" t="s">
        <v>588</v>
      </c>
      <c r="B333" t="s">
        <v>408</v>
      </c>
      <c r="C333" t="s">
        <v>426</v>
      </c>
      <c r="D333" t="s">
        <v>282</v>
      </c>
      <c r="E333" s="48">
        <v>1</v>
      </c>
      <c r="F333" s="24">
        <v>25.5</v>
      </c>
      <c r="G333" s="24">
        <v>25.5</v>
      </c>
      <c r="H333" t="s">
        <v>550</v>
      </c>
    </row>
    <row r="334" spans="1:8" ht="15" customHeight="1" x14ac:dyDescent="0.3">
      <c r="A334" t="s">
        <v>588</v>
      </c>
      <c r="B334" t="s">
        <v>408</v>
      </c>
      <c r="C334" t="s">
        <v>409</v>
      </c>
      <c r="D334" t="s">
        <v>282</v>
      </c>
      <c r="E334" s="48">
        <v>285</v>
      </c>
      <c r="F334" s="24">
        <v>1.86</v>
      </c>
      <c r="G334" s="24">
        <v>530.1</v>
      </c>
      <c r="H334" t="s">
        <v>590</v>
      </c>
    </row>
    <row r="335" spans="1:8" ht="15" customHeight="1" x14ac:dyDescent="0.3">
      <c r="A335" t="s">
        <v>588</v>
      </c>
      <c r="B335" t="s">
        <v>408</v>
      </c>
      <c r="C335" t="s">
        <v>409</v>
      </c>
      <c r="D335" t="s">
        <v>282</v>
      </c>
      <c r="E335" s="48">
        <v>0</v>
      </c>
      <c r="F335" s="24">
        <v>0</v>
      </c>
      <c r="G335" s="24">
        <v>0</v>
      </c>
      <c r="H335" t="s">
        <v>410</v>
      </c>
    </row>
    <row r="336" spans="1:8" ht="15" customHeight="1" x14ac:dyDescent="0.3">
      <c r="A336" t="s">
        <v>588</v>
      </c>
      <c r="B336" t="s">
        <v>408</v>
      </c>
      <c r="C336" t="s">
        <v>409</v>
      </c>
      <c r="D336" t="s">
        <v>282</v>
      </c>
      <c r="E336" s="48">
        <v>285</v>
      </c>
      <c r="F336" s="24">
        <v>1.86</v>
      </c>
      <c r="G336" s="24">
        <v>530.1</v>
      </c>
      <c r="H336" t="s">
        <v>590</v>
      </c>
    </row>
    <row r="337" spans="1:8" ht="15" customHeight="1" x14ac:dyDescent="0.3">
      <c r="A337" t="s">
        <v>588</v>
      </c>
      <c r="B337" t="s">
        <v>408</v>
      </c>
      <c r="C337" t="s">
        <v>411</v>
      </c>
      <c r="D337" t="s">
        <v>282</v>
      </c>
      <c r="E337" s="48">
        <v>1</v>
      </c>
      <c r="F337" s="24">
        <v>383.56</v>
      </c>
      <c r="G337" s="24">
        <v>383.56</v>
      </c>
      <c r="H337" t="s">
        <v>464</v>
      </c>
    </row>
    <row r="338" spans="1:8" ht="15" customHeight="1" x14ac:dyDescent="0.3">
      <c r="A338" t="s">
        <v>588</v>
      </c>
      <c r="B338" t="s">
        <v>408</v>
      </c>
      <c r="C338" t="s">
        <v>413</v>
      </c>
      <c r="D338" t="s">
        <v>282</v>
      </c>
      <c r="E338" s="48">
        <v>2</v>
      </c>
      <c r="F338" s="24">
        <v>338.53</v>
      </c>
      <c r="G338" s="24">
        <v>677.06</v>
      </c>
      <c r="H338" t="s">
        <v>465</v>
      </c>
    </row>
    <row r="339" spans="1:8" ht="15" customHeight="1" x14ac:dyDescent="0.3">
      <c r="A339" t="s">
        <v>588</v>
      </c>
      <c r="B339" t="s">
        <v>408</v>
      </c>
      <c r="C339" t="s">
        <v>415</v>
      </c>
      <c r="D339" t="s">
        <v>282</v>
      </c>
      <c r="E339" s="48">
        <v>2</v>
      </c>
      <c r="F339" s="24">
        <v>400.26</v>
      </c>
      <c r="G339" s="24">
        <v>800.52</v>
      </c>
      <c r="H339" t="s">
        <v>466</v>
      </c>
    </row>
    <row r="340" spans="1:8" ht="15" customHeight="1" x14ac:dyDescent="0.3">
      <c r="A340" t="s">
        <v>588</v>
      </c>
      <c r="B340" t="s">
        <v>408</v>
      </c>
      <c r="C340" t="s">
        <v>422</v>
      </c>
      <c r="D340" t="s">
        <v>282</v>
      </c>
      <c r="E340" s="48">
        <v>4</v>
      </c>
      <c r="F340" s="24">
        <v>0</v>
      </c>
      <c r="G340" s="24">
        <v>0</v>
      </c>
      <c r="H340" t="s">
        <v>421</v>
      </c>
    </row>
    <row r="341" spans="1:8" ht="15" customHeight="1" x14ac:dyDescent="0.3">
      <c r="A341" t="s">
        <v>588</v>
      </c>
      <c r="B341" t="s">
        <v>408</v>
      </c>
      <c r="C341" t="s">
        <v>467</v>
      </c>
      <c r="D341" t="s">
        <v>282</v>
      </c>
      <c r="E341" s="48">
        <v>0</v>
      </c>
      <c r="F341" s="24">
        <v>0</v>
      </c>
      <c r="G341" s="24">
        <v>0</v>
      </c>
      <c r="H341" t="s">
        <v>421</v>
      </c>
    </row>
    <row r="342" spans="1:8" ht="15" customHeight="1" x14ac:dyDescent="0.3">
      <c r="A342" t="s">
        <v>588</v>
      </c>
      <c r="B342" t="s">
        <v>408</v>
      </c>
      <c r="C342" t="s">
        <v>468</v>
      </c>
      <c r="D342" t="s">
        <v>282</v>
      </c>
      <c r="E342" s="48">
        <v>-15</v>
      </c>
      <c r="F342" s="24">
        <v>0</v>
      </c>
      <c r="G342" s="24">
        <v>0</v>
      </c>
      <c r="H342" t="s">
        <v>421</v>
      </c>
    </row>
    <row r="343" spans="1:8" ht="15" customHeight="1" x14ac:dyDescent="0.3">
      <c r="A343" t="s">
        <v>588</v>
      </c>
      <c r="B343" t="s">
        <v>408</v>
      </c>
      <c r="C343" t="s">
        <v>469</v>
      </c>
      <c r="D343" t="s">
        <v>282</v>
      </c>
      <c r="E343" s="48">
        <v>0</v>
      </c>
      <c r="F343" s="24">
        <v>0</v>
      </c>
      <c r="G343" s="24">
        <v>0</v>
      </c>
      <c r="H343" t="s">
        <v>421</v>
      </c>
    </row>
    <row r="344" spans="1:8" ht="15" customHeight="1" x14ac:dyDescent="0.3">
      <c r="A344" t="s">
        <v>588</v>
      </c>
      <c r="B344" t="s">
        <v>408</v>
      </c>
      <c r="C344" t="s">
        <v>470</v>
      </c>
      <c r="D344" t="s">
        <v>282</v>
      </c>
      <c r="E344" s="48">
        <v>0</v>
      </c>
      <c r="F344" s="24">
        <v>0</v>
      </c>
      <c r="G344" s="24">
        <v>0</v>
      </c>
      <c r="H344" t="s">
        <v>421</v>
      </c>
    </row>
    <row r="345" spans="1:8" ht="15" customHeight="1" x14ac:dyDescent="0.3">
      <c r="A345" t="s">
        <v>588</v>
      </c>
      <c r="B345" t="s">
        <v>143</v>
      </c>
      <c r="C345" t="s">
        <v>471</v>
      </c>
      <c r="D345" t="s">
        <v>287</v>
      </c>
      <c r="E345" s="48">
        <v>6280</v>
      </c>
      <c r="F345" s="24">
        <v>0.212371943123151</v>
      </c>
      <c r="G345" s="24">
        <v>1333.6958028133899</v>
      </c>
      <c r="H345" t="s">
        <v>394</v>
      </c>
    </row>
    <row r="346" spans="1:8" ht="15" customHeight="1" x14ac:dyDescent="0.3">
      <c r="A346" t="s">
        <v>588</v>
      </c>
      <c r="B346" t="s">
        <v>143</v>
      </c>
      <c r="C346" t="s">
        <v>471</v>
      </c>
      <c r="D346" t="s">
        <v>289</v>
      </c>
      <c r="E346" s="48">
        <v>13402</v>
      </c>
      <c r="F346" s="24">
        <v>0.212371943123151</v>
      </c>
      <c r="G346" s="24">
        <v>2846.20878173647</v>
      </c>
      <c r="H346" t="s">
        <v>394</v>
      </c>
    </row>
    <row r="347" spans="1:8" ht="15" customHeight="1" x14ac:dyDescent="0.3">
      <c r="A347" t="s">
        <v>588</v>
      </c>
      <c r="B347" t="s">
        <v>143</v>
      </c>
      <c r="C347" t="s">
        <v>471</v>
      </c>
      <c r="D347" t="s">
        <v>293</v>
      </c>
      <c r="E347" s="48">
        <v>3650</v>
      </c>
      <c r="F347" s="24">
        <v>0.212371943123151</v>
      </c>
      <c r="G347" s="24">
        <v>775.15759239950103</v>
      </c>
      <c r="H347" t="s">
        <v>394</v>
      </c>
    </row>
    <row r="348" spans="1:8" ht="15" customHeight="1" x14ac:dyDescent="0.3">
      <c r="A348" t="s">
        <v>588</v>
      </c>
      <c r="B348" t="s">
        <v>143</v>
      </c>
      <c r="C348" t="s">
        <v>471</v>
      </c>
      <c r="D348" t="s">
        <v>290</v>
      </c>
      <c r="E348" s="48">
        <v>6396</v>
      </c>
      <c r="F348" s="24">
        <v>0.212371943123151</v>
      </c>
      <c r="G348" s="24">
        <v>1358.3309482156701</v>
      </c>
      <c r="H348" t="s">
        <v>394</v>
      </c>
    </row>
    <row r="349" spans="1:8" ht="15" customHeight="1" x14ac:dyDescent="0.3">
      <c r="A349" t="s">
        <v>588</v>
      </c>
      <c r="B349" t="s">
        <v>143</v>
      </c>
      <c r="C349" t="s">
        <v>471</v>
      </c>
      <c r="D349" t="s">
        <v>284</v>
      </c>
      <c r="E349" s="48">
        <v>14331</v>
      </c>
      <c r="F349" s="24">
        <v>0.212371943123151</v>
      </c>
      <c r="G349" s="24">
        <v>3043.5023168978801</v>
      </c>
      <c r="H349" t="s">
        <v>394</v>
      </c>
    </row>
    <row r="350" spans="1:8" ht="15" customHeight="1" x14ac:dyDescent="0.3">
      <c r="A350" t="s">
        <v>588</v>
      </c>
      <c r="B350" t="s">
        <v>143</v>
      </c>
      <c r="C350" t="s">
        <v>471</v>
      </c>
      <c r="D350" t="s">
        <v>285</v>
      </c>
      <c r="E350" s="48">
        <v>4730</v>
      </c>
      <c r="F350" s="24">
        <v>0.212371943123151</v>
      </c>
      <c r="G350" s="24">
        <v>1004.5192909725</v>
      </c>
      <c r="H350" t="s">
        <v>394</v>
      </c>
    </row>
    <row r="351" spans="1:8" ht="15" customHeight="1" x14ac:dyDescent="0.3">
      <c r="A351" t="s">
        <v>588</v>
      </c>
      <c r="B351" t="s">
        <v>143</v>
      </c>
      <c r="C351" t="s">
        <v>471</v>
      </c>
      <c r="D351" t="s">
        <v>282</v>
      </c>
      <c r="E351" s="48">
        <v>4782</v>
      </c>
      <c r="F351" s="24">
        <v>0.212371943123151</v>
      </c>
      <c r="G351" s="24">
        <v>1015.56263201491</v>
      </c>
      <c r="H351" t="s">
        <v>394</v>
      </c>
    </row>
    <row r="352" spans="1:8" ht="15" customHeight="1" x14ac:dyDescent="0.3">
      <c r="A352" t="s">
        <v>588</v>
      </c>
      <c r="B352" t="s">
        <v>141</v>
      </c>
      <c r="C352" t="s">
        <v>472</v>
      </c>
      <c r="D352" t="s">
        <v>289</v>
      </c>
      <c r="E352" s="48">
        <v>13402</v>
      </c>
      <c r="F352" s="24">
        <v>9.5922582803263504E-2</v>
      </c>
      <c r="G352" s="24">
        <v>1285.554455</v>
      </c>
      <c r="H352" t="s">
        <v>394</v>
      </c>
    </row>
    <row r="353" spans="1:8" ht="15" customHeight="1" x14ac:dyDescent="0.3">
      <c r="A353" t="s">
        <v>588</v>
      </c>
      <c r="B353" t="s">
        <v>45</v>
      </c>
      <c r="C353" t="s">
        <v>473</v>
      </c>
      <c r="D353" t="s">
        <v>287</v>
      </c>
      <c r="E353" s="48">
        <v>1</v>
      </c>
      <c r="F353" s="24">
        <v>9145.68</v>
      </c>
      <c r="G353" s="24">
        <v>9145.68</v>
      </c>
      <c r="H353" t="s">
        <v>474</v>
      </c>
    </row>
    <row r="354" spans="1:8" ht="15" customHeight="1" x14ac:dyDescent="0.3">
      <c r="A354" t="s">
        <v>588</v>
      </c>
      <c r="B354" t="s">
        <v>45</v>
      </c>
      <c r="C354" t="s">
        <v>473</v>
      </c>
      <c r="D354" t="s">
        <v>293</v>
      </c>
      <c r="E354" s="48">
        <v>1</v>
      </c>
      <c r="F354" s="24">
        <v>3372.11</v>
      </c>
      <c r="G354" s="24">
        <v>3372.11</v>
      </c>
      <c r="H354" t="s">
        <v>474</v>
      </c>
    </row>
    <row r="355" spans="1:8" ht="15" customHeight="1" x14ac:dyDescent="0.3">
      <c r="A355" t="s">
        <v>588</v>
      </c>
      <c r="B355" t="s">
        <v>45</v>
      </c>
      <c r="C355" t="s">
        <v>473</v>
      </c>
      <c r="D355" t="s">
        <v>285</v>
      </c>
      <c r="E355" s="48">
        <v>1</v>
      </c>
      <c r="F355" s="24">
        <v>15695.77</v>
      </c>
      <c r="G355" s="24">
        <v>15695.77</v>
      </c>
      <c r="H355" t="s">
        <v>474</v>
      </c>
    </row>
    <row r="356" spans="1:8" ht="15" customHeight="1" x14ac:dyDescent="0.3">
      <c r="A356" t="s">
        <v>588</v>
      </c>
      <c r="B356" t="s">
        <v>45</v>
      </c>
      <c r="C356" t="s">
        <v>475</v>
      </c>
      <c r="D356" t="s">
        <v>282</v>
      </c>
      <c r="E356" s="48">
        <v>0</v>
      </c>
      <c r="F356" s="24">
        <v>0</v>
      </c>
      <c r="G356" s="24">
        <v>0</v>
      </c>
      <c r="H356" t="s">
        <v>476</v>
      </c>
    </row>
    <row r="357" spans="1:8" ht="15" customHeight="1" x14ac:dyDescent="0.3">
      <c r="A357" t="s">
        <v>588</v>
      </c>
      <c r="B357" t="s">
        <v>45</v>
      </c>
      <c r="C357" t="s">
        <v>552</v>
      </c>
      <c r="D357" t="s">
        <v>282</v>
      </c>
      <c r="E357" s="48">
        <v>1</v>
      </c>
      <c r="F357" s="24">
        <v>22320</v>
      </c>
      <c r="G357" s="24">
        <v>22320</v>
      </c>
      <c r="H357" t="s">
        <v>591</v>
      </c>
    </row>
    <row r="358" spans="1:8" ht="15" customHeight="1" x14ac:dyDescent="0.3">
      <c r="A358" t="s">
        <v>588</v>
      </c>
      <c r="B358" t="s">
        <v>50</v>
      </c>
      <c r="C358" t="s">
        <v>477</v>
      </c>
      <c r="D358" t="s">
        <v>287</v>
      </c>
      <c r="E358" s="48">
        <v>1</v>
      </c>
      <c r="F358" s="24">
        <v>676.8</v>
      </c>
      <c r="G358" s="24">
        <v>676.8</v>
      </c>
      <c r="H358" t="s">
        <v>478</v>
      </c>
    </row>
    <row r="359" spans="1:8" ht="15" customHeight="1" x14ac:dyDescent="0.3">
      <c r="A359" t="s">
        <v>588</v>
      </c>
      <c r="B359" t="s">
        <v>50</v>
      </c>
      <c r="C359" t="s">
        <v>477</v>
      </c>
      <c r="D359" t="s">
        <v>293</v>
      </c>
      <c r="E359" s="48">
        <v>1</v>
      </c>
      <c r="F359" s="24">
        <v>676.8</v>
      </c>
      <c r="G359" s="24">
        <v>676.8</v>
      </c>
      <c r="H359" t="s">
        <v>478</v>
      </c>
    </row>
    <row r="360" spans="1:8" ht="15" customHeight="1" x14ac:dyDescent="0.3">
      <c r="A360" t="s">
        <v>588</v>
      </c>
      <c r="B360" t="s">
        <v>50</v>
      </c>
      <c r="C360" t="s">
        <v>477</v>
      </c>
      <c r="D360" t="s">
        <v>290</v>
      </c>
      <c r="E360" s="48">
        <v>1</v>
      </c>
      <c r="F360" s="24">
        <v>676.8</v>
      </c>
      <c r="G360" s="24">
        <v>676.8</v>
      </c>
      <c r="H360" t="s">
        <v>479</v>
      </c>
    </row>
    <row r="361" spans="1:8" ht="15" customHeight="1" x14ac:dyDescent="0.3">
      <c r="A361" t="s">
        <v>588</v>
      </c>
      <c r="B361" t="s">
        <v>50</v>
      </c>
      <c r="C361" t="s">
        <v>477</v>
      </c>
      <c r="D361" t="s">
        <v>290</v>
      </c>
      <c r="E361" s="48">
        <v>1</v>
      </c>
      <c r="F361" s="24">
        <v>676.8</v>
      </c>
      <c r="G361" s="24">
        <v>676.8</v>
      </c>
      <c r="H361" t="s">
        <v>478</v>
      </c>
    </row>
    <row r="362" spans="1:8" ht="15" customHeight="1" x14ac:dyDescent="0.3">
      <c r="A362" t="s">
        <v>588</v>
      </c>
      <c r="B362" t="s">
        <v>50</v>
      </c>
      <c r="C362" t="s">
        <v>477</v>
      </c>
      <c r="D362" t="s">
        <v>284</v>
      </c>
      <c r="E362" s="48">
        <v>1</v>
      </c>
      <c r="F362" s="24">
        <v>676.8</v>
      </c>
      <c r="G362" s="24">
        <v>676.8</v>
      </c>
      <c r="H362" t="s">
        <v>480</v>
      </c>
    </row>
    <row r="363" spans="1:8" ht="15" customHeight="1" x14ac:dyDescent="0.3">
      <c r="A363" t="s">
        <v>588</v>
      </c>
      <c r="B363" t="s">
        <v>50</v>
      </c>
      <c r="C363" t="s">
        <v>477</v>
      </c>
      <c r="D363" t="s">
        <v>284</v>
      </c>
      <c r="E363" s="48">
        <v>1</v>
      </c>
      <c r="F363" s="24">
        <v>676.8</v>
      </c>
      <c r="G363" s="24">
        <v>676.8</v>
      </c>
      <c r="H363" t="s">
        <v>478</v>
      </c>
    </row>
    <row r="364" spans="1:8" ht="15" customHeight="1" x14ac:dyDescent="0.3">
      <c r="A364" t="s">
        <v>588</v>
      </c>
      <c r="B364" t="s">
        <v>50</v>
      </c>
      <c r="C364" t="s">
        <v>477</v>
      </c>
      <c r="D364" t="s">
        <v>285</v>
      </c>
      <c r="E364" s="48">
        <v>1</v>
      </c>
      <c r="F364" s="24">
        <v>676.8</v>
      </c>
      <c r="G364" s="24">
        <v>676.8</v>
      </c>
      <c r="H364" t="s">
        <v>478</v>
      </c>
    </row>
    <row r="365" spans="1:8" ht="15" customHeight="1" x14ac:dyDescent="0.3">
      <c r="A365" t="s">
        <v>588</v>
      </c>
      <c r="B365" t="s">
        <v>50</v>
      </c>
      <c r="C365" t="s">
        <v>477</v>
      </c>
      <c r="D365" t="s">
        <v>282</v>
      </c>
      <c r="E365" s="48">
        <v>1</v>
      </c>
      <c r="F365" s="24">
        <v>676.8</v>
      </c>
      <c r="G365" s="24">
        <v>676.8</v>
      </c>
      <c r="H365" t="s">
        <v>478</v>
      </c>
    </row>
    <row r="366" spans="1:8" ht="15" customHeight="1" x14ac:dyDescent="0.3">
      <c r="A366" t="s">
        <v>588</v>
      </c>
      <c r="B366" t="s">
        <v>481</v>
      </c>
      <c r="C366" t="s">
        <v>482</v>
      </c>
      <c r="D366" t="s">
        <v>287</v>
      </c>
      <c r="E366" s="48">
        <v>0</v>
      </c>
      <c r="F366" s="24">
        <v>0</v>
      </c>
      <c r="G366" s="24">
        <v>0</v>
      </c>
      <c r="H366" t="s">
        <v>483</v>
      </c>
    </row>
    <row r="367" spans="1:8" ht="15" customHeight="1" x14ac:dyDescent="0.3">
      <c r="A367" t="s">
        <v>588</v>
      </c>
      <c r="B367" t="s">
        <v>481</v>
      </c>
      <c r="C367" t="s">
        <v>484</v>
      </c>
      <c r="D367" t="s">
        <v>287</v>
      </c>
      <c r="E367" s="48">
        <v>0</v>
      </c>
      <c r="F367" s="24">
        <v>0</v>
      </c>
      <c r="G367" s="24">
        <v>0</v>
      </c>
      <c r="H367" t="s">
        <v>485</v>
      </c>
    </row>
    <row r="368" spans="1:8" ht="15" customHeight="1" x14ac:dyDescent="0.3">
      <c r="A368" t="s">
        <v>588</v>
      </c>
      <c r="B368" t="s">
        <v>481</v>
      </c>
      <c r="C368" t="s">
        <v>486</v>
      </c>
      <c r="D368" t="s">
        <v>287</v>
      </c>
      <c r="E368" s="48">
        <v>10</v>
      </c>
      <c r="F368" s="24">
        <v>20</v>
      </c>
      <c r="G368" s="24">
        <v>200</v>
      </c>
      <c r="H368" t="s">
        <v>487</v>
      </c>
    </row>
    <row r="369" spans="1:8" ht="15" customHeight="1" x14ac:dyDescent="0.3">
      <c r="A369" t="s">
        <v>588</v>
      </c>
      <c r="B369" t="s">
        <v>481</v>
      </c>
      <c r="C369" t="s">
        <v>488</v>
      </c>
      <c r="D369" t="s">
        <v>287</v>
      </c>
      <c r="E369" s="48">
        <v>1</v>
      </c>
      <c r="F369" s="24">
        <v>745.21</v>
      </c>
      <c r="G369" s="24">
        <v>745.21</v>
      </c>
      <c r="H369" t="s">
        <v>489</v>
      </c>
    </row>
    <row r="370" spans="1:8" ht="15" customHeight="1" x14ac:dyDescent="0.3">
      <c r="A370" t="s">
        <v>588</v>
      </c>
      <c r="B370" t="s">
        <v>481</v>
      </c>
      <c r="C370" t="s">
        <v>490</v>
      </c>
      <c r="D370" t="s">
        <v>287</v>
      </c>
      <c r="E370" s="48">
        <v>0</v>
      </c>
      <c r="F370" s="24">
        <v>0</v>
      </c>
      <c r="G370" s="24">
        <v>0</v>
      </c>
      <c r="H370" t="s">
        <v>491</v>
      </c>
    </row>
    <row r="371" spans="1:8" ht="15" customHeight="1" x14ac:dyDescent="0.3">
      <c r="A371" t="s">
        <v>588</v>
      </c>
      <c r="B371" t="s">
        <v>481</v>
      </c>
      <c r="C371" t="s">
        <v>488</v>
      </c>
      <c r="D371" t="s">
        <v>289</v>
      </c>
      <c r="E371" s="48">
        <v>0</v>
      </c>
      <c r="F371" s="24">
        <v>0</v>
      </c>
      <c r="G371" s="24">
        <v>0</v>
      </c>
      <c r="H371" t="s">
        <v>489</v>
      </c>
    </row>
    <row r="372" spans="1:8" ht="15" customHeight="1" x14ac:dyDescent="0.3">
      <c r="A372" t="s">
        <v>588</v>
      </c>
      <c r="B372" t="s">
        <v>481</v>
      </c>
      <c r="C372" t="s">
        <v>486</v>
      </c>
      <c r="D372" t="s">
        <v>293</v>
      </c>
      <c r="E372" s="48">
        <v>3</v>
      </c>
      <c r="F372" s="24">
        <v>20</v>
      </c>
      <c r="G372" s="24">
        <v>60</v>
      </c>
      <c r="H372" t="s">
        <v>487</v>
      </c>
    </row>
    <row r="373" spans="1:8" ht="15" customHeight="1" x14ac:dyDescent="0.3">
      <c r="A373" t="s">
        <v>588</v>
      </c>
      <c r="B373" t="s">
        <v>481</v>
      </c>
      <c r="C373" t="s">
        <v>488</v>
      </c>
      <c r="D373" t="s">
        <v>293</v>
      </c>
      <c r="E373" s="48">
        <v>1</v>
      </c>
      <c r="F373" s="24">
        <v>373.15</v>
      </c>
      <c r="G373" s="24">
        <v>373.15</v>
      </c>
      <c r="H373" t="s">
        <v>489</v>
      </c>
    </row>
    <row r="374" spans="1:8" ht="15" customHeight="1" x14ac:dyDescent="0.3">
      <c r="A374" t="s">
        <v>588</v>
      </c>
      <c r="B374" t="s">
        <v>481</v>
      </c>
      <c r="C374" t="s">
        <v>490</v>
      </c>
      <c r="D374" t="s">
        <v>293</v>
      </c>
      <c r="E374" s="48">
        <v>0</v>
      </c>
      <c r="F374" s="24">
        <v>0</v>
      </c>
      <c r="G374" s="24">
        <v>0</v>
      </c>
      <c r="H374" t="s">
        <v>491</v>
      </c>
    </row>
    <row r="375" spans="1:8" ht="15" customHeight="1" x14ac:dyDescent="0.3">
      <c r="A375" t="s">
        <v>588</v>
      </c>
      <c r="B375" t="s">
        <v>481</v>
      </c>
      <c r="C375" t="s">
        <v>482</v>
      </c>
      <c r="D375" t="s">
        <v>290</v>
      </c>
      <c r="E375" s="48">
        <v>0</v>
      </c>
      <c r="F375" s="24">
        <v>0</v>
      </c>
      <c r="G375" s="24">
        <v>0</v>
      </c>
      <c r="H375" t="s">
        <v>492</v>
      </c>
    </row>
    <row r="376" spans="1:8" ht="15" customHeight="1" x14ac:dyDescent="0.3">
      <c r="A376" t="s">
        <v>588</v>
      </c>
      <c r="B376" t="s">
        <v>481</v>
      </c>
      <c r="C376" t="s">
        <v>484</v>
      </c>
      <c r="D376" t="s">
        <v>290</v>
      </c>
      <c r="E376" s="48">
        <v>0</v>
      </c>
      <c r="F376" s="24">
        <v>0</v>
      </c>
      <c r="G376" s="24">
        <v>0</v>
      </c>
      <c r="H376" t="s">
        <v>493</v>
      </c>
    </row>
    <row r="377" spans="1:8" ht="15" customHeight="1" x14ac:dyDescent="0.3">
      <c r="A377" t="s">
        <v>588</v>
      </c>
      <c r="B377" t="s">
        <v>481</v>
      </c>
      <c r="C377" t="s">
        <v>494</v>
      </c>
      <c r="D377" t="s">
        <v>290</v>
      </c>
      <c r="E377" s="48">
        <v>0</v>
      </c>
      <c r="F377" s="24">
        <v>0</v>
      </c>
      <c r="G377" s="24">
        <v>0</v>
      </c>
      <c r="H377" t="s">
        <v>491</v>
      </c>
    </row>
    <row r="378" spans="1:8" ht="15" customHeight="1" x14ac:dyDescent="0.3">
      <c r="A378" t="s">
        <v>588</v>
      </c>
      <c r="B378" t="s">
        <v>481</v>
      </c>
      <c r="C378" t="s">
        <v>486</v>
      </c>
      <c r="D378" t="s">
        <v>290</v>
      </c>
      <c r="E378" s="48">
        <v>13</v>
      </c>
      <c r="F378" s="24">
        <v>20</v>
      </c>
      <c r="G378" s="24">
        <v>260</v>
      </c>
      <c r="H378" t="s">
        <v>487</v>
      </c>
    </row>
    <row r="379" spans="1:8" ht="15" customHeight="1" x14ac:dyDescent="0.3">
      <c r="A379" t="s">
        <v>588</v>
      </c>
      <c r="B379" t="s">
        <v>481</v>
      </c>
      <c r="C379" t="s">
        <v>488</v>
      </c>
      <c r="D379" t="s">
        <v>290</v>
      </c>
      <c r="E379" s="48">
        <v>0</v>
      </c>
      <c r="F379" s="24">
        <v>0</v>
      </c>
      <c r="G379" s="24">
        <v>0</v>
      </c>
      <c r="H379" t="s">
        <v>489</v>
      </c>
    </row>
    <row r="380" spans="1:8" ht="15" customHeight="1" x14ac:dyDescent="0.3">
      <c r="A380" t="s">
        <v>588</v>
      </c>
      <c r="B380" t="s">
        <v>481</v>
      </c>
      <c r="C380" t="s">
        <v>490</v>
      </c>
      <c r="D380" t="s">
        <v>290</v>
      </c>
      <c r="E380" s="48">
        <v>0</v>
      </c>
      <c r="F380" s="24">
        <v>0</v>
      </c>
      <c r="G380" s="24">
        <v>0</v>
      </c>
      <c r="H380" t="s">
        <v>491</v>
      </c>
    </row>
    <row r="381" spans="1:8" ht="15" customHeight="1" x14ac:dyDescent="0.3">
      <c r="A381" t="s">
        <v>588</v>
      </c>
      <c r="B381" t="s">
        <v>481</v>
      </c>
      <c r="C381" t="s">
        <v>486</v>
      </c>
      <c r="D381" t="s">
        <v>284</v>
      </c>
      <c r="E381" s="48">
        <v>19</v>
      </c>
      <c r="F381" s="24">
        <v>20</v>
      </c>
      <c r="G381" s="24">
        <v>380</v>
      </c>
      <c r="H381" t="s">
        <v>487</v>
      </c>
    </row>
    <row r="382" spans="1:8" ht="15" customHeight="1" x14ac:dyDescent="0.3">
      <c r="A382" t="s">
        <v>588</v>
      </c>
      <c r="B382" t="s">
        <v>481</v>
      </c>
      <c r="C382" t="s">
        <v>488</v>
      </c>
      <c r="D382" t="s">
        <v>284</v>
      </c>
      <c r="E382" s="48">
        <v>1</v>
      </c>
      <c r="F382" s="24">
        <v>1381.14</v>
      </c>
      <c r="G382" s="24">
        <v>1381.14</v>
      </c>
      <c r="H382" t="s">
        <v>489</v>
      </c>
    </row>
    <row r="383" spans="1:8" ht="15" customHeight="1" x14ac:dyDescent="0.3">
      <c r="A383" t="s">
        <v>588</v>
      </c>
      <c r="B383" t="s">
        <v>481</v>
      </c>
      <c r="C383" t="s">
        <v>495</v>
      </c>
      <c r="D383" t="s">
        <v>284</v>
      </c>
      <c r="E383" s="48">
        <v>0</v>
      </c>
      <c r="F383" s="24">
        <v>0</v>
      </c>
      <c r="G383" s="24">
        <v>0</v>
      </c>
      <c r="H383" t="s">
        <v>491</v>
      </c>
    </row>
    <row r="384" spans="1:8" ht="15" customHeight="1" x14ac:dyDescent="0.3">
      <c r="A384" t="s">
        <v>588</v>
      </c>
      <c r="B384" t="s">
        <v>481</v>
      </c>
      <c r="C384" t="s">
        <v>494</v>
      </c>
      <c r="D384" t="s">
        <v>285</v>
      </c>
      <c r="E384" s="48">
        <v>0</v>
      </c>
      <c r="F384" s="24">
        <v>0</v>
      </c>
      <c r="G384" s="24">
        <v>0</v>
      </c>
      <c r="H384" t="s">
        <v>496</v>
      </c>
    </row>
    <row r="385" spans="1:8" ht="15" customHeight="1" x14ac:dyDescent="0.3">
      <c r="A385" t="s">
        <v>588</v>
      </c>
      <c r="B385" t="s">
        <v>481</v>
      </c>
      <c r="C385" t="s">
        <v>486</v>
      </c>
      <c r="D385" t="s">
        <v>285</v>
      </c>
      <c r="E385" s="48">
        <v>4</v>
      </c>
      <c r="F385" s="24">
        <v>20</v>
      </c>
      <c r="G385" s="24">
        <v>80</v>
      </c>
      <c r="H385" t="s">
        <v>487</v>
      </c>
    </row>
    <row r="386" spans="1:8" ht="15" customHeight="1" x14ac:dyDescent="0.3">
      <c r="A386" t="s">
        <v>588</v>
      </c>
      <c r="B386" t="s">
        <v>481</v>
      </c>
      <c r="C386" t="s">
        <v>488</v>
      </c>
      <c r="D386" t="s">
        <v>285</v>
      </c>
      <c r="E386" s="48">
        <v>0</v>
      </c>
      <c r="F386" s="24">
        <v>0</v>
      </c>
      <c r="G386" s="24">
        <v>0</v>
      </c>
      <c r="H386" t="s">
        <v>489</v>
      </c>
    </row>
    <row r="387" spans="1:8" ht="15" customHeight="1" x14ac:dyDescent="0.3">
      <c r="A387" t="s">
        <v>588</v>
      </c>
      <c r="B387" t="s">
        <v>481</v>
      </c>
      <c r="C387" t="s">
        <v>495</v>
      </c>
      <c r="D387" t="s">
        <v>285</v>
      </c>
      <c r="E387" s="48">
        <v>0</v>
      </c>
      <c r="F387" s="24">
        <v>0</v>
      </c>
      <c r="G387" s="24">
        <v>0</v>
      </c>
      <c r="H387" t="s">
        <v>491</v>
      </c>
    </row>
    <row r="388" spans="1:8" ht="15" customHeight="1" x14ac:dyDescent="0.3">
      <c r="A388" t="s">
        <v>588</v>
      </c>
      <c r="B388" t="s">
        <v>481</v>
      </c>
      <c r="C388" t="s">
        <v>482</v>
      </c>
      <c r="D388" t="s">
        <v>282</v>
      </c>
      <c r="E388" s="48">
        <v>0</v>
      </c>
      <c r="F388" s="24">
        <v>0</v>
      </c>
      <c r="G388" s="24">
        <v>0</v>
      </c>
      <c r="H388" t="s">
        <v>497</v>
      </c>
    </row>
    <row r="389" spans="1:8" ht="15" customHeight="1" x14ac:dyDescent="0.3">
      <c r="A389" t="s">
        <v>588</v>
      </c>
      <c r="B389" t="s">
        <v>481</v>
      </c>
      <c r="C389" t="s">
        <v>486</v>
      </c>
      <c r="D389" t="s">
        <v>282</v>
      </c>
      <c r="E389" s="48">
        <v>8</v>
      </c>
      <c r="F389" s="24">
        <v>20</v>
      </c>
      <c r="G389" s="24">
        <v>160</v>
      </c>
      <c r="H389" t="s">
        <v>487</v>
      </c>
    </row>
    <row r="390" spans="1:8" ht="15" customHeight="1" x14ac:dyDescent="0.3">
      <c r="A390" t="s">
        <v>588</v>
      </c>
      <c r="B390" t="s">
        <v>481</v>
      </c>
      <c r="C390" t="s">
        <v>488</v>
      </c>
      <c r="D390" t="s">
        <v>282</v>
      </c>
      <c r="E390" s="48">
        <v>1</v>
      </c>
      <c r="F390" s="24">
        <v>414.35</v>
      </c>
      <c r="G390" s="24">
        <v>414.35</v>
      </c>
      <c r="H390" t="s">
        <v>489</v>
      </c>
    </row>
    <row r="391" spans="1:8" ht="15" customHeight="1" x14ac:dyDescent="0.3">
      <c r="A391" t="s">
        <v>588</v>
      </c>
      <c r="B391" t="s">
        <v>481</v>
      </c>
      <c r="C391" t="s">
        <v>490</v>
      </c>
      <c r="D391" t="s">
        <v>282</v>
      </c>
      <c r="E391" s="48">
        <v>0</v>
      </c>
      <c r="F391" s="24">
        <v>0</v>
      </c>
      <c r="G391" s="24">
        <v>0</v>
      </c>
      <c r="H391" t="s">
        <v>491</v>
      </c>
    </row>
    <row r="392" spans="1:8" ht="15" customHeight="1" x14ac:dyDescent="0.3">
      <c r="A392" t="s">
        <v>588</v>
      </c>
      <c r="B392" t="s">
        <v>498</v>
      </c>
      <c r="C392" t="s">
        <v>499</v>
      </c>
      <c r="D392" t="s">
        <v>287</v>
      </c>
      <c r="E392" s="48">
        <v>0</v>
      </c>
      <c r="F392" s="24">
        <v>0</v>
      </c>
      <c r="G392" s="24">
        <v>0</v>
      </c>
      <c r="H392" t="s">
        <v>500</v>
      </c>
    </row>
    <row r="393" spans="1:8" ht="15" customHeight="1" x14ac:dyDescent="0.3">
      <c r="A393" t="s">
        <v>588</v>
      </c>
      <c r="B393" t="s">
        <v>498</v>
      </c>
      <c r="C393" t="s">
        <v>501</v>
      </c>
      <c r="D393" t="s">
        <v>287</v>
      </c>
      <c r="E393" s="48">
        <v>0</v>
      </c>
      <c r="F393" s="24">
        <v>0</v>
      </c>
      <c r="G393" s="24">
        <v>0</v>
      </c>
      <c r="H393" t="s">
        <v>502</v>
      </c>
    </row>
    <row r="394" spans="1:8" ht="15" customHeight="1" x14ac:dyDescent="0.3">
      <c r="A394" t="s">
        <v>588</v>
      </c>
      <c r="B394" t="s">
        <v>498</v>
      </c>
      <c r="C394" t="s">
        <v>503</v>
      </c>
      <c r="D394" t="s">
        <v>287</v>
      </c>
      <c r="E394" s="48">
        <v>0</v>
      </c>
      <c r="F394" s="24">
        <v>0</v>
      </c>
      <c r="G394" s="24">
        <v>0</v>
      </c>
      <c r="H394" t="s">
        <v>504</v>
      </c>
    </row>
    <row r="395" spans="1:8" ht="15" customHeight="1" x14ac:dyDescent="0.3">
      <c r="A395" t="s">
        <v>588</v>
      </c>
      <c r="B395" t="s">
        <v>498</v>
      </c>
      <c r="C395" t="s">
        <v>505</v>
      </c>
      <c r="D395" t="s">
        <v>287</v>
      </c>
      <c r="E395" s="48">
        <v>0</v>
      </c>
      <c r="F395" s="24">
        <v>0</v>
      </c>
      <c r="G395" s="24">
        <v>0</v>
      </c>
      <c r="H395" t="s">
        <v>506</v>
      </c>
    </row>
    <row r="396" spans="1:8" ht="15" customHeight="1" x14ac:dyDescent="0.3">
      <c r="A396" t="s">
        <v>588</v>
      </c>
      <c r="B396" t="s">
        <v>498</v>
      </c>
      <c r="C396" t="s">
        <v>507</v>
      </c>
      <c r="D396" t="s">
        <v>289</v>
      </c>
      <c r="E396" s="48">
        <v>1</v>
      </c>
      <c r="F396" s="24">
        <v>315.66000000000003</v>
      </c>
      <c r="G396" s="24">
        <v>315.66000000000003</v>
      </c>
      <c r="H396" t="s">
        <v>508</v>
      </c>
    </row>
    <row r="397" spans="1:8" ht="15" customHeight="1" x14ac:dyDescent="0.3">
      <c r="A397" t="s">
        <v>588</v>
      </c>
      <c r="B397" t="s">
        <v>498</v>
      </c>
      <c r="C397" t="s">
        <v>509</v>
      </c>
      <c r="D397" t="s">
        <v>289</v>
      </c>
      <c r="E397" s="48">
        <v>1</v>
      </c>
      <c r="F397" s="24">
        <v>345.94</v>
      </c>
      <c r="G397" s="24">
        <v>345.94</v>
      </c>
      <c r="H397" t="s">
        <v>510</v>
      </c>
    </row>
    <row r="398" spans="1:8" ht="15" customHeight="1" x14ac:dyDescent="0.3">
      <c r="A398" t="s">
        <v>588</v>
      </c>
      <c r="B398" t="s">
        <v>498</v>
      </c>
      <c r="C398" t="s">
        <v>511</v>
      </c>
      <c r="D398" t="s">
        <v>293</v>
      </c>
      <c r="E398" s="48">
        <v>0</v>
      </c>
      <c r="F398" s="24">
        <v>0</v>
      </c>
      <c r="G398" s="24">
        <v>0</v>
      </c>
      <c r="H398" t="s">
        <v>512</v>
      </c>
    </row>
    <row r="399" spans="1:8" ht="15" customHeight="1" x14ac:dyDescent="0.3">
      <c r="A399" t="s">
        <v>588</v>
      </c>
      <c r="B399" t="s">
        <v>498</v>
      </c>
      <c r="C399" t="s">
        <v>513</v>
      </c>
      <c r="D399" t="s">
        <v>293</v>
      </c>
      <c r="E399" s="48">
        <v>0</v>
      </c>
      <c r="F399" s="24">
        <v>0</v>
      </c>
      <c r="G399" s="24">
        <v>0</v>
      </c>
      <c r="H399" t="s">
        <v>514</v>
      </c>
    </row>
    <row r="400" spans="1:8" ht="15" customHeight="1" x14ac:dyDescent="0.3">
      <c r="A400" t="s">
        <v>588</v>
      </c>
      <c r="B400" t="s">
        <v>498</v>
      </c>
      <c r="C400" t="s">
        <v>515</v>
      </c>
      <c r="D400" t="s">
        <v>293</v>
      </c>
      <c r="E400" s="48">
        <v>0</v>
      </c>
      <c r="F400" s="24">
        <v>0</v>
      </c>
      <c r="G400" s="24">
        <v>0</v>
      </c>
      <c r="H400" t="s">
        <v>508</v>
      </c>
    </row>
    <row r="401" spans="1:8" ht="15" customHeight="1" x14ac:dyDescent="0.3">
      <c r="A401" t="s">
        <v>588</v>
      </c>
      <c r="B401" t="s">
        <v>498</v>
      </c>
      <c r="C401" t="s">
        <v>516</v>
      </c>
      <c r="D401" t="s">
        <v>293</v>
      </c>
      <c r="E401" s="48">
        <v>0</v>
      </c>
      <c r="F401" s="24">
        <v>0</v>
      </c>
      <c r="G401" s="24">
        <v>0</v>
      </c>
      <c r="H401" t="s">
        <v>517</v>
      </c>
    </row>
    <row r="402" spans="1:8" ht="15" customHeight="1" x14ac:dyDescent="0.3">
      <c r="A402" t="s">
        <v>588</v>
      </c>
      <c r="B402" t="s">
        <v>498</v>
      </c>
      <c r="C402" t="s">
        <v>518</v>
      </c>
      <c r="D402" t="s">
        <v>293</v>
      </c>
      <c r="E402" s="48">
        <v>0</v>
      </c>
      <c r="F402" s="24">
        <v>0</v>
      </c>
      <c r="G402" s="24">
        <v>0</v>
      </c>
      <c r="H402" t="s">
        <v>517</v>
      </c>
    </row>
    <row r="403" spans="1:8" ht="15" customHeight="1" x14ac:dyDescent="0.3">
      <c r="A403" t="s">
        <v>588</v>
      </c>
      <c r="B403" t="s">
        <v>498</v>
      </c>
      <c r="C403" t="s">
        <v>519</v>
      </c>
      <c r="D403" t="s">
        <v>293</v>
      </c>
      <c r="E403" s="48">
        <v>1</v>
      </c>
      <c r="F403" s="24">
        <v>2438.04</v>
      </c>
      <c r="G403" s="24">
        <v>2438.04</v>
      </c>
      <c r="H403" t="s">
        <v>520</v>
      </c>
    </row>
    <row r="404" spans="1:8" ht="15" customHeight="1" x14ac:dyDescent="0.3">
      <c r="A404" t="s">
        <v>588</v>
      </c>
      <c r="B404" t="s">
        <v>498</v>
      </c>
      <c r="C404" t="s">
        <v>521</v>
      </c>
      <c r="D404" t="s">
        <v>290</v>
      </c>
      <c r="E404" s="48">
        <v>0</v>
      </c>
      <c r="F404" s="24">
        <v>0</v>
      </c>
      <c r="G404" s="24">
        <v>0</v>
      </c>
      <c r="H404" t="s">
        <v>508</v>
      </c>
    </row>
    <row r="405" spans="1:8" ht="15" customHeight="1" x14ac:dyDescent="0.3">
      <c r="A405" t="s">
        <v>588</v>
      </c>
      <c r="B405" t="s">
        <v>498</v>
      </c>
      <c r="C405" t="s">
        <v>522</v>
      </c>
      <c r="D405" t="s">
        <v>290</v>
      </c>
      <c r="E405" s="48">
        <v>0</v>
      </c>
      <c r="F405" s="24">
        <v>0</v>
      </c>
      <c r="G405" s="24">
        <v>0</v>
      </c>
      <c r="H405" t="s">
        <v>523</v>
      </c>
    </row>
    <row r="406" spans="1:8" ht="15" customHeight="1" x14ac:dyDescent="0.3">
      <c r="A406" t="s">
        <v>588</v>
      </c>
      <c r="B406" t="s">
        <v>498</v>
      </c>
      <c r="C406" t="s">
        <v>524</v>
      </c>
      <c r="D406" t="s">
        <v>284</v>
      </c>
      <c r="E406" s="48">
        <v>0</v>
      </c>
      <c r="F406" s="24">
        <v>0</v>
      </c>
      <c r="G406" s="24">
        <v>0</v>
      </c>
      <c r="H406" t="s">
        <v>525</v>
      </c>
    </row>
    <row r="407" spans="1:8" ht="15" customHeight="1" x14ac:dyDescent="0.3">
      <c r="A407" t="s">
        <v>588</v>
      </c>
      <c r="B407" t="s">
        <v>498</v>
      </c>
      <c r="C407" t="s">
        <v>526</v>
      </c>
      <c r="D407" t="s">
        <v>284</v>
      </c>
      <c r="E407" s="48">
        <v>0</v>
      </c>
      <c r="F407" s="24">
        <v>0</v>
      </c>
      <c r="G407" s="24">
        <v>0</v>
      </c>
      <c r="H407" t="s">
        <v>500</v>
      </c>
    </row>
    <row r="408" spans="1:8" ht="15" customHeight="1" x14ac:dyDescent="0.3">
      <c r="A408" t="s">
        <v>588</v>
      </c>
      <c r="B408" t="s">
        <v>498</v>
      </c>
      <c r="C408" t="s">
        <v>527</v>
      </c>
      <c r="D408" t="s">
        <v>284</v>
      </c>
      <c r="E408" s="48">
        <v>0</v>
      </c>
      <c r="F408" s="24">
        <v>0</v>
      </c>
      <c r="G408" s="24">
        <v>0</v>
      </c>
      <c r="H408" t="s">
        <v>504</v>
      </c>
    </row>
    <row r="409" spans="1:8" ht="15" customHeight="1" x14ac:dyDescent="0.3">
      <c r="A409" t="s">
        <v>588</v>
      </c>
      <c r="B409" t="s">
        <v>498</v>
      </c>
      <c r="C409" t="s">
        <v>528</v>
      </c>
      <c r="D409" t="s">
        <v>284</v>
      </c>
      <c r="E409" s="48">
        <v>0</v>
      </c>
      <c r="F409" s="24">
        <v>0</v>
      </c>
      <c r="G409" s="24">
        <v>0</v>
      </c>
      <c r="H409" t="s">
        <v>510</v>
      </c>
    </row>
    <row r="410" spans="1:8" ht="15" customHeight="1" x14ac:dyDescent="0.3">
      <c r="A410" t="s">
        <v>588</v>
      </c>
      <c r="B410" t="s">
        <v>498</v>
      </c>
      <c r="C410" t="s">
        <v>524</v>
      </c>
      <c r="D410" t="s">
        <v>285</v>
      </c>
      <c r="E410" s="48">
        <v>0</v>
      </c>
      <c r="F410" s="24">
        <v>0</v>
      </c>
      <c r="G410" s="24">
        <v>0</v>
      </c>
      <c r="H410" t="s">
        <v>508</v>
      </c>
    </row>
    <row r="411" spans="1:8" ht="15" customHeight="1" x14ac:dyDescent="0.3">
      <c r="A411" t="s">
        <v>588</v>
      </c>
      <c r="B411" t="s">
        <v>498</v>
      </c>
      <c r="C411" t="s">
        <v>529</v>
      </c>
      <c r="D411" t="s">
        <v>285</v>
      </c>
      <c r="E411" s="48">
        <v>0</v>
      </c>
      <c r="F411" s="24">
        <v>0</v>
      </c>
      <c r="G411" s="24">
        <v>0</v>
      </c>
      <c r="H411" t="s">
        <v>508</v>
      </c>
    </row>
    <row r="412" spans="1:8" ht="15" customHeight="1" x14ac:dyDescent="0.3">
      <c r="A412" t="s">
        <v>588</v>
      </c>
      <c r="B412" t="s">
        <v>498</v>
      </c>
      <c r="C412" t="s">
        <v>530</v>
      </c>
      <c r="D412" t="s">
        <v>285</v>
      </c>
      <c r="E412" s="48">
        <v>0</v>
      </c>
      <c r="F412" s="24">
        <v>0</v>
      </c>
      <c r="G412" s="24">
        <v>0</v>
      </c>
      <c r="H412" t="s">
        <v>523</v>
      </c>
    </row>
    <row r="413" spans="1:8" ht="15" customHeight="1" x14ac:dyDescent="0.3">
      <c r="A413" t="s">
        <v>588</v>
      </c>
      <c r="B413" t="s">
        <v>498</v>
      </c>
      <c r="C413" t="s">
        <v>528</v>
      </c>
      <c r="D413" t="s">
        <v>285</v>
      </c>
      <c r="E413" s="48">
        <v>0</v>
      </c>
      <c r="F413" s="24">
        <v>0</v>
      </c>
      <c r="G413" s="24">
        <v>0</v>
      </c>
      <c r="H413" t="s">
        <v>531</v>
      </c>
    </row>
    <row r="414" spans="1:8" ht="15" customHeight="1" x14ac:dyDescent="0.3">
      <c r="A414" t="s">
        <v>588</v>
      </c>
      <c r="B414" t="s">
        <v>498</v>
      </c>
      <c r="C414" t="s">
        <v>532</v>
      </c>
      <c r="D414" t="s">
        <v>282</v>
      </c>
      <c r="E414" s="48">
        <v>4782</v>
      </c>
      <c r="F414" s="24">
        <v>1.01</v>
      </c>
      <c r="G414" s="24">
        <v>4829.82</v>
      </c>
      <c r="H414" t="s">
        <v>394</v>
      </c>
    </row>
    <row r="415" spans="1:8" ht="15" customHeight="1" x14ac:dyDescent="0.3">
      <c r="A415" t="s">
        <v>588</v>
      </c>
      <c r="B415" t="s">
        <v>498</v>
      </c>
      <c r="C415" t="s">
        <v>533</v>
      </c>
      <c r="D415" t="s">
        <v>282</v>
      </c>
      <c r="E415" s="48">
        <v>1</v>
      </c>
      <c r="F415" s="24">
        <v>2480.38</v>
      </c>
      <c r="G415" s="24">
        <v>2480.38</v>
      </c>
      <c r="H415" t="s">
        <v>508</v>
      </c>
    </row>
    <row r="416" spans="1:8" ht="15" customHeight="1" x14ac:dyDescent="0.3">
      <c r="A416" t="s">
        <v>588</v>
      </c>
      <c r="B416" t="s">
        <v>498</v>
      </c>
      <c r="C416" t="s">
        <v>534</v>
      </c>
      <c r="D416" t="s">
        <v>282</v>
      </c>
      <c r="E416" s="48">
        <v>0</v>
      </c>
      <c r="F416" s="24">
        <v>0</v>
      </c>
      <c r="G416" s="24">
        <v>0</v>
      </c>
      <c r="H416" t="s">
        <v>508</v>
      </c>
    </row>
    <row r="417" spans="1:8" ht="15" customHeight="1" x14ac:dyDescent="0.3">
      <c r="A417" t="s">
        <v>588</v>
      </c>
      <c r="B417" t="s">
        <v>498</v>
      </c>
      <c r="C417" t="s">
        <v>535</v>
      </c>
      <c r="D417" t="s">
        <v>282</v>
      </c>
      <c r="E417" s="48">
        <v>1</v>
      </c>
      <c r="F417" s="24">
        <v>13877.08</v>
      </c>
      <c r="G417" s="24">
        <v>13877.08</v>
      </c>
      <c r="H417" t="s">
        <v>531</v>
      </c>
    </row>
    <row r="418" spans="1:8" ht="15" customHeight="1" x14ac:dyDescent="0.3">
      <c r="A418" t="s">
        <v>588</v>
      </c>
      <c r="B418" t="s">
        <v>498</v>
      </c>
      <c r="C418" t="s">
        <v>536</v>
      </c>
      <c r="D418" t="s">
        <v>282</v>
      </c>
      <c r="E418" s="48">
        <v>0</v>
      </c>
      <c r="F418" s="24">
        <v>0</v>
      </c>
      <c r="G418" s="24">
        <v>0</v>
      </c>
      <c r="H418" t="s">
        <v>523</v>
      </c>
    </row>
    <row r="419" spans="1:8" ht="15" customHeight="1" x14ac:dyDescent="0.3">
      <c r="A419" t="s">
        <v>588</v>
      </c>
      <c r="B419" t="s">
        <v>537</v>
      </c>
      <c r="C419" t="s">
        <v>538</v>
      </c>
      <c r="D419" t="s">
        <v>289</v>
      </c>
      <c r="E419" s="48">
        <v>1</v>
      </c>
      <c r="F419" s="24">
        <v>238.88</v>
      </c>
      <c r="G419" s="24">
        <v>238.88</v>
      </c>
      <c r="H419" t="s">
        <v>543</v>
      </c>
    </row>
    <row r="420" spans="1:8" ht="15" customHeight="1" x14ac:dyDescent="0.3">
      <c r="A420" t="s">
        <v>588</v>
      </c>
      <c r="B420" t="s">
        <v>537</v>
      </c>
      <c r="C420" t="s">
        <v>540</v>
      </c>
      <c r="D420" t="s">
        <v>289</v>
      </c>
      <c r="E420" s="48">
        <v>1</v>
      </c>
      <c r="F420" s="24">
        <v>609.16999999999996</v>
      </c>
      <c r="G420" s="24">
        <v>609.16999999999996</v>
      </c>
      <c r="H420" t="s">
        <v>543</v>
      </c>
    </row>
    <row r="421" spans="1:8" ht="15" customHeight="1" x14ac:dyDescent="0.3">
      <c r="A421" t="s">
        <v>588</v>
      </c>
      <c r="B421" t="s">
        <v>537</v>
      </c>
      <c r="C421" t="s">
        <v>541</v>
      </c>
      <c r="D421" t="s">
        <v>289</v>
      </c>
      <c r="E421" s="48">
        <v>1</v>
      </c>
      <c r="F421" s="24">
        <v>510</v>
      </c>
      <c r="G421" s="24">
        <v>510</v>
      </c>
      <c r="H421" t="s">
        <v>543</v>
      </c>
    </row>
    <row r="422" spans="1:8" ht="15" customHeight="1" x14ac:dyDescent="0.3">
      <c r="A422" t="s">
        <v>588</v>
      </c>
      <c r="B422" t="s">
        <v>537</v>
      </c>
      <c r="C422" t="s">
        <v>542</v>
      </c>
      <c r="D422" t="s">
        <v>289</v>
      </c>
      <c r="E422" s="48">
        <v>1</v>
      </c>
      <c r="F422" s="24">
        <v>333.1</v>
      </c>
      <c r="G422" s="24">
        <v>333.1</v>
      </c>
      <c r="H422" t="s">
        <v>592</v>
      </c>
    </row>
    <row r="423" spans="1:8" ht="15" customHeight="1" x14ac:dyDescent="0.3">
      <c r="A423" t="s">
        <v>588</v>
      </c>
      <c r="B423" t="s">
        <v>537</v>
      </c>
      <c r="C423" t="s">
        <v>544</v>
      </c>
      <c r="D423" t="s">
        <v>289</v>
      </c>
      <c r="E423" s="48">
        <v>1</v>
      </c>
      <c r="F423" s="24">
        <v>1833.24</v>
      </c>
      <c r="G423" s="24">
        <v>1833.24</v>
      </c>
      <c r="H423" t="s">
        <v>543</v>
      </c>
    </row>
    <row r="424" spans="1:8" ht="15" customHeight="1" x14ac:dyDescent="0.3">
      <c r="A424" t="s">
        <v>588</v>
      </c>
      <c r="B424" t="s">
        <v>537</v>
      </c>
      <c r="C424" t="s">
        <v>545</v>
      </c>
      <c r="D424" t="s">
        <v>289</v>
      </c>
      <c r="E424" s="48">
        <v>1</v>
      </c>
      <c r="F424" s="24">
        <v>2973.2</v>
      </c>
      <c r="G424" s="24">
        <v>2973.2</v>
      </c>
      <c r="H424" t="s">
        <v>543</v>
      </c>
    </row>
    <row r="425" spans="1:8" ht="15" customHeight="1" x14ac:dyDescent="0.3">
      <c r="A425" t="s">
        <v>588</v>
      </c>
      <c r="B425" t="s">
        <v>537</v>
      </c>
      <c r="C425" t="s">
        <v>546</v>
      </c>
      <c r="D425" t="s">
        <v>289</v>
      </c>
      <c r="E425" s="48">
        <v>1</v>
      </c>
      <c r="F425" s="24">
        <v>7615.46</v>
      </c>
      <c r="G425" s="24">
        <v>7615.46</v>
      </c>
      <c r="H425" t="s">
        <v>543</v>
      </c>
    </row>
    <row r="426" spans="1:8" ht="15" customHeight="1" x14ac:dyDescent="0.3">
      <c r="A426" t="s">
        <v>588</v>
      </c>
      <c r="B426" t="s">
        <v>537</v>
      </c>
      <c r="C426" t="s">
        <v>547</v>
      </c>
      <c r="D426" t="s">
        <v>290</v>
      </c>
      <c r="E426" s="48">
        <v>-1</v>
      </c>
      <c r="F426" s="24">
        <v>837.25</v>
      </c>
      <c r="G426" s="24">
        <v>-837.25</v>
      </c>
      <c r="H426" t="s">
        <v>548</v>
      </c>
    </row>
    <row r="427" spans="1:8" ht="15" customHeight="1" x14ac:dyDescent="0.3">
      <c r="A427" t="s">
        <v>588</v>
      </c>
      <c r="B427" t="s">
        <v>537</v>
      </c>
      <c r="C427" t="s">
        <v>538</v>
      </c>
      <c r="D427" t="s">
        <v>290</v>
      </c>
      <c r="E427" s="48">
        <v>-1</v>
      </c>
      <c r="F427" s="24">
        <v>238.88</v>
      </c>
      <c r="G427" s="24">
        <v>-238.88</v>
      </c>
      <c r="H427" t="s">
        <v>549</v>
      </c>
    </row>
    <row r="428" spans="1:8" ht="15" customHeight="1" x14ac:dyDescent="0.3">
      <c r="A428" t="s">
        <v>588</v>
      </c>
      <c r="B428" t="s">
        <v>537</v>
      </c>
      <c r="C428" t="s">
        <v>538</v>
      </c>
      <c r="D428" t="s">
        <v>290</v>
      </c>
      <c r="E428" s="48">
        <v>-1</v>
      </c>
      <c r="F428" s="24">
        <v>238.88</v>
      </c>
      <c r="G428" s="24">
        <v>-238.88</v>
      </c>
      <c r="H428" t="s">
        <v>543</v>
      </c>
    </row>
    <row r="429" spans="1:8" ht="15" customHeight="1" x14ac:dyDescent="0.3">
      <c r="A429" t="s">
        <v>588</v>
      </c>
      <c r="B429" t="s">
        <v>537</v>
      </c>
      <c r="C429" t="s">
        <v>541</v>
      </c>
      <c r="D429" t="s">
        <v>282</v>
      </c>
      <c r="E429" s="48">
        <v>1</v>
      </c>
      <c r="F429" s="24">
        <v>67.33</v>
      </c>
      <c r="G429" s="24">
        <v>67.33</v>
      </c>
      <c r="H429" t="s">
        <v>551</v>
      </c>
    </row>
    <row r="430" spans="1:8" ht="15" customHeight="1" x14ac:dyDescent="0.3">
      <c r="A430" t="s">
        <v>588</v>
      </c>
      <c r="B430" t="s">
        <v>537</v>
      </c>
      <c r="C430" t="s">
        <v>541</v>
      </c>
      <c r="D430" t="s">
        <v>282</v>
      </c>
      <c r="E430" s="48">
        <v>-1</v>
      </c>
      <c r="F430" s="24">
        <v>510</v>
      </c>
      <c r="G430" s="24">
        <v>-510</v>
      </c>
      <c r="H430" t="s">
        <v>543</v>
      </c>
    </row>
    <row r="431" spans="1:8" ht="15" customHeight="1" x14ac:dyDescent="0.3">
      <c r="A431" t="s">
        <v>588</v>
      </c>
      <c r="B431" t="s">
        <v>47</v>
      </c>
      <c r="C431" t="s">
        <v>552</v>
      </c>
      <c r="D431" t="s">
        <v>287</v>
      </c>
      <c r="E431" s="48">
        <v>1</v>
      </c>
      <c r="F431" s="24">
        <v>1583.45</v>
      </c>
      <c r="G431" s="24">
        <v>1583.45</v>
      </c>
      <c r="H431" t="s">
        <v>593</v>
      </c>
    </row>
    <row r="432" spans="1:8" ht="15" customHeight="1" x14ac:dyDescent="0.3">
      <c r="A432" t="s">
        <v>588</v>
      </c>
      <c r="B432" t="s">
        <v>47</v>
      </c>
      <c r="C432" t="s">
        <v>552</v>
      </c>
      <c r="D432" t="s">
        <v>289</v>
      </c>
      <c r="E432" s="48">
        <v>1</v>
      </c>
      <c r="F432" s="24">
        <v>1138.52</v>
      </c>
      <c r="G432" s="24">
        <v>1138.52</v>
      </c>
      <c r="H432" t="s">
        <v>594</v>
      </c>
    </row>
    <row r="433" spans="1:8" ht="15" customHeight="1" x14ac:dyDescent="0.3">
      <c r="A433" t="s">
        <v>588</v>
      </c>
      <c r="B433" t="s">
        <v>47</v>
      </c>
      <c r="C433" t="s">
        <v>552</v>
      </c>
      <c r="D433" t="s">
        <v>293</v>
      </c>
      <c r="E433" s="48">
        <v>0</v>
      </c>
      <c r="F433" s="24">
        <v>0</v>
      </c>
      <c r="G433" s="24">
        <v>0</v>
      </c>
      <c r="H433" t="s">
        <v>555</v>
      </c>
    </row>
    <row r="434" spans="1:8" ht="15" customHeight="1" x14ac:dyDescent="0.3">
      <c r="A434" t="s">
        <v>588</v>
      </c>
      <c r="B434" t="s">
        <v>47</v>
      </c>
      <c r="C434" t="s">
        <v>552</v>
      </c>
      <c r="D434" t="s">
        <v>290</v>
      </c>
      <c r="E434" s="48">
        <v>1</v>
      </c>
      <c r="F434" s="24">
        <v>1989.74</v>
      </c>
      <c r="G434" s="24">
        <v>1989.74</v>
      </c>
      <c r="H434" t="s">
        <v>595</v>
      </c>
    </row>
    <row r="435" spans="1:8" ht="15" customHeight="1" x14ac:dyDescent="0.3">
      <c r="A435" t="s">
        <v>588</v>
      </c>
      <c r="B435" t="s">
        <v>47</v>
      </c>
      <c r="C435" t="s">
        <v>552</v>
      </c>
      <c r="D435" t="s">
        <v>284</v>
      </c>
      <c r="E435" s="48">
        <v>0</v>
      </c>
      <c r="F435" s="24">
        <v>0</v>
      </c>
      <c r="G435" s="24">
        <v>0</v>
      </c>
      <c r="H435" t="s">
        <v>557</v>
      </c>
    </row>
    <row r="436" spans="1:8" ht="15" customHeight="1" x14ac:dyDescent="0.3">
      <c r="A436" t="s">
        <v>588</v>
      </c>
      <c r="B436" t="s">
        <v>47</v>
      </c>
      <c r="C436" t="s">
        <v>552</v>
      </c>
      <c r="D436" t="s">
        <v>285</v>
      </c>
      <c r="E436" s="48">
        <v>0</v>
      </c>
      <c r="F436" s="24">
        <v>0</v>
      </c>
      <c r="G436" s="24">
        <v>0</v>
      </c>
      <c r="H436" t="s">
        <v>555</v>
      </c>
    </row>
    <row r="437" spans="1:8" ht="15" customHeight="1" x14ac:dyDescent="0.3">
      <c r="A437" t="s">
        <v>588</v>
      </c>
      <c r="B437" t="s">
        <v>85</v>
      </c>
      <c r="C437" t="s">
        <v>559</v>
      </c>
      <c r="D437" t="s">
        <v>275</v>
      </c>
      <c r="E437" s="48">
        <v>119</v>
      </c>
      <c r="F437" s="24">
        <v>122.31</v>
      </c>
      <c r="G437" s="24">
        <v>14554.89</v>
      </c>
      <c r="H437" t="s">
        <v>560</v>
      </c>
    </row>
    <row r="438" spans="1:8" ht="15" customHeight="1" x14ac:dyDescent="0.3">
      <c r="A438" t="s">
        <v>588</v>
      </c>
      <c r="B438" t="s">
        <v>85</v>
      </c>
      <c r="C438" t="s">
        <v>559</v>
      </c>
      <c r="D438" t="s">
        <v>275</v>
      </c>
      <c r="E438" s="48">
        <v>119</v>
      </c>
      <c r="F438" s="24">
        <v>122.31</v>
      </c>
      <c r="G438" s="24">
        <v>14554.89</v>
      </c>
      <c r="H438" t="s">
        <v>560</v>
      </c>
    </row>
    <row r="439" spans="1:8" ht="15" customHeight="1" x14ac:dyDescent="0.3">
      <c r="A439" t="s">
        <v>588</v>
      </c>
      <c r="B439" t="s">
        <v>85</v>
      </c>
      <c r="C439" t="s">
        <v>559</v>
      </c>
      <c r="D439" t="s">
        <v>287</v>
      </c>
      <c r="E439" s="48">
        <v>4</v>
      </c>
      <c r="F439" s="24">
        <v>127.35</v>
      </c>
      <c r="G439" s="24">
        <v>509.4</v>
      </c>
      <c r="H439" t="s">
        <v>560</v>
      </c>
    </row>
    <row r="440" spans="1:8" ht="15" customHeight="1" x14ac:dyDescent="0.3">
      <c r="A440" t="s">
        <v>588</v>
      </c>
      <c r="B440" t="s">
        <v>85</v>
      </c>
      <c r="C440" t="s">
        <v>559</v>
      </c>
      <c r="D440" t="s">
        <v>287</v>
      </c>
      <c r="E440" s="48">
        <v>4</v>
      </c>
      <c r="F440" s="24">
        <v>127.35</v>
      </c>
      <c r="G440" s="24">
        <v>509.4</v>
      </c>
      <c r="H440" t="s">
        <v>560</v>
      </c>
    </row>
    <row r="441" spans="1:8" ht="15" customHeight="1" x14ac:dyDescent="0.3">
      <c r="A441" t="s">
        <v>588</v>
      </c>
      <c r="B441" t="s">
        <v>85</v>
      </c>
      <c r="C441" t="s">
        <v>559</v>
      </c>
      <c r="D441" t="s">
        <v>289</v>
      </c>
      <c r="E441" s="48">
        <v>18</v>
      </c>
      <c r="F441" s="24">
        <v>128.18</v>
      </c>
      <c r="G441" s="24">
        <v>2307.2399999999998</v>
      </c>
      <c r="H441" t="s">
        <v>560</v>
      </c>
    </row>
    <row r="442" spans="1:8" ht="15" customHeight="1" x14ac:dyDescent="0.3">
      <c r="A442" t="s">
        <v>588</v>
      </c>
      <c r="B442" t="s">
        <v>85</v>
      </c>
      <c r="C442" t="s">
        <v>559</v>
      </c>
      <c r="D442" t="s">
        <v>289</v>
      </c>
      <c r="E442" s="48">
        <v>18</v>
      </c>
      <c r="F442" s="24">
        <v>128.18</v>
      </c>
      <c r="G442" s="24">
        <v>2307.2399999999998</v>
      </c>
      <c r="H442" t="s">
        <v>560</v>
      </c>
    </row>
    <row r="443" spans="1:8" ht="15" customHeight="1" x14ac:dyDescent="0.3">
      <c r="A443" t="s">
        <v>588</v>
      </c>
      <c r="B443" t="s">
        <v>85</v>
      </c>
      <c r="C443" t="s">
        <v>559</v>
      </c>
      <c r="D443" t="s">
        <v>293</v>
      </c>
      <c r="E443" s="48">
        <v>11</v>
      </c>
      <c r="F443" s="24">
        <v>122.58</v>
      </c>
      <c r="G443" s="24">
        <v>1348.38</v>
      </c>
      <c r="H443" t="s">
        <v>560</v>
      </c>
    </row>
    <row r="444" spans="1:8" ht="15" customHeight="1" x14ac:dyDescent="0.3">
      <c r="A444" t="s">
        <v>588</v>
      </c>
      <c r="B444" t="s">
        <v>85</v>
      </c>
      <c r="C444" t="s">
        <v>559</v>
      </c>
      <c r="D444" t="s">
        <v>293</v>
      </c>
      <c r="E444" s="48">
        <v>11</v>
      </c>
      <c r="F444" s="24">
        <v>122.58</v>
      </c>
      <c r="G444" s="24">
        <v>1348.38</v>
      </c>
      <c r="H444" t="s">
        <v>560</v>
      </c>
    </row>
    <row r="445" spans="1:8" ht="15" customHeight="1" x14ac:dyDescent="0.3">
      <c r="A445" t="s">
        <v>588</v>
      </c>
      <c r="B445" t="s">
        <v>85</v>
      </c>
      <c r="C445" t="s">
        <v>559</v>
      </c>
      <c r="D445" t="s">
        <v>290</v>
      </c>
      <c r="E445" s="48">
        <v>20</v>
      </c>
      <c r="F445" s="24">
        <v>134.1</v>
      </c>
      <c r="G445" s="24">
        <v>2682</v>
      </c>
      <c r="H445" t="s">
        <v>560</v>
      </c>
    </row>
    <row r="446" spans="1:8" ht="15" customHeight="1" x14ac:dyDescent="0.3">
      <c r="A446" t="s">
        <v>588</v>
      </c>
      <c r="B446" t="s">
        <v>85</v>
      </c>
      <c r="C446" t="s">
        <v>559</v>
      </c>
      <c r="D446" t="s">
        <v>290</v>
      </c>
      <c r="E446" s="48">
        <v>1</v>
      </c>
      <c r="F446" s="24">
        <v>119.85</v>
      </c>
      <c r="G446" s="24">
        <v>119.85</v>
      </c>
      <c r="H446" t="s">
        <v>596</v>
      </c>
    </row>
    <row r="447" spans="1:8" ht="15" customHeight="1" x14ac:dyDescent="0.3">
      <c r="A447" t="s">
        <v>588</v>
      </c>
      <c r="B447" t="s">
        <v>85</v>
      </c>
      <c r="C447" t="s">
        <v>559</v>
      </c>
      <c r="D447" t="s">
        <v>284</v>
      </c>
      <c r="E447" s="48">
        <v>4</v>
      </c>
      <c r="F447" s="24">
        <v>119.85</v>
      </c>
      <c r="G447" s="24">
        <v>479.4</v>
      </c>
      <c r="H447" t="s">
        <v>560</v>
      </c>
    </row>
    <row r="448" spans="1:8" ht="15" customHeight="1" x14ac:dyDescent="0.3">
      <c r="A448" t="s">
        <v>588</v>
      </c>
      <c r="B448" t="s">
        <v>85</v>
      </c>
      <c r="C448" t="s">
        <v>559</v>
      </c>
      <c r="D448" t="s">
        <v>284</v>
      </c>
      <c r="E448" s="48">
        <v>4</v>
      </c>
      <c r="F448" s="24">
        <v>119.85</v>
      </c>
      <c r="G448" s="24">
        <v>479.4</v>
      </c>
      <c r="H448" t="s">
        <v>560</v>
      </c>
    </row>
    <row r="449" spans="1:8" ht="15" customHeight="1" x14ac:dyDescent="0.3">
      <c r="A449" t="s">
        <v>588</v>
      </c>
      <c r="B449" t="s">
        <v>85</v>
      </c>
      <c r="C449" t="s">
        <v>559</v>
      </c>
      <c r="D449" t="s">
        <v>285</v>
      </c>
      <c r="E449" s="48">
        <v>0</v>
      </c>
      <c r="F449" s="24">
        <v>0</v>
      </c>
      <c r="G449" s="24">
        <v>0</v>
      </c>
      <c r="H449" t="s">
        <v>561</v>
      </c>
    </row>
    <row r="450" spans="1:8" ht="15" customHeight="1" x14ac:dyDescent="0.3">
      <c r="A450" t="s">
        <v>588</v>
      </c>
      <c r="B450" t="s">
        <v>85</v>
      </c>
      <c r="C450" t="s">
        <v>559</v>
      </c>
      <c r="D450" t="s">
        <v>282</v>
      </c>
      <c r="E450" s="48">
        <v>8</v>
      </c>
      <c r="F450" s="24">
        <v>123.6</v>
      </c>
      <c r="G450" s="24">
        <v>988.8</v>
      </c>
      <c r="H450" t="s">
        <v>560</v>
      </c>
    </row>
    <row r="451" spans="1:8" ht="15" customHeight="1" x14ac:dyDescent="0.3">
      <c r="A451" t="s">
        <v>588</v>
      </c>
      <c r="B451" t="s">
        <v>85</v>
      </c>
      <c r="C451" t="s">
        <v>559</v>
      </c>
      <c r="D451" t="s">
        <v>282</v>
      </c>
      <c r="E451" s="48">
        <v>1</v>
      </c>
      <c r="F451" s="24">
        <v>988.8</v>
      </c>
      <c r="G451" s="24">
        <v>988.8</v>
      </c>
      <c r="H451" t="s">
        <v>561</v>
      </c>
    </row>
    <row r="452" spans="1:8" ht="15" customHeight="1" x14ac:dyDescent="0.3">
      <c r="A452" t="s">
        <v>588</v>
      </c>
      <c r="B452" t="s">
        <v>32</v>
      </c>
      <c r="C452" t="s">
        <v>562</v>
      </c>
      <c r="D452" t="s">
        <v>287</v>
      </c>
      <c r="E452" s="48">
        <v>0</v>
      </c>
      <c r="F452" s="24">
        <v>0</v>
      </c>
      <c r="G452" s="24">
        <v>0</v>
      </c>
      <c r="H452" t="s">
        <v>563</v>
      </c>
    </row>
    <row r="453" spans="1:8" ht="15" customHeight="1" x14ac:dyDescent="0.3">
      <c r="A453" t="s">
        <v>588</v>
      </c>
      <c r="B453" t="s">
        <v>32</v>
      </c>
      <c r="C453" t="s">
        <v>564</v>
      </c>
      <c r="D453" t="s">
        <v>287</v>
      </c>
      <c r="E453" s="48">
        <v>0</v>
      </c>
      <c r="F453" s="24">
        <v>0</v>
      </c>
      <c r="G453" s="24">
        <v>0</v>
      </c>
      <c r="H453" t="s">
        <v>565</v>
      </c>
    </row>
    <row r="454" spans="1:8" ht="15" customHeight="1" x14ac:dyDescent="0.3">
      <c r="A454" t="s">
        <v>588</v>
      </c>
      <c r="B454" t="s">
        <v>32</v>
      </c>
      <c r="C454" t="s">
        <v>562</v>
      </c>
      <c r="D454" t="s">
        <v>293</v>
      </c>
      <c r="E454" s="48">
        <v>0</v>
      </c>
      <c r="F454" s="24">
        <v>0</v>
      </c>
      <c r="G454" s="24">
        <v>0</v>
      </c>
      <c r="H454" t="s">
        <v>563</v>
      </c>
    </row>
    <row r="455" spans="1:8" ht="15" customHeight="1" x14ac:dyDescent="0.3">
      <c r="A455" t="s">
        <v>588</v>
      </c>
      <c r="B455" t="s">
        <v>32</v>
      </c>
      <c r="C455" t="s">
        <v>564</v>
      </c>
      <c r="D455" t="s">
        <v>293</v>
      </c>
      <c r="E455" s="48">
        <v>0</v>
      </c>
      <c r="F455" s="24">
        <v>0</v>
      </c>
      <c r="G455" s="24">
        <v>0</v>
      </c>
      <c r="H455" t="s">
        <v>566</v>
      </c>
    </row>
    <row r="456" spans="1:8" ht="15" customHeight="1" x14ac:dyDescent="0.3">
      <c r="A456" t="s">
        <v>588</v>
      </c>
      <c r="B456" t="s">
        <v>32</v>
      </c>
      <c r="C456" t="s">
        <v>562</v>
      </c>
      <c r="D456" t="s">
        <v>290</v>
      </c>
      <c r="E456" s="48">
        <v>0</v>
      </c>
      <c r="F456" s="24">
        <v>0</v>
      </c>
      <c r="G456" s="24">
        <v>0</v>
      </c>
      <c r="H456" t="s">
        <v>563</v>
      </c>
    </row>
    <row r="457" spans="1:8" ht="15" customHeight="1" x14ac:dyDescent="0.3">
      <c r="A457" t="s">
        <v>588</v>
      </c>
      <c r="B457" t="s">
        <v>32</v>
      </c>
      <c r="C457" t="s">
        <v>562</v>
      </c>
      <c r="D457" t="s">
        <v>290</v>
      </c>
      <c r="E457" s="48">
        <v>0</v>
      </c>
      <c r="F457" s="24">
        <v>0</v>
      </c>
      <c r="G457" s="24">
        <v>0</v>
      </c>
      <c r="H457" t="s">
        <v>563</v>
      </c>
    </row>
    <row r="458" spans="1:8" ht="15" customHeight="1" x14ac:dyDescent="0.3">
      <c r="A458" t="s">
        <v>588</v>
      </c>
      <c r="B458" t="s">
        <v>32</v>
      </c>
      <c r="C458" t="s">
        <v>562</v>
      </c>
      <c r="D458" t="s">
        <v>284</v>
      </c>
      <c r="E458" s="48">
        <v>0</v>
      </c>
      <c r="F458" s="24">
        <v>0</v>
      </c>
      <c r="G458" s="24">
        <v>0</v>
      </c>
      <c r="H458" t="s">
        <v>563</v>
      </c>
    </row>
    <row r="459" spans="1:8" ht="15" customHeight="1" x14ac:dyDescent="0.3">
      <c r="A459" t="s">
        <v>588</v>
      </c>
      <c r="B459" t="s">
        <v>32</v>
      </c>
      <c r="C459" t="s">
        <v>564</v>
      </c>
      <c r="D459" t="s">
        <v>284</v>
      </c>
      <c r="E459" s="48">
        <v>0</v>
      </c>
      <c r="F459" s="24">
        <v>0</v>
      </c>
      <c r="G459" s="24">
        <v>0</v>
      </c>
      <c r="H459" t="s">
        <v>565</v>
      </c>
    </row>
    <row r="460" spans="1:8" ht="15" customHeight="1" x14ac:dyDescent="0.3">
      <c r="A460" t="s">
        <v>588</v>
      </c>
      <c r="B460" t="s">
        <v>32</v>
      </c>
      <c r="C460" t="s">
        <v>562</v>
      </c>
      <c r="D460" t="s">
        <v>285</v>
      </c>
      <c r="E460" s="48">
        <v>0</v>
      </c>
      <c r="F460" s="24">
        <v>0</v>
      </c>
      <c r="G460" s="24">
        <v>0</v>
      </c>
      <c r="H460" t="s">
        <v>563</v>
      </c>
    </row>
    <row r="461" spans="1:8" ht="15" customHeight="1" x14ac:dyDescent="0.3">
      <c r="A461" t="s">
        <v>588</v>
      </c>
      <c r="B461" t="s">
        <v>32</v>
      </c>
      <c r="C461" t="s">
        <v>562</v>
      </c>
      <c r="D461" t="s">
        <v>282</v>
      </c>
      <c r="E461" s="48">
        <v>0</v>
      </c>
      <c r="F461" s="24">
        <v>0</v>
      </c>
      <c r="G461" s="24">
        <v>0</v>
      </c>
      <c r="H461" t="s">
        <v>563</v>
      </c>
    </row>
    <row r="462" spans="1:8" ht="15" customHeight="1" x14ac:dyDescent="0.3">
      <c r="A462" t="s">
        <v>588</v>
      </c>
      <c r="B462" t="s">
        <v>32</v>
      </c>
      <c r="C462" t="s">
        <v>564</v>
      </c>
      <c r="D462" t="s">
        <v>282</v>
      </c>
      <c r="E462" s="48">
        <v>0</v>
      </c>
      <c r="F462" s="24">
        <v>0</v>
      </c>
      <c r="G462" s="24">
        <v>0</v>
      </c>
      <c r="H462" t="s">
        <v>567</v>
      </c>
    </row>
    <row r="463" spans="1:8" ht="15" customHeight="1" x14ac:dyDescent="0.3">
      <c r="A463" t="s">
        <v>588</v>
      </c>
      <c r="B463" t="s">
        <v>568</v>
      </c>
      <c r="C463" t="s">
        <v>569</v>
      </c>
      <c r="D463" t="s">
        <v>289</v>
      </c>
      <c r="E463" s="48">
        <v>13402</v>
      </c>
      <c r="F463" s="24">
        <v>2.3557330047643901</v>
      </c>
      <c r="G463" s="24">
        <v>31571.533729999999</v>
      </c>
      <c r="H463" t="s">
        <v>394</v>
      </c>
    </row>
    <row r="464" spans="1:8" ht="15" customHeight="1" x14ac:dyDescent="0.3">
      <c r="A464" t="s">
        <v>588</v>
      </c>
      <c r="B464" t="s">
        <v>44</v>
      </c>
      <c r="C464" t="s">
        <v>570</v>
      </c>
      <c r="D464" t="s">
        <v>287</v>
      </c>
      <c r="E464" s="48">
        <v>1</v>
      </c>
      <c r="F464" s="24">
        <v>4343.82</v>
      </c>
      <c r="G464" s="24">
        <v>4343.82</v>
      </c>
      <c r="H464" t="s">
        <v>597</v>
      </c>
    </row>
    <row r="465" spans="1:8" ht="15" customHeight="1" x14ac:dyDescent="0.3">
      <c r="A465" t="s">
        <v>588</v>
      </c>
      <c r="B465" t="s">
        <v>44</v>
      </c>
      <c r="C465" t="s">
        <v>570</v>
      </c>
      <c r="D465" t="s">
        <v>289</v>
      </c>
      <c r="E465" s="48">
        <v>1</v>
      </c>
      <c r="F465" s="24">
        <v>4773.1000000000004</v>
      </c>
      <c r="G465" s="24">
        <v>4773.1000000000004</v>
      </c>
      <c r="H465" t="s">
        <v>597</v>
      </c>
    </row>
    <row r="466" spans="1:8" ht="15" customHeight="1" x14ac:dyDescent="0.3">
      <c r="A466" t="s">
        <v>588</v>
      </c>
      <c r="B466" t="s">
        <v>44</v>
      </c>
      <c r="C466" t="s">
        <v>573</v>
      </c>
      <c r="D466" t="s">
        <v>289</v>
      </c>
      <c r="E466" s="48">
        <v>0</v>
      </c>
      <c r="F466" s="24">
        <v>0</v>
      </c>
      <c r="G466" s="24">
        <v>0</v>
      </c>
      <c r="H466" t="s">
        <v>574</v>
      </c>
    </row>
    <row r="467" spans="1:8" ht="15" customHeight="1" x14ac:dyDescent="0.3">
      <c r="A467" t="s">
        <v>588</v>
      </c>
      <c r="B467" t="s">
        <v>44</v>
      </c>
      <c r="C467" t="s">
        <v>575</v>
      </c>
      <c r="D467" t="s">
        <v>289</v>
      </c>
      <c r="E467" s="48">
        <v>0</v>
      </c>
      <c r="F467" s="24">
        <v>0</v>
      </c>
      <c r="G467" s="24">
        <v>0</v>
      </c>
      <c r="H467" t="s">
        <v>576</v>
      </c>
    </row>
    <row r="468" spans="1:8" ht="15" customHeight="1" x14ac:dyDescent="0.3">
      <c r="A468" t="s">
        <v>588</v>
      </c>
      <c r="B468" t="s">
        <v>44</v>
      </c>
      <c r="C468" t="s">
        <v>577</v>
      </c>
      <c r="D468" t="s">
        <v>289</v>
      </c>
      <c r="E468" s="48">
        <v>0</v>
      </c>
      <c r="F468" s="24">
        <v>0</v>
      </c>
      <c r="G468" s="24">
        <v>0</v>
      </c>
      <c r="H468" t="s">
        <v>578</v>
      </c>
    </row>
    <row r="469" spans="1:8" ht="15" customHeight="1" x14ac:dyDescent="0.3">
      <c r="A469" t="s">
        <v>588</v>
      </c>
      <c r="B469" t="s">
        <v>44</v>
      </c>
      <c r="C469" t="s">
        <v>570</v>
      </c>
      <c r="D469" t="s">
        <v>293</v>
      </c>
      <c r="E469" s="48">
        <v>1</v>
      </c>
      <c r="F469" s="24">
        <v>1019.8</v>
      </c>
      <c r="G469" s="24">
        <v>1019.8</v>
      </c>
      <c r="H469" t="s">
        <v>597</v>
      </c>
    </row>
    <row r="470" spans="1:8" ht="15" customHeight="1" x14ac:dyDescent="0.3">
      <c r="A470" t="s">
        <v>588</v>
      </c>
      <c r="B470" t="s">
        <v>44</v>
      </c>
      <c r="C470" t="s">
        <v>570</v>
      </c>
      <c r="D470" t="s">
        <v>293</v>
      </c>
      <c r="E470" s="48">
        <v>0</v>
      </c>
      <c r="F470" s="24">
        <v>0</v>
      </c>
      <c r="G470" s="24">
        <v>0</v>
      </c>
      <c r="H470" t="s">
        <v>572</v>
      </c>
    </row>
    <row r="471" spans="1:8" ht="15" customHeight="1" x14ac:dyDescent="0.3">
      <c r="A471" t="s">
        <v>588</v>
      </c>
      <c r="B471" t="s">
        <v>44</v>
      </c>
      <c r="C471" t="s">
        <v>579</v>
      </c>
      <c r="D471" t="s">
        <v>293</v>
      </c>
      <c r="E471" s="48">
        <v>0</v>
      </c>
      <c r="F471" s="24">
        <v>0</v>
      </c>
      <c r="G471" s="24">
        <v>0</v>
      </c>
      <c r="H471" t="s">
        <v>574</v>
      </c>
    </row>
    <row r="472" spans="1:8" ht="15" customHeight="1" x14ac:dyDescent="0.3">
      <c r="A472" t="s">
        <v>588</v>
      </c>
      <c r="B472" t="s">
        <v>44</v>
      </c>
      <c r="C472" t="s">
        <v>580</v>
      </c>
      <c r="D472" t="s">
        <v>293</v>
      </c>
      <c r="E472" s="48">
        <v>0</v>
      </c>
      <c r="F472" s="24">
        <v>0</v>
      </c>
      <c r="G472" s="24">
        <v>0</v>
      </c>
      <c r="H472" t="s">
        <v>578</v>
      </c>
    </row>
    <row r="473" spans="1:8" ht="15" customHeight="1" x14ac:dyDescent="0.3">
      <c r="A473" t="s">
        <v>588</v>
      </c>
      <c r="B473" t="s">
        <v>44</v>
      </c>
      <c r="C473" t="s">
        <v>570</v>
      </c>
      <c r="D473" t="s">
        <v>290</v>
      </c>
      <c r="E473" s="48">
        <v>1</v>
      </c>
      <c r="F473" s="24">
        <v>2399.73</v>
      </c>
      <c r="G473" s="24">
        <v>2399.73</v>
      </c>
      <c r="H473" t="s">
        <v>597</v>
      </c>
    </row>
    <row r="474" spans="1:8" ht="15" customHeight="1" x14ac:dyDescent="0.3">
      <c r="A474" t="s">
        <v>588</v>
      </c>
      <c r="B474" t="s">
        <v>44</v>
      </c>
      <c r="C474" t="s">
        <v>581</v>
      </c>
      <c r="D474" t="s">
        <v>290</v>
      </c>
      <c r="E474" s="48">
        <v>0</v>
      </c>
      <c r="F474" s="24">
        <v>0</v>
      </c>
      <c r="G474" s="24">
        <v>0</v>
      </c>
      <c r="H474" t="s">
        <v>574</v>
      </c>
    </row>
    <row r="475" spans="1:8" ht="15" customHeight="1" x14ac:dyDescent="0.3">
      <c r="A475" t="s">
        <v>588</v>
      </c>
      <c r="B475" t="s">
        <v>44</v>
      </c>
      <c r="C475" t="s">
        <v>582</v>
      </c>
      <c r="D475" t="s">
        <v>290</v>
      </c>
      <c r="E475" s="48">
        <v>0</v>
      </c>
      <c r="F475" s="24">
        <v>0</v>
      </c>
      <c r="G475" s="24">
        <v>0</v>
      </c>
      <c r="H475" t="s">
        <v>574</v>
      </c>
    </row>
    <row r="476" spans="1:8" ht="15" customHeight="1" x14ac:dyDescent="0.3">
      <c r="A476" t="s">
        <v>588</v>
      </c>
      <c r="B476" t="s">
        <v>44</v>
      </c>
      <c r="C476" t="s">
        <v>583</v>
      </c>
      <c r="D476" t="s">
        <v>290</v>
      </c>
      <c r="E476" s="48">
        <v>0</v>
      </c>
      <c r="F476" s="24">
        <v>0</v>
      </c>
      <c r="G476" s="24">
        <v>0</v>
      </c>
      <c r="H476" t="s">
        <v>578</v>
      </c>
    </row>
    <row r="477" spans="1:8" ht="15" customHeight="1" x14ac:dyDescent="0.3">
      <c r="A477" t="s">
        <v>588</v>
      </c>
      <c r="B477" t="s">
        <v>44</v>
      </c>
      <c r="C477" t="s">
        <v>584</v>
      </c>
      <c r="D477" t="s">
        <v>290</v>
      </c>
      <c r="E477" s="48">
        <v>0</v>
      </c>
      <c r="F477" s="24">
        <v>0</v>
      </c>
      <c r="G477" s="24">
        <v>0</v>
      </c>
      <c r="H477" t="s">
        <v>578</v>
      </c>
    </row>
    <row r="478" spans="1:8" ht="15" customHeight="1" x14ac:dyDescent="0.3">
      <c r="A478" t="s">
        <v>588</v>
      </c>
      <c r="B478" t="s">
        <v>44</v>
      </c>
      <c r="C478" t="s">
        <v>570</v>
      </c>
      <c r="D478" t="s">
        <v>284</v>
      </c>
      <c r="E478" s="48">
        <v>0</v>
      </c>
      <c r="F478" s="24">
        <v>0</v>
      </c>
      <c r="G478" s="24">
        <v>0</v>
      </c>
      <c r="H478" t="s">
        <v>571</v>
      </c>
    </row>
    <row r="479" spans="1:8" ht="15" customHeight="1" x14ac:dyDescent="0.3">
      <c r="A479" t="s">
        <v>588</v>
      </c>
      <c r="B479" t="s">
        <v>44</v>
      </c>
      <c r="C479" t="s">
        <v>570</v>
      </c>
      <c r="D479" t="s">
        <v>284</v>
      </c>
      <c r="E479" s="48">
        <v>1</v>
      </c>
      <c r="F479" s="24">
        <v>4808.82</v>
      </c>
      <c r="G479" s="24">
        <v>4808.82</v>
      </c>
      <c r="H479" t="s">
        <v>572</v>
      </c>
    </row>
    <row r="480" spans="1:8" ht="15" customHeight="1" x14ac:dyDescent="0.3">
      <c r="A480" t="s">
        <v>588</v>
      </c>
      <c r="B480" t="s">
        <v>44</v>
      </c>
      <c r="C480" t="s">
        <v>582</v>
      </c>
      <c r="D480" t="s">
        <v>284</v>
      </c>
      <c r="E480" s="48">
        <v>0</v>
      </c>
      <c r="F480" s="24">
        <v>0</v>
      </c>
      <c r="G480" s="24">
        <v>0</v>
      </c>
      <c r="H480" t="s">
        <v>578</v>
      </c>
    </row>
    <row r="481" spans="1:8" ht="15" customHeight="1" x14ac:dyDescent="0.3">
      <c r="A481" t="s">
        <v>588</v>
      </c>
      <c r="B481" t="s">
        <v>44</v>
      </c>
      <c r="C481" t="s">
        <v>583</v>
      </c>
      <c r="D481" t="s">
        <v>284</v>
      </c>
      <c r="E481" s="48">
        <v>0</v>
      </c>
      <c r="F481" s="24">
        <v>0</v>
      </c>
      <c r="G481" s="24">
        <v>0</v>
      </c>
      <c r="H481" t="s">
        <v>578</v>
      </c>
    </row>
    <row r="482" spans="1:8" ht="15" customHeight="1" x14ac:dyDescent="0.3">
      <c r="A482" t="s">
        <v>588</v>
      </c>
      <c r="B482" t="s">
        <v>44</v>
      </c>
      <c r="C482" t="s">
        <v>570</v>
      </c>
      <c r="D482" t="s">
        <v>285</v>
      </c>
      <c r="E482" s="48">
        <v>1</v>
      </c>
      <c r="F482" s="24">
        <v>111.44</v>
      </c>
      <c r="G482" s="24">
        <v>111.44</v>
      </c>
      <c r="H482" t="s">
        <v>597</v>
      </c>
    </row>
    <row r="483" spans="1:8" ht="15" customHeight="1" x14ac:dyDescent="0.3">
      <c r="A483" t="s">
        <v>588</v>
      </c>
      <c r="B483" t="s">
        <v>44</v>
      </c>
      <c r="C483" t="s">
        <v>570</v>
      </c>
      <c r="D483" t="s">
        <v>285</v>
      </c>
      <c r="E483" s="48">
        <v>0</v>
      </c>
      <c r="F483" s="24">
        <v>0</v>
      </c>
      <c r="G483" s="24">
        <v>0</v>
      </c>
      <c r="H483" t="s">
        <v>571</v>
      </c>
    </row>
    <row r="484" spans="1:8" ht="15" customHeight="1" x14ac:dyDescent="0.3">
      <c r="A484" t="s">
        <v>588</v>
      </c>
      <c r="B484" t="s">
        <v>44</v>
      </c>
      <c r="C484" t="s">
        <v>570</v>
      </c>
      <c r="D484" t="s">
        <v>282</v>
      </c>
      <c r="E484" s="48">
        <v>1</v>
      </c>
      <c r="F484" s="24">
        <v>4028.26</v>
      </c>
      <c r="G484" s="24">
        <v>4028.26</v>
      </c>
      <c r="H484" t="s">
        <v>597</v>
      </c>
    </row>
    <row r="485" spans="1:8" ht="15" customHeight="1" x14ac:dyDescent="0.3">
      <c r="A485" t="s">
        <v>588</v>
      </c>
      <c r="B485" t="s">
        <v>44</v>
      </c>
      <c r="C485" t="s">
        <v>570</v>
      </c>
      <c r="D485" t="s">
        <v>282</v>
      </c>
      <c r="E485" s="48">
        <v>0</v>
      </c>
      <c r="F485" s="24">
        <v>0</v>
      </c>
      <c r="G485" s="24">
        <v>0</v>
      </c>
      <c r="H485" t="s">
        <v>571</v>
      </c>
    </row>
    <row r="486" spans="1:8" ht="15" customHeight="1" x14ac:dyDescent="0.3">
      <c r="A486" t="s">
        <v>588</v>
      </c>
      <c r="B486" t="s">
        <v>44</v>
      </c>
      <c r="C486" t="s">
        <v>585</v>
      </c>
      <c r="D486" t="s">
        <v>282</v>
      </c>
      <c r="E486" s="48">
        <v>0</v>
      </c>
      <c r="F486" s="24">
        <v>0</v>
      </c>
      <c r="G486" s="24">
        <v>0</v>
      </c>
      <c r="H486" t="s">
        <v>574</v>
      </c>
    </row>
    <row r="487" spans="1:8" ht="15" customHeight="1" x14ac:dyDescent="0.3">
      <c r="A487" t="s">
        <v>588</v>
      </c>
      <c r="B487" t="s">
        <v>44</v>
      </c>
      <c r="C487" t="s">
        <v>580</v>
      </c>
      <c r="D487" t="s">
        <v>282</v>
      </c>
      <c r="E487" s="48">
        <v>0</v>
      </c>
      <c r="F487" s="24">
        <v>0</v>
      </c>
      <c r="G487" s="24">
        <v>0</v>
      </c>
      <c r="H487" t="s">
        <v>578</v>
      </c>
    </row>
    <row r="488" spans="1:8" ht="15" customHeight="1" x14ac:dyDescent="0.3">
      <c r="A488" t="s">
        <v>588</v>
      </c>
      <c r="B488" t="s">
        <v>87</v>
      </c>
      <c r="C488" t="s">
        <v>586</v>
      </c>
      <c r="D488" t="s">
        <v>287</v>
      </c>
      <c r="E488" s="48">
        <v>2</v>
      </c>
      <c r="F488" s="24">
        <v>50</v>
      </c>
      <c r="G488" s="24">
        <v>100</v>
      </c>
      <c r="H488" t="s">
        <v>587</v>
      </c>
    </row>
    <row r="489" spans="1:8" ht="15" customHeight="1" x14ac:dyDescent="0.3">
      <c r="A489" t="s">
        <v>588</v>
      </c>
      <c r="B489" t="s">
        <v>87</v>
      </c>
      <c r="C489" t="s">
        <v>586</v>
      </c>
      <c r="D489" t="s">
        <v>293</v>
      </c>
      <c r="E489" s="48">
        <v>1</v>
      </c>
      <c r="F489" s="24">
        <v>10</v>
      </c>
      <c r="G489" s="24">
        <v>10</v>
      </c>
      <c r="H489" t="s">
        <v>587</v>
      </c>
    </row>
    <row r="490" spans="1:8" ht="15" customHeight="1" x14ac:dyDescent="0.3">
      <c r="A490" t="s">
        <v>588</v>
      </c>
      <c r="B490" t="s">
        <v>87</v>
      </c>
      <c r="C490" t="s">
        <v>586</v>
      </c>
      <c r="D490" t="s">
        <v>290</v>
      </c>
      <c r="E490" s="48">
        <v>1</v>
      </c>
      <c r="F490" s="24">
        <v>10</v>
      </c>
      <c r="G490" s="24">
        <v>10</v>
      </c>
      <c r="H490" t="s">
        <v>587</v>
      </c>
    </row>
    <row r="491" spans="1:8" ht="15" customHeight="1" x14ac:dyDescent="0.3">
      <c r="A491" t="s">
        <v>588</v>
      </c>
      <c r="B491" t="s">
        <v>87</v>
      </c>
      <c r="C491" t="s">
        <v>586</v>
      </c>
      <c r="D491" t="s">
        <v>290</v>
      </c>
      <c r="E491" s="48">
        <v>5</v>
      </c>
      <c r="F491" s="24">
        <v>50</v>
      </c>
      <c r="G491" s="24">
        <v>250</v>
      </c>
      <c r="H491" t="s">
        <v>587</v>
      </c>
    </row>
    <row r="492" spans="1:8" ht="15" customHeight="1" x14ac:dyDescent="0.3">
      <c r="A492" t="s">
        <v>588</v>
      </c>
      <c r="B492" t="s">
        <v>87</v>
      </c>
      <c r="C492" t="s">
        <v>586</v>
      </c>
      <c r="D492" t="s">
        <v>284</v>
      </c>
      <c r="E492" s="48">
        <v>2</v>
      </c>
      <c r="F492" s="24">
        <v>50</v>
      </c>
      <c r="G492" s="24">
        <v>100</v>
      </c>
      <c r="H492" t="s">
        <v>587</v>
      </c>
    </row>
    <row r="493" spans="1:8" ht="15" customHeight="1" x14ac:dyDescent="0.3">
      <c r="A493" t="s">
        <v>588</v>
      </c>
      <c r="B493" t="s">
        <v>87</v>
      </c>
      <c r="C493" t="s">
        <v>586</v>
      </c>
      <c r="D493" t="s">
        <v>285</v>
      </c>
      <c r="E493" s="48">
        <v>1</v>
      </c>
      <c r="F493" s="24">
        <v>50</v>
      </c>
      <c r="G493" s="24">
        <v>50</v>
      </c>
      <c r="H493" t="s">
        <v>587</v>
      </c>
    </row>
    <row r="494" spans="1:8" ht="15" customHeight="1" x14ac:dyDescent="0.3">
      <c r="A494" t="s">
        <v>588</v>
      </c>
      <c r="B494" t="s">
        <v>87</v>
      </c>
      <c r="C494" t="s">
        <v>586</v>
      </c>
      <c r="D494" t="s">
        <v>282</v>
      </c>
      <c r="E494" s="48">
        <v>1</v>
      </c>
      <c r="F494" s="24">
        <v>90</v>
      </c>
      <c r="G494" s="24">
        <v>90</v>
      </c>
      <c r="H494" t="s">
        <v>587</v>
      </c>
    </row>
    <row r="495" spans="1:8" ht="15" customHeight="1" x14ac:dyDescent="0.3">
      <c r="A495" t="s">
        <v>588</v>
      </c>
      <c r="B495" t="s">
        <v>87</v>
      </c>
      <c r="C495" t="s">
        <v>586</v>
      </c>
      <c r="D495" t="s">
        <v>282</v>
      </c>
      <c r="E495" s="48">
        <v>2</v>
      </c>
      <c r="F495" s="24">
        <v>10</v>
      </c>
      <c r="G495" s="24">
        <v>20</v>
      </c>
      <c r="H495" t="s">
        <v>587</v>
      </c>
    </row>
    <row r="496" spans="1:8" ht="15" customHeight="1" x14ac:dyDescent="0.3">
      <c r="A496" t="s">
        <v>588</v>
      </c>
      <c r="B496" t="s">
        <v>87</v>
      </c>
      <c r="C496" t="s">
        <v>586</v>
      </c>
      <c r="D496" t="s">
        <v>282</v>
      </c>
      <c r="E496" s="48">
        <v>3</v>
      </c>
      <c r="F496" s="24">
        <v>50</v>
      </c>
      <c r="G496" s="24">
        <v>150</v>
      </c>
      <c r="H496" t="s">
        <v>587</v>
      </c>
    </row>
    <row r="497" spans="1:8" ht="15" customHeight="1" x14ac:dyDescent="0.3">
      <c r="A497" t="s">
        <v>598</v>
      </c>
      <c r="B497" t="s">
        <v>392</v>
      </c>
      <c r="C497" t="s">
        <v>393</v>
      </c>
      <c r="D497" t="s">
        <v>289</v>
      </c>
      <c r="E497" s="48">
        <v>13418</v>
      </c>
      <c r="F497" s="24">
        <v>0.42745395758506399</v>
      </c>
      <c r="G497" s="24">
        <v>5735.5772028763904</v>
      </c>
      <c r="H497" t="s">
        <v>394</v>
      </c>
    </row>
    <row r="498" spans="1:8" ht="15" customHeight="1" x14ac:dyDescent="0.3">
      <c r="A498" t="s">
        <v>598</v>
      </c>
      <c r="B498" t="s">
        <v>395</v>
      </c>
      <c r="C498" t="s">
        <v>86</v>
      </c>
      <c r="D498" t="s">
        <v>289</v>
      </c>
      <c r="E498" s="48">
        <v>13418</v>
      </c>
      <c r="F498" s="24">
        <v>0.26657482861582599</v>
      </c>
      <c r="G498" s="24">
        <v>3576.9010503671502</v>
      </c>
      <c r="H498" t="s">
        <v>394</v>
      </c>
    </row>
    <row r="499" spans="1:8" ht="15" customHeight="1" x14ac:dyDescent="0.3">
      <c r="A499" t="s">
        <v>598</v>
      </c>
      <c r="B499" t="s">
        <v>396</v>
      </c>
      <c r="C499" t="s">
        <v>397</v>
      </c>
      <c r="D499" t="s">
        <v>275</v>
      </c>
      <c r="E499" s="48">
        <v>1</v>
      </c>
      <c r="F499" s="24">
        <v>1222.0899999999999</v>
      </c>
      <c r="G499" s="24">
        <v>1222.0899999999999</v>
      </c>
      <c r="H499" t="s">
        <v>599</v>
      </c>
    </row>
    <row r="500" spans="1:8" ht="15" customHeight="1" x14ac:dyDescent="0.3">
      <c r="A500" t="s">
        <v>598</v>
      </c>
      <c r="B500" t="s">
        <v>396</v>
      </c>
      <c r="C500" t="s">
        <v>399</v>
      </c>
      <c r="D500" t="s">
        <v>275</v>
      </c>
      <c r="E500" s="48">
        <v>0</v>
      </c>
      <c r="F500" s="24">
        <v>0</v>
      </c>
      <c r="G500" s="24">
        <v>0</v>
      </c>
      <c r="H500" t="s">
        <v>589</v>
      </c>
    </row>
    <row r="501" spans="1:8" ht="15" customHeight="1" x14ac:dyDescent="0.3">
      <c r="A501" t="s">
        <v>598</v>
      </c>
      <c r="B501" t="s">
        <v>396</v>
      </c>
      <c r="C501" t="s">
        <v>397</v>
      </c>
      <c r="D501" t="s">
        <v>287</v>
      </c>
      <c r="E501" s="48">
        <v>0</v>
      </c>
      <c r="F501" s="24">
        <v>0</v>
      </c>
      <c r="G501" s="24">
        <v>0</v>
      </c>
      <c r="H501" t="s">
        <v>398</v>
      </c>
    </row>
    <row r="502" spans="1:8" ht="15" customHeight="1" x14ac:dyDescent="0.3">
      <c r="A502" t="s">
        <v>598</v>
      </c>
      <c r="B502" t="s">
        <v>396</v>
      </c>
      <c r="C502" t="s">
        <v>399</v>
      </c>
      <c r="D502" t="s">
        <v>287</v>
      </c>
      <c r="E502" s="48">
        <v>0</v>
      </c>
      <c r="F502" s="24">
        <v>0</v>
      </c>
      <c r="G502" s="24">
        <v>0</v>
      </c>
      <c r="H502" t="s">
        <v>589</v>
      </c>
    </row>
    <row r="503" spans="1:8" ht="15" customHeight="1" x14ac:dyDescent="0.3">
      <c r="A503" t="s">
        <v>598</v>
      </c>
      <c r="B503" t="s">
        <v>396</v>
      </c>
      <c r="C503" t="s">
        <v>397</v>
      </c>
      <c r="D503" t="s">
        <v>289</v>
      </c>
      <c r="E503" s="48">
        <v>0</v>
      </c>
      <c r="F503" s="24">
        <v>0</v>
      </c>
      <c r="G503" s="24">
        <v>0</v>
      </c>
      <c r="H503" t="s">
        <v>401</v>
      </c>
    </row>
    <row r="504" spans="1:8" ht="15" customHeight="1" x14ac:dyDescent="0.3">
      <c r="A504" t="s">
        <v>598</v>
      </c>
      <c r="B504" t="s">
        <v>396</v>
      </c>
      <c r="C504" t="s">
        <v>402</v>
      </c>
      <c r="D504" t="s">
        <v>289</v>
      </c>
      <c r="E504" s="48">
        <v>0</v>
      </c>
      <c r="F504" s="24">
        <v>0</v>
      </c>
      <c r="G504" s="24">
        <v>0</v>
      </c>
      <c r="H504" t="s">
        <v>403</v>
      </c>
    </row>
    <row r="505" spans="1:8" ht="15" customHeight="1" x14ac:dyDescent="0.3">
      <c r="A505" t="s">
        <v>598</v>
      </c>
      <c r="B505" t="s">
        <v>396</v>
      </c>
      <c r="C505" t="s">
        <v>397</v>
      </c>
      <c r="D505" t="s">
        <v>293</v>
      </c>
      <c r="E505" s="48">
        <v>0</v>
      </c>
      <c r="F505" s="24">
        <v>0</v>
      </c>
      <c r="G505" s="24">
        <v>0</v>
      </c>
      <c r="H505" t="s">
        <v>401</v>
      </c>
    </row>
    <row r="506" spans="1:8" ht="15" customHeight="1" x14ac:dyDescent="0.3">
      <c r="A506" t="s">
        <v>598</v>
      </c>
      <c r="B506" t="s">
        <v>396</v>
      </c>
      <c r="C506" t="s">
        <v>399</v>
      </c>
      <c r="D506" t="s">
        <v>293</v>
      </c>
      <c r="E506" s="48">
        <v>0</v>
      </c>
      <c r="F506" s="24">
        <v>0</v>
      </c>
      <c r="G506" s="24">
        <v>0</v>
      </c>
      <c r="H506" t="s">
        <v>589</v>
      </c>
    </row>
    <row r="507" spans="1:8" ht="15" customHeight="1" x14ac:dyDescent="0.3">
      <c r="A507" t="s">
        <v>598</v>
      </c>
      <c r="B507" t="s">
        <v>396</v>
      </c>
      <c r="C507" t="s">
        <v>397</v>
      </c>
      <c r="D507" t="s">
        <v>290</v>
      </c>
      <c r="E507" s="48">
        <v>0</v>
      </c>
      <c r="F507" s="24">
        <v>0</v>
      </c>
      <c r="G507" s="24">
        <v>0</v>
      </c>
      <c r="H507" t="s">
        <v>398</v>
      </c>
    </row>
    <row r="508" spans="1:8" ht="15" customHeight="1" x14ac:dyDescent="0.3">
      <c r="A508" t="s">
        <v>598</v>
      </c>
      <c r="B508" t="s">
        <v>396</v>
      </c>
      <c r="C508" t="s">
        <v>399</v>
      </c>
      <c r="D508" t="s">
        <v>290</v>
      </c>
      <c r="E508" s="48">
        <v>0</v>
      </c>
      <c r="F508" s="24">
        <v>0</v>
      </c>
      <c r="G508" s="24">
        <v>0</v>
      </c>
      <c r="H508" t="s">
        <v>400</v>
      </c>
    </row>
    <row r="509" spans="1:8" ht="15" customHeight="1" x14ac:dyDescent="0.3">
      <c r="A509" t="s">
        <v>598</v>
      </c>
      <c r="B509" t="s">
        <v>396</v>
      </c>
      <c r="C509" t="s">
        <v>397</v>
      </c>
      <c r="D509" t="s">
        <v>284</v>
      </c>
      <c r="E509" s="48">
        <v>0</v>
      </c>
      <c r="F509" s="24">
        <v>0</v>
      </c>
      <c r="G509" s="24">
        <v>0</v>
      </c>
      <c r="H509" t="s">
        <v>405</v>
      </c>
    </row>
    <row r="510" spans="1:8" ht="15" customHeight="1" x14ac:dyDescent="0.3">
      <c r="A510" t="s">
        <v>598</v>
      </c>
      <c r="B510" t="s">
        <v>396</v>
      </c>
      <c r="C510" t="s">
        <v>399</v>
      </c>
      <c r="D510" t="s">
        <v>284</v>
      </c>
      <c r="E510" s="48">
        <v>0</v>
      </c>
      <c r="F510" s="24">
        <v>0</v>
      </c>
      <c r="G510" s="24">
        <v>0</v>
      </c>
      <c r="H510" t="s">
        <v>589</v>
      </c>
    </row>
    <row r="511" spans="1:8" ht="15" customHeight="1" x14ac:dyDescent="0.3">
      <c r="A511" t="s">
        <v>598</v>
      </c>
      <c r="B511" t="s">
        <v>396</v>
      </c>
      <c r="C511" t="s">
        <v>399</v>
      </c>
      <c r="D511" t="s">
        <v>284</v>
      </c>
      <c r="E511" s="48">
        <v>0</v>
      </c>
      <c r="F511" s="24">
        <v>0</v>
      </c>
      <c r="G511" s="24">
        <v>0</v>
      </c>
      <c r="H511" t="s">
        <v>400</v>
      </c>
    </row>
    <row r="512" spans="1:8" ht="15" customHeight="1" x14ac:dyDescent="0.3">
      <c r="A512" t="s">
        <v>598</v>
      </c>
      <c r="B512" t="s">
        <v>396</v>
      </c>
      <c r="C512" t="s">
        <v>397</v>
      </c>
      <c r="D512" t="s">
        <v>285</v>
      </c>
      <c r="E512" s="48">
        <v>0</v>
      </c>
      <c r="F512" s="24">
        <v>0</v>
      </c>
      <c r="G512" s="24">
        <v>0</v>
      </c>
      <c r="H512" t="s">
        <v>401</v>
      </c>
    </row>
    <row r="513" spans="1:8" ht="15" customHeight="1" x14ac:dyDescent="0.3">
      <c r="A513" t="s">
        <v>598</v>
      </c>
      <c r="B513" t="s">
        <v>396</v>
      </c>
      <c r="C513" t="s">
        <v>397</v>
      </c>
      <c r="D513" t="s">
        <v>285</v>
      </c>
      <c r="E513" s="48">
        <v>0</v>
      </c>
      <c r="F513" s="24">
        <v>0</v>
      </c>
      <c r="G513" s="24">
        <v>0</v>
      </c>
      <c r="H513" t="s">
        <v>406</v>
      </c>
    </row>
    <row r="514" spans="1:8" ht="15" customHeight="1" x14ac:dyDescent="0.3">
      <c r="A514" t="s">
        <v>598</v>
      </c>
      <c r="B514" t="s">
        <v>78</v>
      </c>
      <c r="C514" t="s">
        <v>407</v>
      </c>
      <c r="D514" t="s">
        <v>293</v>
      </c>
      <c r="E514" s="48">
        <v>3704</v>
      </c>
      <c r="F514" s="24">
        <v>0.48632094301565898</v>
      </c>
      <c r="G514" s="24">
        <v>1801.3327730000001</v>
      </c>
      <c r="H514" t="s">
        <v>394</v>
      </c>
    </row>
    <row r="515" spans="1:8" ht="15" customHeight="1" x14ac:dyDescent="0.3">
      <c r="A515" t="s">
        <v>598</v>
      </c>
      <c r="B515" t="s">
        <v>78</v>
      </c>
      <c r="C515" t="s">
        <v>407</v>
      </c>
      <c r="D515" t="s">
        <v>290</v>
      </c>
      <c r="E515" s="48">
        <v>6434</v>
      </c>
      <c r="F515" s="24">
        <v>0.48632094301565898</v>
      </c>
      <c r="G515" s="24">
        <v>3128.9889469999998</v>
      </c>
      <c r="H515" t="s">
        <v>394</v>
      </c>
    </row>
    <row r="516" spans="1:8" ht="15" customHeight="1" x14ac:dyDescent="0.3">
      <c r="A516" t="s">
        <v>598</v>
      </c>
      <c r="B516" t="s">
        <v>78</v>
      </c>
      <c r="C516" t="s">
        <v>407</v>
      </c>
      <c r="D516" t="s">
        <v>284</v>
      </c>
      <c r="E516" s="48">
        <v>14441</v>
      </c>
      <c r="F516" s="24">
        <v>0.48632094301565898</v>
      </c>
      <c r="G516" s="24">
        <v>7022.9607379999998</v>
      </c>
      <c r="H516" t="s">
        <v>394</v>
      </c>
    </row>
    <row r="517" spans="1:8" ht="15" customHeight="1" x14ac:dyDescent="0.3">
      <c r="A517" t="s">
        <v>598</v>
      </c>
      <c r="B517" t="s">
        <v>78</v>
      </c>
      <c r="C517" t="s">
        <v>407</v>
      </c>
      <c r="D517" t="s">
        <v>282</v>
      </c>
      <c r="E517" s="48">
        <v>4795</v>
      </c>
      <c r="F517" s="24">
        <v>0.48632094301565898</v>
      </c>
      <c r="G517" s="24">
        <v>2331.9089220000001</v>
      </c>
      <c r="H517" t="s">
        <v>394</v>
      </c>
    </row>
    <row r="518" spans="1:8" ht="15" customHeight="1" x14ac:dyDescent="0.3">
      <c r="A518" t="s">
        <v>598</v>
      </c>
      <c r="B518" t="s">
        <v>408</v>
      </c>
      <c r="C518" t="s">
        <v>409</v>
      </c>
      <c r="D518" t="s">
        <v>275</v>
      </c>
      <c r="E518" s="48">
        <v>5160</v>
      </c>
      <c r="F518" s="24">
        <v>1.86</v>
      </c>
      <c r="G518" s="24">
        <v>9597.6</v>
      </c>
      <c r="H518" t="s">
        <v>600</v>
      </c>
    </row>
    <row r="519" spans="1:8" ht="15" customHeight="1" x14ac:dyDescent="0.3">
      <c r="A519" t="s">
        <v>598</v>
      </c>
      <c r="B519" t="s">
        <v>408</v>
      </c>
      <c r="C519" t="s">
        <v>409</v>
      </c>
      <c r="D519" t="s">
        <v>287</v>
      </c>
      <c r="E519" s="48">
        <v>333</v>
      </c>
      <c r="F519" s="24">
        <v>1.86</v>
      </c>
      <c r="G519" s="24">
        <v>619.38</v>
      </c>
      <c r="H519" t="s">
        <v>600</v>
      </c>
    </row>
    <row r="520" spans="1:8" ht="15" customHeight="1" x14ac:dyDescent="0.3">
      <c r="A520" t="s">
        <v>598</v>
      </c>
      <c r="B520" t="s">
        <v>408</v>
      </c>
      <c r="C520" t="s">
        <v>601</v>
      </c>
      <c r="D520" t="s">
        <v>287</v>
      </c>
      <c r="E520" s="48">
        <v>-1</v>
      </c>
      <c r="F520" s="24">
        <v>350</v>
      </c>
      <c r="G520" s="24">
        <v>-350</v>
      </c>
      <c r="H520" t="s">
        <v>602</v>
      </c>
    </row>
    <row r="521" spans="1:8" ht="15" customHeight="1" x14ac:dyDescent="0.3">
      <c r="A521" t="s">
        <v>598</v>
      </c>
      <c r="B521" t="s">
        <v>408</v>
      </c>
      <c r="C521" t="s">
        <v>603</v>
      </c>
      <c r="D521" t="s">
        <v>287</v>
      </c>
      <c r="E521" s="48">
        <v>-1</v>
      </c>
      <c r="F521" s="24">
        <v>206.78</v>
      </c>
      <c r="G521" s="24">
        <v>-206.78</v>
      </c>
      <c r="H521" t="s">
        <v>604</v>
      </c>
    </row>
    <row r="522" spans="1:8" ht="15" customHeight="1" x14ac:dyDescent="0.3">
      <c r="A522" t="s">
        <v>598</v>
      </c>
      <c r="B522" t="s">
        <v>408</v>
      </c>
      <c r="C522" t="s">
        <v>411</v>
      </c>
      <c r="D522" t="s">
        <v>287</v>
      </c>
      <c r="E522" s="48">
        <v>0</v>
      </c>
      <c r="F522" s="24">
        <v>0</v>
      </c>
      <c r="G522" s="24">
        <v>0</v>
      </c>
      <c r="H522" t="s">
        <v>412</v>
      </c>
    </row>
    <row r="523" spans="1:8" ht="15" customHeight="1" x14ac:dyDescent="0.3">
      <c r="A523" t="s">
        <v>598</v>
      </c>
      <c r="B523" t="s">
        <v>408</v>
      </c>
      <c r="C523" t="s">
        <v>413</v>
      </c>
      <c r="D523" t="s">
        <v>287</v>
      </c>
      <c r="E523" s="48">
        <v>1</v>
      </c>
      <c r="F523" s="24">
        <v>439.28</v>
      </c>
      <c r="G523" s="24">
        <v>439.28</v>
      </c>
      <c r="H523" t="s">
        <v>414</v>
      </c>
    </row>
    <row r="524" spans="1:8" ht="15" customHeight="1" x14ac:dyDescent="0.3">
      <c r="A524" t="s">
        <v>598</v>
      </c>
      <c r="B524" t="s">
        <v>408</v>
      </c>
      <c r="C524" t="s">
        <v>415</v>
      </c>
      <c r="D524" t="s">
        <v>287</v>
      </c>
      <c r="E524" s="48">
        <v>0</v>
      </c>
      <c r="F524" s="24">
        <v>0</v>
      </c>
      <c r="G524" s="24">
        <v>0</v>
      </c>
      <c r="H524" t="s">
        <v>414</v>
      </c>
    </row>
    <row r="525" spans="1:8" ht="15" customHeight="1" x14ac:dyDescent="0.3">
      <c r="A525" t="s">
        <v>598</v>
      </c>
      <c r="B525" t="s">
        <v>408</v>
      </c>
      <c r="C525" t="s">
        <v>417</v>
      </c>
      <c r="D525" t="s">
        <v>287</v>
      </c>
      <c r="E525" s="48">
        <v>-1</v>
      </c>
      <c r="F525" s="24">
        <v>756.56</v>
      </c>
      <c r="G525" s="24">
        <v>-756.56</v>
      </c>
      <c r="H525" t="s">
        <v>418</v>
      </c>
    </row>
    <row r="526" spans="1:8" ht="15" customHeight="1" x14ac:dyDescent="0.3">
      <c r="A526" t="s">
        <v>598</v>
      </c>
      <c r="B526" t="s">
        <v>408</v>
      </c>
      <c r="C526" t="s">
        <v>417</v>
      </c>
      <c r="D526" t="s">
        <v>287</v>
      </c>
      <c r="E526" s="48">
        <v>-1</v>
      </c>
      <c r="F526" s="24">
        <v>4211.32</v>
      </c>
      <c r="G526" s="24">
        <v>-4211.32</v>
      </c>
      <c r="H526" t="s">
        <v>419</v>
      </c>
    </row>
    <row r="527" spans="1:8" ht="15" customHeight="1" x14ac:dyDescent="0.3">
      <c r="A527" t="s">
        <v>598</v>
      </c>
      <c r="B527" t="s">
        <v>408</v>
      </c>
      <c r="C527" t="s">
        <v>420</v>
      </c>
      <c r="D527" t="s">
        <v>287</v>
      </c>
      <c r="E527" s="48">
        <v>-5</v>
      </c>
      <c r="F527" s="24">
        <v>410.699645390071</v>
      </c>
      <c r="G527" s="24">
        <v>-2053.4982269503498</v>
      </c>
      <c r="H527" t="s">
        <v>605</v>
      </c>
    </row>
    <row r="528" spans="1:8" ht="15" customHeight="1" x14ac:dyDescent="0.3">
      <c r="A528" t="s">
        <v>598</v>
      </c>
      <c r="B528" t="s">
        <v>408</v>
      </c>
      <c r="C528" t="s">
        <v>422</v>
      </c>
      <c r="D528" t="s">
        <v>287</v>
      </c>
      <c r="E528" s="48">
        <v>0</v>
      </c>
      <c r="F528" s="24">
        <v>0</v>
      </c>
      <c r="G528" s="24">
        <v>0</v>
      </c>
      <c r="H528" t="s">
        <v>421</v>
      </c>
    </row>
    <row r="529" spans="1:8" ht="15" customHeight="1" x14ac:dyDescent="0.3">
      <c r="A529" t="s">
        <v>598</v>
      </c>
      <c r="B529" t="s">
        <v>408</v>
      </c>
      <c r="C529" t="s">
        <v>423</v>
      </c>
      <c r="D529" t="s">
        <v>287</v>
      </c>
      <c r="E529" s="48">
        <v>0</v>
      </c>
      <c r="F529" s="24">
        <v>0</v>
      </c>
      <c r="G529" s="24">
        <v>0</v>
      </c>
      <c r="H529" t="s">
        <v>421</v>
      </c>
    </row>
    <row r="530" spans="1:8" ht="15" customHeight="1" x14ac:dyDescent="0.3">
      <c r="A530" t="s">
        <v>598</v>
      </c>
      <c r="B530" t="s">
        <v>408</v>
      </c>
      <c r="C530" t="s">
        <v>424</v>
      </c>
      <c r="D530" t="s">
        <v>287</v>
      </c>
      <c r="E530" s="48">
        <v>3</v>
      </c>
      <c r="F530" s="24">
        <v>278.60087370242201</v>
      </c>
      <c r="G530" s="24">
        <v>835.80262110726699</v>
      </c>
      <c r="H530" t="s">
        <v>605</v>
      </c>
    </row>
    <row r="531" spans="1:8" ht="15" customHeight="1" x14ac:dyDescent="0.3">
      <c r="A531" t="s">
        <v>598</v>
      </c>
      <c r="B531" t="s">
        <v>408</v>
      </c>
      <c r="C531" t="s">
        <v>425</v>
      </c>
      <c r="D531" t="s">
        <v>287</v>
      </c>
      <c r="E531" s="48">
        <v>0</v>
      </c>
      <c r="F531" s="24">
        <v>0</v>
      </c>
      <c r="G531" s="24">
        <v>0</v>
      </c>
      <c r="H531" t="s">
        <v>421</v>
      </c>
    </row>
    <row r="532" spans="1:8" ht="15" customHeight="1" x14ac:dyDescent="0.3">
      <c r="A532" t="s">
        <v>598</v>
      </c>
      <c r="B532" t="s">
        <v>408</v>
      </c>
      <c r="C532" t="s">
        <v>426</v>
      </c>
      <c r="D532" t="s">
        <v>289</v>
      </c>
      <c r="E532" s="48">
        <v>1</v>
      </c>
      <c r="F532" s="24">
        <v>33.5</v>
      </c>
      <c r="G532" s="24">
        <v>33.5</v>
      </c>
      <c r="H532" t="s">
        <v>427</v>
      </c>
    </row>
    <row r="533" spans="1:8" ht="15" customHeight="1" x14ac:dyDescent="0.3">
      <c r="A533" t="s">
        <v>598</v>
      </c>
      <c r="B533" t="s">
        <v>408</v>
      </c>
      <c r="C533" t="s">
        <v>426</v>
      </c>
      <c r="D533" t="s">
        <v>289</v>
      </c>
      <c r="E533" s="48">
        <v>1</v>
      </c>
      <c r="F533" s="24">
        <v>22</v>
      </c>
      <c r="G533" s="24">
        <v>22</v>
      </c>
      <c r="H533" t="s">
        <v>428</v>
      </c>
    </row>
    <row r="534" spans="1:8" ht="15" customHeight="1" x14ac:dyDescent="0.3">
      <c r="A534" t="s">
        <v>598</v>
      </c>
      <c r="B534" t="s">
        <v>408</v>
      </c>
      <c r="C534" t="s">
        <v>409</v>
      </c>
      <c r="D534" t="s">
        <v>289</v>
      </c>
      <c r="E534" s="48">
        <v>258</v>
      </c>
      <c r="F534" s="24">
        <v>1.86</v>
      </c>
      <c r="G534" s="24">
        <v>479.88</v>
      </c>
      <c r="H534" t="s">
        <v>600</v>
      </c>
    </row>
    <row r="535" spans="1:8" ht="15" customHeight="1" x14ac:dyDescent="0.3">
      <c r="A535" t="s">
        <v>598</v>
      </c>
      <c r="B535" t="s">
        <v>408</v>
      </c>
      <c r="C535" t="s">
        <v>601</v>
      </c>
      <c r="D535" t="s">
        <v>289</v>
      </c>
      <c r="E535" s="48">
        <v>1</v>
      </c>
      <c r="F535" s="24">
        <v>350</v>
      </c>
      <c r="G535" s="24">
        <v>350</v>
      </c>
      <c r="H535" t="s">
        <v>606</v>
      </c>
    </row>
    <row r="536" spans="1:8" ht="15" customHeight="1" x14ac:dyDescent="0.3">
      <c r="A536" t="s">
        <v>598</v>
      </c>
      <c r="B536" t="s">
        <v>408</v>
      </c>
      <c r="C536" t="s">
        <v>411</v>
      </c>
      <c r="D536" t="s">
        <v>289</v>
      </c>
      <c r="E536" s="48">
        <v>2</v>
      </c>
      <c r="F536" s="24">
        <v>393.04</v>
      </c>
      <c r="G536" s="24">
        <v>786.08</v>
      </c>
      <c r="H536" t="s">
        <v>414</v>
      </c>
    </row>
    <row r="537" spans="1:8" ht="15" customHeight="1" x14ac:dyDescent="0.3">
      <c r="A537" t="s">
        <v>598</v>
      </c>
      <c r="B537" t="s">
        <v>408</v>
      </c>
      <c r="C537" t="s">
        <v>413</v>
      </c>
      <c r="D537" t="s">
        <v>289</v>
      </c>
      <c r="E537" s="48">
        <v>2</v>
      </c>
      <c r="F537" s="24">
        <v>439.28</v>
      </c>
      <c r="G537" s="24">
        <v>878.56</v>
      </c>
      <c r="H537" t="s">
        <v>414</v>
      </c>
    </row>
    <row r="538" spans="1:8" ht="15" customHeight="1" x14ac:dyDescent="0.3">
      <c r="A538" t="s">
        <v>598</v>
      </c>
      <c r="B538" t="s">
        <v>408</v>
      </c>
      <c r="C538" t="s">
        <v>415</v>
      </c>
      <c r="D538" t="s">
        <v>289</v>
      </c>
      <c r="E538" s="48">
        <v>1</v>
      </c>
      <c r="F538" s="24">
        <v>407.27</v>
      </c>
      <c r="G538" s="24">
        <v>407.27</v>
      </c>
      <c r="H538" t="s">
        <v>414</v>
      </c>
    </row>
    <row r="539" spans="1:8" ht="15" customHeight="1" x14ac:dyDescent="0.3">
      <c r="A539" t="s">
        <v>598</v>
      </c>
      <c r="B539" t="s">
        <v>408</v>
      </c>
      <c r="C539" t="s">
        <v>417</v>
      </c>
      <c r="D539" t="s">
        <v>289</v>
      </c>
      <c r="E539" s="48">
        <v>1</v>
      </c>
      <c r="F539" s="24">
        <v>206.78</v>
      </c>
      <c r="G539" s="24">
        <v>206.78</v>
      </c>
      <c r="H539" t="s">
        <v>607</v>
      </c>
    </row>
    <row r="540" spans="1:8" ht="15" customHeight="1" x14ac:dyDescent="0.3">
      <c r="A540" t="s">
        <v>598</v>
      </c>
      <c r="B540" t="s">
        <v>408</v>
      </c>
      <c r="C540" t="s">
        <v>417</v>
      </c>
      <c r="D540" t="s">
        <v>289</v>
      </c>
      <c r="E540" s="48">
        <v>1</v>
      </c>
      <c r="F540" s="24">
        <v>317.52</v>
      </c>
      <c r="G540" s="24">
        <v>317.52</v>
      </c>
      <c r="H540" t="s">
        <v>432</v>
      </c>
    </row>
    <row r="541" spans="1:8" ht="15" customHeight="1" x14ac:dyDescent="0.3">
      <c r="A541" t="s">
        <v>598</v>
      </c>
      <c r="B541" t="s">
        <v>408</v>
      </c>
      <c r="C541" t="s">
        <v>417</v>
      </c>
      <c r="D541" t="s">
        <v>289</v>
      </c>
      <c r="E541" s="48">
        <v>49</v>
      </c>
      <c r="F541" s="24">
        <v>33.159999999999997</v>
      </c>
      <c r="G541" s="24">
        <v>1624.84</v>
      </c>
      <c r="H541" t="s">
        <v>433</v>
      </c>
    </row>
    <row r="542" spans="1:8" ht="15" customHeight="1" x14ac:dyDescent="0.3">
      <c r="A542" t="s">
        <v>598</v>
      </c>
      <c r="B542" t="s">
        <v>408</v>
      </c>
      <c r="C542" t="s">
        <v>434</v>
      </c>
      <c r="D542" t="s">
        <v>289</v>
      </c>
      <c r="E542" s="48">
        <v>5</v>
      </c>
      <c r="F542" s="24">
        <v>410.699645390071</v>
      </c>
      <c r="G542" s="24">
        <v>2053.4982269503498</v>
      </c>
      <c r="H542" t="s">
        <v>605</v>
      </c>
    </row>
    <row r="543" spans="1:8" ht="15" customHeight="1" x14ac:dyDescent="0.3">
      <c r="A543" t="s">
        <v>598</v>
      </c>
      <c r="B543" t="s">
        <v>408</v>
      </c>
      <c r="C543" t="s">
        <v>422</v>
      </c>
      <c r="D543" t="s">
        <v>289</v>
      </c>
      <c r="E543" s="48">
        <v>2</v>
      </c>
      <c r="F543" s="24">
        <v>278.60087370242201</v>
      </c>
      <c r="G543" s="24">
        <v>557.20174740484401</v>
      </c>
      <c r="H543" t="s">
        <v>605</v>
      </c>
    </row>
    <row r="544" spans="1:8" ht="15" customHeight="1" x14ac:dyDescent="0.3">
      <c r="A544" t="s">
        <v>598</v>
      </c>
      <c r="B544" t="s">
        <v>408</v>
      </c>
      <c r="C544" t="s">
        <v>435</v>
      </c>
      <c r="D544" t="s">
        <v>289</v>
      </c>
      <c r="E544" s="48">
        <v>0</v>
      </c>
      <c r="F544" s="24">
        <v>0</v>
      </c>
      <c r="G544" s="24">
        <v>0</v>
      </c>
      <c r="H544" t="s">
        <v>421</v>
      </c>
    </row>
    <row r="545" spans="1:8" ht="15" customHeight="1" x14ac:dyDescent="0.3">
      <c r="A545" t="s">
        <v>598</v>
      </c>
      <c r="B545" t="s">
        <v>408</v>
      </c>
      <c r="C545" t="s">
        <v>436</v>
      </c>
      <c r="D545" t="s">
        <v>289</v>
      </c>
      <c r="E545" s="48">
        <v>-2</v>
      </c>
      <c r="F545" s="24">
        <v>278.60087370242201</v>
      </c>
      <c r="G545" s="24">
        <v>-557.20174740484401</v>
      </c>
      <c r="H545" t="s">
        <v>605</v>
      </c>
    </row>
    <row r="546" spans="1:8" ht="15" customHeight="1" x14ac:dyDescent="0.3">
      <c r="A546" t="s">
        <v>598</v>
      </c>
      <c r="B546" t="s">
        <v>408</v>
      </c>
      <c r="C546" t="s">
        <v>437</v>
      </c>
      <c r="D546" t="s">
        <v>289</v>
      </c>
      <c r="E546" s="48">
        <v>-3</v>
      </c>
      <c r="F546" s="24">
        <v>278.60087370242201</v>
      </c>
      <c r="G546" s="24">
        <v>-835.80262110726699</v>
      </c>
      <c r="H546" t="s">
        <v>605</v>
      </c>
    </row>
    <row r="547" spans="1:8" ht="15" customHeight="1" x14ac:dyDescent="0.3">
      <c r="A547" t="s">
        <v>598</v>
      </c>
      <c r="B547" t="s">
        <v>408</v>
      </c>
      <c r="C547" t="s">
        <v>438</v>
      </c>
      <c r="D547" t="s">
        <v>289</v>
      </c>
      <c r="E547" s="48">
        <v>-1</v>
      </c>
      <c r="F547" s="24">
        <v>278.60087370242201</v>
      </c>
      <c r="G547" s="24">
        <v>-278.60087370242201</v>
      </c>
      <c r="H547" t="s">
        <v>605</v>
      </c>
    </row>
    <row r="548" spans="1:8" ht="15" customHeight="1" x14ac:dyDescent="0.3">
      <c r="A548" t="s">
        <v>598</v>
      </c>
      <c r="B548" t="s">
        <v>408</v>
      </c>
      <c r="C548" t="s">
        <v>409</v>
      </c>
      <c r="D548" t="s">
        <v>293</v>
      </c>
      <c r="E548" s="48">
        <v>266</v>
      </c>
      <c r="F548" s="24">
        <v>1.86</v>
      </c>
      <c r="G548" s="24">
        <v>494.76</v>
      </c>
      <c r="H548" t="s">
        <v>600</v>
      </c>
    </row>
    <row r="549" spans="1:8" ht="15" customHeight="1" x14ac:dyDescent="0.3">
      <c r="A549" t="s">
        <v>598</v>
      </c>
      <c r="B549" t="s">
        <v>408</v>
      </c>
      <c r="C549" t="s">
        <v>411</v>
      </c>
      <c r="D549" t="s">
        <v>293</v>
      </c>
      <c r="E549" s="48">
        <v>1</v>
      </c>
      <c r="F549" s="24">
        <v>393.04</v>
      </c>
      <c r="G549" s="24">
        <v>393.04</v>
      </c>
      <c r="H549" t="s">
        <v>412</v>
      </c>
    </row>
    <row r="550" spans="1:8" ht="15" customHeight="1" x14ac:dyDescent="0.3">
      <c r="A550" t="s">
        <v>598</v>
      </c>
      <c r="B550" t="s">
        <v>408</v>
      </c>
      <c r="C550" t="s">
        <v>413</v>
      </c>
      <c r="D550" t="s">
        <v>293</v>
      </c>
      <c r="E550" s="48">
        <v>1</v>
      </c>
      <c r="F550" s="24">
        <v>439.28</v>
      </c>
      <c r="G550" s="24">
        <v>439.28</v>
      </c>
      <c r="H550" t="s">
        <v>412</v>
      </c>
    </row>
    <row r="551" spans="1:8" ht="15" customHeight="1" x14ac:dyDescent="0.3">
      <c r="A551" t="s">
        <v>598</v>
      </c>
      <c r="B551" t="s">
        <v>408</v>
      </c>
      <c r="C551" t="s">
        <v>415</v>
      </c>
      <c r="D551" t="s">
        <v>293</v>
      </c>
      <c r="E551" s="48">
        <v>0</v>
      </c>
      <c r="F551" s="24">
        <v>0</v>
      </c>
      <c r="G551" s="24">
        <v>0</v>
      </c>
      <c r="H551" t="s">
        <v>414</v>
      </c>
    </row>
    <row r="552" spans="1:8" ht="15" customHeight="1" x14ac:dyDescent="0.3">
      <c r="A552" t="s">
        <v>598</v>
      </c>
      <c r="B552" t="s">
        <v>408</v>
      </c>
      <c r="C552" t="s">
        <v>422</v>
      </c>
      <c r="D552" t="s">
        <v>293</v>
      </c>
      <c r="E552" s="48">
        <v>3</v>
      </c>
      <c r="F552" s="24">
        <v>278.60087370242201</v>
      </c>
      <c r="G552" s="24">
        <v>835.80262110726699</v>
      </c>
      <c r="H552" t="s">
        <v>605</v>
      </c>
    </row>
    <row r="553" spans="1:8" ht="15" customHeight="1" x14ac:dyDescent="0.3">
      <c r="A553" t="s">
        <v>598</v>
      </c>
      <c r="B553" t="s">
        <v>408</v>
      </c>
      <c r="C553" t="s">
        <v>440</v>
      </c>
      <c r="D553" t="s">
        <v>293</v>
      </c>
      <c r="E553" s="48">
        <v>-1</v>
      </c>
      <c r="F553" s="24">
        <v>7.0292307692307698</v>
      </c>
      <c r="G553" s="24">
        <v>-7.0292307692307698</v>
      </c>
      <c r="H553" t="s">
        <v>605</v>
      </c>
    </row>
    <row r="554" spans="1:8" ht="15" customHeight="1" x14ac:dyDescent="0.3">
      <c r="A554" t="s">
        <v>598</v>
      </c>
      <c r="B554" t="s">
        <v>408</v>
      </c>
      <c r="C554" t="s">
        <v>441</v>
      </c>
      <c r="D554" t="s">
        <v>293</v>
      </c>
      <c r="E554" s="48">
        <v>0</v>
      </c>
      <c r="F554" s="24">
        <v>0</v>
      </c>
      <c r="G554" s="24">
        <v>0</v>
      </c>
    </row>
    <row r="555" spans="1:8" ht="15" customHeight="1" x14ac:dyDescent="0.3">
      <c r="A555" t="s">
        <v>598</v>
      </c>
      <c r="B555" t="s">
        <v>408</v>
      </c>
      <c r="C555" t="s">
        <v>442</v>
      </c>
      <c r="D555" t="s">
        <v>293</v>
      </c>
      <c r="E555" s="48">
        <v>0</v>
      </c>
      <c r="F555" s="24">
        <v>0</v>
      </c>
      <c r="G555" s="24">
        <v>0</v>
      </c>
      <c r="H555" t="s">
        <v>421</v>
      </c>
    </row>
    <row r="556" spans="1:8" ht="15" customHeight="1" x14ac:dyDescent="0.3">
      <c r="A556" t="s">
        <v>598</v>
      </c>
      <c r="B556" t="s">
        <v>408</v>
      </c>
      <c r="C556" t="s">
        <v>409</v>
      </c>
      <c r="D556" t="s">
        <v>290</v>
      </c>
      <c r="E556" s="48">
        <v>601</v>
      </c>
      <c r="F556" s="24">
        <v>1.86</v>
      </c>
      <c r="G556" s="24">
        <v>1117.8599999999999</v>
      </c>
      <c r="H556" t="s">
        <v>600</v>
      </c>
    </row>
    <row r="557" spans="1:8" ht="15" customHeight="1" x14ac:dyDescent="0.3">
      <c r="A557" t="s">
        <v>598</v>
      </c>
      <c r="B557" t="s">
        <v>408</v>
      </c>
      <c r="C557" t="s">
        <v>411</v>
      </c>
      <c r="D557" t="s">
        <v>290</v>
      </c>
      <c r="E557" s="48">
        <v>3</v>
      </c>
      <c r="F557" s="24">
        <v>393.04</v>
      </c>
      <c r="G557" s="24">
        <v>1179.1199999999999</v>
      </c>
      <c r="H557" t="s">
        <v>608</v>
      </c>
    </row>
    <row r="558" spans="1:8" ht="15" customHeight="1" x14ac:dyDescent="0.3">
      <c r="A558" t="s">
        <v>598</v>
      </c>
      <c r="B558" t="s">
        <v>408</v>
      </c>
      <c r="C558" t="s">
        <v>413</v>
      </c>
      <c r="D558" t="s">
        <v>290</v>
      </c>
      <c r="E558" s="48">
        <v>1</v>
      </c>
      <c r="F558" s="24">
        <v>439.28</v>
      </c>
      <c r="G558" s="24">
        <v>439.28</v>
      </c>
      <c r="H558" t="s">
        <v>609</v>
      </c>
    </row>
    <row r="559" spans="1:8" ht="15" customHeight="1" x14ac:dyDescent="0.3">
      <c r="A559" t="s">
        <v>598</v>
      </c>
      <c r="B559" t="s">
        <v>408</v>
      </c>
      <c r="C559" t="s">
        <v>415</v>
      </c>
      <c r="D559" t="s">
        <v>290</v>
      </c>
      <c r="E559" s="48">
        <v>4</v>
      </c>
      <c r="F559" s="24">
        <v>407.27</v>
      </c>
      <c r="G559" s="24">
        <v>1629.08</v>
      </c>
      <c r="H559" t="s">
        <v>609</v>
      </c>
    </row>
    <row r="560" spans="1:8" ht="15" customHeight="1" x14ac:dyDescent="0.3">
      <c r="A560" t="s">
        <v>598</v>
      </c>
      <c r="B560" t="s">
        <v>408</v>
      </c>
      <c r="C560" t="s">
        <v>417</v>
      </c>
      <c r="D560" t="s">
        <v>290</v>
      </c>
      <c r="E560" s="48">
        <v>1</v>
      </c>
      <c r="F560" s="24">
        <v>439.04</v>
      </c>
      <c r="G560" s="24">
        <v>439.04</v>
      </c>
      <c r="H560" t="s">
        <v>446</v>
      </c>
    </row>
    <row r="561" spans="1:8" ht="15" customHeight="1" x14ac:dyDescent="0.3">
      <c r="A561" t="s">
        <v>598</v>
      </c>
      <c r="B561" t="s">
        <v>408</v>
      </c>
      <c r="C561" t="s">
        <v>417</v>
      </c>
      <c r="D561" t="s">
        <v>290</v>
      </c>
      <c r="E561" s="48">
        <v>78</v>
      </c>
      <c r="F561" s="24">
        <v>33.159999999999997</v>
      </c>
      <c r="G561" s="24">
        <v>2586.48</v>
      </c>
      <c r="H561" t="s">
        <v>447</v>
      </c>
    </row>
    <row r="562" spans="1:8" ht="15" customHeight="1" x14ac:dyDescent="0.3">
      <c r="A562" t="s">
        <v>598</v>
      </c>
      <c r="B562" t="s">
        <v>408</v>
      </c>
      <c r="C562" t="s">
        <v>448</v>
      </c>
      <c r="D562" t="s">
        <v>290</v>
      </c>
      <c r="E562" s="48">
        <v>0</v>
      </c>
      <c r="F562" s="24">
        <v>0</v>
      </c>
      <c r="G562" s="24">
        <v>0</v>
      </c>
    </row>
    <row r="563" spans="1:8" ht="15" customHeight="1" x14ac:dyDescent="0.3">
      <c r="A563" t="s">
        <v>598</v>
      </c>
      <c r="B563" t="s">
        <v>408</v>
      </c>
      <c r="C563" t="s">
        <v>449</v>
      </c>
      <c r="D563" t="s">
        <v>290</v>
      </c>
      <c r="E563" s="48">
        <v>1</v>
      </c>
      <c r="F563" s="24">
        <v>278.60087370242201</v>
      </c>
      <c r="G563" s="24">
        <v>278.60087370242201</v>
      </c>
      <c r="H563" t="s">
        <v>605</v>
      </c>
    </row>
    <row r="564" spans="1:8" ht="15" customHeight="1" x14ac:dyDescent="0.3">
      <c r="A564" t="s">
        <v>598</v>
      </c>
      <c r="B564" t="s">
        <v>408</v>
      </c>
      <c r="C564" t="s">
        <v>450</v>
      </c>
      <c r="D564" t="s">
        <v>290</v>
      </c>
      <c r="E564" s="48">
        <v>0</v>
      </c>
      <c r="F564" s="24">
        <v>0</v>
      </c>
      <c r="G564" s="24">
        <v>0</v>
      </c>
    </row>
    <row r="565" spans="1:8" ht="15" customHeight="1" x14ac:dyDescent="0.3">
      <c r="A565" t="s">
        <v>598</v>
      </c>
      <c r="B565" t="s">
        <v>408</v>
      </c>
      <c r="C565" t="s">
        <v>610</v>
      </c>
      <c r="D565" t="s">
        <v>290</v>
      </c>
      <c r="E565" s="48">
        <v>1</v>
      </c>
      <c r="F565" s="24">
        <v>26.326000000000001</v>
      </c>
      <c r="G565" s="24">
        <v>26.326000000000001</v>
      </c>
      <c r="H565" t="s">
        <v>421</v>
      </c>
    </row>
    <row r="566" spans="1:8" ht="15" customHeight="1" x14ac:dyDescent="0.3">
      <c r="A566" t="s">
        <v>598</v>
      </c>
      <c r="B566" t="s">
        <v>408</v>
      </c>
      <c r="C566" t="s">
        <v>409</v>
      </c>
      <c r="D566" t="s">
        <v>284</v>
      </c>
      <c r="E566" s="48">
        <v>461</v>
      </c>
      <c r="F566" s="24">
        <v>1.86</v>
      </c>
      <c r="G566" s="24">
        <v>857.46</v>
      </c>
      <c r="H566" t="s">
        <v>600</v>
      </c>
    </row>
    <row r="567" spans="1:8" ht="15" customHeight="1" x14ac:dyDescent="0.3">
      <c r="A567" t="s">
        <v>598</v>
      </c>
      <c r="B567" t="s">
        <v>408</v>
      </c>
      <c r="C567" t="s">
        <v>411</v>
      </c>
      <c r="D567" t="s">
        <v>284</v>
      </c>
      <c r="E567" s="48">
        <v>4</v>
      </c>
      <c r="F567" s="24">
        <v>393.04</v>
      </c>
      <c r="G567" s="24">
        <v>1572.16</v>
      </c>
      <c r="H567" t="s">
        <v>414</v>
      </c>
    </row>
    <row r="568" spans="1:8" ht="15" customHeight="1" x14ac:dyDescent="0.3">
      <c r="A568" t="s">
        <v>598</v>
      </c>
      <c r="B568" t="s">
        <v>408</v>
      </c>
      <c r="C568" t="s">
        <v>413</v>
      </c>
      <c r="D568" t="s">
        <v>284</v>
      </c>
      <c r="E568" s="48">
        <v>4</v>
      </c>
      <c r="F568" s="24">
        <v>439.28</v>
      </c>
      <c r="G568" s="24">
        <v>1757.12</v>
      </c>
      <c r="H568" t="s">
        <v>611</v>
      </c>
    </row>
    <row r="569" spans="1:8" ht="15" customHeight="1" x14ac:dyDescent="0.3">
      <c r="A569" t="s">
        <v>598</v>
      </c>
      <c r="B569" t="s">
        <v>408</v>
      </c>
      <c r="C569" t="s">
        <v>415</v>
      </c>
      <c r="D569" t="s">
        <v>284</v>
      </c>
      <c r="E569" s="48">
        <v>6</v>
      </c>
      <c r="F569" s="24">
        <v>407.27</v>
      </c>
      <c r="G569" s="24">
        <v>2443.62</v>
      </c>
      <c r="H569" t="s">
        <v>611</v>
      </c>
    </row>
    <row r="570" spans="1:8" ht="15" customHeight="1" x14ac:dyDescent="0.3">
      <c r="A570" t="s">
        <v>598</v>
      </c>
      <c r="B570" t="s">
        <v>408</v>
      </c>
      <c r="C570" t="s">
        <v>455</v>
      </c>
      <c r="D570" t="s">
        <v>284</v>
      </c>
      <c r="E570" s="48">
        <v>1</v>
      </c>
      <c r="F570" s="24">
        <v>738.92</v>
      </c>
      <c r="G570" s="24">
        <v>738.92</v>
      </c>
      <c r="H570" t="s">
        <v>456</v>
      </c>
    </row>
    <row r="571" spans="1:8" ht="15" customHeight="1" x14ac:dyDescent="0.3">
      <c r="A571" t="s">
        <v>598</v>
      </c>
      <c r="B571" t="s">
        <v>408</v>
      </c>
      <c r="C571" t="s">
        <v>455</v>
      </c>
      <c r="D571" t="s">
        <v>284</v>
      </c>
      <c r="E571" s="48">
        <v>25</v>
      </c>
      <c r="F571" s="24">
        <v>19.53</v>
      </c>
      <c r="G571" s="24">
        <v>488.25</v>
      </c>
      <c r="H571" t="s">
        <v>433</v>
      </c>
    </row>
    <row r="572" spans="1:8" ht="15" customHeight="1" x14ac:dyDescent="0.3">
      <c r="A572" t="s">
        <v>598</v>
      </c>
      <c r="B572" t="s">
        <v>408</v>
      </c>
      <c r="C572" t="s">
        <v>422</v>
      </c>
      <c r="D572" t="s">
        <v>284</v>
      </c>
      <c r="E572" s="48">
        <v>21</v>
      </c>
      <c r="F572" s="24">
        <v>278.60087370242201</v>
      </c>
      <c r="G572" s="24">
        <v>5850.6183477508703</v>
      </c>
      <c r="H572" t="s">
        <v>605</v>
      </c>
    </row>
    <row r="573" spans="1:8" ht="15" customHeight="1" x14ac:dyDescent="0.3">
      <c r="A573" t="s">
        <v>598</v>
      </c>
      <c r="B573" t="s">
        <v>408</v>
      </c>
      <c r="C573" t="s">
        <v>457</v>
      </c>
      <c r="D573" t="s">
        <v>284</v>
      </c>
      <c r="E573" s="48">
        <v>0</v>
      </c>
      <c r="F573" s="24">
        <v>0</v>
      </c>
      <c r="G573" s="24">
        <v>0</v>
      </c>
      <c r="H573" t="s">
        <v>421</v>
      </c>
    </row>
    <row r="574" spans="1:8" ht="15" customHeight="1" x14ac:dyDescent="0.3">
      <c r="A574" t="s">
        <v>598</v>
      </c>
      <c r="B574" t="s">
        <v>408</v>
      </c>
      <c r="C574" t="s">
        <v>458</v>
      </c>
      <c r="D574" t="s">
        <v>284</v>
      </c>
      <c r="E574" s="48">
        <v>0</v>
      </c>
      <c r="F574" s="24">
        <v>0</v>
      </c>
      <c r="G574" s="24">
        <v>0</v>
      </c>
      <c r="H574" t="s">
        <v>421</v>
      </c>
    </row>
    <row r="575" spans="1:8" ht="15" customHeight="1" x14ac:dyDescent="0.3">
      <c r="A575" t="s">
        <v>598</v>
      </c>
      <c r="B575" t="s">
        <v>408</v>
      </c>
      <c r="C575" t="s">
        <v>459</v>
      </c>
      <c r="D575" t="s">
        <v>284</v>
      </c>
      <c r="E575" s="48">
        <v>0</v>
      </c>
      <c r="F575" s="24">
        <v>0</v>
      </c>
      <c r="G575" s="24">
        <v>0</v>
      </c>
      <c r="H575" t="s">
        <v>421</v>
      </c>
    </row>
    <row r="576" spans="1:8" ht="15" customHeight="1" x14ac:dyDescent="0.3">
      <c r="A576" t="s">
        <v>598</v>
      </c>
      <c r="B576" t="s">
        <v>408</v>
      </c>
      <c r="C576" t="s">
        <v>409</v>
      </c>
      <c r="D576" t="s">
        <v>285</v>
      </c>
      <c r="E576" s="48">
        <v>112</v>
      </c>
      <c r="F576" s="24">
        <v>1.86</v>
      </c>
      <c r="G576" s="24">
        <v>208.32</v>
      </c>
      <c r="H576" t="s">
        <v>600</v>
      </c>
    </row>
    <row r="577" spans="1:8" ht="15" customHeight="1" x14ac:dyDescent="0.3">
      <c r="A577" t="s">
        <v>598</v>
      </c>
      <c r="B577" t="s">
        <v>408</v>
      </c>
      <c r="C577" t="s">
        <v>411</v>
      </c>
      <c r="D577" t="s">
        <v>285</v>
      </c>
      <c r="E577" s="48">
        <v>1</v>
      </c>
      <c r="F577" s="24">
        <v>393.04</v>
      </c>
      <c r="G577" s="24">
        <v>393.04</v>
      </c>
      <c r="H577" t="s">
        <v>414</v>
      </c>
    </row>
    <row r="578" spans="1:8" ht="15" customHeight="1" x14ac:dyDescent="0.3">
      <c r="A578" t="s">
        <v>598</v>
      </c>
      <c r="B578" t="s">
        <v>408</v>
      </c>
      <c r="C578" t="s">
        <v>413</v>
      </c>
      <c r="D578" t="s">
        <v>285</v>
      </c>
      <c r="E578" s="48">
        <v>0</v>
      </c>
      <c r="F578" s="24">
        <v>0</v>
      </c>
      <c r="G578" s="24">
        <v>0</v>
      </c>
      <c r="H578" t="s">
        <v>461</v>
      </c>
    </row>
    <row r="579" spans="1:8" ht="15" customHeight="1" x14ac:dyDescent="0.3">
      <c r="A579" t="s">
        <v>598</v>
      </c>
      <c r="B579" t="s">
        <v>408</v>
      </c>
      <c r="C579" t="s">
        <v>415</v>
      </c>
      <c r="D579" t="s">
        <v>285</v>
      </c>
      <c r="E579" s="48">
        <v>0</v>
      </c>
      <c r="F579" s="24">
        <v>0</v>
      </c>
      <c r="G579" s="24">
        <v>0</v>
      </c>
      <c r="H579" t="s">
        <v>412</v>
      </c>
    </row>
    <row r="580" spans="1:8" ht="15" customHeight="1" x14ac:dyDescent="0.3">
      <c r="A580" t="s">
        <v>598</v>
      </c>
      <c r="B580" t="s">
        <v>408</v>
      </c>
      <c r="C580" t="s">
        <v>455</v>
      </c>
      <c r="D580" t="s">
        <v>285</v>
      </c>
      <c r="E580" s="48">
        <v>1</v>
      </c>
      <c r="F580" s="24">
        <v>607.6</v>
      </c>
      <c r="G580" s="24">
        <v>607.6</v>
      </c>
      <c r="H580" t="s">
        <v>462</v>
      </c>
    </row>
    <row r="581" spans="1:8" ht="15" customHeight="1" x14ac:dyDescent="0.3">
      <c r="A581" t="s">
        <v>598</v>
      </c>
      <c r="B581" t="s">
        <v>408</v>
      </c>
      <c r="C581" t="s">
        <v>455</v>
      </c>
      <c r="D581" t="s">
        <v>285</v>
      </c>
      <c r="E581" s="48">
        <v>42</v>
      </c>
      <c r="F581" s="24">
        <v>19.53</v>
      </c>
      <c r="G581" s="24">
        <v>820.26</v>
      </c>
      <c r="H581" t="s">
        <v>433</v>
      </c>
    </row>
    <row r="582" spans="1:8" ht="15" customHeight="1" x14ac:dyDescent="0.3">
      <c r="A582" t="s">
        <v>598</v>
      </c>
      <c r="B582" t="s">
        <v>408</v>
      </c>
      <c r="C582" t="s">
        <v>422</v>
      </c>
      <c r="D582" t="s">
        <v>285</v>
      </c>
      <c r="E582" s="48">
        <v>2</v>
      </c>
      <c r="F582" s="24">
        <v>278.60087370242201</v>
      </c>
      <c r="G582" s="24">
        <v>557.20174740484401</v>
      </c>
      <c r="H582" t="s">
        <v>605</v>
      </c>
    </row>
    <row r="583" spans="1:8" ht="15" customHeight="1" x14ac:dyDescent="0.3">
      <c r="A583" t="s">
        <v>598</v>
      </c>
      <c r="B583" t="s">
        <v>408</v>
      </c>
      <c r="C583" t="s">
        <v>463</v>
      </c>
      <c r="D583" t="s">
        <v>285</v>
      </c>
      <c r="E583" s="48">
        <v>-1</v>
      </c>
      <c r="F583" s="24">
        <v>370.46238095238101</v>
      </c>
      <c r="G583" s="24">
        <v>-370.46238095238101</v>
      </c>
      <c r="H583" t="s">
        <v>605</v>
      </c>
    </row>
    <row r="584" spans="1:8" ht="15" customHeight="1" x14ac:dyDescent="0.3">
      <c r="A584" t="s">
        <v>598</v>
      </c>
      <c r="B584" t="s">
        <v>408</v>
      </c>
      <c r="C584" t="s">
        <v>426</v>
      </c>
      <c r="D584" t="s">
        <v>282</v>
      </c>
      <c r="E584" s="48">
        <v>1</v>
      </c>
      <c r="F584" s="24">
        <v>25.5</v>
      </c>
      <c r="G584" s="24">
        <v>25.5</v>
      </c>
      <c r="H584" t="s">
        <v>550</v>
      </c>
    </row>
    <row r="585" spans="1:8" ht="15" customHeight="1" x14ac:dyDescent="0.3">
      <c r="A585" t="s">
        <v>598</v>
      </c>
      <c r="B585" t="s">
        <v>408</v>
      </c>
      <c r="C585" t="s">
        <v>409</v>
      </c>
      <c r="D585" t="s">
        <v>282</v>
      </c>
      <c r="E585" s="48">
        <v>0</v>
      </c>
      <c r="F585" s="24">
        <v>0</v>
      </c>
      <c r="G585" s="24">
        <v>0</v>
      </c>
      <c r="H585" t="s">
        <v>410</v>
      </c>
    </row>
    <row r="586" spans="1:8" ht="15" customHeight="1" x14ac:dyDescent="0.3">
      <c r="A586" t="s">
        <v>598</v>
      </c>
      <c r="B586" t="s">
        <v>408</v>
      </c>
      <c r="C586" t="s">
        <v>409</v>
      </c>
      <c r="D586" t="s">
        <v>282</v>
      </c>
      <c r="E586" s="48">
        <v>261</v>
      </c>
      <c r="F586" s="24">
        <v>1.86</v>
      </c>
      <c r="G586" s="24">
        <v>485.46</v>
      </c>
      <c r="H586" t="s">
        <v>600</v>
      </c>
    </row>
    <row r="587" spans="1:8" ht="15" customHeight="1" x14ac:dyDescent="0.3">
      <c r="A587" t="s">
        <v>598</v>
      </c>
      <c r="B587" t="s">
        <v>408</v>
      </c>
      <c r="C587" t="s">
        <v>411</v>
      </c>
      <c r="D587" t="s">
        <v>282</v>
      </c>
      <c r="E587" s="48">
        <v>3</v>
      </c>
      <c r="F587" s="24">
        <v>393.04</v>
      </c>
      <c r="G587" s="24">
        <v>1179.1199999999999</v>
      </c>
      <c r="H587" t="s">
        <v>461</v>
      </c>
    </row>
    <row r="588" spans="1:8" ht="15" customHeight="1" x14ac:dyDescent="0.3">
      <c r="A588" t="s">
        <v>598</v>
      </c>
      <c r="B588" t="s">
        <v>408</v>
      </c>
      <c r="C588" t="s">
        <v>413</v>
      </c>
      <c r="D588" t="s">
        <v>282</v>
      </c>
      <c r="E588" s="48">
        <v>2</v>
      </c>
      <c r="F588" s="24">
        <v>439.28</v>
      </c>
      <c r="G588" s="24">
        <v>878.56</v>
      </c>
      <c r="H588" t="s">
        <v>412</v>
      </c>
    </row>
    <row r="589" spans="1:8" ht="15" customHeight="1" x14ac:dyDescent="0.3">
      <c r="A589" t="s">
        <v>598</v>
      </c>
      <c r="B589" t="s">
        <v>408</v>
      </c>
      <c r="C589" t="s">
        <v>415</v>
      </c>
      <c r="D589" t="s">
        <v>282</v>
      </c>
      <c r="E589" s="48">
        <v>3</v>
      </c>
      <c r="F589" s="24">
        <v>407.27</v>
      </c>
      <c r="G589" s="24">
        <v>1221.81</v>
      </c>
      <c r="H589" t="s">
        <v>461</v>
      </c>
    </row>
    <row r="590" spans="1:8" ht="15" customHeight="1" x14ac:dyDescent="0.3">
      <c r="A590" t="s">
        <v>598</v>
      </c>
      <c r="B590" t="s">
        <v>408</v>
      </c>
      <c r="C590" t="s">
        <v>422</v>
      </c>
      <c r="D590" t="s">
        <v>282</v>
      </c>
      <c r="E590" s="48">
        <v>4</v>
      </c>
      <c r="F590" s="24">
        <v>278.60087370242201</v>
      </c>
      <c r="G590" s="24">
        <v>1114.4034948096901</v>
      </c>
      <c r="H590" t="s">
        <v>605</v>
      </c>
    </row>
    <row r="591" spans="1:8" ht="15" customHeight="1" x14ac:dyDescent="0.3">
      <c r="A591" t="s">
        <v>598</v>
      </c>
      <c r="B591" t="s">
        <v>408</v>
      </c>
      <c r="C591" t="s">
        <v>467</v>
      </c>
      <c r="D591" t="s">
        <v>282</v>
      </c>
      <c r="E591" s="48">
        <v>0</v>
      </c>
      <c r="F591" s="24">
        <v>0</v>
      </c>
      <c r="G591" s="24">
        <v>0</v>
      </c>
    </row>
    <row r="592" spans="1:8" ht="15" customHeight="1" x14ac:dyDescent="0.3">
      <c r="A592" t="s">
        <v>598</v>
      </c>
      <c r="B592" t="s">
        <v>408</v>
      </c>
      <c r="C592" t="s">
        <v>468</v>
      </c>
      <c r="D592" t="s">
        <v>282</v>
      </c>
      <c r="E592" s="48">
        <v>-12</v>
      </c>
      <c r="F592" s="24">
        <v>26.326000000000001</v>
      </c>
      <c r="G592" s="24">
        <v>-315.91199999999998</v>
      </c>
      <c r="H592" t="s">
        <v>605</v>
      </c>
    </row>
    <row r="593" spans="1:8" ht="15" customHeight="1" x14ac:dyDescent="0.3">
      <c r="A593" t="s">
        <v>598</v>
      </c>
      <c r="B593" t="s">
        <v>408</v>
      </c>
      <c r="C593" t="s">
        <v>612</v>
      </c>
      <c r="D593" t="s">
        <v>282</v>
      </c>
      <c r="E593" s="48">
        <v>-1</v>
      </c>
      <c r="F593" s="24">
        <v>26.326000000000001</v>
      </c>
      <c r="G593" s="24">
        <v>-26.326000000000001</v>
      </c>
      <c r="H593" t="s">
        <v>421</v>
      </c>
    </row>
    <row r="594" spans="1:8" ht="15" customHeight="1" x14ac:dyDescent="0.3">
      <c r="A594" t="s">
        <v>598</v>
      </c>
      <c r="B594" t="s">
        <v>408</v>
      </c>
      <c r="C594" t="s">
        <v>470</v>
      </c>
      <c r="D594" t="s">
        <v>282</v>
      </c>
      <c r="E594" s="48">
        <v>0</v>
      </c>
      <c r="F594" s="24">
        <v>0</v>
      </c>
      <c r="G594" s="24">
        <v>0</v>
      </c>
    </row>
    <row r="595" spans="1:8" ht="15" customHeight="1" x14ac:dyDescent="0.3">
      <c r="A595" t="s">
        <v>598</v>
      </c>
      <c r="B595" t="s">
        <v>143</v>
      </c>
      <c r="C595" t="s">
        <v>471</v>
      </c>
      <c r="D595" t="s">
        <v>287</v>
      </c>
      <c r="E595" s="48">
        <v>6445</v>
      </c>
      <c r="F595" s="24">
        <v>0.25375464036608297</v>
      </c>
      <c r="G595" s="24">
        <v>1635.4486571594</v>
      </c>
      <c r="H595" t="s">
        <v>394</v>
      </c>
    </row>
    <row r="596" spans="1:8" ht="15" customHeight="1" x14ac:dyDescent="0.3">
      <c r="A596" t="s">
        <v>598</v>
      </c>
      <c r="B596" t="s">
        <v>143</v>
      </c>
      <c r="C596" t="s">
        <v>471</v>
      </c>
      <c r="D596" t="s">
        <v>289</v>
      </c>
      <c r="E596" s="48">
        <v>13418</v>
      </c>
      <c r="F596" s="24">
        <v>0.25375464036608297</v>
      </c>
      <c r="G596" s="24">
        <v>3404.8797644320998</v>
      </c>
      <c r="H596" t="s">
        <v>394</v>
      </c>
    </row>
    <row r="597" spans="1:8" ht="15" customHeight="1" x14ac:dyDescent="0.3">
      <c r="A597" t="s">
        <v>598</v>
      </c>
      <c r="B597" t="s">
        <v>143</v>
      </c>
      <c r="C597" t="s">
        <v>471</v>
      </c>
      <c r="D597" t="s">
        <v>293</v>
      </c>
      <c r="E597" s="48">
        <v>3704</v>
      </c>
      <c r="F597" s="24">
        <v>0.25375464036608297</v>
      </c>
      <c r="G597" s="24">
        <v>939.90718791596998</v>
      </c>
      <c r="H597" t="s">
        <v>394</v>
      </c>
    </row>
    <row r="598" spans="1:8" ht="15" customHeight="1" x14ac:dyDescent="0.3">
      <c r="A598" t="s">
        <v>598</v>
      </c>
      <c r="B598" t="s">
        <v>143</v>
      </c>
      <c r="C598" t="s">
        <v>471</v>
      </c>
      <c r="D598" t="s">
        <v>290</v>
      </c>
      <c r="E598" s="48">
        <v>6434</v>
      </c>
      <c r="F598" s="24">
        <v>0.25375464036608297</v>
      </c>
      <c r="G598" s="24">
        <v>1632.65735611538</v>
      </c>
      <c r="H598" t="s">
        <v>394</v>
      </c>
    </row>
    <row r="599" spans="1:8" ht="15" customHeight="1" x14ac:dyDescent="0.3">
      <c r="A599" t="s">
        <v>598</v>
      </c>
      <c r="B599" t="s">
        <v>143</v>
      </c>
      <c r="C599" t="s">
        <v>471</v>
      </c>
      <c r="D599" t="s">
        <v>284</v>
      </c>
      <c r="E599" s="48">
        <v>14441</v>
      </c>
      <c r="F599" s="24">
        <v>0.25375464036608297</v>
      </c>
      <c r="G599" s="24">
        <v>3664.4707615266002</v>
      </c>
      <c r="H599" t="s">
        <v>394</v>
      </c>
    </row>
    <row r="600" spans="1:8" ht="15" customHeight="1" x14ac:dyDescent="0.3">
      <c r="A600" t="s">
        <v>598</v>
      </c>
      <c r="B600" t="s">
        <v>143</v>
      </c>
      <c r="C600" t="s">
        <v>471</v>
      </c>
      <c r="D600" t="s">
        <v>285</v>
      </c>
      <c r="E600" s="48">
        <v>4749</v>
      </c>
      <c r="F600" s="24">
        <v>0.25375464036608297</v>
      </c>
      <c r="G600" s="24">
        <v>1205.08078709853</v>
      </c>
      <c r="H600" t="s">
        <v>394</v>
      </c>
    </row>
    <row r="601" spans="1:8" ht="15" customHeight="1" x14ac:dyDescent="0.3">
      <c r="A601" t="s">
        <v>598</v>
      </c>
      <c r="B601" t="s">
        <v>143</v>
      </c>
      <c r="C601" t="s">
        <v>471</v>
      </c>
      <c r="D601" t="s">
        <v>282</v>
      </c>
      <c r="E601" s="48">
        <v>4795</v>
      </c>
      <c r="F601" s="24">
        <v>0.25375464036608297</v>
      </c>
      <c r="G601" s="24">
        <v>1216.75350055537</v>
      </c>
      <c r="H601" t="s">
        <v>394</v>
      </c>
    </row>
    <row r="602" spans="1:8" ht="15" customHeight="1" x14ac:dyDescent="0.3">
      <c r="A602" t="s">
        <v>598</v>
      </c>
      <c r="B602" t="s">
        <v>141</v>
      </c>
      <c r="C602" t="s">
        <v>472</v>
      </c>
      <c r="D602" t="s">
        <v>289</v>
      </c>
      <c r="E602" s="48">
        <v>13418</v>
      </c>
      <c r="F602" s="24">
        <v>0.105895207936646</v>
      </c>
      <c r="G602" s="24">
        <v>1420.9019000000001</v>
      </c>
      <c r="H602" t="s">
        <v>394</v>
      </c>
    </row>
    <row r="603" spans="1:8" ht="15" customHeight="1" x14ac:dyDescent="0.3">
      <c r="A603" t="s">
        <v>598</v>
      </c>
      <c r="B603" t="s">
        <v>45</v>
      </c>
      <c r="C603" t="s">
        <v>473</v>
      </c>
      <c r="D603" t="s">
        <v>287</v>
      </c>
      <c r="E603" s="48">
        <v>1</v>
      </c>
      <c r="F603" s="24">
        <v>9145.68</v>
      </c>
      <c r="G603" s="24">
        <v>9145.68</v>
      </c>
      <c r="H603" t="s">
        <v>474</v>
      </c>
    </row>
    <row r="604" spans="1:8" ht="15" customHeight="1" x14ac:dyDescent="0.3">
      <c r="A604" t="s">
        <v>598</v>
      </c>
      <c r="B604" t="s">
        <v>45</v>
      </c>
      <c r="C604" t="s">
        <v>473</v>
      </c>
      <c r="D604" t="s">
        <v>293</v>
      </c>
      <c r="E604" s="48">
        <v>1</v>
      </c>
      <c r="F604" s="24">
        <v>3372.11</v>
      </c>
      <c r="G604" s="24">
        <v>3372.11</v>
      </c>
      <c r="H604" t="s">
        <v>474</v>
      </c>
    </row>
    <row r="605" spans="1:8" ht="15" customHeight="1" x14ac:dyDescent="0.3">
      <c r="A605" t="s">
        <v>598</v>
      </c>
      <c r="B605" t="s">
        <v>45</v>
      </c>
      <c r="C605" t="s">
        <v>473</v>
      </c>
      <c r="D605" t="s">
        <v>285</v>
      </c>
      <c r="E605" s="48">
        <v>1</v>
      </c>
      <c r="F605" s="24">
        <v>15695.77</v>
      </c>
      <c r="G605" s="24">
        <v>15695.77</v>
      </c>
      <c r="H605" t="s">
        <v>474</v>
      </c>
    </row>
    <row r="606" spans="1:8" ht="15" customHeight="1" x14ac:dyDescent="0.3">
      <c r="A606" t="s">
        <v>598</v>
      </c>
      <c r="B606" t="s">
        <v>45</v>
      </c>
      <c r="C606" t="s">
        <v>475</v>
      </c>
      <c r="D606" t="s">
        <v>282</v>
      </c>
      <c r="E606" s="48">
        <v>0</v>
      </c>
      <c r="F606" s="24">
        <v>0</v>
      </c>
      <c r="G606" s="24">
        <v>0</v>
      </c>
      <c r="H606" t="s">
        <v>476</v>
      </c>
    </row>
    <row r="607" spans="1:8" ht="15" customHeight="1" x14ac:dyDescent="0.3">
      <c r="A607" t="s">
        <v>598</v>
      </c>
      <c r="B607" t="s">
        <v>50</v>
      </c>
      <c r="C607" t="s">
        <v>477</v>
      </c>
      <c r="D607" t="s">
        <v>287</v>
      </c>
      <c r="E607" s="48">
        <v>0</v>
      </c>
      <c r="F607" s="24">
        <v>0</v>
      </c>
      <c r="G607" s="24">
        <v>0</v>
      </c>
      <c r="H607" t="s">
        <v>478</v>
      </c>
    </row>
    <row r="608" spans="1:8" ht="15" customHeight="1" x14ac:dyDescent="0.3">
      <c r="A608" t="s">
        <v>598</v>
      </c>
      <c r="B608" t="s">
        <v>50</v>
      </c>
      <c r="C608" t="s">
        <v>477</v>
      </c>
      <c r="D608" t="s">
        <v>293</v>
      </c>
      <c r="E608" s="48">
        <v>0</v>
      </c>
      <c r="F608" s="24">
        <v>0</v>
      </c>
      <c r="G608" s="24">
        <v>0</v>
      </c>
      <c r="H608" t="s">
        <v>478</v>
      </c>
    </row>
    <row r="609" spans="1:8" ht="15" customHeight="1" x14ac:dyDescent="0.3">
      <c r="A609" t="s">
        <v>598</v>
      </c>
      <c r="B609" t="s">
        <v>50</v>
      </c>
      <c r="C609" t="s">
        <v>477</v>
      </c>
      <c r="D609" t="s">
        <v>290</v>
      </c>
      <c r="E609" s="48">
        <v>0</v>
      </c>
      <c r="F609" s="24">
        <v>0</v>
      </c>
      <c r="G609" s="24">
        <v>0</v>
      </c>
      <c r="H609" t="s">
        <v>479</v>
      </c>
    </row>
    <row r="610" spans="1:8" ht="15" customHeight="1" x14ac:dyDescent="0.3">
      <c r="A610" t="s">
        <v>598</v>
      </c>
      <c r="B610" t="s">
        <v>50</v>
      </c>
      <c r="C610" t="s">
        <v>477</v>
      </c>
      <c r="D610" t="s">
        <v>290</v>
      </c>
      <c r="E610" s="48">
        <v>0</v>
      </c>
      <c r="F610" s="24">
        <v>0</v>
      </c>
      <c r="G610" s="24">
        <v>0</v>
      </c>
      <c r="H610" t="s">
        <v>478</v>
      </c>
    </row>
    <row r="611" spans="1:8" ht="15" customHeight="1" x14ac:dyDescent="0.3">
      <c r="A611" t="s">
        <v>598</v>
      </c>
      <c r="B611" t="s">
        <v>50</v>
      </c>
      <c r="C611" t="s">
        <v>477</v>
      </c>
      <c r="D611" t="s">
        <v>284</v>
      </c>
      <c r="E611" s="48">
        <v>0</v>
      </c>
      <c r="F611" s="24">
        <v>0</v>
      </c>
      <c r="G611" s="24">
        <v>0</v>
      </c>
      <c r="H611" t="s">
        <v>480</v>
      </c>
    </row>
    <row r="612" spans="1:8" ht="15" customHeight="1" x14ac:dyDescent="0.3">
      <c r="A612" t="s">
        <v>598</v>
      </c>
      <c r="B612" t="s">
        <v>50</v>
      </c>
      <c r="C612" t="s">
        <v>477</v>
      </c>
      <c r="D612" t="s">
        <v>284</v>
      </c>
      <c r="E612" s="48">
        <v>0</v>
      </c>
      <c r="F612" s="24">
        <v>0</v>
      </c>
      <c r="G612" s="24">
        <v>0</v>
      </c>
      <c r="H612" t="s">
        <v>478</v>
      </c>
    </row>
    <row r="613" spans="1:8" ht="15" customHeight="1" x14ac:dyDescent="0.3">
      <c r="A613" t="s">
        <v>598</v>
      </c>
      <c r="B613" t="s">
        <v>50</v>
      </c>
      <c r="C613" t="s">
        <v>477</v>
      </c>
      <c r="D613" t="s">
        <v>285</v>
      </c>
      <c r="E613" s="48">
        <v>0</v>
      </c>
      <c r="F613" s="24">
        <v>0</v>
      </c>
      <c r="G613" s="24">
        <v>0</v>
      </c>
      <c r="H613" t="s">
        <v>478</v>
      </c>
    </row>
    <row r="614" spans="1:8" ht="15" customHeight="1" x14ac:dyDescent="0.3">
      <c r="A614" t="s">
        <v>598</v>
      </c>
      <c r="B614" t="s">
        <v>50</v>
      </c>
      <c r="C614" t="s">
        <v>477</v>
      </c>
      <c r="D614" t="s">
        <v>282</v>
      </c>
      <c r="E614" s="48">
        <v>0</v>
      </c>
      <c r="F614" s="24">
        <v>0</v>
      </c>
      <c r="G614" s="24">
        <v>0</v>
      </c>
      <c r="H614" t="s">
        <v>478</v>
      </c>
    </row>
    <row r="615" spans="1:8" ht="15" customHeight="1" x14ac:dyDescent="0.3">
      <c r="A615" t="s">
        <v>598</v>
      </c>
      <c r="B615" t="s">
        <v>481</v>
      </c>
      <c r="C615" t="s">
        <v>482</v>
      </c>
      <c r="D615" t="s">
        <v>287</v>
      </c>
      <c r="E615" s="48">
        <v>0</v>
      </c>
      <c r="F615" s="24">
        <v>0</v>
      </c>
      <c r="G615" s="24">
        <v>0</v>
      </c>
      <c r="H615" t="s">
        <v>483</v>
      </c>
    </row>
    <row r="616" spans="1:8" ht="15" customHeight="1" x14ac:dyDescent="0.3">
      <c r="A616" t="s">
        <v>598</v>
      </c>
      <c r="B616" t="s">
        <v>481</v>
      </c>
      <c r="C616" t="s">
        <v>484</v>
      </c>
      <c r="D616" t="s">
        <v>287</v>
      </c>
      <c r="E616" s="48">
        <v>0</v>
      </c>
      <c r="F616" s="24">
        <v>0</v>
      </c>
      <c r="G616" s="24">
        <v>0</v>
      </c>
      <c r="H616" t="s">
        <v>485</v>
      </c>
    </row>
    <row r="617" spans="1:8" ht="15" customHeight="1" x14ac:dyDescent="0.3">
      <c r="A617" t="s">
        <v>598</v>
      </c>
      <c r="B617" t="s">
        <v>481</v>
      </c>
      <c r="C617" t="s">
        <v>613</v>
      </c>
      <c r="D617" t="s">
        <v>287</v>
      </c>
      <c r="E617" s="48">
        <v>1</v>
      </c>
      <c r="F617" s="24">
        <v>96</v>
      </c>
      <c r="G617" s="24">
        <v>96</v>
      </c>
      <c r="H617" t="s">
        <v>614</v>
      </c>
    </row>
    <row r="618" spans="1:8" ht="15" customHeight="1" x14ac:dyDescent="0.3">
      <c r="A618" t="s">
        <v>598</v>
      </c>
      <c r="B618" t="s">
        <v>481</v>
      </c>
      <c r="C618" t="s">
        <v>486</v>
      </c>
      <c r="D618" t="s">
        <v>287</v>
      </c>
      <c r="E618" s="48">
        <v>10</v>
      </c>
      <c r="F618" s="24">
        <v>20</v>
      </c>
      <c r="G618" s="24">
        <v>200</v>
      </c>
      <c r="H618" t="s">
        <v>487</v>
      </c>
    </row>
    <row r="619" spans="1:8" ht="15" customHeight="1" x14ac:dyDescent="0.3">
      <c r="A619" t="s">
        <v>598</v>
      </c>
      <c r="B619" t="s">
        <v>481</v>
      </c>
      <c r="C619" t="s">
        <v>488</v>
      </c>
      <c r="D619" t="s">
        <v>287</v>
      </c>
      <c r="E619" s="48">
        <v>1</v>
      </c>
      <c r="F619" s="24">
        <v>682.73</v>
      </c>
      <c r="G619" s="24">
        <v>682.73</v>
      </c>
      <c r="H619" t="s">
        <v>615</v>
      </c>
    </row>
    <row r="620" spans="1:8" ht="15" customHeight="1" x14ac:dyDescent="0.3">
      <c r="A620" t="s">
        <v>598</v>
      </c>
      <c r="B620" t="s">
        <v>481</v>
      </c>
      <c r="C620" t="s">
        <v>488</v>
      </c>
      <c r="D620" t="s">
        <v>287</v>
      </c>
      <c r="E620" s="48">
        <v>1</v>
      </c>
      <c r="F620" s="24">
        <v>894.25</v>
      </c>
      <c r="G620" s="24">
        <v>894.25</v>
      </c>
      <c r="H620" t="s">
        <v>616</v>
      </c>
    </row>
    <row r="621" spans="1:8" ht="15" customHeight="1" x14ac:dyDescent="0.3">
      <c r="A621" t="s">
        <v>598</v>
      </c>
      <c r="B621" t="s">
        <v>481</v>
      </c>
      <c r="C621" t="s">
        <v>490</v>
      </c>
      <c r="D621" t="s">
        <v>287</v>
      </c>
      <c r="E621" s="48">
        <v>0</v>
      </c>
      <c r="F621" s="24">
        <v>0</v>
      </c>
      <c r="G621" s="24">
        <v>0</v>
      </c>
      <c r="H621" t="s">
        <v>614</v>
      </c>
    </row>
    <row r="622" spans="1:8" ht="15" customHeight="1" x14ac:dyDescent="0.3">
      <c r="A622" t="s">
        <v>598</v>
      </c>
      <c r="B622" t="s">
        <v>481</v>
      </c>
      <c r="C622" t="s">
        <v>490</v>
      </c>
      <c r="D622" t="s">
        <v>287</v>
      </c>
      <c r="E622" s="48">
        <v>1</v>
      </c>
      <c r="F622" s="24">
        <v>86</v>
      </c>
      <c r="G622" s="24">
        <v>86</v>
      </c>
      <c r="H622" t="s">
        <v>616</v>
      </c>
    </row>
    <row r="623" spans="1:8" ht="15" customHeight="1" x14ac:dyDescent="0.3">
      <c r="A623" t="s">
        <v>598</v>
      </c>
      <c r="B623" t="s">
        <v>481</v>
      </c>
      <c r="C623" t="s">
        <v>488</v>
      </c>
      <c r="D623" t="s">
        <v>289</v>
      </c>
      <c r="E623" s="48">
        <v>0</v>
      </c>
      <c r="F623" s="24">
        <v>0</v>
      </c>
      <c r="G623" s="24">
        <v>0</v>
      </c>
      <c r="H623" t="s">
        <v>489</v>
      </c>
    </row>
    <row r="624" spans="1:8" ht="15" customHeight="1" x14ac:dyDescent="0.3">
      <c r="A624" t="s">
        <v>598</v>
      </c>
      <c r="B624" t="s">
        <v>481</v>
      </c>
      <c r="C624" t="s">
        <v>486</v>
      </c>
      <c r="D624" t="s">
        <v>293</v>
      </c>
      <c r="E624" s="48">
        <v>3</v>
      </c>
      <c r="F624" s="24">
        <v>20</v>
      </c>
      <c r="G624" s="24">
        <v>60</v>
      </c>
      <c r="H624" t="s">
        <v>487</v>
      </c>
    </row>
    <row r="625" spans="1:8" ht="15" customHeight="1" x14ac:dyDescent="0.3">
      <c r="A625" t="s">
        <v>598</v>
      </c>
      <c r="B625" t="s">
        <v>481</v>
      </c>
      <c r="C625" t="s">
        <v>488</v>
      </c>
      <c r="D625" t="s">
        <v>293</v>
      </c>
      <c r="E625" s="48">
        <v>1</v>
      </c>
      <c r="F625" s="24">
        <v>556.03</v>
      </c>
      <c r="G625" s="24">
        <v>556.03</v>
      </c>
      <c r="H625" t="s">
        <v>614</v>
      </c>
    </row>
    <row r="626" spans="1:8" ht="15" customHeight="1" x14ac:dyDescent="0.3">
      <c r="A626" t="s">
        <v>598</v>
      </c>
      <c r="B626" t="s">
        <v>481</v>
      </c>
      <c r="C626" t="s">
        <v>488</v>
      </c>
      <c r="D626" t="s">
        <v>293</v>
      </c>
      <c r="E626" s="48">
        <v>1</v>
      </c>
      <c r="F626" s="24">
        <v>447.78</v>
      </c>
      <c r="G626" s="24">
        <v>447.78</v>
      </c>
      <c r="H626" t="s">
        <v>616</v>
      </c>
    </row>
    <row r="627" spans="1:8" ht="15" customHeight="1" x14ac:dyDescent="0.3">
      <c r="A627" t="s">
        <v>598</v>
      </c>
      <c r="B627" t="s">
        <v>481</v>
      </c>
      <c r="C627" t="s">
        <v>490</v>
      </c>
      <c r="D627" t="s">
        <v>293</v>
      </c>
      <c r="E627" s="48">
        <v>0</v>
      </c>
      <c r="F627" s="24">
        <v>0</v>
      </c>
      <c r="G627" s="24">
        <v>0</v>
      </c>
      <c r="H627" t="s">
        <v>491</v>
      </c>
    </row>
    <row r="628" spans="1:8" ht="15" customHeight="1" x14ac:dyDescent="0.3">
      <c r="A628" t="s">
        <v>598</v>
      </c>
      <c r="B628" t="s">
        <v>481</v>
      </c>
      <c r="C628" t="s">
        <v>482</v>
      </c>
      <c r="D628" t="s">
        <v>290</v>
      </c>
      <c r="E628" s="48">
        <v>0</v>
      </c>
      <c r="F628" s="24">
        <v>0</v>
      </c>
      <c r="G628" s="24">
        <v>0</v>
      </c>
      <c r="H628" t="s">
        <v>492</v>
      </c>
    </row>
    <row r="629" spans="1:8" ht="15" customHeight="1" x14ac:dyDescent="0.3">
      <c r="A629" t="s">
        <v>598</v>
      </c>
      <c r="B629" t="s">
        <v>481</v>
      </c>
      <c r="C629" t="s">
        <v>484</v>
      </c>
      <c r="D629" t="s">
        <v>290</v>
      </c>
      <c r="E629" s="48">
        <v>0</v>
      </c>
      <c r="F629" s="24">
        <v>0</v>
      </c>
      <c r="G629" s="24">
        <v>0</v>
      </c>
      <c r="H629" t="s">
        <v>493</v>
      </c>
    </row>
    <row r="630" spans="1:8" ht="15" customHeight="1" x14ac:dyDescent="0.3">
      <c r="A630" t="s">
        <v>598</v>
      </c>
      <c r="B630" t="s">
        <v>481</v>
      </c>
      <c r="C630" t="s">
        <v>494</v>
      </c>
      <c r="D630" t="s">
        <v>290</v>
      </c>
      <c r="E630" s="48">
        <v>0</v>
      </c>
      <c r="F630" s="24">
        <v>0</v>
      </c>
      <c r="G630" s="24">
        <v>0</v>
      </c>
      <c r="H630" t="s">
        <v>614</v>
      </c>
    </row>
    <row r="631" spans="1:8" ht="15" customHeight="1" x14ac:dyDescent="0.3">
      <c r="A631" t="s">
        <v>598</v>
      </c>
      <c r="B631" t="s">
        <v>481</v>
      </c>
      <c r="C631" t="s">
        <v>494</v>
      </c>
      <c r="D631" t="s">
        <v>290</v>
      </c>
      <c r="E631" s="48">
        <v>1</v>
      </c>
      <c r="F631" s="24">
        <v>1150</v>
      </c>
      <c r="G631" s="24">
        <v>1150</v>
      </c>
      <c r="H631" t="s">
        <v>616</v>
      </c>
    </row>
    <row r="632" spans="1:8" ht="15" customHeight="1" x14ac:dyDescent="0.3">
      <c r="A632" t="s">
        <v>598</v>
      </c>
      <c r="B632" t="s">
        <v>481</v>
      </c>
      <c r="C632" t="s">
        <v>486</v>
      </c>
      <c r="D632" t="s">
        <v>290</v>
      </c>
      <c r="E632" s="48">
        <v>13</v>
      </c>
      <c r="F632" s="24">
        <v>20</v>
      </c>
      <c r="G632" s="24">
        <v>260</v>
      </c>
      <c r="H632" t="s">
        <v>487</v>
      </c>
    </row>
    <row r="633" spans="1:8" ht="15" customHeight="1" x14ac:dyDescent="0.3">
      <c r="A633" t="s">
        <v>598</v>
      </c>
      <c r="B633" t="s">
        <v>481</v>
      </c>
      <c r="C633" t="s">
        <v>488</v>
      </c>
      <c r="D633" t="s">
        <v>290</v>
      </c>
      <c r="E633" s="48">
        <v>0</v>
      </c>
      <c r="F633" s="24">
        <v>0</v>
      </c>
      <c r="G633" s="24">
        <v>0</v>
      </c>
      <c r="H633" t="s">
        <v>489</v>
      </c>
    </row>
    <row r="634" spans="1:8" ht="15" customHeight="1" x14ac:dyDescent="0.3">
      <c r="A634" t="s">
        <v>598</v>
      </c>
      <c r="B634" t="s">
        <v>481</v>
      </c>
      <c r="C634" t="s">
        <v>490</v>
      </c>
      <c r="D634" t="s">
        <v>290</v>
      </c>
      <c r="E634" s="48">
        <v>0</v>
      </c>
      <c r="F634" s="24">
        <v>0</v>
      </c>
      <c r="G634" s="24">
        <v>0</v>
      </c>
      <c r="H634" t="s">
        <v>614</v>
      </c>
    </row>
    <row r="635" spans="1:8" ht="15" customHeight="1" x14ac:dyDescent="0.3">
      <c r="A635" t="s">
        <v>598</v>
      </c>
      <c r="B635" t="s">
        <v>481</v>
      </c>
      <c r="C635" t="s">
        <v>490</v>
      </c>
      <c r="D635" t="s">
        <v>290</v>
      </c>
      <c r="E635" s="48">
        <v>1</v>
      </c>
      <c r="F635" s="24">
        <v>475.21</v>
      </c>
      <c r="G635" s="24">
        <v>475.21</v>
      </c>
      <c r="H635" t="s">
        <v>616</v>
      </c>
    </row>
    <row r="636" spans="1:8" ht="15" customHeight="1" x14ac:dyDescent="0.3">
      <c r="A636" t="s">
        <v>598</v>
      </c>
      <c r="B636" t="s">
        <v>481</v>
      </c>
      <c r="C636" t="s">
        <v>613</v>
      </c>
      <c r="D636" t="s">
        <v>284</v>
      </c>
      <c r="E636" s="48">
        <v>1</v>
      </c>
      <c r="F636" s="24">
        <v>132</v>
      </c>
      <c r="G636" s="24">
        <v>132</v>
      </c>
      <c r="H636" t="s">
        <v>614</v>
      </c>
    </row>
    <row r="637" spans="1:8" ht="15" customHeight="1" x14ac:dyDescent="0.3">
      <c r="A637" t="s">
        <v>598</v>
      </c>
      <c r="B637" t="s">
        <v>481</v>
      </c>
      <c r="C637" t="s">
        <v>486</v>
      </c>
      <c r="D637" t="s">
        <v>284</v>
      </c>
      <c r="E637" s="48">
        <v>19</v>
      </c>
      <c r="F637" s="24">
        <v>20</v>
      </c>
      <c r="G637" s="24">
        <v>380</v>
      </c>
      <c r="H637" t="s">
        <v>487</v>
      </c>
    </row>
    <row r="638" spans="1:8" ht="15" customHeight="1" x14ac:dyDescent="0.3">
      <c r="A638" t="s">
        <v>598</v>
      </c>
      <c r="B638" t="s">
        <v>481</v>
      </c>
      <c r="C638" t="s">
        <v>488</v>
      </c>
      <c r="D638" t="s">
        <v>284</v>
      </c>
      <c r="E638" s="48">
        <v>1</v>
      </c>
      <c r="F638" s="24">
        <v>1035.78</v>
      </c>
      <c r="G638" s="24">
        <v>1035.78</v>
      </c>
      <c r="H638" t="s">
        <v>614</v>
      </c>
    </row>
    <row r="639" spans="1:8" ht="15" customHeight="1" x14ac:dyDescent="0.3">
      <c r="A639" t="s">
        <v>598</v>
      </c>
      <c r="B639" t="s">
        <v>481</v>
      </c>
      <c r="C639" t="s">
        <v>488</v>
      </c>
      <c r="D639" t="s">
        <v>284</v>
      </c>
      <c r="E639" s="48">
        <v>1</v>
      </c>
      <c r="F639" s="24">
        <v>1381.14</v>
      </c>
      <c r="G639" s="24">
        <v>1381.14</v>
      </c>
      <c r="H639" t="s">
        <v>616</v>
      </c>
    </row>
    <row r="640" spans="1:8" ht="15" customHeight="1" x14ac:dyDescent="0.3">
      <c r="A640" t="s">
        <v>598</v>
      </c>
      <c r="B640" t="s">
        <v>481</v>
      </c>
      <c r="C640" t="s">
        <v>495</v>
      </c>
      <c r="D640" t="s">
        <v>284</v>
      </c>
      <c r="E640" s="48">
        <v>0</v>
      </c>
      <c r="F640" s="24">
        <v>0</v>
      </c>
      <c r="G640" s="24">
        <v>0</v>
      </c>
      <c r="H640" t="s">
        <v>614</v>
      </c>
    </row>
    <row r="641" spans="1:8" ht="15" customHeight="1" x14ac:dyDescent="0.3">
      <c r="A641" t="s">
        <v>598</v>
      </c>
      <c r="B641" t="s">
        <v>481</v>
      </c>
      <c r="C641" t="s">
        <v>495</v>
      </c>
      <c r="D641" t="s">
        <v>284</v>
      </c>
      <c r="E641" s="48">
        <v>1</v>
      </c>
      <c r="F641" s="24">
        <v>264</v>
      </c>
      <c r="G641" s="24">
        <v>264</v>
      </c>
      <c r="H641" t="s">
        <v>616</v>
      </c>
    </row>
    <row r="642" spans="1:8" ht="15" customHeight="1" x14ac:dyDescent="0.3">
      <c r="A642" t="s">
        <v>598</v>
      </c>
      <c r="B642" t="s">
        <v>481</v>
      </c>
      <c r="C642" t="s">
        <v>494</v>
      </c>
      <c r="D642" t="s">
        <v>285</v>
      </c>
      <c r="E642" s="48">
        <v>0</v>
      </c>
      <c r="F642" s="24">
        <v>0</v>
      </c>
      <c r="G642" s="24">
        <v>0</v>
      </c>
      <c r="H642" t="s">
        <v>496</v>
      </c>
    </row>
    <row r="643" spans="1:8" ht="15" customHeight="1" x14ac:dyDescent="0.3">
      <c r="A643" t="s">
        <v>598</v>
      </c>
      <c r="B643" t="s">
        <v>481</v>
      </c>
      <c r="C643" t="s">
        <v>486</v>
      </c>
      <c r="D643" t="s">
        <v>285</v>
      </c>
      <c r="E643" s="48">
        <v>4</v>
      </c>
      <c r="F643" s="24">
        <v>20</v>
      </c>
      <c r="G643" s="24">
        <v>80</v>
      </c>
      <c r="H643" t="s">
        <v>487</v>
      </c>
    </row>
    <row r="644" spans="1:8" ht="15" customHeight="1" x14ac:dyDescent="0.3">
      <c r="A644" t="s">
        <v>598</v>
      </c>
      <c r="B644" t="s">
        <v>481</v>
      </c>
      <c r="C644" t="s">
        <v>488</v>
      </c>
      <c r="D644" t="s">
        <v>285</v>
      </c>
      <c r="E644" s="48">
        <v>0</v>
      </c>
      <c r="F644" s="24">
        <v>0</v>
      </c>
      <c r="G644" s="24">
        <v>0</v>
      </c>
      <c r="H644" t="s">
        <v>489</v>
      </c>
    </row>
    <row r="645" spans="1:8" ht="15" customHeight="1" x14ac:dyDescent="0.3">
      <c r="A645" t="s">
        <v>598</v>
      </c>
      <c r="B645" t="s">
        <v>481</v>
      </c>
      <c r="C645" t="s">
        <v>495</v>
      </c>
      <c r="D645" t="s">
        <v>285</v>
      </c>
      <c r="E645" s="48">
        <v>0</v>
      </c>
      <c r="F645" s="24">
        <v>0</v>
      </c>
      <c r="G645" s="24">
        <v>0</v>
      </c>
      <c r="H645" t="s">
        <v>491</v>
      </c>
    </row>
    <row r="646" spans="1:8" ht="15" customHeight="1" x14ac:dyDescent="0.3">
      <c r="A646" t="s">
        <v>598</v>
      </c>
      <c r="B646" t="s">
        <v>481</v>
      </c>
      <c r="C646" t="s">
        <v>482</v>
      </c>
      <c r="D646" t="s">
        <v>282</v>
      </c>
      <c r="E646" s="48">
        <v>0</v>
      </c>
      <c r="F646" s="24">
        <v>0</v>
      </c>
      <c r="G646" s="24">
        <v>0</v>
      </c>
      <c r="H646" t="s">
        <v>497</v>
      </c>
    </row>
    <row r="647" spans="1:8" ht="15" customHeight="1" x14ac:dyDescent="0.3">
      <c r="A647" t="s">
        <v>598</v>
      </c>
      <c r="B647" t="s">
        <v>481</v>
      </c>
      <c r="C647" t="s">
        <v>486</v>
      </c>
      <c r="D647" t="s">
        <v>282</v>
      </c>
      <c r="E647" s="48">
        <v>8</v>
      </c>
      <c r="F647" s="24">
        <v>20</v>
      </c>
      <c r="G647" s="24">
        <v>160</v>
      </c>
      <c r="H647" t="s">
        <v>487</v>
      </c>
    </row>
    <row r="648" spans="1:8" ht="15" customHeight="1" x14ac:dyDescent="0.3">
      <c r="A648" t="s">
        <v>598</v>
      </c>
      <c r="B648" t="s">
        <v>481</v>
      </c>
      <c r="C648" t="s">
        <v>488</v>
      </c>
      <c r="D648" t="s">
        <v>282</v>
      </c>
      <c r="E648" s="48">
        <v>1</v>
      </c>
      <c r="F648" s="24">
        <v>1209.07</v>
      </c>
      <c r="G648" s="24">
        <v>1209.07</v>
      </c>
      <c r="H648" t="s">
        <v>614</v>
      </c>
    </row>
    <row r="649" spans="1:8" ht="15" customHeight="1" x14ac:dyDescent="0.3">
      <c r="A649" t="s">
        <v>598</v>
      </c>
      <c r="B649" t="s">
        <v>481</v>
      </c>
      <c r="C649" t="s">
        <v>488</v>
      </c>
      <c r="D649" t="s">
        <v>282</v>
      </c>
      <c r="E649" s="48">
        <v>1</v>
      </c>
      <c r="F649" s="24">
        <v>497.22</v>
      </c>
      <c r="G649" s="24">
        <v>497.22</v>
      </c>
      <c r="H649" t="s">
        <v>616</v>
      </c>
    </row>
    <row r="650" spans="1:8" ht="15" customHeight="1" x14ac:dyDescent="0.3">
      <c r="A650" t="s">
        <v>598</v>
      </c>
      <c r="B650" t="s">
        <v>481</v>
      </c>
      <c r="C650" t="s">
        <v>490</v>
      </c>
      <c r="D650" t="s">
        <v>282</v>
      </c>
      <c r="E650" s="48">
        <v>1</v>
      </c>
      <c r="F650" s="24">
        <v>230.72</v>
      </c>
      <c r="G650" s="24">
        <v>230.72</v>
      </c>
      <c r="H650" t="s">
        <v>614</v>
      </c>
    </row>
    <row r="651" spans="1:8" ht="15" customHeight="1" x14ac:dyDescent="0.3">
      <c r="A651" t="s">
        <v>598</v>
      </c>
      <c r="B651" t="s">
        <v>481</v>
      </c>
      <c r="C651" t="s">
        <v>490</v>
      </c>
      <c r="D651" t="s">
        <v>282</v>
      </c>
      <c r="E651" s="48">
        <v>1</v>
      </c>
      <c r="F651" s="24">
        <v>381.6</v>
      </c>
      <c r="G651" s="24">
        <v>381.6</v>
      </c>
      <c r="H651" t="s">
        <v>616</v>
      </c>
    </row>
    <row r="652" spans="1:8" ht="15" customHeight="1" x14ac:dyDescent="0.3">
      <c r="A652" t="s">
        <v>598</v>
      </c>
      <c r="B652" t="s">
        <v>498</v>
      </c>
      <c r="C652" t="s">
        <v>617</v>
      </c>
      <c r="D652" t="s">
        <v>287</v>
      </c>
      <c r="E652" s="48">
        <v>0</v>
      </c>
      <c r="F652" s="24">
        <v>0</v>
      </c>
      <c r="G652" s="24">
        <v>0</v>
      </c>
      <c r="H652" t="s">
        <v>502</v>
      </c>
    </row>
    <row r="653" spans="1:8" ht="15" customHeight="1" x14ac:dyDescent="0.3">
      <c r="A653" t="s">
        <v>598</v>
      </c>
      <c r="B653" t="s">
        <v>498</v>
      </c>
      <c r="C653" t="s">
        <v>499</v>
      </c>
      <c r="D653" t="s">
        <v>287</v>
      </c>
      <c r="E653" s="48">
        <v>0</v>
      </c>
      <c r="F653" s="24">
        <v>0</v>
      </c>
      <c r="G653" s="24">
        <v>0</v>
      </c>
      <c r="H653" t="s">
        <v>500</v>
      </c>
    </row>
    <row r="654" spans="1:8" ht="15" customHeight="1" x14ac:dyDescent="0.3">
      <c r="A654" t="s">
        <v>598</v>
      </c>
      <c r="B654" t="s">
        <v>498</v>
      </c>
      <c r="C654" t="s">
        <v>503</v>
      </c>
      <c r="D654" t="s">
        <v>287</v>
      </c>
      <c r="E654" s="48">
        <v>0</v>
      </c>
      <c r="F654" s="24">
        <v>0</v>
      </c>
      <c r="G654" s="24">
        <v>0</v>
      </c>
      <c r="H654" t="s">
        <v>504</v>
      </c>
    </row>
    <row r="655" spans="1:8" ht="15" customHeight="1" x14ac:dyDescent="0.3">
      <c r="A655" t="s">
        <v>598</v>
      </c>
      <c r="B655" t="s">
        <v>498</v>
      </c>
      <c r="C655" t="s">
        <v>618</v>
      </c>
      <c r="D655" t="s">
        <v>287</v>
      </c>
      <c r="E655" s="48">
        <v>0</v>
      </c>
      <c r="F655" s="24">
        <v>0</v>
      </c>
      <c r="G655" s="24">
        <v>0</v>
      </c>
      <c r="H655" t="s">
        <v>506</v>
      </c>
    </row>
    <row r="656" spans="1:8" ht="15" customHeight="1" x14ac:dyDescent="0.3">
      <c r="A656" t="s">
        <v>598</v>
      </c>
      <c r="B656" t="s">
        <v>498</v>
      </c>
      <c r="C656" t="s">
        <v>507</v>
      </c>
      <c r="D656" t="s">
        <v>289</v>
      </c>
      <c r="E656" s="48">
        <v>0</v>
      </c>
      <c r="F656" s="24">
        <v>0</v>
      </c>
      <c r="G656" s="24">
        <v>0</v>
      </c>
      <c r="H656" t="s">
        <v>508</v>
      </c>
    </row>
    <row r="657" spans="1:8" ht="15" customHeight="1" x14ac:dyDescent="0.3">
      <c r="A657" t="s">
        <v>598</v>
      </c>
      <c r="B657" t="s">
        <v>498</v>
      </c>
      <c r="C657" t="s">
        <v>509</v>
      </c>
      <c r="D657" t="s">
        <v>289</v>
      </c>
      <c r="E657" s="48">
        <v>0</v>
      </c>
      <c r="F657" s="24">
        <v>0</v>
      </c>
      <c r="G657" s="24">
        <v>0</v>
      </c>
      <c r="H657" t="s">
        <v>510</v>
      </c>
    </row>
    <row r="658" spans="1:8" ht="15" customHeight="1" x14ac:dyDescent="0.3">
      <c r="A658" t="s">
        <v>598</v>
      </c>
      <c r="B658" t="s">
        <v>498</v>
      </c>
      <c r="C658" t="s">
        <v>511</v>
      </c>
      <c r="D658" t="s">
        <v>293</v>
      </c>
      <c r="E658" s="48">
        <v>0</v>
      </c>
      <c r="F658" s="24">
        <v>0</v>
      </c>
      <c r="G658" s="24">
        <v>0</v>
      </c>
      <c r="H658" t="s">
        <v>512</v>
      </c>
    </row>
    <row r="659" spans="1:8" ht="15" customHeight="1" x14ac:dyDescent="0.3">
      <c r="A659" t="s">
        <v>598</v>
      </c>
      <c r="B659" t="s">
        <v>498</v>
      </c>
      <c r="C659" t="s">
        <v>513</v>
      </c>
      <c r="D659" t="s">
        <v>293</v>
      </c>
      <c r="E659" s="48">
        <v>0</v>
      </c>
      <c r="F659" s="24">
        <v>0</v>
      </c>
      <c r="G659" s="24">
        <v>0</v>
      </c>
      <c r="H659" t="s">
        <v>514</v>
      </c>
    </row>
    <row r="660" spans="1:8" ht="15" customHeight="1" x14ac:dyDescent="0.3">
      <c r="A660" t="s">
        <v>598</v>
      </c>
      <c r="B660" t="s">
        <v>498</v>
      </c>
      <c r="C660" t="s">
        <v>515</v>
      </c>
      <c r="D660" t="s">
        <v>293</v>
      </c>
      <c r="E660" s="48">
        <v>0</v>
      </c>
      <c r="F660" s="24">
        <v>0</v>
      </c>
      <c r="G660" s="24">
        <v>0</v>
      </c>
      <c r="H660" t="s">
        <v>508</v>
      </c>
    </row>
    <row r="661" spans="1:8" ht="15" customHeight="1" x14ac:dyDescent="0.3">
      <c r="A661" t="s">
        <v>598</v>
      </c>
      <c r="B661" t="s">
        <v>498</v>
      </c>
      <c r="C661" t="s">
        <v>516</v>
      </c>
      <c r="D661" t="s">
        <v>293</v>
      </c>
      <c r="E661" s="48">
        <v>0</v>
      </c>
      <c r="F661" s="24">
        <v>0</v>
      </c>
      <c r="G661" s="24">
        <v>0</v>
      </c>
      <c r="H661" t="s">
        <v>517</v>
      </c>
    </row>
    <row r="662" spans="1:8" ht="15" customHeight="1" x14ac:dyDescent="0.3">
      <c r="A662" t="s">
        <v>598</v>
      </c>
      <c r="B662" t="s">
        <v>498</v>
      </c>
      <c r="C662" t="s">
        <v>518</v>
      </c>
      <c r="D662" t="s">
        <v>293</v>
      </c>
      <c r="E662" s="48">
        <v>0</v>
      </c>
      <c r="F662" s="24">
        <v>0</v>
      </c>
      <c r="G662" s="24">
        <v>0</v>
      </c>
      <c r="H662" t="s">
        <v>517</v>
      </c>
    </row>
    <row r="663" spans="1:8" ht="15" customHeight="1" x14ac:dyDescent="0.3">
      <c r="A663" t="s">
        <v>598</v>
      </c>
      <c r="B663" t="s">
        <v>498</v>
      </c>
      <c r="C663" t="s">
        <v>519</v>
      </c>
      <c r="D663" t="s">
        <v>293</v>
      </c>
      <c r="E663" s="48">
        <v>1</v>
      </c>
      <c r="F663" s="24">
        <v>3430.14</v>
      </c>
      <c r="G663" s="24">
        <v>3430.14</v>
      </c>
      <c r="H663" t="s">
        <v>520</v>
      </c>
    </row>
    <row r="664" spans="1:8" ht="15" customHeight="1" x14ac:dyDescent="0.3">
      <c r="A664" t="s">
        <v>598</v>
      </c>
      <c r="B664" t="s">
        <v>498</v>
      </c>
      <c r="C664" t="s">
        <v>521</v>
      </c>
      <c r="D664" t="s">
        <v>290</v>
      </c>
      <c r="E664" s="48">
        <v>0</v>
      </c>
      <c r="F664" s="24">
        <v>0</v>
      </c>
      <c r="G664" s="24">
        <v>0</v>
      </c>
      <c r="H664" t="s">
        <v>508</v>
      </c>
    </row>
    <row r="665" spans="1:8" ht="15" customHeight="1" x14ac:dyDescent="0.3">
      <c r="A665" t="s">
        <v>598</v>
      </c>
      <c r="B665" t="s">
        <v>498</v>
      </c>
      <c r="C665" t="s">
        <v>522</v>
      </c>
      <c r="D665" t="s">
        <v>290</v>
      </c>
      <c r="E665" s="48">
        <v>0</v>
      </c>
      <c r="F665" s="24">
        <v>0</v>
      </c>
      <c r="G665" s="24">
        <v>0</v>
      </c>
      <c r="H665" t="s">
        <v>523</v>
      </c>
    </row>
    <row r="666" spans="1:8" ht="15" customHeight="1" x14ac:dyDescent="0.3">
      <c r="A666" t="s">
        <v>598</v>
      </c>
      <c r="B666" t="s">
        <v>498</v>
      </c>
      <c r="C666" t="s">
        <v>524</v>
      </c>
      <c r="D666" t="s">
        <v>284</v>
      </c>
      <c r="E666" s="48">
        <v>0</v>
      </c>
      <c r="F666" s="24">
        <v>0</v>
      </c>
      <c r="G666" s="24">
        <v>0</v>
      </c>
      <c r="H666" t="s">
        <v>525</v>
      </c>
    </row>
    <row r="667" spans="1:8" ht="15" customHeight="1" x14ac:dyDescent="0.3">
      <c r="A667" t="s">
        <v>598</v>
      </c>
      <c r="B667" t="s">
        <v>498</v>
      </c>
      <c r="C667" t="s">
        <v>526</v>
      </c>
      <c r="D667" t="s">
        <v>284</v>
      </c>
      <c r="E667" s="48">
        <v>0</v>
      </c>
      <c r="F667" s="24">
        <v>0</v>
      </c>
      <c r="G667" s="24">
        <v>0</v>
      </c>
      <c r="H667" t="s">
        <v>500</v>
      </c>
    </row>
    <row r="668" spans="1:8" ht="15" customHeight="1" x14ac:dyDescent="0.3">
      <c r="A668" t="s">
        <v>598</v>
      </c>
      <c r="B668" t="s">
        <v>498</v>
      </c>
      <c r="C668" t="s">
        <v>527</v>
      </c>
      <c r="D668" t="s">
        <v>284</v>
      </c>
      <c r="E668" s="48">
        <v>0</v>
      </c>
      <c r="F668" s="24">
        <v>0</v>
      </c>
      <c r="G668" s="24">
        <v>0</v>
      </c>
      <c r="H668" t="s">
        <v>504</v>
      </c>
    </row>
    <row r="669" spans="1:8" ht="15" customHeight="1" x14ac:dyDescent="0.3">
      <c r="A669" t="s">
        <v>598</v>
      </c>
      <c r="B669" t="s">
        <v>498</v>
      </c>
      <c r="C669" t="s">
        <v>528</v>
      </c>
      <c r="D669" t="s">
        <v>284</v>
      </c>
      <c r="E669" s="48">
        <v>0</v>
      </c>
      <c r="F669" s="24">
        <v>0</v>
      </c>
      <c r="G669" s="24">
        <v>0</v>
      </c>
      <c r="H669" t="s">
        <v>510</v>
      </c>
    </row>
    <row r="670" spans="1:8" ht="15" customHeight="1" x14ac:dyDescent="0.3">
      <c r="A670" t="s">
        <v>598</v>
      </c>
      <c r="B670" t="s">
        <v>498</v>
      </c>
      <c r="C670" t="s">
        <v>524</v>
      </c>
      <c r="D670" t="s">
        <v>285</v>
      </c>
      <c r="E670" s="48">
        <v>0</v>
      </c>
      <c r="F670" s="24">
        <v>0</v>
      </c>
      <c r="G670" s="24">
        <v>0</v>
      </c>
      <c r="H670" t="s">
        <v>508</v>
      </c>
    </row>
    <row r="671" spans="1:8" ht="15" customHeight="1" x14ac:dyDescent="0.3">
      <c r="A671" t="s">
        <v>598</v>
      </c>
      <c r="B671" t="s">
        <v>498</v>
      </c>
      <c r="C671" t="s">
        <v>529</v>
      </c>
      <c r="D671" t="s">
        <v>285</v>
      </c>
      <c r="E671" s="48">
        <v>0</v>
      </c>
      <c r="F671" s="24">
        <v>0</v>
      </c>
      <c r="G671" s="24">
        <v>0</v>
      </c>
      <c r="H671" t="s">
        <v>508</v>
      </c>
    </row>
    <row r="672" spans="1:8" ht="15" customHeight="1" x14ac:dyDescent="0.3">
      <c r="A672" t="s">
        <v>598</v>
      </c>
      <c r="B672" t="s">
        <v>498</v>
      </c>
      <c r="C672" t="s">
        <v>530</v>
      </c>
      <c r="D672" t="s">
        <v>285</v>
      </c>
      <c r="E672" s="48">
        <v>0</v>
      </c>
      <c r="F672" s="24">
        <v>0</v>
      </c>
      <c r="G672" s="24">
        <v>0</v>
      </c>
      <c r="H672" t="s">
        <v>523</v>
      </c>
    </row>
    <row r="673" spans="1:8" ht="15" customHeight="1" x14ac:dyDescent="0.3">
      <c r="A673" t="s">
        <v>598</v>
      </c>
      <c r="B673" t="s">
        <v>498</v>
      </c>
      <c r="C673" t="s">
        <v>528</v>
      </c>
      <c r="D673" t="s">
        <v>285</v>
      </c>
      <c r="E673" s="48">
        <v>0</v>
      </c>
      <c r="F673" s="24">
        <v>0</v>
      </c>
      <c r="G673" s="24">
        <v>0</v>
      </c>
      <c r="H673" t="s">
        <v>531</v>
      </c>
    </row>
    <row r="674" spans="1:8" ht="15" customHeight="1" x14ac:dyDescent="0.3">
      <c r="A674" t="s">
        <v>598</v>
      </c>
      <c r="B674" t="s">
        <v>498</v>
      </c>
      <c r="C674" t="s">
        <v>532</v>
      </c>
      <c r="D674" t="s">
        <v>282</v>
      </c>
      <c r="E674" s="48">
        <v>4795</v>
      </c>
      <c r="F674" s="24">
        <v>0.66</v>
      </c>
      <c r="G674" s="24">
        <v>3164.7</v>
      </c>
      <c r="H674" t="s">
        <v>394</v>
      </c>
    </row>
    <row r="675" spans="1:8" ht="15" customHeight="1" x14ac:dyDescent="0.3">
      <c r="A675" t="s">
        <v>598</v>
      </c>
      <c r="B675" t="s">
        <v>498</v>
      </c>
      <c r="C675" t="s">
        <v>533</v>
      </c>
      <c r="D675" t="s">
        <v>282</v>
      </c>
      <c r="E675" s="48">
        <v>1</v>
      </c>
      <c r="F675" s="24">
        <v>2736.16</v>
      </c>
      <c r="G675" s="24">
        <v>2736.16</v>
      </c>
      <c r="H675" t="s">
        <v>508</v>
      </c>
    </row>
    <row r="676" spans="1:8" ht="15" customHeight="1" x14ac:dyDescent="0.3">
      <c r="A676" t="s">
        <v>598</v>
      </c>
      <c r="B676" t="s">
        <v>498</v>
      </c>
      <c r="C676" t="s">
        <v>534</v>
      </c>
      <c r="D676" t="s">
        <v>282</v>
      </c>
      <c r="E676" s="48">
        <v>0</v>
      </c>
      <c r="F676" s="24">
        <v>0</v>
      </c>
      <c r="G676" s="24">
        <v>0</v>
      </c>
      <c r="H676" t="s">
        <v>508</v>
      </c>
    </row>
    <row r="677" spans="1:8" ht="15" customHeight="1" x14ac:dyDescent="0.3">
      <c r="A677" t="s">
        <v>598</v>
      </c>
      <c r="B677" t="s">
        <v>498</v>
      </c>
      <c r="C677" t="s">
        <v>535</v>
      </c>
      <c r="D677" t="s">
        <v>282</v>
      </c>
      <c r="E677" s="48">
        <v>1</v>
      </c>
      <c r="F677" s="24">
        <v>13845.81</v>
      </c>
      <c r="G677" s="24">
        <v>13845.81</v>
      </c>
      <c r="H677" t="s">
        <v>531</v>
      </c>
    </row>
    <row r="678" spans="1:8" ht="15" customHeight="1" x14ac:dyDescent="0.3">
      <c r="A678" t="s">
        <v>598</v>
      </c>
      <c r="B678" t="s">
        <v>498</v>
      </c>
      <c r="C678" t="s">
        <v>536</v>
      </c>
      <c r="D678" t="s">
        <v>282</v>
      </c>
      <c r="E678" s="48">
        <v>0</v>
      </c>
      <c r="F678" s="24">
        <v>0</v>
      </c>
      <c r="G678" s="24">
        <v>0</v>
      </c>
      <c r="H678" t="s">
        <v>523</v>
      </c>
    </row>
    <row r="679" spans="1:8" ht="15" customHeight="1" x14ac:dyDescent="0.3">
      <c r="A679" t="s">
        <v>598</v>
      </c>
      <c r="B679" t="s">
        <v>537</v>
      </c>
      <c r="C679" t="s">
        <v>538</v>
      </c>
      <c r="D679" t="s">
        <v>289</v>
      </c>
      <c r="E679" s="48">
        <v>1</v>
      </c>
      <c r="F679" s="24">
        <v>238.88</v>
      </c>
      <c r="G679" s="24">
        <v>238.88</v>
      </c>
      <c r="H679" t="s">
        <v>592</v>
      </c>
    </row>
    <row r="680" spans="1:8" ht="15" customHeight="1" x14ac:dyDescent="0.3">
      <c r="A680" t="s">
        <v>598</v>
      </c>
      <c r="B680" t="s">
        <v>537</v>
      </c>
      <c r="C680" t="s">
        <v>540</v>
      </c>
      <c r="D680" t="s">
        <v>289</v>
      </c>
      <c r="E680" s="48">
        <v>1</v>
      </c>
      <c r="F680" s="24">
        <v>609.16999999999996</v>
      </c>
      <c r="G680" s="24">
        <v>609.16999999999996</v>
      </c>
      <c r="H680" t="s">
        <v>592</v>
      </c>
    </row>
    <row r="681" spans="1:8" ht="15" customHeight="1" x14ac:dyDescent="0.3">
      <c r="A681" t="s">
        <v>598</v>
      </c>
      <c r="B681" t="s">
        <v>537</v>
      </c>
      <c r="C681" t="s">
        <v>541</v>
      </c>
      <c r="D681" t="s">
        <v>289</v>
      </c>
      <c r="E681" s="48">
        <v>1</v>
      </c>
      <c r="F681" s="24">
        <v>510</v>
      </c>
      <c r="G681" s="24">
        <v>510</v>
      </c>
      <c r="H681" t="s">
        <v>592</v>
      </c>
    </row>
    <row r="682" spans="1:8" ht="15" customHeight="1" x14ac:dyDescent="0.3">
      <c r="A682" t="s">
        <v>598</v>
      </c>
      <c r="B682" t="s">
        <v>537</v>
      </c>
      <c r="C682" t="s">
        <v>542</v>
      </c>
      <c r="D682" t="s">
        <v>289</v>
      </c>
      <c r="E682" s="48">
        <v>1</v>
      </c>
      <c r="F682" s="24">
        <v>333.1</v>
      </c>
      <c r="G682" s="24">
        <v>333.1</v>
      </c>
      <c r="H682" t="s">
        <v>592</v>
      </c>
    </row>
    <row r="683" spans="1:8" ht="15" customHeight="1" x14ac:dyDescent="0.3">
      <c r="A683" t="s">
        <v>598</v>
      </c>
      <c r="B683" t="s">
        <v>537</v>
      </c>
      <c r="C683" t="s">
        <v>545</v>
      </c>
      <c r="D683" t="s">
        <v>289</v>
      </c>
      <c r="E683" s="48">
        <v>1</v>
      </c>
      <c r="F683" s="24">
        <v>2973.2</v>
      </c>
      <c r="G683" s="24">
        <v>2973.2</v>
      </c>
      <c r="H683" t="s">
        <v>592</v>
      </c>
    </row>
    <row r="684" spans="1:8" ht="15" customHeight="1" x14ac:dyDescent="0.3">
      <c r="A684" t="s">
        <v>598</v>
      </c>
      <c r="B684" t="s">
        <v>537</v>
      </c>
      <c r="C684" t="s">
        <v>619</v>
      </c>
      <c r="D684" t="s">
        <v>289</v>
      </c>
      <c r="E684" s="48">
        <v>1</v>
      </c>
      <c r="F684" s="24">
        <v>1833.24</v>
      </c>
      <c r="G684" s="24">
        <v>1833.24</v>
      </c>
      <c r="H684" t="s">
        <v>592</v>
      </c>
    </row>
    <row r="685" spans="1:8" ht="15" customHeight="1" x14ac:dyDescent="0.3">
      <c r="A685" t="s">
        <v>598</v>
      </c>
      <c r="B685" t="s">
        <v>537</v>
      </c>
      <c r="C685" t="s">
        <v>546</v>
      </c>
      <c r="D685" t="s">
        <v>289</v>
      </c>
      <c r="E685" s="48">
        <v>1</v>
      </c>
      <c r="F685" s="24">
        <v>7615.46</v>
      </c>
      <c r="G685" s="24">
        <v>7615.46</v>
      </c>
      <c r="H685" t="s">
        <v>592</v>
      </c>
    </row>
    <row r="686" spans="1:8" ht="15" customHeight="1" x14ac:dyDescent="0.3">
      <c r="A686" t="s">
        <v>598</v>
      </c>
      <c r="B686" t="s">
        <v>537</v>
      </c>
      <c r="C686" t="s">
        <v>620</v>
      </c>
      <c r="D686" t="s">
        <v>290</v>
      </c>
      <c r="E686" s="48">
        <v>-1</v>
      </c>
      <c r="F686" s="24">
        <v>1046.56</v>
      </c>
      <c r="G686" s="24">
        <v>-1046.56</v>
      </c>
      <c r="H686" t="s">
        <v>621</v>
      </c>
    </row>
    <row r="687" spans="1:8" ht="15" customHeight="1" x14ac:dyDescent="0.3">
      <c r="A687" t="s">
        <v>598</v>
      </c>
      <c r="B687" t="s">
        <v>537</v>
      </c>
      <c r="C687" t="s">
        <v>538</v>
      </c>
      <c r="D687" t="s">
        <v>290</v>
      </c>
      <c r="E687" s="48">
        <v>-1</v>
      </c>
      <c r="F687" s="24">
        <v>238.88</v>
      </c>
      <c r="G687" s="24">
        <v>-238.88</v>
      </c>
      <c r="H687" t="s">
        <v>549</v>
      </c>
    </row>
    <row r="688" spans="1:8" ht="15" customHeight="1" x14ac:dyDescent="0.3">
      <c r="A688" t="s">
        <v>598</v>
      </c>
      <c r="B688" t="s">
        <v>537</v>
      </c>
      <c r="C688" t="s">
        <v>538</v>
      </c>
      <c r="D688" t="s">
        <v>290</v>
      </c>
      <c r="E688" s="48">
        <v>-1</v>
      </c>
      <c r="F688" s="24">
        <v>238.88</v>
      </c>
      <c r="G688" s="24">
        <v>-238.88</v>
      </c>
      <c r="H688" t="s">
        <v>592</v>
      </c>
    </row>
    <row r="689" spans="1:8" ht="15" customHeight="1" x14ac:dyDescent="0.3">
      <c r="A689" t="s">
        <v>598</v>
      </c>
      <c r="B689" t="s">
        <v>537</v>
      </c>
      <c r="C689" t="s">
        <v>541</v>
      </c>
      <c r="D689" t="s">
        <v>282</v>
      </c>
      <c r="E689" s="48">
        <v>1</v>
      </c>
      <c r="F689" s="24">
        <v>67.33</v>
      </c>
      <c r="G689" s="24">
        <v>67.33</v>
      </c>
      <c r="H689" t="s">
        <v>551</v>
      </c>
    </row>
    <row r="690" spans="1:8" ht="15" customHeight="1" x14ac:dyDescent="0.3">
      <c r="A690" t="s">
        <v>598</v>
      </c>
      <c r="B690" t="s">
        <v>537</v>
      </c>
      <c r="C690" t="s">
        <v>541</v>
      </c>
      <c r="D690" t="s">
        <v>282</v>
      </c>
      <c r="E690" s="48">
        <v>-1</v>
      </c>
      <c r="F690" s="24">
        <v>510</v>
      </c>
      <c r="G690" s="24">
        <v>-510</v>
      </c>
      <c r="H690" t="s">
        <v>592</v>
      </c>
    </row>
    <row r="691" spans="1:8" ht="15" customHeight="1" x14ac:dyDescent="0.3">
      <c r="A691" t="s">
        <v>598</v>
      </c>
      <c r="B691" t="s">
        <v>47</v>
      </c>
      <c r="C691" t="s">
        <v>552</v>
      </c>
      <c r="D691" t="s">
        <v>287</v>
      </c>
      <c r="E691" s="48">
        <v>0</v>
      </c>
      <c r="F691" s="24">
        <v>0</v>
      </c>
      <c r="G691" s="24">
        <v>0</v>
      </c>
      <c r="H691" t="s">
        <v>553</v>
      </c>
    </row>
    <row r="692" spans="1:8" ht="15" customHeight="1" x14ac:dyDescent="0.3">
      <c r="A692" t="s">
        <v>598</v>
      </c>
      <c r="B692" t="s">
        <v>47</v>
      </c>
      <c r="C692" t="s">
        <v>552</v>
      </c>
      <c r="D692" t="s">
        <v>289</v>
      </c>
      <c r="E692" s="48">
        <v>0</v>
      </c>
      <c r="F692" s="24">
        <v>0</v>
      </c>
      <c r="G692" s="24">
        <v>0</v>
      </c>
      <c r="H692" t="s">
        <v>554</v>
      </c>
    </row>
    <row r="693" spans="1:8" ht="15" customHeight="1" x14ac:dyDescent="0.3">
      <c r="A693" t="s">
        <v>598</v>
      </c>
      <c r="B693" t="s">
        <v>47</v>
      </c>
      <c r="C693" t="s">
        <v>552</v>
      </c>
      <c r="D693" t="s">
        <v>293</v>
      </c>
      <c r="E693" s="48">
        <v>0</v>
      </c>
      <c r="F693" s="24">
        <v>0</v>
      </c>
      <c r="G693" s="24">
        <v>0</v>
      </c>
      <c r="H693" t="s">
        <v>555</v>
      </c>
    </row>
    <row r="694" spans="1:8" ht="15" customHeight="1" x14ac:dyDescent="0.3">
      <c r="A694" t="s">
        <v>598</v>
      </c>
      <c r="B694" t="s">
        <v>47</v>
      </c>
      <c r="C694" t="s">
        <v>552</v>
      </c>
      <c r="D694" t="s">
        <v>290</v>
      </c>
      <c r="E694" s="48">
        <v>0</v>
      </c>
      <c r="F694" s="24">
        <v>0</v>
      </c>
      <c r="G694" s="24">
        <v>0</v>
      </c>
      <c r="H694" t="s">
        <v>556</v>
      </c>
    </row>
    <row r="695" spans="1:8" ht="15" customHeight="1" x14ac:dyDescent="0.3">
      <c r="A695" t="s">
        <v>598</v>
      </c>
      <c r="B695" t="s">
        <v>47</v>
      </c>
      <c r="C695" t="s">
        <v>552</v>
      </c>
      <c r="D695" t="s">
        <v>284</v>
      </c>
      <c r="E695" s="48">
        <v>0</v>
      </c>
      <c r="F695" s="24">
        <v>0</v>
      </c>
      <c r="G695" s="24">
        <v>0</v>
      </c>
      <c r="H695" t="s">
        <v>557</v>
      </c>
    </row>
    <row r="696" spans="1:8" ht="15" customHeight="1" x14ac:dyDescent="0.3">
      <c r="A696" t="s">
        <v>598</v>
      </c>
      <c r="B696" t="s">
        <v>47</v>
      </c>
      <c r="C696" t="s">
        <v>552</v>
      </c>
      <c r="D696" t="s">
        <v>285</v>
      </c>
      <c r="E696" s="48">
        <v>0</v>
      </c>
      <c r="F696" s="24">
        <v>0</v>
      </c>
      <c r="G696" s="24">
        <v>0</v>
      </c>
      <c r="H696" t="s">
        <v>555</v>
      </c>
    </row>
    <row r="697" spans="1:8" ht="15" customHeight="1" x14ac:dyDescent="0.3">
      <c r="A697" t="s">
        <v>598</v>
      </c>
      <c r="B697" t="s">
        <v>47</v>
      </c>
      <c r="C697" t="s">
        <v>552</v>
      </c>
      <c r="D697" t="s">
        <v>282</v>
      </c>
      <c r="E697" s="48">
        <v>0</v>
      </c>
      <c r="F697" s="24">
        <v>0</v>
      </c>
      <c r="G697" s="24">
        <v>0</v>
      </c>
      <c r="H697" t="s">
        <v>558</v>
      </c>
    </row>
    <row r="698" spans="1:8" ht="15" customHeight="1" x14ac:dyDescent="0.3">
      <c r="A698" t="s">
        <v>598</v>
      </c>
      <c r="B698" t="s">
        <v>85</v>
      </c>
      <c r="C698" t="s">
        <v>559</v>
      </c>
      <c r="D698" t="s">
        <v>275</v>
      </c>
      <c r="E698" s="48">
        <v>144</v>
      </c>
      <c r="F698" s="24">
        <v>123.13</v>
      </c>
      <c r="G698" s="24">
        <v>17730.72</v>
      </c>
      <c r="H698" t="s">
        <v>596</v>
      </c>
    </row>
    <row r="699" spans="1:8" ht="15" customHeight="1" x14ac:dyDescent="0.3">
      <c r="A699" t="s">
        <v>598</v>
      </c>
      <c r="B699" t="s">
        <v>85</v>
      </c>
      <c r="C699" t="s">
        <v>559</v>
      </c>
      <c r="D699" t="s">
        <v>287</v>
      </c>
      <c r="E699" s="48">
        <v>3</v>
      </c>
      <c r="F699" s="24">
        <v>155.82</v>
      </c>
      <c r="G699" s="24">
        <v>467.46</v>
      </c>
      <c r="H699" t="s">
        <v>596</v>
      </c>
    </row>
    <row r="700" spans="1:8" ht="15" customHeight="1" x14ac:dyDescent="0.3">
      <c r="A700" t="s">
        <v>598</v>
      </c>
      <c r="B700" t="s">
        <v>85</v>
      </c>
      <c r="C700" t="s">
        <v>559</v>
      </c>
      <c r="D700" t="s">
        <v>289</v>
      </c>
      <c r="E700" s="48">
        <v>18</v>
      </c>
      <c r="F700" s="24">
        <v>139.33000000000001</v>
      </c>
      <c r="G700" s="24">
        <v>2507.94</v>
      </c>
      <c r="H700" t="s">
        <v>561</v>
      </c>
    </row>
    <row r="701" spans="1:8" ht="15" customHeight="1" x14ac:dyDescent="0.3">
      <c r="A701" t="s">
        <v>598</v>
      </c>
      <c r="B701" t="s">
        <v>85</v>
      </c>
      <c r="C701" t="s">
        <v>559</v>
      </c>
      <c r="D701" t="s">
        <v>293</v>
      </c>
      <c r="E701" s="48">
        <v>15</v>
      </c>
      <c r="F701" s="24">
        <v>158.22</v>
      </c>
      <c r="G701" s="24">
        <v>2373.3000000000002</v>
      </c>
      <c r="H701" t="s">
        <v>561</v>
      </c>
    </row>
    <row r="702" spans="1:8" ht="15" customHeight="1" x14ac:dyDescent="0.3">
      <c r="A702" t="s">
        <v>598</v>
      </c>
      <c r="B702" t="s">
        <v>85</v>
      </c>
      <c r="C702" t="s">
        <v>559</v>
      </c>
      <c r="D702" t="s">
        <v>290</v>
      </c>
      <c r="E702" s="48">
        <v>26</v>
      </c>
      <c r="F702" s="24">
        <v>155.59</v>
      </c>
      <c r="G702" s="24">
        <v>4045.34</v>
      </c>
      <c r="H702" t="s">
        <v>561</v>
      </c>
    </row>
    <row r="703" spans="1:8" ht="15" customHeight="1" x14ac:dyDescent="0.3">
      <c r="A703" t="s">
        <v>598</v>
      </c>
      <c r="B703" t="s">
        <v>85</v>
      </c>
      <c r="C703" t="s">
        <v>559</v>
      </c>
      <c r="D703" t="s">
        <v>284</v>
      </c>
      <c r="E703" s="48">
        <v>11</v>
      </c>
      <c r="F703" s="24">
        <v>106.24</v>
      </c>
      <c r="G703" s="24">
        <v>1168.6400000000001</v>
      </c>
      <c r="H703" t="s">
        <v>561</v>
      </c>
    </row>
    <row r="704" spans="1:8" ht="15" customHeight="1" x14ac:dyDescent="0.3">
      <c r="A704" t="s">
        <v>598</v>
      </c>
      <c r="B704" t="s">
        <v>85</v>
      </c>
      <c r="C704" t="s">
        <v>559</v>
      </c>
      <c r="D704" t="s">
        <v>285</v>
      </c>
      <c r="E704" s="48">
        <v>2</v>
      </c>
      <c r="F704" s="24">
        <v>143.82</v>
      </c>
      <c r="G704" s="24">
        <v>287.64</v>
      </c>
      <c r="H704" t="s">
        <v>561</v>
      </c>
    </row>
    <row r="705" spans="1:8" ht="15" customHeight="1" x14ac:dyDescent="0.3">
      <c r="A705" t="s">
        <v>598</v>
      </c>
      <c r="B705" t="s">
        <v>85</v>
      </c>
      <c r="C705" t="s">
        <v>559</v>
      </c>
      <c r="D705" t="s">
        <v>282</v>
      </c>
      <c r="E705" s="48">
        <v>10</v>
      </c>
      <c r="F705" s="24">
        <v>146.53</v>
      </c>
      <c r="G705" s="24">
        <v>1465.3</v>
      </c>
      <c r="H705" t="s">
        <v>561</v>
      </c>
    </row>
    <row r="706" spans="1:8" ht="15" customHeight="1" x14ac:dyDescent="0.3">
      <c r="A706" t="s">
        <v>598</v>
      </c>
      <c r="B706" t="s">
        <v>85</v>
      </c>
      <c r="C706" t="s">
        <v>559</v>
      </c>
      <c r="D706" t="s">
        <v>282</v>
      </c>
      <c r="E706" s="48">
        <v>10</v>
      </c>
      <c r="F706" s="24">
        <v>122.11</v>
      </c>
      <c r="G706" s="24">
        <v>1221.0999999999999</v>
      </c>
      <c r="H706" t="s">
        <v>596</v>
      </c>
    </row>
    <row r="707" spans="1:8" ht="15" customHeight="1" x14ac:dyDescent="0.3">
      <c r="A707" t="s">
        <v>598</v>
      </c>
      <c r="B707" t="s">
        <v>32</v>
      </c>
      <c r="C707" t="s">
        <v>562</v>
      </c>
      <c r="D707" t="s">
        <v>287</v>
      </c>
      <c r="E707" s="48">
        <v>0</v>
      </c>
      <c r="F707" s="24">
        <v>0</v>
      </c>
      <c r="G707" s="24">
        <v>0</v>
      </c>
      <c r="H707" t="s">
        <v>563</v>
      </c>
    </row>
    <row r="708" spans="1:8" ht="15" customHeight="1" x14ac:dyDescent="0.3">
      <c r="A708" t="s">
        <v>598</v>
      </c>
      <c r="B708" t="s">
        <v>32</v>
      </c>
      <c r="C708" t="s">
        <v>564</v>
      </c>
      <c r="D708" t="s">
        <v>287</v>
      </c>
      <c r="E708" s="48">
        <v>0</v>
      </c>
      <c r="F708" s="24">
        <v>0</v>
      </c>
      <c r="G708" s="24">
        <v>0</v>
      </c>
      <c r="H708" t="s">
        <v>565</v>
      </c>
    </row>
    <row r="709" spans="1:8" ht="15" customHeight="1" x14ac:dyDescent="0.3">
      <c r="A709" t="s">
        <v>598</v>
      </c>
      <c r="B709" t="s">
        <v>32</v>
      </c>
      <c r="C709" t="s">
        <v>562</v>
      </c>
      <c r="D709" t="s">
        <v>293</v>
      </c>
      <c r="E709" s="48">
        <v>0</v>
      </c>
      <c r="F709" s="24">
        <v>0</v>
      </c>
      <c r="G709" s="24">
        <v>0</v>
      </c>
      <c r="H709" t="s">
        <v>563</v>
      </c>
    </row>
    <row r="710" spans="1:8" ht="15" customHeight="1" x14ac:dyDescent="0.3">
      <c r="A710" t="s">
        <v>598</v>
      </c>
      <c r="B710" t="s">
        <v>32</v>
      </c>
      <c r="C710" t="s">
        <v>564</v>
      </c>
      <c r="D710" t="s">
        <v>293</v>
      </c>
      <c r="E710" s="48">
        <v>0</v>
      </c>
      <c r="F710" s="24">
        <v>0</v>
      </c>
      <c r="G710" s="24">
        <v>0</v>
      </c>
      <c r="H710" t="s">
        <v>566</v>
      </c>
    </row>
    <row r="711" spans="1:8" ht="15" customHeight="1" x14ac:dyDescent="0.3">
      <c r="A711" t="s">
        <v>598</v>
      </c>
      <c r="B711" t="s">
        <v>32</v>
      </c>
      <c r="C711" t="s">
        <v>562</v>
      </c>
      <c r="D711" t="s">
        <v>290</v>
      </c>
      <c r="E711" s="48">
        <v>0</v>
      </c>
      <c r="F711" s="24">
        <v>0</v>
      </c>
      <c r="G711" s="24">
        <v>0</v>
      </c>
      <c r="H711" t="s">
        <v>563</v>
      </c>
    </row>
    <row r="712" spans="1:8" ht="15" customHeight="1" x14ac:dyDescent="0.3">
      <c r="A712" t="s">
        <v>598</v>
      </c>
      <c r="B712" t="s">
        <v>32</v>
      </c>
      <c r="C712" t="s">
        <v>562</v>
      </c>
      <c r="D712" t="s">
        <v>290</v>
      </c>
      <c r="E712" s="48">
        <v>0</v>
      </c>
      <c r="F712" s="24">
        <v>0</v>
      </c>
      <c r="G712" s="24">
        <v>0</v>
      </c>
      <c r="H712" t="s">
        <v>563</v>
      </c>
    </row>
    <row r="713" spans="1:8" ht="15" customHeight="1" x14ac:dyDescent="0.3">
      <c r="A713" t="s">
        <v>598</v>
      </c>
      <c r="B713" t="s">
        <v>32</v>
      </c>
      <c r="C713" t="s">
        <v>562</v>
      </c>
      <c r="D713" t="s">
        <v>284</v>
      </c>
      <c r="E713" s="48">
        <v>0</v>
      </c>
      <c r="F713" s="24">
        <v>0</v>
      </c>
      <c r="G713" s="24">
        <v>0</v>
      </c>
      <c r="H713" t="s">
        <v>563</v>
      </c>
    </row>
    <row r="714" spans="1:8" ht="15" customHeight="1" x14ac:dyDescent="0.3">
      <c r="A714" t="s">
        <v>598</v>
      </c>
      <c r="B714" t="s">
        <v>32</v>
      </c>
      <c r="C714" t="s">
        <v>564</v>
      </c>
      <c r="D714" t="s">
        <v>284</v>
      </c>
      <c r="E714" s="48">
        <v>0</v>
      </c>
      <c r="F714" s="24">
        <v>0</v>
      </c>
      <c r="G714" s="24">
        <v>0</v>
      </c>
      <c r="H714" t="s">
        <v>565</v>
      </c>
    </row>
    <row r="715" spans="1:8" ht="15" customHeight="1" x14ac:dyDescent="0.3">
      <c r="A715" t="s">
        <v>598</v>
      </c>
      <c r="B715" t="s">
        <v>32</v>
      </c>
      <c r="C715" t="s">
        <v>562</v>
      </c>
      <c r="D715" t="s">
        <v>285</v>
      </c>
      <c r="E715" s="48">
        <v>0</v>
      </c>
      <c r="F715" s="24">
        <v>0</v>
      </c>
      <c r="G715" s="24">
        <v>0</v>
      </c>
      <c r="H715" t="s">
        <v>563</v>
      </c>
    </row>
    <row r="716" spans="1:8" ht="15" customHeight="1" x14ac:dyDescent="0.3">
      <c r="A716" t="s">
        <v>598</v>
      </c>
      <c r="B716" t="s">
        <v>32</v>
      </c>
      <c r="C716" t="s">
        <v>562</v>
      </c>
      <c r="D716" t="s">
        <v>282</v>
      </c>
      <c r="E716" s="48">
        <v>0</v>
      </c>
      <c r="F716" s="24">
        <v>0</v>
      </c>
      <c r="G716" s="24">
        <v>0</v>
      </c>
      <c r="H716" t="s">
        <v>563</v>
      </c>
    </row>
    <row r="717" spans="1:8" ht="15" customHeight="1" x14ac:dyDescent="0.3">
      <c r="A717" t="s">
        <v>598</v>
      </c>
      <c r="B717" t="s">
        <v>32</v>
      </c>
      <c r="C717" t="s">
        <v>564</v>
      </c>
      <c r="D717" t="s">
        <v>282</v>
      </c>
      <c r="E717" s="48">
        <v>0</v>
      </c>
      <c r="F717" s="24">
        <v>0</v>
      </c>
      <c r="G717" s="24">
        <v>0</v>
      </c>
      <c r="H717" t="s">
        <v>567</v>
      </c>
    </row>
    <row r="718" spans="1:8" ht="15" customHeight="1" x14ac:dyDescent="0.3">
      <c r="A718" t="s">
        <v>598</v>
      </c>
      <c r="B718" t="s">
        <v>568</v>
      </c>
      <c r="C718" t="s">
        <v>569</v>
      </c>
      <c r="D718" t="s">
        <v>289</v>
      </c>
      <c r="E718" s="48">
        <v>13418</v>
      </c>
      <c r="F718" s="24">
        <v>2.99991610765306</v>
      </c>
      <c r="G718" s="24">
        <v>40252.874331999999</v>
      </c>
      <c r="H718" t="s">
        <v>394</v>
      </c>
    </row>
    <row r="719" spans="1:8" ht="15" customHeight="1" x14ac:dyDescent="0.3">
      <c r="A719" t="s">
        <v>598</v>
      </c>
      <c r="B719" t="s">
        <v>44</v>
      </c>
      <c r="C719" t="s">
        <v>570</v>
      </c>
      <c r="D719" t="s">
        <v>287</v>
      </c>
      <c r="E719" s="48">
        <v>-1</v>
      </c>
      <c r="F719" s="24">
        <v>514.86</v>
      </c>
      <c r="G719" s="24">
        <v>-514.86</v>
      </c>
      <c r="H719" t="s">
        <v>622</v>
      </c>
    </row>
    <row r="720" spans="1:8" ht="15" customHeight="1" x14ac:dyDescent="0.3">
      <c r="A720" t="s">
        <v>598</v>
      </c>
      <c r="B720" t="s">
        <v>44</v>
      </c>
      <c r="C720" t="s">
        <v>570</v>
      </c>
      <c r="D720" t="s">
        <v>289</v>
      </c>
      <c r="E720" s="48">
        <v>0</v>
      </c>
      <c r="F720" s="24">
        <v>0</v>
      </c>
      <c r="G720" s="24">
        <v>0</v>
      </c>
      <c r="H720" t="s">
        <v>623</v>
      </c>
    </row>
    <row r="721" spans="1:8" ht="15" customHeight="1" x14ac:dyDescent="0.3">
      <c r="A721" t="s">
        <v>598</v>
      </c>
      <c r="B721" t="s">
        <v>44</v>
      </c>
      <c r="C721" t="s">
        <v>573</v>
      </c>
      <c r="D721" t="s">
        <v>289</v>
      </c>
      <c r="E721" s="48">
        <v>0</v>
      </c>
      <c r="F721" s="24">
        <v>0</v>
      </c>
      <c r="G721" s="24">
        <v>0</v>
      </c>
      <c r="H721" t="s">
        <v>574</v>
      </c>
    </row>
    <row r="722" spans="1:8" ht="15" customHeight="1" x14ac:dyDescent="0.3">
      <c r="A722" t="s">
        <v>598</v>
      </c>
      <c r="B722" t="s">
        <v>44</v>
      </c>
      <c r="C722" t="s">
        <v>575</v>
      </c>
      <c r="D722" t="s">
        <v>289</v>
      </c>
      <c r="E722" s="48">
        <v>0</v>
      </c>
      <c r="F722" s="24">
        <v>0</v>
      </c>
      <c r="G722" s="24">
        <v>0</v>
      </c>
      <c r="H722" t="s">
        <v>576</v>
      </c>
    </row>
    <row r="723" spans="1:8" ht="15" customHeight="1" x14ac:dyDescent="0.3">
      <c r="A723" t="s">
        <v>598</v>
      </c>
      <c r="B723" t="s">
        <v>44</v>
      </c>
      <c r="C723" t="s">
        <v>577</v>
      </c>
      <c r="D723" t="s">
        <v>289</v>
      </c>
      <c r="E723" s="48">
        <v>0</v>
      </c>
      <c r="F723" s="24">
        <v>0</v>
      </c>
      <c r="G723" s="24">
        <v>0</v>
      </c>
      <c r="H723" t="s">
        <v>578</v>
      </c>
    </row>
    <row r="724" spans="1:8" ht="15" customHeight="1" x14ac:dyDescent="0.3">
      <c r="A724" t="s">
        <v>598</v>
      </c>
      <c r="B724" t="s">
        <v>44</v>
      </c>
      <c r="C724" t="s">
        <v>570</v>
      </c>
      <c r="D724" t="s">
        <v>293</v>
      </c>
      <c r="E724" s="48">
        <v>1</v>
      </c>
      <c r="F724" s="24">
        <v>987.11</v>
      </c>
      <c r="G724" s="24">
        <v>987.11</v>
      </c>
      <c r="H724" t="s">
        <v>623</v>
      </c>
    </row>
    <row r="725" spans="1:8" ht="15" customHeight="1" x14ac:dyDescent="0.3">
      <c r="A725" t="s">
        <v>598</v>
      </c>
      <c r="B725" t="s">
        <v>44</v>
      </c>
      <c r="C725" t="s">
        <v>570</v>
      </c>
      <c r="D725" t="s">
        <v>293</v>
      </c>
      <c r="E725" s="48">
        <v>0</v>
      </c>
      <c r="F725" s="24">
        <v>0</v>
      </c>
      <c r="G725" s="24">
        <v>0</v>
      </c>
      <c r="H725" t="s">
        <v>572</v>
      </c>
    </row>
    <row r="726" spans="1:8" ht="15" customHeight="1" x14ac:dyDescent="0.3">
      <c r="A726" t="s">
        <v>598</v>
      </c>
      <c r="B726" t="s">
        <v>44</v>
      </c>
      <c r="C726" t="s">
        <v>579</v>
      </c>
      <c r="D726" t="s">
        <v>293</v>
      </c>
      <c r="E726" s="48">
        <v>0</v>
      </c>
      <c r="F726" s="24">
        <v>0</v>
      </c>
      <c r="G726" s="24">
        <v>0</v>
      </c>
      <c r="H726" t="s">
        <v>574</v>
      </c>
    </row>
    <row r="727" spans="1:8" ht="15" customHeight="1" x14ac:dyDescent="0.3">
      <c r="A727" t="s">
        <v>598</v>
      </c>
      <c r="B727" t="s">
        <v>44</v>
      </c>
      <c r="C727" t="s">
        <v>580</v>
      </c>
      <c r="D727" t="s">
        <v>293</v>
      </c>
      <c r="E727" s="48">
        <v>0</v>
      </c>
      <c r="F727" s="24">
        <v>0</v>
      </c>
      <c r="G727" s="24">
        <v>0</v>
      </c>
      <c r="H727" t="s">
        <v>578</v>
      </c>
    </row>
    <row r="728" spans="1:8" ht="15" customHeight="1" x14ac:dyDescent="0.3">
      <c r="A728" t="s">
        <v>598</v>
      </c>
      <c r="B728" t="s">
        <v>44</v>
      </c>
      <c r="C728" t="s">
        <v>570</v>
      </c>
      <c r="D728" t="s">
        <v>290</v>
      </c>
      <c r="E728" s="48">
        <v>1</v>
      </c>
      <c r="F728" s="24">
        <v>3707.87</v>
      </c>
      <c r="G728" s="24">
        <v>3707.87</v>
      </c>
      <c r="H728" t="s">
        <v>623</v>
      </c>
    </row>
    <row r="729" spans="1:8" ht="15" customHeight="1" x14ac:dyDescent="0.3">
      <c r="A729" t="s">
        <v>598</v>
      </c>
      <c r="B729" t="s">
        <v>44</v>
      </c>
      <c r="C729" t="s">
        <v>581</v>
      </c>
      <c r="D729" t="s">
        <v>290</v>
      </c>
      <c r="E729" s="48">
        <v>-1</v>
      </c>
      <c r="F729" s="24">
        <v>245.98</v>
      </c>
      <c r="G729" s="24">
        <v>-245.98</v>
      </c>
      <c r="H729" t="s">
        <v>574</v>
      </c>
    </row>
    <row r="730" spans="1:8" ht="15" customHeight="1" x14ac:dyDescent="0.3">
      <c r="A730" t="s">
        <v>598</v>
      </c>
      <c r="B730" t="s">
        <v>44</v>
      </c>
      <c r="C730" t="s">
        <v>582</v>
      </c>
      <c r="D730" t="s">
        <v>290</v>
      </c>
      <c r="E730" s="48">
        <v>-1</v>
      </c>
      <c r="F730" s="24">
        <v>451.06</v>
      </c>
      <c r="G730" s="24">
        <v>-451.06</v>
      </c>
      <c r="H730" t="s">
        <v>574</v>
      </c>
    </row>
    <row r="731" spans="1:8" ht="15" customHeight="1" x14ac:dyDescent="0.3">
      <c r="A731" t="s">
        <v>598</v>
      </c>
      <c r="B731" t="s">
        <v>44</v>
      </c>
      <c r="C731" t="s">
        <v>584</v>
      </c>
      <c r="D731" t="s">
        <v>290</v>
      </c>
      <c r="E731" s="48">
        <v>-1</v>
      </c>
      <c r="F731" s="24">
        <v>589.14</v>
      </c>
      <c r="G731" s="24">
        <v>-589.14</v>
      </c>
      <c r="H731" t="s">
        <v>578</v>
      </c>
    </row>
    <row r="732" spans="1:8" ht="15" customHeight="1" x14ac:dyDescent="0.3">
      <c r="A732" t="s">
        <v>598</v>
      </c>
      <c r="B732" t="s">
        <v>44</v>
      </c>
      <c r="C732" t="s">
        <v>584</v>
      </c>
      <c r="D732" t="s">
        <v>290</v>
      </c>
      <c r="E732" s="48">
        <v>-1</v>
      </c>
      <c r="F732" s="24">
        <v>171.62</v>
      </c>
      <c r="G732" s="24">
        <v>-171.62</v>
      </c>
      <c r="H732" t="s">
        <v>571</v>
      </c>
    </row>
    <row r="733" spans="1:8" ht="15" customHeight="1" x14ac:dyDescent="0.3">
      <c r="A733" t="s">
        <v>598</v>
      </c>
      <c r="B733" t="s">
        <v>44</v>
      </c>
      <c r="C733" t="s">
        <v>624</v>
      </c>
      <c r="D733" t="s">
        <v>290</v>
      </c>
      <c r="E733" s="48">
        <v>-1</v>
      </c>
      <c r="F733" s="24">
        <v>158.76</v>
      </c>
      <c r="G733" s="24">
        <v>-158.76</v>
      </c>
      <c r="H733" t="s">
        <v>578</v>
      </c>
    </row>
    <row r="734" spans="1:8" ht="15" customHeight="1" x14ac:dyDescent="0.3">
      <c r="A734" t="s">
        <v>598</v>
      </c>
      <c r="B734" t="s">
        <v>44</v>
      </c>
      <c r="C734" t="s">
        <v>570</v>
      </c>
      <c r="D734" t="s">
        <v>284</v>
      </c>
      <c r="E734" s="48">
        <v>1</v>
      </c>
      <c r="F734" s="24">
        <v>4497.3599999999997</v>
      </c>
      <c r="G734" s="24">
        <v>4497.3599999999997</v>
      </c>
      <c r="H734" t="s">
        <v>572</v>
      </c>
    </row>
    <row r="735" spans="1:8" ht="15" customHeight="1" x14ac:dyDescent="0.3">
      <c r="A735" t="s">
        <v>598</v>
      </c>
      <c r="B735" t="s">
        <v>44</v>
      </c>
      <c r="C735" t="s">
        <v>570</v>
      </c>
      <c r="D735" t="s">
        <v>284</v>
      </c>
      <c r="E735" s="48">
        <v>0</v>
      </c>
      <c r="F735" s="24">
        <v>0</v>
      </c>
      <c r="G735" s="24">
        <v>0</v>
      </c>
      <c r="H735" t="s">
        <v>572</v>
      </c>
    </row>
    <row r="736" spans="1:8" ht="15" customHeight="1" x14ac:dyDescent="0.3">
      <c r="A736" t="s">
        <v>598</v>
      </c>
      <c r="B736" t="s">
        <v>44</v>
      </c>
      <c r="C736" t="s">
        <v>582</v>
      </c>
      <c r="D736" t="s">
        <v>284</v>
      </c>
      <c r="E736" s="48">
        <v>1</v>
      </c>
      <c r="F736" s="24">
        <v>158.76</v>
      </c>
      <c r="G736" s="24">
        <v>158.76</v>
      </c>
      <c r="H736" t="s">
        <v>578</v>
      </c>
    </row>
    <row r="737" spans="1:8" ht="15" customHeight="1" x14ac:dyDescent="0.3">
      <c r="A737" t="s">
        <v>598</v>
      </c>
      <c r="B737" t="s">
        <v>44</v>
      </c>
      <c r="C737" t="s">
        <v>583</v>
      </c>
      <c r="D737" t="s">
        <v>284</v>
      </c>
      <c r="E737" s="48">
        <v>1</v>
      </c>
      <c r="F737" s="24">
        <v>451.06</v>
      </c>
      <c r="G737" s="24">
        <v>451.06</v>
      </c>
      <c r="H737" t="s">
        <v>578</v>
      </c>
    </row>
    <row r="738" spans="1:8" ht="15" customHeight="1" x14ac:dyDescent="0.3">
      <c r="A738" t="s">
        <v>598</v>
      </c>
      <c r="B738" t="s">
        <v>44</v>
      </c>
      <c r="C738" t="s">
        <v>570</v>
      </c>
      <c r="D738" t="s">
        <v>285</v>
      </c>
      <c r="E738" s="48">
        <v>1</v>
      </c>
      <c r="F738" s="24">
        <v>368.28</v>
      </c>
      <c r="G738" s="24">
        <v>368.28</v>
      </c>
      <c r="H738" t="s">
        <v>623</v>
      </c>
    </row>
    <row r="739" spans="1:8" ht="15" customHeight="1" x14ac:dyDescent="0.3">
      <c r="A739" t="s">
        <v>598</v>
      </c>
      <c r="B739" t="s">
        <v>44</v>
      </c>
      <c r="C739" t="s">
        <v>570</v>
      </c>
      <c r="D739" t="s">
        <v>285</v>
      </c>
      <c r="E739" s="48">
        <v>0</v>
      </c>
      <c r="F739" s="24">
        <v>0</v>
      </c>
      <c r="G739" s="24">
        <v>0</v>
      </c>
      <c r="H739" t="s">
        <v>571</v>
      </c>
    </row>
    <row r="740" spans="1:8" ht="15" customHeight="1" x14ac:dyDescent="0.3">
      <c r="A740" t="s">
        <v>598</v>
      </c>
      <c r="B740" t="s">
        <v>44</v>
      </c>
      <c r="C740" t="s">
        <v>570</v>
      </c>
      <c r="D740" t="s">
        <v>282</v>
      </c>
      <c r="E740" s="48">
        <v>1</v>
      </c>
      <c r="F740" s="24">
        <v>1043.05</v>
      </c>
      <c r="G740" s="24">
        <v>1043.05</v>
      </c>
      <c r="H740" t="s">
        <v>623</v>
      </c>
    </row>
    <row r="741" spans="1:8" ht="15" customHeight="1" x14ac:dyDescent="0.3">
      <c r="A741" t="s">
        <v>598</v>
      </c>
      <c r="B741" t="s">
        <v>44</v>
      </c>
      <c r="C741" t="s">
        <v>570</v>
      </c>
      <c r="D741" t="s">
        <v>282</v>
      </c>
      <c r="E741" s="48">
        <v>-1</v>
      </c>
      <c r="F741" s="24">
        <v>4096.8900000000003</v>
      </c>
      <c r="G741" s="24">
        <v>-4096.8900000000003</v>
      </c>
      <c r="H741" t="s">
        <v>571</v>
      </c>
    </row>
    <row r="742" spans="1:8" ht="15" customHeight="1" x14ac:dyDescent="0.3">
      <c r="A742" t="s">
        <v>598</v>
      </c>
      <c r="B742" t="s">
        <v>44</v>
      </c>
      <c r="C742" t="s">
        <v>585</v>
      </c>
      <c r="D742" t="s">
        <v>282</v>
      </c>
      <c r="E742" s="48">
        <v>0</v>
      </c>
      <c r="F742" s="24">
        <v>0</v>
      </c>
      <c r="G742" s="24">
        <v>0</v>
      </c>
      <c r="H742" t="s">
        <v>574</v>
      </c>
    </row>
    <row r="743" spans="1:8" ht="15" customHeight="1" x14ac:dyDescent="0.3">
      <c r="A743" t="s">
        <v>598</v>
      </c>
      <c r="B743" t="s">
        <v>44</v>
      </c>
      <c r="C743" t="s">
        <v>580</v>
      </c>
      <c r="D743" t="s">
        <v>282</v>
      </c>
      <c r="E743" s="48">
        <v>0</v>
      </c>
      <c r="F743" s="24">
        <v>0</v>
      </c>
      <c r="G743" s="24">
        <v>0</v>
      </c>
      <c r="H743" t="s">
        <v>578</v>
      </c>
    </row>
    <row r="744" spans="1:8" ht="15" customHeight="1" x14ac:dyDescent="0.3">
      <c r="A744" t="s">
        <v>598</v>
      </c>
      <c r="B744" t="s">
        <v>87</v>
      </c>
      <c r="C744" t="s">
        <v>586</v>
      </c>
      <c r="D744" t="s">
        <v>287</v>
      </c>
      <c r="E744" s="48">
        <v>2</v>
      </c>
      <c r="F744" s="24">
        <v>50</v>
      </c>
      <c r="G744" s="24">
        <v>100</v>
      </c>
      <c r="H744" t="s">
        <v>587</v>
      </c>
    </row>
    <row r="745" spans="1:8" ht="15" customHeight="1" x14ac:dyDescent="0.3">
      <c r="A745" t="s">
        <v>598</v>
      </c>
      <c r="B745" t="s">
        <v>87</v>
      </c>
      <c r="C745" t="s">
        <v>586</v>
      </c>
      <c r="D745" t="s">
        <v>293</v>
      </c>
      <c r="E745" s="48">
        <v>1</v>
      </c>
      <c r="F745" s="24">
        <v>10</v>
      </c>
      <c r="G745" s="24">
        <v>10</v>
      </c>
      <c r="H745" t="s">
        <v>587</v>
      </c>
    </row>
    <row r="746" spans="1:8" ht="15" customHeight="1" x14ac:dyDescent="0.3">
      <c r="A746" t="s">
        <v>598</v>
      </c>
      <c r="B746" t="s">
        <v>87</v>
      </c>
      <c r="C746" t="s">
        <v>586</v>
      </c>
      <c r="D746" t="s">
        <v>290</v>
      </c>
      <c r="E746" s="48">
        <v>1</v>
      </c>
      <c r="F746" s="24">
        <v>10</v>
      </c>
      <c r="G746" s="24">
        <v>10</v>
      </c>
      <c r="H746" t="s">
        <v>587</v>
      </c>
    </row>
    <row r="747" spans="1:8" ht="15" customHeight="1" x14ac:dyDescent="0.3">
      <c r="A747" t="s">
        <v>598</v>
      </c>
      <c r="B747" t="s">
        <v>87</v>
      </c>
      <c r="C747" t="s">
        <v>586</v>
      </c>
      <c r="D747" t="s">
        <v>290</v>
      </c>
      <c r="E747" s="48">
        <v>5</v>
      </c>
      <c r="F747" s="24">
        <v>50</v>
      </c>
      <c r="G747" s="24">
        <v>250</v>
      </c>
      <c r="H747" t="s">
        <v>587</v>
      </c>
    </row>
    <row r="748" spans="1:8" ht="15" customHeight="1" x14ac:dyDescent="0.3">
      <c r="A748" t="s">
        <v>598</v>
      </c>
      <c r="B748" t="s">
        <v>87</v>
      </c>
      <c r="C748" t="s">
        <v>586</v>
      </c>
      <c r="D748" t="s">
        <v>284</v>
      </c>
      <c r="E748" s="48">
        <v>2</v>
      </c>
      <c r="F748" s="24">
        <v>50</v>
      </c>
      <c r="G748" s="24">
        <v>100</v>
      </c>
      <c r="H748" t="s">
        <v>587</v>
      </c>
    </row>
    <row r="749" spans="1:8" ht="15" customHeight="1" x14ac:dyDescent="0.3">
      <c r="A749" t="s">
        <v>598</v>
      </c>
      <c r="B749" t="s">
        <v>87</v>
      </c>
      <c r="C749" t="s">
        <v>586</v>
      </c>
      <c r="D749" t="s">
        <v>285</v>
      </c>
      <c r="E749" s="48">
        <v>1</v>
      </c>
      <c r="F749" s="24">
        <v>50</v>
      </c>
      <c r="G749" s="24">
        <v>50</v>
      </c>
      <c r="H749" t="s">
        <v>587</v>
      </c>
    </row>
    <row r="750" spans="1:8" ht="15" customHeight="1" x14ac:dyDescent="0.3">
      <c r="A750" t="s">
        <v>598</v>
      </c>
      <c r="B750" t="s">
        <v>87</v>
      </c>
      <c r="C750" t="s">
        <v>586</v>
      </c>
      <c r="D750" t="s">
        <v>282</v>
      </c>
      <c r="E750" s="48">
        <v>1</v>
      </c>
      <c r="F750" s="24">
        <v>90</v>
      </c>
      <c r="G750" s="24">
        <v>90</v>
      </c>
      <c r="H750" t="s">
        <v>587</v>
      </c>
    </row>
    <row r="751" spans="1:8" ht="15" customHeight="1" x14ac:dyDescent="0.3">
      <c r="A751" t="s">
        <v>598</v>
      </c>
      <c r="B751" t="s">
        <v>87</v>
      </c>
      <c r="C751" t="s">
        <v>586</v>
      </c>
      <c r="D751" t="s">
        <v>282</v>
      </c>
      <c r="E751" s="48">
        <v>2</v>
      </c>
      <c r="F751" s="24">
        <v>10</v>
      </c>
      <c r="G751" s="24">
        <v>20</v>
      </c>
      <c r="H751" t="s">
        <v>587</v>
      </c>
    </row>
    <row r="752" spans="1:8" ht="15" customHeight="1" x14ac:dyDescent="0.3">
      <c r="A752" t="s">
        <v>598</v>
      </c>
      <c r="B752" t="s">
        <v>87</v>
      </c>
      <c r="C752" t="s">
        <v>586</v>
      </c>
      <c r="D752" t="s">
        <v>282</v>
      </c>
      <c r="E752" s="48">
        <v>3</v>
      </c>
      <c r="F752" s="24">
        <v>50</v>
      </c>
      <c r="G752" s="24">
        <v>150</v>
      </c>
      <c r="H752" t="s">
        <v>587</v>
      </c>
    </row>
    <row r="753" spans="1:8" ht="15" customHeight="1" x14ac:dyDescent="0.3">
      <c r="A753" t="s">
        <v>625</v>
      </c>
      <c r="B753" t="s">
        <v>395</v>
      </c>
      <c r="C753" t="s">
        <v>86</v>
      </c>
      <c r="D753" t="s">
        <v>289</v>
      </c>
      <c r="E753" s="48">
        <v>13530</v>
      </c>
      <c r="F753" s="24">
        <v>0.23</v>
      </c>
      <c r="G753" s="24">
        <v>3111.9</v>
      </c>
      <c r="H753" t="s">
        <v>394</v>
      </c>
    </row>
    <row r="754" spans="1:8" ht="15" customHeight="1" x14ac:dyDescent="0.3">
      <c r="A754" t="s">
        <v>625</v>
      </c>
      <c r="B754" t="s">
        <v>396</v>
      </c>
      <c r="C754" t="s">
        <v>397</v>
      </c>
      <c r="D754" t="s">
        <v>275</v>
      </c>
      <c r="E754" s="48">
        <v>0</v>
      </c>
      <c r="F754" s="24">
        <v>0</v>
      </c>
      <c r="G754" s="24">
        <v>0</v>
      </c>
      <c r="H754" t="s">
        <v>599</v>
      </c>
    </row>
    <row r="755" spans="1:8" ht="15" customHeight="1" x14ac:dyDescent="0.3">
      <c r="A755" t="s">
        <v>625</v>
      </c>
      <c r="B755" t="s">
        <v>396</v>
      </c>
      <c r="C755" t="s">
        <v>399</v>
      </c>
      <c r="D755" t="s">
        <v>275</v>
      </c>
      <c r="E755" s="48">
        <v>0</v>
      </c>
      <c r="F755" s="24">
        <v>0</v>
      </c>
      <c r="G755" s="24">
        <v>0</v>
      </c>
      <c r="H755" t="s">
        <v>589</v>
      </c>
    </row>
    <row r="756" spans="1:8" ht="15" customHeight="1" x14ac:dyDescent="0.3">
      <c r="A756" t="s">
        <v>625</v>
      </c>
      <c r="B756" t="s">
        <v>396</v>
      </c>
      <c r="C756" t="s">
        <v>397</v>
      </c>
      <c r="D756" t="s">
        <v>287</v>
      </c>
      <c r="E756" s="48">
        <v>0</v>
      </c>
      <c r="F756" s="24">
        <v>0</v>
      </c>
      <c r="G756" s="24">
        <v>0</v>
      </c>
      <c r="H756" t="s">
        <v>398</v>
      </c>
    </row>
    <row r="757" spans="1:8" ht="15" customHeight="1" x14ac:dyDescent="0.3">
      <c r="A757" t="s">
        <v>625</v>
      </c>
      <c r="B757" t="s">
        <v>396</v>
      </c>
      <c r="C757" t="s">
        <v>399</v>
      </c>
      <c r="D757" t="s">
        <v>287</v>
      </c>
      <c r="E757" s="48">
        <v>0</v>
      </c>
      <c r="F757" s="24">
        <v>0</v>
      </c>
      <c r="G757" s="24">
        <v>0</v>
      </c>
      <c r="H757" t="s">
        <v>589</v>
      </c>
    </row>
    <row r="758" spans="1:8" ht="15" customHeight="1" x14ac:dyDescent="0.3">
      <c r="A758" t="s">
        <v>625</v>
      </c>
      <c r="B758" t="s">
        <v>396</v>
      </c>
      <c r="C758" t="s">
        <v>397</v>
      </c>
      <c r="D758" t="s">
        <v>289</v>
      </c>
      <c r="E758" s="48">
        <v>0</v>
      </c>
      <c r="F758" s="24">
        <v>0</v>
      </c>
      <c r="G758" s="24">
        <v>0</v>
      </c>
      <c r="H758" t="s">
        <v>401</v>
      </c>
    </row>
    <row r="759" spans="1:8" ht="15" customHeight="1" x14ac:dyDescent="0.3">
      <c r="A759" t="s">
        <v>625</v>
      </c>
      <c r="B759" t="s">
        <v>396</v>
      </c>
      <c r="C759" t="s">
        <v>402</v>
      </c>
      <c r="D759" t="s">
        <v>289</v>
      </c>
      <c r="E759" s="48">
        <v>0</v>
      </c>
      <c r="F759" s="24">
        <v>0</v>
      </c>
      <c r="G759" s="24">
        <v>0</v>
      </c>
      <c r="H759" t="s">
        <v>403</v>
      </c>
    </row>
    <row r="760" spans="1:8" ht="15" customHeight="1" x14ac:dyDescent="0.3">
      <c r="A760" t="s">
        <v>625</v>
      </c>
      <c r="B760" t="s">
        <v>396</v>
      </c>
      <c r="C760" t="s">
        <v>397</v>
      </c>
      <c r="D760" t="s">
        <v>293</v>
      </c>
      <c r="E760" s="48">
        <v>0</v>
      </c>
      <c r="F760" s="24">
        <v>0</v>
      </c>
      <c r="G760" s="24">
        <v>0</v>
      </c>
      <c r="H760" t="s">
        <v>401</v>
      </c>
    </row>
    <row r="761" spans="1:8" ht="15" customHeight="1" x14ac:dyDescent="0.3">
      <c r="A761" t="s">
        <v>625</v>
      </c>
      <c r="B761" t="s">
        <v>396</v>
      </c>
      <c r="C761" t="s">
        <v>399</v>
      </c>
      <c r="D761" t="s">
        <v>293</v>
      </c>
      <c r="E761" s="48">
        <v>0</v>
      </c>
      <c r="F761" s="24">
        <v>0</v>
      </c>
      <c r="G761" s="24">
        <v>0</v>
      </c>
      <c r="H761" t="s">
        <v>589</v>
      </c>
    </row>
    <row r="762" spans="1:8" ht="15" customHeight="1" x14ac:dyDescent="0.3">
      <c r="A762" t="s">
        <v>625</v>
      </c>
      <c r="B762" t="s">
        <v>396</v>
      </c>
      <c r="C762" t="s">
        <v>397</v>
      </c>
      <c r="D762" t="s">
        <v>290</v>
      </c>
      <c r="E762" s="48">
        <v>0</v>
      </c>
      <c r="F762" s="24">
        <v>0</v>
      </c>
      <c r="G762" s="24">
        <v>0</v>
      </c>
      <c r="H762" t="s">
        <v>398</v>
      </c>
    </row>
    <row r="763" spans="1:8" ht="15" customHeight="1" x14ac:dyDescent="0.3">
      <c r="A763" t="s">
        <v>625</v>
      </c>
      <c r="B763" t="s">
        <v>396</v>
      </c>
      <c r="C763" t="s">
        <v>399</v>
      </c>
      <c r="D763" t="s">
        <v>290</v>
      </c>
      <c r="E763" s="48">
        <v>0</v>
      </c>
      <c r="F763" s="24">
        <v>0</v>
      </c>
      <c r="G763" s="24">
        <v>0</v>
      </c>
      <c r="H763" t="s">
        <v>400</v>
      </c>
    </row>
    <row r="764" spans="1:8" ht="15" customHeight="1" x14ac:dyDescent="0.3">
      <c r="A764" t="s">
        <v>625</v>
      </c>
      <c r="B764" t="s">
        <v>396</v>
      </c>
      <c r="C764" t="s">
        <v>397</v>
      </c>
      <c r="D764" t="s">
        <v>284</v>
      </c>
      <c r="E764" s="48">
        <v>0</v>
      </c>
      <c r="F764" s="24">
        <v>0</v>
      </c>
      <c r="G764" s="24">
        <v>0</v>
      </c>
      <c r="H764" t="s">
        <v>405</v>
      </c>
    </row>
    <row r="765" spans="1:8" ht="15" customHeight="1" x14ac:dyDescent="0.3">
      <c r="A765" t="s">
        <v>625</v>
      </c>
      <c r="B765" t="s">
        <v>396</v>
      </c>
      <c r="C765" t="s">
        <v>399</v>
      </c>
      <c r="D765" t="s">
        <v>284</v>
      </c>
      <c r="E765" s="48">
        <v>0</v>
      </c>
      <c r="F765" s="24">
        <v>0</v>
      </c>
      <c r="G765" s="24">
        <v>0</v>
      </c>
      <c r="H765" t="s">
        <v>589</v>
      </c>
    </row>
    <row r="766" spans="1:8" ht="15" customHeight="1" x14ac:dyDescent="0.3">
      <c r="A766" t="s">
        <v>625</v>
      </c>
      <c r="B766" t="s">
        <v>396</v>
      </c>
      <c r="C766" t="s">
        <v>399</v>
      </c>
      <c r="D766" t="s">
        <v>284</v>
      </c>
      <c r="E766" s="48">
        <v>0</v>
      </c>
      <c r="F766" s="24">
        <v>0</v>
      </c>
      <c r="G766" s="24">
        <v>0</v>
      </c>
      <c r="H766" t="s">
        <v>400</v>
      </c>
    </row>
    <row r="767" spans="1:8" ht="15" customHeight="1" x14ac:dyDescent="0.3">
      <c r="A767" t="s">
        <v>625</v>
      </c>
      <c r="B767" t="s">
        <v>396</v>
      </c>
      <c r="C767" t="s">
        <v>397</v>
      </c>
      <c r="D767" t="s">
        <v>285</v>
      </c>
      <c r="E767" s="48">
        <v>0</v>
      </c>
      <c r="F767" s="24">
        <v>0</v>
      </c>
      <c r="G767" s="24">
        <v>0</v>
      </c>
      <c r="H767" t="s">
        <v>401</v>
      </c>
    </row>
    <row r="768" spans="1:8" ht="15" customHeight="1" x14ac:dyDescent="0.3">
      <c r="A768" t="s">
        <v>625</v>
      </c>
      <c r="B768" t="s">
        <v>396</v>
      </c>
      <c r="C768" t="s">
        <v>397</v>
      </c>
      <c r="D768" t="s">
        <v>285</v>
      </c>
      <c r="E768" s="48">
        <v>0</v>
      </c>
      <c r="F768" s="24">
        <v>0</v>
      </c>
      <c r="G768" s="24">
        <v>0</v>
      </c>
      <c r="H768" t="s">
        <v>406</v>
      </c>
    </row>
    <row r="769" spans="1:8" ht="15" customHeight="1" x14ac:dyDescent="0.3">
      <c r="A769" t="s">
        <v>625</v>
      </c>
      <c r="B769" t="s">
        <v>78</v>
      </c>
      <c r="C769" t="s">
        <v>407</v>
      </c>
      <c r="D769" t="s">
        <v>293</v>
      </c>
      <c r="E769" s="48">
        <v>3765</v>
      </c>
      <c r="F769" s="24">
        <v>0.39039808527427999</v>
      </c>
      <c r="G769" s="24">
        <v>1469.8487909999999</v>
      </c>
      <c r="H769" t="s">
        <v>394</v>
      </c>
    </row>
    <row r="770" spans="1:8" ht="15" customHeight="1" x14ac:dyDescent="0.3">
      <c r="A770" t="s">
        <v>625</v>
      </c>
      <c r="B770" t="s">
        <v>78</v>
      </c>
      <c r="C770" t="s">
        <v>407</v>
      </c>
      <c r="D770" t="s">
        <v>284</v>
      </c>
      <c r="E770" s="48">
        <v>14689</v>
      </c>
      <c r="F770" s="24">
        <v>0.39039808527427999</v>
      </c>
      <c r="G770" s="24">
        <v>5734.5574749999996</v>
      </c>
      <c r="H770" t="s">
        <v>394</v>
      </c>
    </row>
    <row r="771" spans="1:8" ht="15" customHeight="1" x14ac:dyDescent="0.3">
      <c r="A771" t="s">
        <v>625</v>
      </c>
      <c r="B771" t="s">
        <v>78</v>
      </c>
      <c r="C771" t="s">
        <v>407</v>
      </c>
      <c r="D771" t="s">
        <v>282</v>
      </c>
      <c r="E771" s="48">
        <v>4806</v>
      </c>
      <c r="F771" s="24">
        <v>0.39039808527427999</v>
      </c>
      <c r="G771" s="24">
        <v>1876.2531980000001</v>
      </c>
      <c r="H771" t="s">
        <v>394</v>
      </c>
    </row>
    <row r="772" spans="1:8" ht="15" customHeight="1" x14ac:dyDescent="0.3">
      <c r="A772" t="s">
        <v>625</v>
      </c>
      <c r="B772" t="s">
        <v>408</v>
      </c>
      <c r="C772" t="s">
        <v>409</v>
      </c>
      <c r="D772" t="s">
        <v>275</v>
      </c>
      <c r="E772" s="48">
        <v>6438</v>
      </c>
      <c r="F772" s="24">
        <v>1.86</v>
      </c>
      <c r="G772" s="24">
        <v>11974.68</v>
      </c>
      <c r="H772" t="s">
        <v>626</v>
      </c>
    </row>
    <row r="773" spans="1:8" ht="15" customHeight="1" x14ac:dyDescent="0.3">
      <c r="A773" t="s">
        <v>625</v>
      </c>
      <c r="B773" t="s">
        <v>408</v>
      </c>
      <c r="C773" t="s">
        <v>409</v>
      </c>
      <c r="D773" t="s">
        <v>287</v>
      </c>
      <c r="E773" s="48">
        <v>341</v>
      </c>
      <c r="F773" s="24">
        <v>1.86</v>
      </c>
      <c r="G773" s="24">
        <v>634.26</v>
      </c>
      <c r="H773" t="s">
        <v>626</v>
      </c>
    </row>
    <row r="774" spans="1:8" ht="15" customHeight="1" x14ac:dyDescent="0.3">
      <c r="A774" t="s">
        <v>625</v>
      </c>
      <c r="B774" t="s">
        <v>408</v>
      </c>
      <c r="C774" t="s">
        <v>601</v>
      </c>
      <c r="D774" t="s">
        <v>287</v>
      </c>
      <c r="E774" s="48">
        <v>0</v>
      </c>
      <c r="F774" s="24">
        <v>0</v>
      </c>
      <c r="G774" s="24">
        <v>0</v>
      </c>
      <c r="H774" t="s">
        <v>602</v>
      </c>
    </row>
    <row r="775" spans="1:8" ht="15" customHeight="1" x14ac:dyDescent="0.3">
      <c r="A775" t="s">
        <v>625</v>
      </c>
      <c r="B775" t="s">
        <v>408</v>
      </c>
      <c r="C775" t="s">
        <v>603</v>
      </c>
      <c r="D775" t="s">
        <v>287</v>
      </c>
      <c r="E775" s="48">
        <v>0</v>
      </c>
      <c r="F775" s="24">
        <v>0</v>
      </c>
      <c r="G775" s="24">
        <v>0</v>
      </c>
      <c r="H775" t="s">
        <v>604</v>
      </c>
    </row>
    <row r="776" spans="1:8" ht="15" customHeight="1" x14ac:dyDescent="0.3">
      <c r="A776" t="s">
        <v>625</v>
      </c>
      <c r="B776" t="s">
        <v>408</v>
      </c>
      <c r="C776" t="s">
        <v>417</v>
      </c>
      <c r="D776" t="s">
        <v>287</v>
      </c>
      <c r="E776" s="48">
        <v>-1</v>
      </c>
      <c r="F776" s="24">
        <v>620.34</v>
      </c>
      <c r="G776" s="24">
        <v>-620.34</v>
      </c>
      <c r="H776" t="s">
        <v>418</v>
      </c>
    </row>
    <row r="777" spans="1:8" ht="15" customHeight="1" x14ac:dyDescent="0.3">
      <c r="A777" t="s">
        <v>625</v>
      </c>
      <c r="B777" t="s">
        <v>408</v>
      </c>
      <c r="C777" t="s">
        <v>417</v>
      </c>
      <c r="D777" t="s">
        <v>287</v>
      </c>
      <c r="E777" s="48">
        <v>-1</v>
      </c>
      <c r="F777" s="24">
        <v>2216.9499999999998</v>
      </c>
      <c r="G777" s="24">
        <v>-2216.9499999999998</v>
      </c>
      <c r="H777" t="s">
        <v>419</v>
      </c>
    </row>
    <row r="778" spans="1:8" ht="15" customHeight="1" x14ac:dyDescent="0.3">
      <c r="A778" t="s">
        <v>625</v>
      </c>
      <c r="B778" t="s">
        <v>408</v>
      </c>
      <c r="C778" t="s">
        <v>420</v>
      </c>
      <c r="D778" t="s">
        <v>287</v>
      </c>
      <c r="E778" s="48">
        <v>-1</v>
      </c>
      <c r="F778" s="24">
        <v>260.10802469135803</v>
      </c>
      <c r="G778" s="24">
        <v>-260.10802469135803</v>
      </c>
      <c r="H778" t="s">
        <v>627</v>
      </c>
    </row>
    <row r="779" spans="1:8" ht="15" customHeight="1" x14ac:dyDescent="0.3">
      <c r="A779" t="s">
        <v>625</v>
      </c>
      <c r="B779" t="s">
        <v>408</v>
      </c>
      <c r="C779" t="s">
        <v>422</v>
      </c>
      <c r="D779" t="s">
        <v>287</v>
      </c>
      <c r="E779" s="48">
        <v>0</v>
      </c>
      <c r="F779" s="24">
        <v>0</v>
      </c>
      <c r="G779" s="24">
        <v>0</v>
      </c>
      <c r="H779" t="s">
        <v>421</v>
      </c>
    </row>
    <row r="780" spans="1:8" ht="15" customHeight="1" x14ac:dyDescent="0.3">
      <c r="A780" t="s">
        <v>625</v>
      </c>
      <c r="B780" t="s">
        <v>408</v>
      </c>
      <c r="C780" t="s">
        <v>423</v>
      </c>
      <c r="D780" t="s">
        <v>287</v>
      </c>
      <c r="E780" s="48">
        <v>0</v>
      </c>
      <c r="F780" s="24">
        <v>0</v>
      </c>
      <c r="G780" s="24">
        <v>0</v>
      </c>
      <c r="H780" t="s">
        <v>421</v>
      </c>
    </row>
    <row r="781" spans="1:8" ht="15" customHeight="1" x14ac:dyDescent="0.3">
      <c r="A781" t="s">
        <v>625</v>
      </c>
      <c r="B781" t="s">
        <v>408</v>
      </c>
      <c r="C781" t="s">
        <v>424</v>
      </c>
      <c r="D781" t="s">
        <v>287</v>
      </c>
      <c r="E781" s="48">
        <v>3</v>
      </c>
      <c r="F781" s="24">
        <v>221.78574350904799</v>
      </c>
      <c r="G781" s="24">
        <v>665.357230527144</v>
      </c>
      <c r="H781" t="s">
        <v>627</v>
      </c>
    </row>
    <row r="782" spans="1:8" ht="15" customHeight="1" x14ac:dyDescent="0.3">
      <c r="A782" t="s">
        <v>625</v>
      </c>
      <c r="B782" t="s">
        <v>408</v>
      </c>
      <c r="C782" t="s">
        <v>425</v>
      </c>
      <c r="D782" t="s">
        <v>287</v>
      </c>
      <c r="E782" s="48">
        <v>0</v>
      </c>
      <c r="F782" s="24">
        <v>0</v>
      </c>
      <c r="G782" s="24">
        <v>0</v>
      </c>
      <c r="H782" t="s">
        <v>421</v>
      </c>
    </row>
    <row r="783" spans="1:8" ht="15" customHeight="1" x14ac:dyDescent="0.3">
      <c r="A783" t="s">
        <v>625</v>
      </c>
      <c r="B783" t="s">
        <v>408</v>
      </c>
      <c r="C783" t="s">
        <v>426</v>
      </c>
      <c r="D783" t="s">
        <v>289</v>
      </c>
      <c r="E783" s="48">
        <v>1</v>
      </c>
      <c r="F783" s="24">
        <v>33.5</v>
      </c>
      <c r="G783" s="24">
        <v>33.5</v>
      </c>
      <c r="H783" t="s">
        <v>427</v>
      </c>
    </row>
    <row r="784" spans="1:8" ht="15" customHeight="1" x14ac:dyDescent="0.3">
      <c r="A784" t="s">
        <v>625</v>
      </c>
      <c r="B784" t="s">
        <v>408</v>
      </c>
      <c r="C784" t="s">
        <v>426</v>
      </c>
      <c r="D784" t="s">
        <v>289</v>
      </c>
      <c r="E784" s="48">
        <v>1</v>
      </c>
      <c r="F784" s="24">
        <v>22</v>
      </c>
      <c r="G784" s="24">
        <v>22</v>
      </c>
      <c r="H784" t="s">
        <v>428</v>
      </c>
    </row>
    <row r="785" spans="1:8" ht="15" customHeight="1" x14ac:dyDescent="0.3">
      <c r="A785" t="s">
        <v>625</v>
      </c>
      <c r="B785" t="s">
        <v>408</v>
      </c>
      <c r="C785" t="s">
        <v>409</v>
      </c>
      <c r="D785" t="s">
        <v>289</v>
      </c>
      <c r="E785" s="48">
        <v>312</v>
      </c>
      <c r="F785" s="24">
        <v>1.86</v>
      </c>
      <c r="G785" s="24">
        <v>580.32000000000005</v>
      </c>
      <c r="H785" t="s">
        <v>410</v>
      </c>
    </row>
    <row r="786" spans="1:8" ht="15" customHeight="1" x14ac:dyDescent="0.3">
      <c r="A786" t="s">
        <v>625</v>
      </c>
      <c r="B786" t="s">
        <v>408</v>
      </c>
      <c r="C786" t="s">
        <v>601</v>
      </c>
      <c r="D786" t="s">
        <v>289</v>
      </c>
      <c r="E786" s="48">
        <v>0</v>
      </c>
      <c r="F786" s="24">
        <v>0</v>
      </c>
      <c r="G786" s="24">
        <v>0</v>
      </c>
      <c r="H786" t="s">
        <v>606</v>
      </c>
    </row>
    <row r="787" spans="1:8" ht="15" customHeight="1" x14ac:dyDescent="0.3">
      <c r="A787" t="s">
        <v>625</v>
      </c>
      <c r="B787" t="s">
        <v>408</v>
      </c>
      <c r="C787" t="s">
        <v>417</v>
      </c>
      <c r="D787" t="s">
        <v>289</v>
      </c>
      <c r="E787" s="48">
        <v>0</v>
      </c>
      <c r="F787" s="24">
        <v>0</v>
      </c>
      <c r="G787" s="24">
        <v>0</v>
      </c>
      <c r="H787" t="s">
        <v>607</v>
      </c>
    </row>
    <row r="788" spans="1:8" ht="15" customHeight="1" x14ac:dyDescent="0.3">
      <c r="A788" t="s">
        <v>625</v>
      </c>
      <c r="B788" t="s">
        <v>408</v>
      </c>
      <c r="C788" t="s">
        <v>417</v>
      </c>
      <c r="D788" t="s">
        <v>289</v>
      </c>
      <c r="E788" s="48">
        <v>1</v>
      </c>
      <c r="F788" s="24">
        <v>446.88</v>
      </c>
      <c r="G788" s="24">
        <v>446.88</v>
      </c>
      <c r="H788" t="s">
        <v>432</v>
      </c>
    </row>
    <row r="789" spans="1:8" ht="15" customHeight="1" x14ac:dyDescent="0.3">
      <c r="A789" t="s">
        <v>625</v>
      </c>
      <c r="B789" t="s">
        <v>408</v>
      </c>
      <c r="C789" t="s">
        <v>417</v>
      </c>
      <c r="D789" t="s">
        <v>289</v>
      </c>
      <c r="E789" s="48">
        <v>36</v>
      </c>
      <c r="F789" s="24">
        <v>21.95</v>
      </c>
      <c r="G789" s="24">
        <v>790.2</v>
      </c>
      <c r="H789" t="s">
        <v>433</v>
      </c>
    </row>
    <row r="790" spans="1:8" ht="15" customHeight="1" x14ac:dyDescent="0.3">
      <c r="A790" t="s">
        <v>625</v>
      </c>
      <c r="B790" t="s">
        <v>408</v>
      </c>
      <c r="C790" t="s">
        <v>434</v>
      </c>
      <c r="D790" t="s">
        <v>289</v>
      </c>
      <c r="E790" s="48">
        <v>1</v>
      </c>
      <c r="F790" s="24">
        <v>260.10802469135803</v>
      </c>
      <c r="G790" s="24">
        <v>260.10802469135803</v>
      </c>
      <c r="H790" t="s">
        <v>627</v>
      </c>
    </row>
    <row r="791" spans="1:8" ht="15" customHeight="1" x14ac:dyDescent="0.3">
      <c r="A791" t="s">
        <v>625</v>
      </c>
      <c r="B791" t="s">
        <v>408</v>
      </c>
      <c r="C791" t="s">
        <v>422</v>
      </c>
      <c r="D791" t="s">
        <v>289</v>
      </c>
      <c r="E791" s="48">
        <v>2</v>
      </c>
      <c r="F791" s="24">
        <v>221.78574350904799</v>
      </c>
      <c r="G791" s="24">
        <v>443.57148701809598</v>
      </c>
      <c r="H791" t="s">
        <v>627</v>
      </c>
    </row>
    <row r="792" spans="1:8" ht="15" customHeight="1" x14ac:dyDescent="0.3">
      <c r="A792" t="s">
        <v>625</v>
      </c>
      <c r="B792" t="s">
        <v>408</v>
      </c>
      <c r="C792" t="s">
        <v>435</v>
      </c>
      <c r="D792" t="s">
        <v>289</v>
      </c>
      <c r="E792" s="48">
        <v>0</v>
      </c>
      <c r="F792" s="24">
        <v>0</v>
      </c>
      <c r="G792" s="24">
        <v>0</v>
      </c>
      <c r="H792" t="s">
        <v>421</v>
      </c>
    </row>
    <row r="793" spans="1:8" ht="15" customHeight="1" x14ac:dyDescent="0.3">
      <c r="A793" t="s">
        <v>625</v>
      </c>
      <c r="B793" t="s">
        <v>408</v>
      </c>
      <c r="C793" t="s">
        <v>436</v>
      </c>
      <c r="D793" t="s">
        <v>289</v>
      </c>
      <c r="E793" s="48">
        <v>-6</v>
      </c>
      <c r="F793" s="24">
        <v>221.78574350904799</v>
      </c>
      <c r="G793" s="24">
        <v>-1330.71446105429</v>
      </c>
      <c r="H793" t="s">
        <v>627</v>
      </c>
    </row>
    <row r="794" spans="1:8" ht="15" customHeight="1" x14ac:dyDescent="0.3">
      <c r="A794" t="s">
        <v>625</v>
      </c>
      <c r="B794" t="s">
        <v>408</v>
      </c>
      <c r="C794" t="s">
        <v>437</v>
      </c>
      <c r="D794" t="s">
        <v>289</v>
      </c>
      <c r="E794" s="48">
        <v>-3</v>
      </c>
      <c r="F794" s="24">
        <v>221.78574350904799</v>
      </c>
      <c r="G794" s="24">
        <v>-665.357230527144</v>
      </c>
      <c r="H794" t="s">
        <v>627</v>
      </c>
    </row>
    <row r="795" spans="1:8" ht="15" customHeight="1" x14ac:dyDescent="0.3">
      <c r="A795" t="s">
        <v>625</v>
      </c>
      <c r="B795" t="s">
        <v>408</v>
      </c>
      <c r="C795" t="s">
        <v>438</v>
      </c>
      <c r="D795" t="s">
        <v>289</v>
      </c>
      <c r="E795" s="48">
        <v>-2</v>
      </c>
      <c r="F795" s="24">
        <v>221.78574350904799</v>
      </c>
      <c r="G795" s="24">
        <v>-443.57148701809598</v>
      </c>
      <c r="H795" t="s">
        <v>627</v>
      </c>
    </row>
    <row r="796" spans="1:8" ht="15" customHeight="1" x14ac:dyDescent="0.3">
      <c r="A796" t="s">
        <v>625</v>
      </c>
      <c r="B796" t="s">
        <v>408</v>
      </c>
      <c r="C796" t="s">
        <v>409</v>
      </c>
      <c r="D796" t="s">
        <v>293</v>
      </c>
      <c r="E796" s="48">
        <v>222</v>
      </c>
      <c r="F796" s="24">
        <v>1.86</v>
      </c>
      <c r="G796" s="24">
        <v>412.92</v>
      </c>
      <c r="H796" t="s">
        <v>410</v>
      </c>
    </row>
    <row r="797" spans="1:8" ht="15" customHeight="1" x14ac:dyDescent="0.3">
      <c r="A797" t="s">
        <v>625</v>
      </c>
      <c r="B797" t="s">
        <v>408</v>
      </c>
      <c r="C797" t="s">
        <v>422</v>
      </c>
      <c r="D797" t="s">
        <v>293</v>
      </c>
      <c r="E797" s="48">
        <v>1</v>
      </c>
      <c r="F797" s="24">
        <v>221.78574350904799</v>
      </c>
      <c r="G797" s="24">
        <v>221.78574350904799</v>
      </c>
      <c r="H797" t="s">
        <v>627</v>
      </c>
    </row>
    <row r="798" spans="1:8" ht="15" customHeight="1" x14ac:dyDescent="0.3">
      <c r="A798" t="s">
        <v>625</v>
      </c>
      <c r="B798" t="s">
        <v>408</v>
      </c>
      <c r="C798" t="s">
        <v>440</v>
      </c>
      <c r="D798" t="s">
        <v>293</v>
      </c>
      <c r="E798" s="48">
        <v>0</v>
      </c>
      <c r="F798" s="24">
        <v>0</v>
      </c>
      <c r="G798" s="24">
        <v>0</v>
      </c>
      <c r="H798" t="s">
        <v>627</v>
      </c>
    </row>
    <row r="799" spans="1:8" ht="15" customHeight="1" x14ac:dyDescent="0.3">
      <c r="A799" t="s">
        <v>625</v>
      </c>
      <c r="B799" t="s">
        <v>408</v>
      </c>
      <c r="C799" t="s">
        <v>441</v>
      </c>
      <c r="D799" t="s">
        <v>293</v>
      </c>
      <c r="E799" s="48">
        <v>0</v>
      </c>
      <c r="F799" s="24">
        <v>0</v>
      </c>
      <c r="G799" s="24">
        <v>0</v>
      </c>
    </row>
    <row r="800" spans="1:8" ht="15" customHeight="1" x14ac:dyDescent="0.3">
      <c r="A800" t="s">
        <v>625</v>
      </c>
      <c r="B800" t="s">
        <v>408</v>
      </c>
      <c r="C800" t="s">
        <v>442</v>
      </c>
      <c r="D800" t="s">
        <v>293</v>
      </c>
      <c r="E800" s="48">
        <v>0</v>
      </c>
      <c r="F800" s="24">
        <v>0</v>
      </c>
      <c r="G800" s="24">
        <v>0</v>
      </c>
      <c r="H800" t="s">
        <v>421</v>
      </c>
    </row>
    <row r="801" spans="1:8" ht="15" customHeight="1" x14ac:dyDescent="0.3">
      <c r="A801" t="s">
        <v>625</v>
      </c>
      <c r="B801" t="s">
        <v>408</v>
      </c>
      <c r="C801" t="s">
        <v>409</v>
      </c>
      <c r="D801" t="s">
        <v>290</v>
      </c>
      <c r="E801" s="48">
        <v>669</v>
      </c>
      <c r="F801" s="24">
        <v>1.86</v>
      </c>
      <c r="G801" s="24">
        <v>1244.3399999999999</v>
      </c>
      <c r="H801" t="s">
        <v>410</v>
      </c>
    </row>
    <row r="802" spans="1:8" ht="15" customHeight="1" x14ac:dyDescent="0.3">
      <c r="A802" t="s">
        <v>625</v>
      </c>
      <c r="B802" t="s">
        <v>408</v>
      </c>
      <c r="C802" t="s">
        <v>417</v>
      </c>
      <c r="D802" t="s">
        <v>290</v>
      </c>
      <c r="E802" s="48">
        <v>1</v>
      </c>
      <c r="F802" s="24">
        <v>173.46</v>
      </c>
      <c r="G802" s="24">
        <v>173.46</v>
      </c>
      <c r="H802" t="s">
        <v>446</v>
      </c>
    </row>
    <row r="803" spans="1:8" ht="15" customHeight="1" x14ac:dyDescent="0.3">
      <c r="A803" t="s">
        <v>625</v>
      </c>
      <c r="B803" t="s">
        <v>408</v>
      </c>
      <c r="C803" t="s">
        <v>417</v>
      </c>
      <c r="D803" t="s">
        <v>290</v>
      </c>
      <c r="E803" s="48">
        <v>65</v>
      </c>
      <c r="F803" s="24">
        <v>21.95</v>
      </c>
      <c r="G803" s="24">
        <v>1426.75</v>
      </c>
      <c r="H803" t="s">
        <v>447</v>
      </c>
    </row>
    <row r="804" spans="1:8" ht="15" customHeight="1" x14ac:dyDescent="0.3">
      <c r="A804" t="s">
        <v>625</v>
      </c>
      <c r="B804" t="s">
        <v>408</v>
      </c>
      <c r="C804" t="s">
        <v>448</v>
      </c>
      <c r="D804" t="s">
        <v>290</v>
      </c>
      <c r="E804" s="48">
        <v>1</v>
      </c>
      <c r="F804" s="24">
        <v>221.78574350904799</v>
      </c>
      <c r="G804" s="24">
        <v>221.78574350904799</v>
      </c>
      <c r="H804" t="s">
        <v>627</v>
      </c>
    </row>
    <row r="805" spans="1:8" ht="15" customHeight="1" x14ac:dyDescent="0.3">
      <c r="A805" t="s">
        <v>625</v>
      </c>
      <c r="B805" t="s">
        <v>408</v>
      </c>
      <c r="C805" t="s">
        <v>449</v>
      </c>
      <c r="D805" t="s">
        <v>290</v>
      </c>
      <c r="E805" s="48">
        <v>2</v>
      </c>
      <c r="F805" s="24">
        <v>221.78574350904799</v>
      </c>
      <c r="G805" s="24">
        <v>443.57148701809598</v>
      </c>
      <c r="H805" t="s">
        <v>627</v>
      </c>
    </row>
    <row r="806" spans="1:8" ht="15" customHeight="1" x14ac:dyDescent="0.3">
      <c r="A806" t="s">
        <v>625</v>
      </c>
      <c r="B806" t="s">
        <v>408</v>
      </c>
      <c r="C806" t="s">
        <v>450</v>
      </c>
      <c r="D806" t="s">
        <v>290</v>
      </c>
      <c r="E806" s="48">
        <v>0</v>
      </c>
      <c r="F806" s="24">
        <v>0</v>
      </c>
      <c r="G806" s="24">
        <v>0</v>
      </c>
    </row>
    <row r="807" spans="1:8" ht="15" customHeight="1" x14ac:dyDescent="0.3">
      <c r="A807" t="s">
        <v>625</v>
      </c>
      <c r="B807" t="s">
        <v>408</v>
      </c>
      <c r="C807" t="s">
        <v>610</v>
      </c>
      <c r="D807" t="s">
        <v>290</v>
      </c>
      <c r="E807" s="48">
        <v>0</v>
      </c>
      <c r="F807" s="24">
        <v>0</v>
      </c>
      <c r="G807" s="24">
        <v>0</v>
      </c>
      <c r="H807" t="s">
        <v>627</v>
      </c>
    </row>
    <row r="808" spans="1:8" ht="15" customHeight="1" x14ac:dyDescent="0.3">
      <c r="A808" t="s">
        <v>625</v>
      </c>
      <c r="B808" t="s">
        <v>408</v>
      </c>
      <c r="C808" t="s">
        <v>409</v>
      </c>
      <c r="D808" t="s">
        <v>284</v>
      </c>
      <c r="E808" s="48">
        <v>510</v>
      </c>
      <c r="F808" s="24">
        <v>1.86</v>
      </c>
      <c r="G808" s="24">
        <v>948.6</v>
      </c>
      <c r="H808" t="s">
        <v>410</v>
      </c>
    </row>
    <row r="809" spans="1:8" ht="15" customHeight="1" x14ac:dyDescent="0.3">
      <c r="A809" t="s">
        <v>625</v>
      </c>
      <c r="B809" t="s">
        <v>408</v>
      </c>
      <c r="C809" t="s">
        <v>455</v>
      </c>
      <c r="D809" t="s">
        <v>284</v>
      </c>
      <c r="E809" s="48">
        <v>1</v>
      </c>
      <c r="F809" s="24">
        <v>542</v>
      </c>
      <c r="G809" s="24">
        <v>542</v>
      </c>
      <c r="H809" t="s">
        <v>456</v>
      </c>
    </row>
    <row r="810" spans="1:8" ht="15" customHeight="1" x14ac:dyDescent="0.3">
      <c r="A810" t="s">
        <v>625</v>
      </c>
      <c r="B810" t="s">
        <v>408</v>
      </c>
      <c r="C810" t="s">
        <v>455</v>
      </c>
      <c r="D810" t="s">
        <v>284</v>
      </c>
      <c r="E810" s="48">
        <v>0</v>
      </c>
      <c r="F810" s="24">
        <v>0</v>
      </c>
      <c r="G810" s="24">
        <v>0</v>
      </c>
      <c r="H810" t="s">
        <v>433</v>
      </c>
    </row>
    <row r="811" spans="1:8" ht="15" customHeight="1" x14ac:dyDescent="0.3">
      <c r="A811" t="s">
        <v>625</v>
      </c>
      <c r="B811" t="s">
        <v>408</v>
      </c>
      <c r="C811" t="s">
        <v>422</v>
      </c>
      <c r="D811" t="s">
        <v>284</v>
      </c>
      <c r="E811" s="48">
        <v>6</v>
      </c>
      <c r="F811" s="24">
        <v>221.78574350904799</v>
      </c>
      <c r="G811" s="24">
        <v>1330.71446105429</v>
      </c>
      <c r="H811" t="s">
        <v>627</v>
      </c>
    </row>
    <row r="812" spans="1:8" ht="15" customHeight="1" x14ac:dyDescent="0.3">
      <c r="A812" t="s">
        <v>625</v>
      </c>
      <c r="B812" t="s">
        <v>408</v>
      </c>
      <c r="C812" t="s">
        <v>458</v>
      </c>
      <c r="D812" t="s">
        <v>284</v>
      </c>
      <c r="E812" s="48">
        <v>0</v>
      </c>
      <c r="F812" s="24">
        <v>0</v>
      </c>
      <c r="G812" s="24">
        <v>0</v>
      </c>
      <c r="H812" t="s">
        <v>421</v>
      </c>
    </row>
    <row r="813" spans="1:8" ht="15" customHeight="1" x14ac:dyDescent="0.3">
      <c r="A813" t="s">
        <v>625</v>
      </c>
      <c r="B813" t="s">
        <v>408</v>
      </c>
      <c r="C813" t="s">
        <v>459</v>
      </c>
      <c r="D813" t="s">
        <v>284</v>
      </c>
      <c r="E813" s="48">
        <v>0</v>
      </c>
      <c r="F813" s="24">
        <v>0</v>
      </c>
      <c r="G813" s="24">
        <v>0</v>
      </c>
      <c r="H813" t="s">
        <v>421</v>
      </c>
    </row>
    <row r="814" spans="1:8" ht="15" customHeight="1" x14ac:dyDescent="0.3">
      <c r="A814" t="s">
        <v>625</v>
      </c>
      <c r="B814" t="s">
        <v>408</v>
      </c>
      <c r="C814" t="s">
        <v>628</v>
      </c>
      <c r="D814" t="s">
        <v>284</v>
      </c>
      <c r="E814" s="48">
        <v>0</v>
      </c>
      <c r="F814" s="24">
        <v>0</v>
      </c>
      <c r="G814" s="24">
        <v>0</v>
      </c>
      <c r="H814" t="s">
        <v>421</v>
      </c>
    </row>
    <row r="815" spans="1:8" ht="15" customHeight="1" x14ac:dyDescent="0.3">
      <c r="A815" t="s">
        <v>625</v>
      </c>
      <c r="B815" t="s">
        <v>408</v>
      </c>
      <c r="C815" t="s">
        <v>409</v>
      </c>
      <c r="D815" t="s">
        <v>285</v>
      </c>
      <c r="E815" s="48">
        <v>154</v>
      </c>
      <c r="F815" s="24">
        <v>1.86</v>
      </c>
      <c r="G815" s="24">
        <v>286.44</v>
      </c>
      <c r="H815" t="s">
        <v>410</v>
      </c>
    </row>
    <row r="816" spans="1:8" ht="15" customHeight="1" x14ac:dyDescent="0.3">
      <c r="A816" t="s">
        <v>625</v>
      </c>
      <c r="B816" t="s">
        <v>408</v>
      </c>
      <c r="C816" t="s">
        <v>455</v>
      </c>
      <c r="D816" t="s">
        <v>285</v>
      </c>
      <c r="E816" s="48">
        <v>1</v>
      </c>
      <c r="F816" s="24">
        <v>729</v>
      </c>
      <c r="G816" s="24">
        <v>729</v>
      </c>
      <c r="H816" t="s">
        <v>462</v>
      </c>
    </row>
    <row r="817" spans="1:8" ht="15" customHeight="1" x14ac:dyDescent="0.3">
      <c r="A817" t="s">
        <v>625</v>
      </c>
      <c r="B817" t="s">
        <v>408</v>
      </c>
      <c r="C817" t="s">
        <v>455</v>
      </c>
      <c r="D817" t="s">
        <v>285</v>
      </c>
      <c r="E817" s="48">
        <v>35</v>
      </c>
      <c r="F817" s="24">
        <v>18.52</v>
      </c>
      <c r="G817" s="24">
        <v>648.20000000000005</v>
      </c>
      <c r="H817" t="s">
        <v>433</v>
      </c>
    </row>
    <row r="818" spans="1:8" ht="15" customHeight="1" x14ac:dyDescent="0.3">
      <c r="A818" t="s">
        <v>625</v>
      </c>
      <c r="B818" t="s">
        <v>408</v>
      </c>
      <c r="C818" t="s">
        <v>422</v>
      </c>
      <c r="D818" t="s">
        <v>285</v>
      </c>
      <c r="E818" s="48">
        <v>0</v>
      </c>
      <c r="F818" s="24">
        <v>0</v>
      </c>
      <c r="G818" s="24">
        <v>0</v>
      </c>
      <c r="H818" t="s">
        <v>421</v>
      </c>
    </row>
    <row r="819" spans="1:8" ht="15" customHeight="1" x14ac:dyDescent="0.3">
      <c r="A819" t="s">
        <v>625</v>
      </c>
      <c r="B819" t="s">
        <v>408</v>
      </c>
      <c r="C819" t="s">
        <v>463</v>
      </c>
      <c r="D819" t="s">
        <v>285</v>
      </c>
      <c r="E819" s="48">
        <v>-1</v>
      </c>
      <c r="F819" s="24">
        <v>519.806923076923</v>
      </c>
      <c r="G819" s="24">
        <v>-519.806923076923</v>
      </c>
      <c r="H819" t="s">
        <v>627</v>
      </c>
    </row>
    <row r="820" spans="1:8" ht="15" customHeight="1" x14ac:dyDescent="0.3">
      <c r="A820" t="s">
        <v>625</v>
      </c>
      <c r="B820" t="s">
        <v>408</v>
      </c>
      <c r="C820" t="s">
        <v>426</v>
      </c>
      <c r="D820" t="s">
        <v>282</v>
      </c>
      <c r="E820" s="48">
        <v>1</v>
      </c>
      <c r="F820" s="24">
        <v>25.5</v>
      </c>
      <c r="G820" s="24">
        <v>25.5</v>
      </c>
      <c r="H820" t="s">
        <v>550</v>
      </c>
    </row>
    <row r="821" spans="1:8" ht="15" customHeight="1" x14ac:dyDescent="0.3">
      <c r="A821" t="s">
        <v>625</v>
      </c>
      <c r="B821" t="s">
        <v>408</v>
      </c>
      <c r="C821" t="s">
        <v>409</v>
      </c>
      <c r="D821" t="s">
        <v>282</v>
      </c>
      <c r="E821" s="48">
        <v>268</v>
      </c>
      <c r="F821" s="24">
        <v>1.86</v>
      </c>
      <c r="G821" s="24">
        <v>498.48</v>
      </c>
      <c r="H821" t="s">
        <v>410</v>
      </c>
    </row>
    <row r="822" spans="1:8" ht="15" customHeight="1" x14ac:dyDescent="0.3">
      <c r="A822" t="s">
        <v>625</v>
      </c>
      <c r="B822" t="s">
        <v>408</v>
      </c>
      <c r="C822" t="s">
        <v>422</v>
      </c>
      <c r="D822" t="s">
        <v>282</v>
      </c>
      <c r="E822" s="48">
        <v>5</v>
      </c>
      <c r="F822" s="24">
        <v>221.78574350904799</v>
      </c>
      <c r="G822" s="24">
        <v>1108.92871754524</v>
      </c>
      <c r="H822" t="s">
        <v>629</v>
      </c>
    </row>
    <row r="823" spans="1:8" ht="15" customHeight="1" x14ac:dyDescent="0.3">
      <c r="A823" t="s">
        <v>625</v>
      </c>
      <c r="B823" t="s">
        <v>408</v>
      </c>
      <c r="C823" t="s">
        <v>467</v>
      </c>
      <c r="D823" t="s">
        <v>282</v>
      </c>
      <c r="E823" s="48">
        <v>0</v>
      </c>
      <c r="F823" s="24">
        <v>0</v>
      </c>
      <c r="G823" s="24">
        <v>0</v>
      </c>
    </row>
    <row r="824" spans="1:8" ht="15" customHeight="1" x14ac:dyDescent="0.3">
      <c r="A824" t="s">
        <v>625</v>
      </c>
      <c r="B824" t="s">
        <v>408</v>
      </c>
      <c r="C824" t="s">
        <v>468</v>
      </c>
      <c r="D824" t="s">
        <v>282</v>
      </c>
      <c r="E824" s="48">
        <v>-8</v>
      </c>
      <c r="F824" s="24">
        <v>289.27</v>
      </c>
      <c r="G824" s="24">
        <v>-2314.16</v>
      </c>
      <c r="H824" t="s">
        <v>627</v>
      </c>
    </row>
    <row r="825" spans="1:8" ht="15" customHeight="1" x14ac:dyDescent="0.3">
      <c r="A825" t="s">
        <v>625</v>
      </c>
      <c r="B825" t="s">
        <v>408</v>
      </c>
      <c r="C825" t="s">
        <v>612</v>
      </c>
      <c r="D825" t="s">
        <v>282</v>
      </c>
      <c r="E825" s="48">
        <v>0</v>
      </c>
      <c r="F825" s="24">
        <v>0</v>
      </c>
      <c r="G825" s="24">
        <v>0</v>
      </c>
      <c r="H825" t="s">
        <v>421</v>
      </c>
    </row>
    <row r="826" spans="1:8" ht="15" customHeight="1" x14ac:dyDescent="0.3">
      <c r="A826" t="s">
        <v>625</v>
      </c>
      <c r="B826" t="s">
        <v>408</v>
      </c>
      <c r="C826" t="s">
        <v>470</v>
      </c>
      <c r="D826" t="s">
        <v>282</v>
      </c>
      <c r="E826" s="48">
        <v>0</v>
      </c>
      <c r="F826" s="24">
        <v>0</v>
      </c>
      <c r="G826" s="24">
        <v>0</v>
      </c>
    </row>
    <row r="827" spans="1:8" ht="15" customHeight="1" x14ac:dyDescent="0.3">
      <c r="A827" t="s">
        <v>625</v>
      </c>
      <c r="B827" t="s">
        <v>143</v>
      </c>
      <c r="C827" t="s">
        <v>471</v>
      </c>
      <c r="D827" t="s">
        <v>287</v>
      </c>
      <c r="E827" s="48">
        <v>6588</v>
      </c>
      <c r="F827" s="24">
        <v>0.2</v>
      </c>
      <c r="G827" s="24">
        <v>1317.6</v>
      </c>
      <c r="H827" t="s">
        <v>394</v>
      </c>
    </row>
    <row r="828" spans="1:8" ht="15" customHeight="1" x14ac:dyDescent="0.3">
      <c r="A828" t="s">
        <v>625</v>
      </c>
      <c r="B828" t="s">
        <v>143</v>
      </c>
      <c r="C828" t="s">
        <v>471</v>
      </c>
      <c r="D828" t="s">
        <v>289</v>
      </c>
      <c r="E828" s="48">
        <v>13530</v>
      </c>
      <c r="F828" s="24">
        <v>0.2</v>
      </c>
      <c r="G828" s="24">
        <v>2706</v>
      </c>
      <c r="H828" t="s">
        <v>394</v>
      </c>
    </row>
    <row r="829" spans="1:8" ht="15" customHeight="1" x14ac:dyDescent="0.3">
      <c r="A829" t="s">
        <v>625</v>
      </c>
      <c r="B829" t="s">
        <v>143</v>
      </c>
      <c r="C829" t="s">
        <v>471</v>
      </c>
      <c r="D829" t="s">
        <v>293</v>
      </c>
      <c r="E829" s="48">
        <v>3765</v>
      </c>
      <c r="F829" s="24">
        <v>0.2</v>
      </c>
      <c r="G829" s="24">
        <v>753</v>
      </c>
      <c r="H829" t="s">
        <v>394</v>
      </c>
    </row>
    <row r="830" spans="1:8" ht="15" customHeight="1" x14ac:dyDescent="0.3">
      <c r="A830" t="s">
        <v>625</v>
      </c>
      <c r="B830" t="s">
        <v>143</v>
      </c>
      <c r="C830" t="s">
        <v>471</v>
      </c>
      <c r="D830" t="s">
        <v>290</v>
      </c>
      <c r="E830" s="48">
        <v>6568</v>
      </c>
      <c r="F830" s="24">
        <v>0.2</v>
      </c>
      <c r="G830" s="24">
        <v>1313.6</v>
      </c>
      <c r="H830" t="s">
        <v>394</v>
      </c>
    </row>
    <row r="831" spans="1:8" ht="15" customHeight="1" x14ac:dyDescent="0.3">
      <c r="A831" t="s">
        <v>625</v>
      </c>
      <c r="B831" t="s">
        <v>143</v>
      </c>
      <c r="C831" t="s">
        <v>471</v>
      </c>
      <c r="D831" t="s">
        <v>284</v>
      </c>
      <c r="E831" s="48">
        <v>14689</v>
      </c>
      <c r="F831" s="24">
        <v>0.2</v>
      </c>
      <c r="G831" s="24">
        <v>2937.8</v>
      </c>
      <c r="H831" t="s">
        <v>394</v>
      </c>
    </row>
    <row r="832" spans="1:8" ht="15" customHeight="1" x14ac:dyDescent="0.3">
      <c r="A832" t="s">
        <v>625</v>
      </c>
      <c r="B832" t="s">
        <v>143</v>
      </c>
      <c r="C832" t="s">
        <v>471</v>
      </c>
      <c r="D832" t="s">
        <v>285</v>
      </c>
      <c r="E832" s="48">
        <v>4805</v>
      </c>
      <c r="F832" s="24">
        <v>0.2</v>
      </c>
      <c r="G832" s="24">
        <v>961</v>
      </c>
      <c r="H832" t="s">
        <v>394</v>
      </c>
    </row>
    <row r="833" spans="1:8" ht="15" customHeight="1" x14ac:dyDescent="0.3">
      <c r="A833" t="s">
        <v>625</v>
      </c>
      <c r="B833" t="s">
        <v>143</v>
      </c>
      <c r="C833" t="s">
        <v>471</v>
      </c>
      <c r="D833" t="s">
        <v>282</v>
      </c>
      <c r="E833" s="48">
        <v>4806</v>
      </c>
      <c r="F833" s="24">
        <v>0.2</v>
      </c>
      <c r="G833" s="24">
        <v>961.2</v>
      </c>
      <c r="H833" t="s">
        <v>394</v>
      </c>
    </row>
    <row r="834" spans="1:8" ht="15" customHeight="1" x14ac:dyDescent="0.3">
      <c r="A834" t="s">
        <v>625</v>
      </c>
      <c r="B834" t="s">
        <v>141</v>
      </c>
      <c r="C834" t="s">
        <v>472</v>
      </c>
      <c r="D834" t="s">
        <v>289</v>
      </c>
      <c r="E834" s="48">
        <v>13530</v>
      </c>
      <c r="F834" s="24">
        <v>0.101057218436555</v>
      </c>
      <c r="G834" s="24">
        <v>1367.304165</v>
      </c>
      <c r="H834" t="s">
        <v>394</v>
      </c>
    </row>
    <row r="835" spans="1:8" ht="15" customHeight="1" x14ac:dyDescent="0.3">
      <c r="A835" t="s">
        <v>625</v>
      </c>
      <c r="B835" t="s">
        <v>45</v>
      </c>
      <c r="C835" t="s">
        <v>473</v>
      </c>
      <c r="D835" t="s">
        <v>287</v>
      </c>
      <c r="E835" s="48">
        <v>1579</v>
      </c>
      <c r="F835" s="24">
        <v>7.19</v>
      </c>
      <c r="G835" s="24">
        <v>11353.01</v>
      </c>
      <c r="H835" t="s">
        <v>474</v>
      </c>
    </row>
    <row r="836" spans="1:8" ht="15" customHeight="1" x14ac:dyDescent="0.3">
      <c r="A836" t="s">
        <v>625</v>
      </c>
      <c r="B836" t="s">
        <v>45</v>
      </c>
      <c r="C836" t="s">
        <v>473</v>
      </c>
      <c r="D836" t="s">
        <v>293</v>
      </c>
      <c r="E836" s="48">
        <v>469</v>
      </c>
      <c r="F836" s="24">
        <v>7.19</v>
      </c>
      <c r="G836" s="24">
        <v>3372.11</v>
      </c>
      <c r="H836" t="s">
        <v>474</v>
      </c>
    </row>
    <row r="837" spans="1:8" ht="15" customHeight="1" x14ac:dyDescent="0.3">
      <c r="A837" t="s">
        <v>625</v>
      </c>
      <c r="B837" t="s">
        <v>45</v>
      </c>
      <c r="C837" t="s">
        <v>473</v>
      </c>
      <c r="D837" t="s">
        <v>290</v>
      </c>
      <c r="E837" s="48">
        <v>727</v>
      </c>
      <c r="F837" s="24">
        <v>7.2044429160935399</v>
      </c>
      <c r="G837" s="24">
        <v>5237.63</v>
      </c>
      <c r="H837" t="s">
        <v>474</v>
      </c>
    </row>
    <row r="838" spans="1:8" ht="15" customHeight="1" x14ac:dyDescent="0.3">
      <c r="A838" t="s">
        <v>625</v>
      </c>
      <c r="B838" t="s">
        <v>45</v>
      </c>
      <c r="C838" t="s">
        <v>473</v>
      </c>
      <c r="D838" t="s">
        <v>284</v>
      </c>
      <c r="E838" s="48">
        <v>2981</v>
      </c>
      <c r="F838" s="24">
        <v>7.19</v>
      </c>
      <c r="G838" s="24">
        <v>21433.39</v>
      </c>
      <c r="H838" t="s">
        <v>474</v>
      </c>
    </row>
    <row r="839" spans="1:8" ht="15" customHeight="1" x14ac:dyDescent="0.3">
      <c r="A839" t="s">
        <v>625</v>
      </c>
      <c r="B839" t="s">
        <v>45</v>
      </c>
      <c r="C839" t="s">
        <v>473</v>
      </c>
      <c r="D839" t="s">
        <v>285</v>
      </c>
      <c r="E839" s="48">
        <v>2548</v>
      </c>
      <c r="F839" s="24">
        <v>7.19859497645212</v>
      </c>
      <c r="G839" s="24">
        <v>18342.02</v>
      </c>
      <c r="H839" t="s">
        <v>474</v>
      </c>
    </row>
    <row r="840" spans="1:8" ht="15" customHeight="1" x14ac:dyDescent="0.3">
      <c r="A840" t="s">
        <v>625</v>
      </c>
      <c r="B840" t="s">
        <v>45</v>
      </c>
      <c r="C840" t="s">
        <v>475</v>
      </c>
      <c r="D840" t="s">
        <v>282</v>
      </c>
      <c r="E840" s="48">
        <v>0</v>
      </c>
      <c r="F840" s="24">
        <v>0</v>
      </c>
      <c r="G840" s="24">
        <v>0</v>
      </c>
      <c r="H840" t="s">
        <v>476</v>
      </c>
    </row>
    <row r="841" spans="1:8" ht="15" customHeight="1" x14ac:dyDescent="0.3">
      <c r="A841" t="s">
        <v>625</v>
      </c>
      <c r="B841" t="s">
        <v>45</v>
      </c>
      <c r="C841" t="s">
        <v>473</v>
      </c>
      <c r="D841" t="s">
        <v>282</v>
      </c>
      <c r="E841" s="48">
        <v>1</v>
      </c>
      <c r="F841" s="24">
        <v>800</v>
      </c>
      <c r="G841" s="24">
        <v>800</v>
      </c>
      <c r="H841" t="s">
        <v>474</v>
      </c>
    </row>
    <row r="842" spans="1:8" ht="15" customHeight="1" x14ac:dyDescent="0.3">
      <c r="A842" t="s">
        <v>625</v>
      </c>
      <c r="B842" t="s">
        <v>50</v>
      </c>
      <c r="C842" t="s">
        <v>477</v>
      </c>
      <c r="D842" t="s">
        <v>287</v>
      </c>
      <c r="E842" s="48">
        <v>0</v>
      </c>
      <c r="F842" s="24">
        <v>0</v>
      </c>
      <c r="G842" s="24">
        <v>0</v>
      </c>
      <c r="H842" t="s">
        <v>478</v>
      </c>
    </row>
    <row r="843" spans="1:8" ht="15" customHeight="1" x14ac:dyDescent="0.3">
      <c r="A843" t="s">
        <v>625</v>
      </c>
      <c r="B843" t="s">
        <v>50</v>
      </c>
      <c r="C843" t="s">
        <v>477</v>
      </c>
      <c r="D843" t="s">
        <v>293</v>
      </c>
      <c r="E843" s="48">
        <v>0</v>
      </c>
      <c r="F843" s="24">
        <v>0</v>
      </c>
      <c r="G843" s="24">
        <v>0</v>
      </c>
      <c r="H843" t="s">
        <v>478</v>
      </c>
    </row>
    <row r="844" spans="1:8" ht="15" customHeight="1" x14ac:dyDescent="0.3">
      <c r="A844" t="s">
        <v>625</v>
      </c>
      <c r="B844" t="s">
        <v>50</v>
      </c>
      <c r="C844" t="s">
        <v>477</v>
      </c>
      <c r="D844" t="s">
        <v>290</v>
      </c>
      <c r="E844" s="48">
        <v>0</v>
      </c>
      <c r="F844" s="24">
        <v>0</v>
      </c>
      <c r="G844" s="24">
        <v>0</v>
      </c>
      <c r="H844" t="s">
        <v>479</v>
      </c>
    </row>
    <row r="845" spans="1:8" ht="15" customHeight="1" x14ac:dyDescent="0.3">
      <c r="A845" t="s">
        <v>625</v>
      </c>
      <c r="B845" t="s">
        <v>50</v>
      </c>
      <c r="C845" t="s">
        <v>477</v>
      </c>
      <c r="D845" t="s">
        <v>290</v>
      </c>
      <c r="E845" s="48">
        <v>0</v>
      </c>
      <c r="F845" s="24">
        <v>0</v>
      </c>
      <c r="G845" s="24">
        <v>0</v>
      </c>
      <c r="H845" t="s">
        <v>478</v>
      </c>
    </row>
    <row r="846" spans="1:8" ht="15" customHeight="1" x14ac:dyDescent="0.3">
      <c r="A846" t="s">
        <v>625</v>
      </c>
      <c r="B846" t="s">
        <v>50</v>
      </c>
      <c r="C846" t="s">
        <v>477</v>
      </c>
      <c r="D846" t="s">
        <v>284</v>
      </c>
      <c r="E846" s="48">
        <v>0</v>
      </c>
      <c r="F846" s="24">
        <v>0</v>
      </c>
      <c r="G846" s="24">
        <v>0</v>
      </c>
      <c r="H846" t="s">
        <v>480</v>
      </c>
    </row>
    <row r="847" spans="1:8" ht="15" customHeight="1" x14ac:dyDescent="0.3">
      <c r="A847" t="s">
        <v>625</v>
      </c>
      <c r="B847" t="s">
        <v>50</v>
      </c>
      <c r="C847" t="s">
        <v>477</v>
      </c>
      <c r="D847" t="s">
        <v>284</v>
      </c>
      <c r="E847" s="48">
        <v>0</v>
      </c>
      <c r="F847" s="24">
        <v>0</v>
      </c>
      <c r="G847" s="24">
        <v>0</v>
      </c>
      <c r="H847" t="s">
        <v>478</v>
      </c>
    </row>
    <row r="848" spans="1:8" ht="15" customHeight="1" x14ac:dyDescent="0.3">
      <c r="A848" t="s">
        <v>625</v>
      </c>
      <c r="B848" t="s">
        <v>50</v>
      </c>
      <c r="C848" t="s">
        <v>477</v>
      </c>
      <c r="D848" t="s">
        <v>285</v>
      </c>
      <c r="E848" s="48">
        <v>0</v>
      </c>
      <c r="F848" s="24">
        <v>0</v>
      </c>
      <c r="G848" s="24">
        <v>0</v>
      </c>
      <c r="H848" t="s">
        <v>478</v>
      </c>
    </row>
    <row r="849" spans="1:8" ht="15" customHeight="1" x14ac:dyDescent="0.3">
      <c r="A849" t="s">
        <v>625</v>
      </c>
      <c r="B849" t="s">
        <v>50</v>
      </c>
      <c r="C849" t="s">
        <v>477</v>
      </c>
      <c r="D849" t="s">
        <v>282</v>
      </c>
      <c r="E849" s="48">
        <v>0</v>
      </c>
      <c r="F849" s="24">
        <v>0</v>
      </c>
      <c r="G849" s="24">
        <v>0</v>
      </c>
      <c r="H849" t="s">
        <v>478</v>
      </c>
    </row>
    <row r="850" spans="1:8" ht="15" customHeight="1" x14ac:dyDescent="0.3">
      <c r="A850" t="s">
        <v>625</v>
      </c>
      <c r="B850" t="s">
        <v>481</v>
      </c>
      <c r="C850" t="s">
        <v>482</v>
      </c>
      <c r="D850" t="s">
        <v>287</v>
      </c>
      <c r="E850" s="48">
        <v>0</v>
      </c>
      <c r="F850" s="24">
        <v>0</v>
      </c>
      <c r="G850" s="24">
        <v>0</v>
      </c>
      <c r="H850" t="s">
        <v>483</v>
      </c>
    </row>
    <row r="851" spans="1:8" ht="15" customHeight="1" x14ac:dyDescent="0.3">
      <c r="A851" t="s">
        <v>625</v>
      </c>
      <c r="B851" t="s">
        <v>481</v>
      </c>
      <c r="C851" t="s">
        <v>484</v>
      </c>
      <c r="D851" t="s">
        <v>287</v>
      </c>
      <c r="E851" s="48">
        <v>0</v>
      </c>
      <c r="F851" s="24">
        <v>0</v>
      </c>
      <c r="G851" s="24">
        <v>0</v>
      </c>
      <c r="H851" t="s">
        <v>485</v>
      </c>
    </row>
    <row r="852" spans="1:8" ht="15" customHeight="1" x14ac:dyDescent="0.3">
      <c r="A852" t="s">
        <v>625</v>
      </c>
      <c r="B852" t="s">
        <v>481</v>
      </c>
      <c r="C852" t="s">
        <v>486</v>
      </c>
      <c r="D852" t="s">
        <v>287</v>
      </c>
      <c r="E852" s="48">
        <v>10</v>
      </c>
      <c r="F852" s="24">
        <v>20</v>
      </c>
      <c r="G852" s="24">
        <v>200</v>
      </c>
      <c r="H852" t="s">
        <v>487</v>
      </c>
    </row>
    <row r="853" spans="1:8" ht="15" customHeight="1" x14ac:dyDescent="0.3">
      <c r="A853" t="s">
        <v>625</v>
      </c>
      <c r="B853" t="s">
        <v>481</v>
      </c>
      <c r="C853" t="s">
        <v>488</v>
      </c>
      <c r="D853" t="s">
        <v>287</v>
      </c>
      <c r="E853" s="48">
        <v>1</v>
      </c>
      <c r="F853" s="24">
        <v>927.69</v>
      </c>
      <c r="G853" s="24">
        <v>927.69</v>
      </c>
      <c r="H853" t="s">
        <v>630</v>
      </c>
    </row>
    <row r="854" spans="1:8" ht="15" customHeight="1" x14ac:dyDescent="0.3">
      <c r="A854" t="s">
        <v>625</v>
      </c>
      <c r="B854" t="s">
        <v>481</v>
      </c>
      <c r="C854" t="s">
        <v>490</v>
      </c>
      <c r="D854" t="s">
        <v>287</v>
      </c>
      <c r="E854" s="48">
        <v>1</v>
      </c>
      <c r="F854" s="24">
        <v>480</v>
      </c>
      <c r="G854" s="24">
        <v>480</v>
      </c>
      <c r="H854" t="s">
        <v>491</v>
      </c>
    </row>
    <row r="855" spans="1:8" ht="15" customHeight="1" x14ac:dyDescent="0.3">
      <c r="A855" t="s">
        <v>625</v>
      </c>
      <c r="B855" t="s">
        <v>481</v>
      </c>
      <c r="C855" t="s">
        <v>488</v>
      </c>
      <c r="D855" t="s">
        <v>289</v>
      </c>
      <c r="E855" s="48">
        <v>0</v>
      </c>
      <c r="F855" s="24">
        <v>0</v>
      </c>
      <c r="G855" s="24">
        <v>0</v>
      </c>
      <c r="H855" t="s">
        <v>489</v>
      </c>
    </row>
    <row r="856" spans="1:8" ht="15" customHeight="1" x14ac:dyDescent="0.3">
      <c r="A856" t="s">
        <v>625</v>
      </c>
      <c r="B856" t="s">
        <v>481</v>
      </c>
      <c r="C856" t="s">
        <v>486</v>
      </c>
      <c r="D856" t="s">
        <v>293</v>
      </c>
      <c r="E856" s="48">
        <v>3</v>
      </c>
      <c r="F856" s="24">
        <v>20</v>
      </c>
      <c r="G856" s="24">
        <v>60</v>
      </c>
      <c r="H856" t="s">
        <v>487</v>
      </c>
    </row>
    <row r="857" spans="1:8" ht="15" customHeight="1" x14ac:dyDescent="0.3">
      <c r="A857" t="s">
        <v>625</v>
      </c>
      <c r="B857" t="s">
        <v>481</v>
      </c>
      <c r="C857" t="s">
        <v>488</v>
      </c>
      <c r="D857" t="s">
        <v>293</v>
      </c>
      <c r="E857" s="48">
        <v>0</v>
      </c>
      <c r="F857" s="24">
        <v>0</v>
      </c>
      <c r="G857" s="24">
        <v>0</v>
      </c>
      <c r="H857" t="s">
        <v>630</v>
      </c>
    </row>
    <row r="858" spans="1:8" ht="15" customHeight="1" x14ac:dyDescent="0.3">
      <c r="A858" t="s">
        <v>625</v>
      </c>
      <c r="B858" t="s">
        <v>481</v>
      </c>
      <c r="C858" t="s">
        <v>490</v>
      </c>
      <c r="D858" t="s">
        <v>293</v>
      </c>
      <c r="E858" s="48">
        <v>0</v>
      </c>
      <c r="F858" s="24">
        <v>0</v>
      </c>
      <c r="G858" s="24">
        <v>0</v>
      </c>
      <c r="H858" t="s">
        <v>491</v>
      </c>
    </row>
    <row r="859" spans="1:8" ht="15" customHeight="1" x14ac:dyDescent="0.3">
      <c r="A859" t="s">
        <v>625</v>
      </c>
      <c r="B859" t="s">
        <v>481</v>
      </c>
      <c r="C859" t="s">
        <v>482</v>
      </c>
      <c r="D859" t="s">
        <v>290</v>
      </c>
      <c r="E859" s="48">
        <v>0</v>
      </c>
      <c r="F859" s="24">
        <v>0</v>
      </c>
      <c r="G859" s="24">
        <v>0</v>
      </c>
      <c r="H859" t="s">
        <v>492</v>
      </c>
    </row>
    <row r="860" spans="1:8" ht="15" customHeight="1" x14ac:dyDescent="0.3">
      <c r="A860" t="s">
        <v>625</v>
      </c>
      <c r="B860" t="s">
        <v>481</v>
      </c>
      <c r="C860" t="s">
        <v>484</v>
      </c>
      <c r="D860" t="s">
        <v>290</v>
      </c>
      <c r="E860" s="48">
        <v>0</v>
      </c>
      <c r="F860" s="24">
        <v>0</v>
      </c>
      <c r="G860" s="24">
        <v>0</v>
      </c>
      <c r="H860" t="s">
        <v>493</v>
      </c>
    </row>
    <row r="861" spans="1:8" ht="15" customHeight="1" x14ac:dyDescent="0.3">
      <c r="A861" t="s">
        <v>625</v>
      </c>
      <c r="B861" t="s">
        <v>481</v>
      </c>
      <c r="C861" t="s">
        <v>486</v>
      </c>
      <c r="D861" t="s">
        <v>290</v>
      </c>
      <c r="E861" s="48">
        <v>13</v>
      </c>
      <c r="F861" s="24">
        <v>20</v>
      </c>
      <c r="G861" s="24">
        <v>260</v>
      </c>
      <c r="H861" t="s">
        <v>487</v>
      </c>
    </row>
    <row r="862" spans="1:8" ht="15" customHeight="1" x14ac:dyDescent="0.3">
      <c r="A862" t="s">
        <v>625</v>
      </c>
      <c r="B862" t="s">
        <v>481</v>
      </c>
      <c r="C862" t="s">
        <v>488</v>
      </c>
      <c r="D862" t="s">
        <v>290</v>
      </c>
      <c r="E862" s="48">
        <v>1</v>
      </c>
      <c r="F862" s="24">
        <v>1454.08</v>
      </c>
      <c r="G862" s="24">
        <v>1454.08</v>
      </c>
      <c r="H862" t="s">
        <v>630</v>
      </c>
    </row>
    <row r="863" spans="1:8" ht="15" customHeight="1" x14ac:dyDescent="0.3">
      <c r="A863" t="s">
        <v>625</v>
      </c>
      <c r="B863" t="s">
        <v>481</v>
      </c>
      <c r="C863" t="s">
        <v>490</v>
      </c>
      <c r="D863" t="s">
        <v>290</v>
      </c>
      <c r="E863" s="48">
        <v>1</v>
      </c>
      <c r="F863" s="24">
        <v>456</v>
      </c>
      <c r="G863" s="24">
        <v>456</v>
      </c>
      <c r="H863" t="s">
        <v>491</v>
      </c>
    </row>
    <row r="864" spans="1:8" ht="15" customHeight="1" x14ac:dyDescent="0.3">
      <c r="A864" t="s">
        <v>625</v>
      </c>
      <c r="B864" t="s">
        <v>481</v>
      </c>
      <c r="C864" t="s">
        <v>486</v>
      </c>
      <c r="D864" t="s">
        <v>284</v>
      </c>
      <c r="E864" s="48">
        <v>19</v>
      </c>
      <c r="F864" s="24">
        <v>20</v>
      </c>
      <c r="G864" s="24">
        <v>380</v>
      </c>
      <c r="H864" t="s">
        <v>487</v>
      </c>
    </row>
    <row r="865" spans="1:8" ht="15" customHeight="1" x14ac:dyDescent="0.3">
      <c r="A865" t="s">
        <v>625</v>
      </c>
      <c r="B865" t="s">
        <v>481</v>
      </c>
      <c r="C865" t="s">
        <v>488</v>
      </c>
      <c r="D865" t="s">
        <v>284</v>
      </c>
      <c r="E865" s="48">
        <v>1</v>
      </c>
      <c r="F865" s="24">
        <v>1598.23</v>
      </c>
      <c r="G865" s="24">
        <v>1598.23</v>
      </c>
      <c r="H865" t="s">
        <v>630</v>
      </c>
    </row>
    <row r="866" spans="1:8" ht="15" customHeight="1" x14ac:dyDescent="0.3">
      <c r="A866" t="s">
        <v>625</v>
      </c>
      <c r="B866" t="s">
        <v>481</v>
      </c>
      <c r="C866" t="s">
        <v>495</v>
      </c>
      <c r="D866" t="s">
        <v>284</v>
      </c>
      <c r="E866" s="48">
        <v>0</v>
      </c>
      <c r="F866" s="24">
        <v>0</v>
      </c>
      <c r="G866" s="24">
        <v>0</v>
      </c>
      <c r="H866" t="s">
        <v>630</v>
      </c>
    </row>
    <row r="867" spans="1:8" ht="15" customHeight="1" x14ac:dyDescent="0.3">
      <c r="A867" t="s">
        <v>625</v>
      </c>
      <c r="B867" t="s">
        <v>481</v>
      </c>
      <c r="C867" t="s">
        <v>494</v>
      </c>
      <c r="D867" t="s">
        <v>285</v>
      </c>
      <c r="E867" s="48">
        <v>0</v>
      </c>
      <c r="F867" s="24">
        <v>0</v>
      </c>
      <c r="G867" s="24">
        <v>0</v>
      </c>
      <c r="H867" t="s">
        <v>496</v>
      </c>
    </row>
    <row r="868" spans="1:8" ht="15" customHeight="1" x14ac:dyDescent="0.3">
      <c r="A868" t="s">
        <v>625</v>
      </c>
      <c r="B868" t="s">
        <v>481</v>
      </c>
      <c r="C868" t="s">
        <v>486</v>
      </c>
      <c r="D868" t="s">
        <v>285</v>
      </c>
      <c r="E868" s="48">
        <v>4</v>
      </c>
      <c r="F868" s="24">
        <v>20</v>
      </c>
      <c r="G868" s="24">
        <v>80</v>
      </c>
      <c r="H868" t="s">
        <v>487</v>
      </c>
    </row>
    <row r="869" spans="1:8" ht="15" customHeight="1" x14ac:dyDescent="0.3">
      <c r="A869" t="s">
        <v>625</v>
      </c>
      <c r="B869" t="s">
        <v>481</v>
      </c>
      <c r="C869" t="s">
        <v>488</v>
      </c>
      <c r="D869" t="s">
        <v>285</v>
      </c>
      <c r="E869" s="48">
        <v>1</v>
      </c>
      <c r="F869" s="24">
        <v>415.62</v>
      </c>
      <c r="G869" s="24">
        <v>415.62</v>
      </c>
      <c r="H869" t="s">
        <v>630</v>
      </c>
    </row>
    <row r="870" spans="1:8" ht="15" customHeight="1" x14ac:dyDescent="0.3">
      <c r="A870" t="s">
        <v>625</v>
      </c>
      <c r="B870" t="s">
        <v>481</v>
      </c>
      <c r="C870" t="s">
        <v>495</v>
      </c>
      <c r="D870" t="s">
        <v>285</v>
      </c>
      <c r="E870" s="48">
        <v>1</v>
      </c>
      <c r="F870" s="24">
        <v>108</v>
      </c>
      <c r="G870" s="24">
        <v>108</v>
      </c>
      <c r="H870" t="s">
        <v>491</v>
      </c>
    </row>
    <row r="871" spans="1:8" ht="15" customHeight="1" x14ac:dyDescent="0.3">
      <c r="A871" t="s">
        <v>625</v>
      </c>
      <c r="B871" t="s">
        <v>481</v>
      </c>
      <c r="C871" t="s">
        <v>482</v>
      </c>
      <c r="D871" t="s">
        <v>282</v>
      </c>
      <c r="E871" s="48">
        <v>0</v>
      </c>
      <c r="F871" s="24">
        <v>0</v>
      </c>
      <c r="G871" s="24">
        <v>0</v>
      </c>
      <c r="H871" t="s">
        <v>497</v>
      </c>
    </row>
    <row r="872" spans="1:8" ht="15" customHeight="1" x14ac:dyDescent="0.3">
      <c r="A872" t="s">
        <v>625</v>
      </c>
      <c r="B872" t="s">
        <v>481</v>
      </c>
      <c r="C872" t="s">
        <v>486</v>
      </c>
      <c r="D872" t="s">
        <v>282</v>
      </c>
      <c r="E872" s="48">
        <v>8</v>
      </c>
      <c r="F872" s="24">
        <v>20</v>
      </c>
      <c r="G872" s="24">
        <v>160</v>
      </c>
      <c r="H872" t="s">
        <v>487</v>
      </c>
    </row>
    <row r="873" spans="1:8" ht="15" customHeight="1" x14ac:dyDescent="0.3">
      <c r="A873" t="s">
        <v>625</v>
      </c>
      <c r="B873" t="s">
        <v>481</v>
      </c>
      <c r="C873" t="s">
        <v>488</v>
      </c>
      <c r="D873" t="s">
        <v>282</v>
      </c>
      <c r="E873" s="48">
        <v>1</v>
      </c>
      <c r="F873" s="24">
        <v>468.01</v>
      </c>
      <c r="G873" s="24">
        <v>468.01</v>
      </c>
      <c r="H873" t="s">
        <v>488</v>
      </c>
    </row>
    <row r="874" spans="1:8" ht="15" customHeight="1" x14ac:dyDescent="0.3">
      <c r="A874" t="s">
        <v>625</v>
      </c>
      <c r="B874" t="s">
        <v>481</v>
      </c>
      <c r="C874" t="s">
        <v>490</v>
      </c>
      <c r="D874" t="s">
        <v>282</v>
      </c>
      <c r="E874" s="48">
        <v>1</v>
      </c>
      <c r="F874" s="24">
        <v>72</v>
      </c>
      <c r="G874" s="24">
        <v>72</v>
      </c>
      <c r="H874" t="s">
        <v>491</v>
      </c>
    </row>
    <row r="875" spans="1:8" ht="15" customHeight="1" x14ac:dyDescent="0.3">
      <c r="A875" t="s">
        <v>625</v>
      </c>
      <c r="B875" t="s">
        <v>498</v>
      </c>
      <c r="C875" t="s">
        <v>617</v>
      </c>
      <c r="D875" t="s">
        <v>287</v>
      </c>
      <c r="E875" s="48">
        <v>0</v>
      </c>
      <c r="F875" s="24">
        <v>0</v>
      </c>
      <c r="G875" s="24">
        <v>0</v>
      </c>
      <c r="H875" t="s">
        <v>502</v>
      </c>
    </row>
    <row r="876" spans="1:8" ht="15" customHeight="1" x14ac:dyDescent="0.3">
      <c r="A876" t="s">
        <v>625</v>
      </c>
      <c r="B876" t="s">
        <v>498</v>
      </c>
      <c r="C876" t="s">
        <v>499</v>
      </c>
      <c r="D876" t="s">
        <v>287</v>
      </c>
      <c r="E876" s="48">
        <v>0</v>
      </c>
      <c r="F876" s="24">
        <v>0</v>
      </c>
      <c r="G876" s="24">
        <v>0</v>
      </c>
      <c r="H876" t="s">
        <v>500</v>
      </c>
    </row>
    <row r="877" spans="1:8" ht="15" customHeight="1" x14ac:dyDescent="0.3">
      <c r="A877" t="s">
        <v>625</v>
      </c>
      <c r="B877" t="s">
        <v>498</v>
      </c>
      <c r="C877" t="s">
        <v>503</v>
      </c>
      <c r="D877" t="s">
        <v>287</v>
      </c>
      <c r="E877" s="48">
        <v>0</v>
      </c>
      <c r="F877" s="24">
        <v>0</v>
      </c>
      <c r="G877" s="24">
        <v>0</v>
      </c>
      <c r="H877" t="s">
        <v>504</v>
      </c>
    </row>
    <row r="878" spans="1:8" ht="15" customHeight="1" x14ac:dyDescent="0.3">
      <c r="A878" t="s">
        <v>625</v>
      </c>
      <c r="B878" t="s">
        <v>498</v>
      </c>
      <c r="C878" t="s">
        <v>618</v>
      </c>
      <c r="D878" t="s">
        <v>287</v>
      </c>
      <c r="E878" s="48">
        <v>0</v>
      </c>
      <c r="F878" s="24">
        <v>0</v>
      </c>
      <c r="G878" s="24">
        <v>0</v>
      </c>
      <c r="H878" t="s">
        <v>506</v>
      </c>
    </row>
    <row r="879" spans="1:8" ht="15" customHeight="1" x14ac:dyDescent="0.3">
      <c r="A879" t="s">
        <v>625</v>
      </c>
      <c r="B879" t="s">
        <v>498</v>
      </c>
      <c r="C879" t="s">
        <v>507</v>
      </c>
      <c r="D879" t="s">
        <v>289</v>
      </c>
      <c r="E879" s="48">
        <v>0</v>
      </c>
      <c r="F879" s="24">
        <v>0</v>
      </c>
      <c r="G879" s="24">
        <v>0</v>
      </c>
      <c r="H879" t="s">
        <v>508</v>
      </c>
    </row>
    <row r="880" spans="1:8" ht="15" customHeight="1" x14ac:dyDescent="0.3">
      <c r="A880" t="s">
        <v>625</v>
      </c>
      <c r="B880" t="s">
        <v>498</v>
      </c>
      <c r="C880" t="s">
        <v>509</v>
      </c>
      <c r="D880" t="s">
        <v>289</v>
      </c>
      <c r="E880" s="48">
        <v>0</v>
      </c>
      <c r="F880" s="24">
        <v>0</v>
      </c>
      <c r="G880" s="24">
        <v>0</v>
      </c>
      <c r="H880" t="s">
        <v>510</v>
      </c>
    </row>
    <row r="881" spans="1:8" ht="15" customHeight="1" x14ac:dyDescent="0.3">
      <c r="A881" t="s">
        <v>625</v>
      </c>
      <c r="B881" t="s">
        <v>498</v>
      </c>
      <c r="C881" t="s">
        <v>511</v>
      </c>
      <c r="D881" t="s">
        <v>293</v>
      </c>
      <c r="E881" s="48">
        <v>0</v>
      </c>
      <c r="F881" s="24">
        <v>0</v>
      </c>
      <c r="G881" s="24">
        <v>0</v>
      </c>
      <c r="H881" t="s">
        <v>512</v>
      </c>
    </row>
    <row r="882" spans="1:8" ht="15" customHeight="1" x14ac:dyDescent="0.3">
      <c r="A882" t="s">
        <v>625</v>
      </c>
      <c r="B882" t="s">
        <v>498</v>
      </c>
      <c r="C882" t="s">
        <v>513</v>
      </c>
      <c r="D882" t="s">
        <v>293</v>
      </c>
      <c r="E882" s="48">
        <v>0</v>
      </c>
      <c r="F882" s="24">
        <v>0</v>
      </c>
      <c r="G882" s="24">
        <v>0</v>
      </c>
      <c r="H882" t="s">
        <v>514</v>
      </c>
    </row>
    <row r="883" spans="1:8" ht="15" customHeight="1" x14ac:dyDescent="0.3">
      <c r="A883" t="s">
        <v>625</v>
      </c>
      <c r="B883" t="s">
        <v>498</v>
      </c>
      <c r="C883" t="s">
        <v>515</v>
      </c>
      <c r="D883" t="s">
        <v>293</v>
      </c>
      <c r="E883" s="48">
        <v>0</v>
      </c>
      <c r="F883" s="24">
        <v>0</v>
      </c>
      <c r="G883" s="24">
        <v>0</v>
      </c>
      <c r="H883" t="s">
        <v>508</v>
      </c>
    </row>
    <row r="884" spans="1:8" ht="15" customHeight="1" x14ac:dyDescent="0.3">
      <c r="A884" t="s">
        <v>625</v>
      </c>
      <c r="B884" t="s">
        <v>498</v>
      </c>
      <c r="C884" t="s">
        <v>516</v>
      </c>
      <c r="D884" t="s">
        <v>293</v>
      </c>
      <c r="E884" s="48">
        <v>0</v>
      </c>
      <c r="F884" s="24">
        <v>0</v>
      </c>
      <c r="G884" s="24">
        <v>0</v>
      </c>
      <c r="H884" t="s">
        <v>517</v>
      </c>
    </row>
    <row r="885" spans="1:8" ht="15" customHeight="1" x14ac:dyDescent="0.3">
      <c r="A885" t="s">
        <v>625</v>
      </c>
      <c r="B885" t="s">
        <v>498</v>
      </c>
      <c r="C885" t="s">
        <v>518</v>
      </c>
      <c r="D885" t="s">
        <v>293</v>
      </c>
      <c r="E885" s="48">
        <v>0</v>
      </c>
      <c r="F885" s="24">
        <v>0</v>
      </c>
      <c r="G885" s="24">
        <v>0</v>
      </c>
      <c r="H885" t="s">
        <v>517</v>
      </c>
    </row>
    <row r="886" spans="1:8" ht="15" customHeight="1" x14ac:dyDescent="0.3">
      <c r="A886" t="s">
        <v>625</v>
      </c>
      <c r="B886" t="s">
        <v>498</v>
      </c>
      <c r="C886" t="s">
        <v>519</v>
      </c>
      <c r="D886" t="s">
        <v>293</v>
      </c>
      <c r="E886" s="48">
        <v>1</v>
      </c>
      <c r="F886" s="24">
        <v>3548.72</v>
      </c>
      <c r="G886" s="24">
        <v>3548.72</v>
      </c>
      <c r="H886" t="s">
        <v>520</v>
      </c>
    </row>
    <row r="887" spans="1:8" ht="15" customHeight="1" x14ac:dyDescent="0.3">
      <c r="A887" t="s">
        <v>625</v>
      </c>
      <c r="B887" t="s">
        <v>498</v>
      </c>
      <c r="C887" t="s">
        <v>521</v>
      </c>
      <c r="D887" t="s">
        <v>290</v>
      </c>
      <c r="E887" s="48">
        <v>0</v>
      </c>
      <c r="F887" s="24">
        <v>0</v>
      </c>
      <c r="G887" s="24">
        <v>0</v>
      </c>
      <c r="H887" t="s">
        <v>508</v>
      </c>
    </row>
    <row r="888" spans="1:8" ht="15" customHeight="1" x14ac:dyDescent="0.3">
      <c r="A888" t="s">
        <v>625</v>
      </c>
      <c r="B888" t="s">
        <v>498</v>
      </c>
      <c r="C888" t="s">
        <v>522</v>
      </c>
      <c r="D888" t="s">
        <v>290</v>
      </c>
      <c r="E888" s="48">
        <v>0</v>
      </c>
      <c r="F888" s="24">
        <v>0</v>
      </c>
      <c r="G888" s="24">
        <v>0</v>
      </c>
      <c r="H888" t="s">
        <v>523</v>
      </c>
    </row>
    <row r="889" spans="1:8" ht="15" customHeight="1" x14ac:dyDescent="0.3">
      <c r="A889" t="s">
        <v>625</v>
      </c>
      <c r="B889" t="s">
        <v>498</v>
      </c>
      <c r="C889" t="s">
        <v>524</v>
      </c>
      <c r="D889" t="s">
        <v>284</v>
      </c>
      <c r="E889" s="48">
        <v>0</v>
      </c>
      <c r="F889" s="24">
        <v>0</v>
      </c>
      <c r="G889" s="24">
        <v>0</v>
      </c>
      <c r="H889" t="s">
        <v>525</v>
      </c>
    </row>
    <row r="890" spans="1:8" ht="15" customHeight="1" x14ac:dyDescent="0.3">
      <c r="A890" t="s">
        <v>625</v>
      </c>
      <c r="B890" t="s">
        <v>498</v>
      </c>
      <c r="C890" t="s">
        <v>526</v>
      </c>
      <c r="D890" t="s">
        <v>284</v>
      </c>
      <c r="E890" s="48">
        <v>0</v>
      </c>
      <c r="F890" s="24">
        <v>0</v>
      </c>
      <c r="G890" s="24">
        <v>0</v>
      </c>
      <c r="H890" t="s">
        <v>500</v>
      </c>
    </row>
    <row r="891" spans="1:8" ht="15" customHeight="1" x14ac:dyDescent="0.3">
      <c r="A891" t="s">
        <v>625</v>
      </c>
      <c r="B891" t="s">
        <v>498</v>
      </c>
      <c r="C891" t="s">
        <v>527</v>
      </c>
      <c r="D891" t="s">
        <v>284</v>
      </c>
      <c r="E891" s="48">
        <v>0</v>
      </c>
      <c r="F891" s="24">
        <v>0</v>
      </c>
      <c r="G891" s="24">
        <v>0</v>
      </c>
      <c r="H891" t="s">
        <v>504</v>
      </c>
    </row>
    <row r="892" spans="1:8" ht="15" customHeight="1" x14ac:dyDescent="0.3">
      <c r="A892" t="s">
        <v>625</v>
      </c>
      <c r="B892" t="s">
        <v>498</v>
      </c>
      <c r="C892" t="s">
        <v>528</v>
      </c>
      <c r="D892" t="s">
        <v>284</v>
      </c>
      <c r="E892" s="48">
        <v>0</v>
      </c>
      <c r="F892" s="24">
        <v>0</v>
      </c>
      <c r="G892" s="24">
        <v>0</v>
      </c>
      <c r="H892" t="s">
        <v>510</v>
      </c>
    </row>
    <row r="893" spans="1:8" ht="15" customHeight="1" x14ac:dyDescent="0.3">
      <c r="A893" t="s">
        <v>625</v>
      </c>
      <c r="B893" t="s">
        <v>498</v>
      </c>
      <c r="C893" t="s">
        <v>524</v>
      </c>
      <c r="D893" t="s">
        <v>285</v>
      </c>
      <c r="E893" s="48">
        <v>0</v>
      </c>
      <c r="F893" s="24">
        <v>0</v>
      </c>
      <c r="G893" s="24">
        <v>0</v>
      </c>
      <c r="H893" t="s">
        <v>508</v>
      </c>
    </row>
    <row r="894" spans="1:8" ht="15" customHeight="1" x14ac:dyDescent="0.3">
      <c r="A894" t="s">
        <v>625</v>
      </c>
      <c r="B894" t="s">
        <v>498</v>
      </c>
      <c r="C894" t="s">
        <v>529</v>
      </c>
      <c r="D894" t="s">
        <v>285</v>
      </c>
      <c r="E894" s="48">
        <v>0</v>
      </c>
      <c r="F894" s="24">
        <v>0</v>
      </c>
      <c r="G894" s="24">
        <v>0</v>
      </c>
      <c r="H894" t="s">
        <v>508</v>
      </c>
    </row>
    <row r="895" spans="1:8" ht="15" customHeight="1" x14ac:dyDescent="0.3">
      <c r="A895" t="s">
        <v>625</v>
      </c>
      <c r="B895" t="s">
        <v>498</v>
      </c>
      <c r="C895" t="s">
        <v>530</v>
      </c>
      <c r="D895" t="s">
        <v>285</v>
      </c>
      <c r="E895" s="48">
        <v>0</v>
      </c>
      <c r="F895" s="24">
        <v>0</v>
      </c>
      <c r="G895" s="24">
        <v>0</v>
      </c>
      <c r="H895" t="s">
        <v>523</v>
      </c>
    </row>
    <row r="896" spans="1:8" ht="15" customHeight="1" x14ac:dyDescent="0.3">
      <c r="A896" t="s">
        <v>625</v>
      </c>
      <c r="B896" t="s">
        <v>498</v>
      </c>
      <c r="C896" t="s">
        <v>528</v>
      </c>
      <c r="D896" t="s">
        <v>285</v>
      </c>
      <c r="E896" s="48">
        <v>0</v>
      </c>
      <c r="F896" s="24">
        <v>0</v>
      </c>
      <c r="G896" s="24">
        <v>0</v>
      </c>
      <c r="H896" t="s">
        <v>531</v>
      </c>
    </row>
    <row r="897" spans="1:8" ht="15" customHeight="1" x14ac:dyDescent="0.3">
      <c r="A897" t="s">
        <v>625</v>
      </c>
      <c r="B897" t="s">
        <v>498</v>
      </c>
      <c r="C897" t="s">
        <v>532</v>
      </c>
      <c r="D897" t="s">
        <v>282</v>
      </c>
      <c r="E897" s="48">
        <v>4806</v>
      </c>
      <c r="F897" s="24">
        <v>0.62</v>
      </c>
      <c r="G897" s="24">
        <v>2979.72</v>
      </c>
      <c r="H897" t="s">
        <v>394</v>
      </c>
    </row>
    <row r="898" spans="1:8" ht="15" customHeight="1" x14ac:dyDescent="0.3">
      <c r="A898" t="s">
        <v>625</v>
      </c>
      <c r="B898" t="s">
        <v>498</v>
      </c>
      <c r="C898" t="s">
        <v>533</v>
      </c>
      <c r="D898" t="s">
        <v>282</v>
      </c>
      <c r="E898" s="48">
        <v>1</v>
      </c>
      <c r="F898" s="24">
        <v>561.64</v>
      </c>
      <c r="G898" s="24">
        <v>561.64</v>
      </c>
      <c r="H898" t="s">
        <v>508</v>
      </c>
    </row>
    <row r="899" spans="1:8" ht="15" customHeight="1" x14ac:dyDescent="0.3">
      <c r="A899" t="s">
        <v>625</v>
      </c>
      <c r="B899" t="s">
        <v>498</v>
      </c>
      <c r="C899" t="s">
        <v>534</v>
      </c>
      <c r="D899" t="s">
        <v>282</v>
      </c>
      <c r="E899" s="48">
        <v>0</v>
      </c>
      <c r="F899" s="24">
        <v>0</v>
      </c>
      <c r="G899" s="24">
        <v>0</v>
      </c>
      <c r="H899" t="s">
        <v>508</v>
      </c>
    </row>
    <row r="900" spans="1:8" ht="15" customHeight="1" x14ac:dyDescent="0.3">
      <c r="A900" t="s">
        <v>625</v>
      </c>
      <c r="B900" t="s">
        <v>498</v>
      </c>
      <c r="C900" t="s">
        <v>631</v>
      </c>
      <c r="D900" t="s">
        <v>282</v>
      </c>
      <c r="E900" s="48">
        <v>1</v>
      </c>
      <c r="F900" s="24">
        <v>2033.5</v>
      </c>
      <c r="G900" s="24">
        <v>2033.5</v>
      </c>
      <c r="H900" t="s">
        <v>531</v>
      </c>
    </row>
    <row r="901" spans="1:8" ht="15" customHeight="1" x14ac:dyDescent="0.3">
      <c r="A901" t="s">
        <v>625</v>
      </c>
      <c r="B901" t="s">
        <v>498</v>
      </c>
      <c r="C901" t="s">
        <v>536</v>
      </c>
      <c r="D901" t="s">
        <v>282</v>
      </c>
      <c r="E901" s="48">
        <v>0</v>
      </c>
      <c r="F901" s="24">
        <v>0</v>
      </c>
      <c r="G901" s="24">
        <v>0</v>
      </c>
      <c r="H901" t="s">
        <v>523</v>
      </c>
    </row>
    <row r="902" spans="1:8" ht="15" customHeight="1" x14ac:dyDescent="0.3">
      <c r="A902" t="s">
        <v>625</v>
      </c>
      <c r="B902" t="s">
        <v>537</v>
      </c>
      <c r="C902" t="s">
        <v>538</v>
      </c>
      <c r="D902" t="s">
        <v>289</v>
      </c>
      <c r="E902" s="48">
        <v>1</v>
      </c>
      <c r="F902" s="24">
        <v>238.88</v>
      </c>
      <c r="G902" s="24">
        <v>238.88</v>
      </c>
      <c r="H902" t="s">
        <v>632</v>
      </c>
    </row>
    <row r="903" spans="1:8" ht="15" customHeight="1" x14ac:dyDescent="0.3">
      <c r="A903" t="s">
        <v>625</v>
      </c>
      <c r="B903" t="s">
        <v>537</v>
      </c>
      <c r="C903" t="s">
        <v>540</v>
      </c>
      <c r="D903" t="s">
        <v>289</v>
      </c>
      <c r="E903" s="48">
        <v>1</v>
      </c>
      <c r="F903" s="24">
        <v>624.79</v>
      </c>
      <c r="G903" s="24">
        <v>624.79</v>
      </c>
      <c r="H903" t="s">
        <v>632</v>
      </c>
    </row>
    <row r="904" spans="1:8" ht="15" customHeight="1" x14ac:dyDescent="0.3">
      <c r="A904" t="s">
        <v>625</v>
      </c>
      <c r="B904" t="s">
        <v>537</v>
      </c>
      <c r="C904" t="s">
        <v>541</v>
      </c>
      <c r="D904" t="s">
        <v>289</v>
      </c>
      <c r="E904" s="48">
        <v>1</v>
      </c>
      <c r="F904" s="24">
        <v>510</v>
      </c>
      <c r="G904" s="24">
        <v>510</v>
      </c>
      <c r="H904" t="s">
        <v>632</v>
      </c>
    </row>
    <row r="905" spans="1:8" ht="15" customHeight="1" x14ac:dyDescent="0.3">
      <c r="A905" t="s">
        <v>625</v>
      </c>
      <c r="B905" t="s">
        <v>537</v>
      </c>
      <c r="C905" t="s">
        <v>542</v>
      </c>
      <c r="D905" t="s">
        <v>289</v>
      </c>
      <c r="E905" s="48">
        <v>1</v>
      </c>
      <c r="F905" s="24">
        <v>333.1</v>
      </c>
      <c r="G905" s="24">
        <v>333.1</v>
      </c>
      <c r="H905" t="s">
        <v>632</v>
      </c>
    </row>
    <row r="906" spans="1:8" ht="15" customHeight="1" x14ac:dyDescent="0.3">
      <c r="A906" t="s">
        <v>625</v>
      </c>
      <c r="B906" t="s">
        <v>537</v>
      </c>
      <c r="C906" t="s">
        <v>545</v>
      </c>
      <c r="D906" t="s">
        <v>289</v>
      </c>
      <c r="E906" s="48">
        <v>1</v>
      </c>
      <c r="F906" s="24">
        <v>2973.2</v>
      </c>
      <c r="G906" s="24">
        <v>2973.2</v>
      </c>
      <c r="H906" t="s">
        <v>632</v>
      </c>
    </row>
    <row r="907" spans="1:8" ht="15" customHeight="1" x14ac:dyDescent="0.3">
      <c r="A907" t="s">
        <v>625</v>
      </c>
      <c r="B907" t="s">
        <v>537</v>
      </c>
      <c r="C907" t="s">
        <v>619</v>
      </c>
      <c r="D907" t="s">
        <v>289</v>
      </c>
      <c r="E907" s="48">
        <v>1</v>
      </c>
      <c r="F907" s="24">
        <v>1833.24</v>
      </c>
      <c r="G907" s="24">
        <v>1833.24</v>
      </c>
      <c r="H907" t="s">
        <v>632</v>
      </c>
    </row>
    <row r="908" spans="1:8" ht="15" customHeight="1" x14ac:dyDescent="0.3">
      <c r="A908" t="s">
        <v>625</v>
      </c>
      <c r="B908" t="s">
        <v>537</v>
      </c>
      <c r="C908" t="s">
        <v>546</v>
      </c>
      <c r="D908" t="s">
        <v>289</v>
      </c>
      <c r="E908" s="48">
        <v>1</v>
      </c>
      <c r="F908" s="24">
        <v>7615.46</v>
      </c>
      <c r="G908" s="24">
        <v>7615.46</v>
      </c>
      <c r="H908" t="s">
        <v>632</v>
      </c>
    </row>
    <row r="909" spans="1:8" ht="15" customHeight="1" x14ac:dyDescent="0.3">
      <c r="A909" t="s">
        <v>625</v>
      </c>
      <c r="B909" t="s">
        <v>537</v>
      </c>
      <c r="C909" t="s">
        <v>620</v>
      </c>
      <c r="D909" t="s">
        <v>290</v>
      </c>
      <c r="E909" s="48">
        <v>-1</v>
      </c>
      <c r="F909" s="24">
        <v>1046.56</v>
      </c>
      <c r="G909" s="24">
        <v>-1046.56</v>
      </c>
      <c r="H909" t="s">
        <v>621</v>
      </c>
    </row>
    <row r="910" spans="1:8" ht="15" customHeight="1" x14ac:dyDescent="0.3">
      <c r="A910" t="s">
        <v>625</v>
      </c>
      <c r="B910" t="s">
        <v>537</v>
      </c>
      <c r="C910" t="s">
        <v>538</v>
      </c>
      <c r="D910" t="s">
        <v>290</v>
      </c>
      <c r="E910" s="48">
        <v>0</v>
      </c>
      <c r="F910" s="24">
        <v>0</v>
      </c>
      <c r="G910" s="24">
        <v>0</v>
      </c>
      <c r="H910" t="s">
        <v>549</v>
      </c>
    </row>
    <row r="911" spans="1:8" ht="15" customHeight="1" x14ac:dyDescent="0.3">
      <c r="A911" t="s">
        <v>625</v>
      </c>
      <c r="B911" t="s">
        <v>537</v>
      </c>
      <c r="C911" t="s">
        <v>538</v>
      </c>
      <c r="D911" t="s">
        <v>290</v>
      </c>
      <c r="E911" s="48">
        <v>-1</v>
      </c>
      <c r="F911" s="24">
        <v>238.88</v>
      </c>
      <c r="G911" s="24">
        <v>-238.88</v>
      </c>
      <c r="H911" t="s">
        <v>592</v>
      </c>
    </row>
    <row r="912" spans="1:8" ht="15" customHeight="1" x14ac:dyDescent="0.3">
      <c r="A912" t="s">
        <v>625</v>
      </c>
      <c r="B912" t="s">
        <v>537</v>
      </c>
      <c r="C912" t="s">
        <v>541</v>
      </c>
      <c r="D912" t="s">
        <v>282</v>
      </c>
      <c r="E912" s="48">
        <v>1</v>
      </c>
      <c r="F912" s="24">
        <v>67.33</v>
      </c>
      <c r="G912" s="24">
        <v>67.33</v>
      </c>
      <c r="H912" t="s">
        <v>551</v>
      </c>
    </row>
    <row r="913" spans="1:8" ht="15" customHeight="1" x14ac:dyDescent="0.3">
      <c r="A913" t="s">
        <v>625</v>
      </c>
      <c r="B913" t="s">
        <v>537</v>
      </c>
      <c r="C913" t="s">
        <v>541</v>
      </c>
      <c r="D913" t="s">
        <v>282</v>
      </c>
      <c r="E913" s="48">
        <v>-1</v>
      </c>
      <c r="F913" s="24">
        <v>510</v>
      </c>
      <c r="G913" s="24">
        <v>-510</v>
      </c>
      <c r="H913" t="s">
        <v>592</v>
      </c>
    </row>
    <row r="914" spans="1:8" ht="15" customHeight="1" x14ac:dyDescent="0.3">
      <c r="A914" t="s">
        <v>625</v>
      </c>
      <c r="B914" t="s">
        <v>47</v>
      </c>
      <c r="C914" t="s">
        <v>552</v>
      </c>
      <c r="D914" t="s">
        <v>287</v>
      </c>
      <c r="E914" s="48">
        <v>1</v>
      </c>
      <c r="F914" s="24">
        <v>1027.18</v>
      </c>
      <c r="G914" s="24">
        <v>1027.18</v>
      </c>
      <c r="H914" t="s">
        <v>633</v>
      </c>
    </row>
    <row r="915" spans="1:8" ht="15" customHeight="1" x14ac:dyDescent="0.3">
      <c r="A915" t="s">
        <v>625</v>
      </c>
      <c r="B915" t="s">
        <v>47</v>
      </c>
      <c r="C915" t="s">
        <v>552</v>
      </c>
      <c r="D915" t="s">
        <v>289</v>
      </c>
      <c r="E915" s="48">
        <v>0</v>
      </c>
      <c r="F915" s="24">
        <v>0</v>
      </c>
      <c r="G915" s="24">
        <v>0</v>
      </c>
      <c r="H915" t="s">
        <v>554</v>
      </c>
    </row>
    <row r="916" spans="1:8" ht="15" customHeight="1" x14ac:dyDescent="0.3">
      <c r="A916" t="s">
        <v>625</v>
      </c>
      <c r="B916" t="s">
        <v>47</v>
      </c>
      <c r="C916" t="s">
        <v>552</v>
      </c>
      <c r="D916" t="s">
        <v>293</v>
      </c>
      <c r="E916" s="48">
        <v>0</v>
      </c>
      <c r="F916" s="24">
        <v>0</v>
      </c>
      <c r="G916" s="24">
        <v>0</v>
      </c>
      <c r="H916" t="s">
        <v>555</v>
      </c>
    </row>
    <row r="917" spans="1:8" ht="15" customHeight="1" x14ac:dyDescent="0.3">
      <c r="A917" t="s">
        <v>625</v>
      </c>
      <c r="B917" t="s">
        <v>47</v>
      </c>
      <c r="C917" t="s">
        <v>552</v>
      </c>
      <c r="D917" t="s">
        <v>290</v>
      </c>
      <c r="E917" s="48">
        <v>1</v>
      </c>
      <c r="F917" s="24">
        <v>9586.0300000000007</v>
      </c>
      <c r="G917" s="24">
        <v>9586.0300000000007</v>
      </c>
      <c r="H917" t="s">
        <v>634</v>
      </c>
    </row>
    <row r="918" spans="1:8" ht="15" customHeight="1" x14ac:dyDescent="0.3">
      <c r="A918" t="s">
        <v>625</v>
      </c>
      <c r="B918" t="s">
        <v>47</v>
      </c>
      <c r="C918" t="s">
        <v>552</v>
      </c>
      <c r="D918" t="s">
        <v>284</v>
      </c>
      <c r="E918" s="48">
        <v>0</v>
      </c>
      <c r="F918" s="24">
        <v>0</v>
      </c>
      <c r="G918" s="24">
        <v>0</v>
      </c>
      <c r="H918" t="s">
        <v>557</v>
      </c>
    </row>
    <row r="919" spans="1:8" ht="15" customHeight="1" x14ac:dyDescent="0.3">
      <c r="A919" t="s">
        <v>625</v>
      </c>
      <c r="B919" t="s">
        <v>47</v>
      </c>
      <c r="C919" t="s">
        <v>552</v>
      </c>
      <c r="D919" t="s">
        <v>285</v>
      </c>
      <c r="E919" s="48">
        <v>0</v>
      </c>
      <c r="F919" s="24">
        <v>0</v>
      </c>
      <c r="G919" s="24">
        <v>0</v>
      </c>
      <c r="H919" t="s">
        <v>555</v>
      </c>
    </row>
    <row r="920" spans="1:8" ht="15" customHeight="1" x14ac:dyDescent="0.3">
      <c r="A920" t="s">
        <v>625</v>
      </c>
      <c r="B920" t="s">
        <v>47</v>
      </c>
      <c r="C920" t="s">
        <v>552</v>
      </c>
      <c r="D920" t="s">
        <v>282</v>
      </c>
      <c r="E920" s="48">
        <v>1</v>
      </c>
      <c r="F920" s="24">
        <v>371.45</v>
      </c>
      <c r="G920" s="24">
        <v>371.45</v>
      </c>
      <c r="H920" t="s">
        <v>635</v>
      </c>
    </row>
    <row r="921" spans="1:8" ht="15" customHeight="1" x14ac:dyDescent="0.3">
      <c r="A921" t="s">
        <v>625</v>
      </c>
      <c r="B921" t="s">
        <v>85</v>
      </c>
      <c r="C921" t="s">
        <v>559</v>
      </c>
      <c r="D921" t="s">
        <v>275</v>
      </c>
      <c r="E921" s="48">
        <v>149</v>
      </c>
      <c r="F921" s="24">
        <v>125.29</v>
      </c>
      <c r="G921" s="24">
        <v>18668.21</v>
      </c>
      <c r="H921" t="s">
        <v>636</v>
      </c>
    </row>
    <row r="922" spans="1:8" ht="15" customHeight="1" x14ac:dyDescent="0.3">
      <c r="A922" t="s">
        <v>625</v>
      </c>
      <c r="B922" t="s">
        <v>85</v>
      </c>
      <c r="C922" t="s">
        <v>559</v>
      </c>
      <c r="D922" t="s">
        <v>287</v>
      </c>
      <c r="E922" s="48">
        <v>2</v>
      </c>
      <c r="F922" s="24">
        <v>161.82</v>
      </c>
      <c r="G922" s="24">
        <v>323.64</v>
      </c>
      <c r="H922" t="s">
        <v>636</v>
      </c>
    </row>
    <row r="923" spans="1:8" ht="15" customHeight="1" x14ac:dyDescent="0.3">
      <c r="A923" t="s">
        <v>625</v>
      </c>
      <c r="B923" t="s">
        <v>85</v>
      </c>
      <c r="C923" t="s">
        <v>559</v>
      </c>
      <c r="D923" t="s">
        <v>289</v>
      </c>
      <c r="E923" s="48">
        <v>22</v>
      </c>
      <c r="F923" s="24">
        <v>156.91</v>
      </c>
      <c r="G923" s="24">
        <v>3452.02</v>
      </c>
      <c r="H923" t="s">
        <v>561</v>
      </c>
    </row>
    <row r="924" spans="1:8" ht="15" customHeight="1" x14ac:dyDescent="0.3">
      <c r="A924" t="s">
        <v>625</v>
      </c>
      <c r="B924" t="s">
        <v>85</v>
      </c>
      <c r="C924" t="s">
        <v>559</v>
      </c>
      <c r="D924" t="s">
        <v>293</v>
      </c>
      <c r="E924" s="48">
        <v>11</v>
      </c>
      <c r="F924" s="24">
        <v>164.27</v>
      </c>
      <c r="G924" s="24">
        <v>1806.97</v>
      </c>
      <c r="H924" t="s">
        <v>561</v>
      </c>
    </row>
    <row r="925" spans="1:8" ht="15" customHeight="1" x14ac:dyDescent="0.3">
      <c r="A925" t="s">
        <v>625</v>
      </c>
      <c r="B925" t="s">
        <v>85</v>
      </c>
      <c r="C925" t="s">
        <v>559</v>
      </c>
      <c r="D925" t="s">
        <v>290</v>
      </c>
      <c r="E925" s="48">
        <v>24</v>
      </c>
      <c r="F925" s="24">
        <v>152.82</v>
      </c>
      <c r="G925" s="24">
        <v>3667.68</v>
      </c>
      <c r="H925" t="s">
        <v>561</v>
      </c>
    </row>
    <row r="926" spans="1:8" ht="15" customHeight="1" x14ac:dyDescent="0.3">
      <c r="A926" t="s">
        <v>625</v>
      </c>
      <c r="B926" t="s">
        <v>85</v>
      </c>
      <c r="C926" t="s">
        <v>559</v>
      </c>
      <c r="D926" t="s">
        <v>284</v>
      </c>
      <c r="E926" s="48">
        <v>10</v>
      </c>
      <c r="F926" s="24">
        <v>151.02000000000001</v>
      </c>
      <c r="G926" s="24">
        <v>1510.2</v>
      </c>
      <c r="H926" t="s">
        <v>561</v>
      </c>
    </row>
    <row r="927" spans="1:8" ht="15" customHeight="1" x14ac:dyDescent="0.3">
      <c r="A927" t="s">
        <v>625</v>
      </c>
      <c r="B927" t="s">
        <v>85</v>
      </c>
      <c r="C927" t="s">
        <v>559</v>
      </c>
      <c r="D927" t="s">
        <v>285</v>
      </c>
      <c r="E927" s="48">
        <v>0</v>
      </c>
      <c r="F927" s="24">
        <v>0</v>
      </c>
      <c r="G927" s="24">
        <v>0</v>
      </c>
      <c r="H927" t="s">
        <v>561</v>
      </c>
    </row>
    <row r="928" spans="1:8" ht="15" customHeight="1" x14ac:dyDescent="0.3">
      <c r="A928" t="s">
        <v>625</v>
      </c>
      <c r="B928" t="s">
        <v>85</v>
      </c>
      <c r="C928" t="s">
        <v>559</v>
      </c>
      <c r="D928" t="s">
        <v>282</v>
      </c>
      <c r="E928" s="48">
        <v>12</v>
      </c>
      <c r="F928" s="24">
        <v>157.32</v>
      </c>
      <c r="G928" s="24">
        <v>1887.84</v>
      </c>
      <c r="H928" t="s">
        <v>561</v>
      </c>
    </row>
    <row r="929" spans="1:8" ht="15" customHeight="1" x14ac:dyDescent="0.3">
      <c r="A929" t="s">
        <v>625</v>
      </c>
      <c r="B929" t="s">
        <v>32</v>
      </c>
      <c r="C929" t="s">
        <v>562</v>
      </c>
      <c r="D929" t="s">
        <v>287</v>
      </c>
      <c r="E929" s="48">
        <v>1</v>
      </c>
      <c r="F929" s="24">
        <v>91.2</v>
      </c>
      <c r="G929" s="24">
        <v>91.2</v>
      </c>
      <c r="H929" t="s">
        <v>563</v>
      </c>
    </row>
    <row r="930" spans="1:8" ht="15" customHeight="1" x14ac:dyDescent="0.3">
      <c r="A930" t="s">
        <v>625</v>
      </c>
      <c r="B930" t="s">
        <v>32</v>
      </c>
      <c r="C930" t="s">
        <v>564</v>
      </c>
      <c r="D930" t="s">
        <v>287</v>
      </c>
      <c r="E930" s="48">
        <v>0</v>
      </c>
      <c r="F930" s="24">
        <v>0</v>
      </c>
      <c r="G930" s="24">
        <v>0</v>
      </c>
      <c r="H930" t="s">
        <v>565</v>
      </c>
    </row>
    <row r="931" spans="1:8" ht="15" customHeight="1" x14ac:dyDescent="0.3">
      <c r="A931" t="s">
        <v>625</v>
      </c>
      <c r="B931" t="s">
        <v>32</v>
      </c>
      <c r="C931" t="s">
        <v>562</v>
      </c>
      <c r="D931" t="s">
        <v>293</v>
      </c>
      <c r="E931" s="48">
        <v>0</v>
      </c>
      <c r="F931" s="24">
        <v>0</v>
      </c>
      <c r="G931" s="24">
        <v>0</v>
      </c>
      <c r="H931" t="s">
        <v>563</v>
      </c>
    </row>
    <row r="932" spans="1:8" ht="15" customHeight="1" x14ac:dyDescent="0.3">
      <c r="A932" t="s">
        <v>625</v>
      </c>
      <c r="B932" t="s">
        <v>32</v>
      </c>
      <c r="C932" t="s">
        <v>564</v>
      </c>
      <c r="D932" t="s">
        <v>293</v>
      </c>
      <c r="E932" s="48">
        <v>0</v>
      </c>
      <c r="F932" s="24">
        <v>0</v>
      </c>
      <c r="G932" s="24">
        <v>0</v>
      </c>
      <c r="H932" t="s">
        <v>566</v>
      </c>
    </row>
    <row r="933" spans="1:8" ht="15" customHeight="1" x14ac:dyDescent="0.3">
      <c r="A933" t="s">
        <v>625</v>
      </c>
      <c r="B933" t="s">
        <v>32</v>
      </c>
      <c r="C933" t="s">
        <v>562</v>
      </c>
      <c r="D933" t="s">
        <v>290</v>
      </c>
      <c r="E933" s="48">
        <v>1</v>
      </c>
      <c r="F933" s="24">
        <v>696</v>
      </c>
      <c r="G933" s="24">
        <v>696</v>
      </c>
      <c r="H933" t="s">
        <v>563</v>
      </c>
    </row>
    <row r="934" spans="1:8" ht="15" customHeight="1" x14ac:dyDescent="0.3">
      <c r="A934" t="s">
        <v>625</v>
      </c>
      <c r="B934" t="s">
        <v>32</v>
      </c>
      <c r="C934" t="s">
        <v>562</v>
      </c>
      <c r="D934" t="s">
        <v>290</v>
      </c>
      <c r="E934" s="48">
        <v>0</v>
      </c>
      <c r="F934" s="24">
        <v>0</v>
      </c>
      <c r="G934" s="24">
        <v>0</v>
      </c>
      <c r="H934" t="s">
        <v>563</v>
      </c>
    </row>
    <row r="935" spans="1:8" ht="15" customHeight="1" x14ac:dyDescent="0.3">
      <c r="A935" t="s">
        <v>625</v>
      </c>
      <c r="B935" t="s">
        <v>32</v>
      </c>
      <c r="C935" t="s">
        <v>562</v>
      </c>
      <c r="D935" t="s">
        <v>284</v>
      </c>
      <c r="E935" s="48">
        <v>1</v>
      </c>
      <c r="F935" s="24">
        <v>980.4</v>
      </c>
      <c r="G935" s="24">
        <v>980.4</v>
      </c>
      <c r="H935" t="s">
        <v>563</v>
      </c>
    </row>
    <row r="936" spans="1:8" ht="15" customHeight="1" x14ac:dyDescent="0.3">
      <c r="A936" t="s">
        <v>625</v>
      </c>
      <c r="B936" t="s">
        <v>32</v>
      </c>
      <c r="C936" t="s">
        <v>564</v>
      </c>
      <c r="D936" t="s">
        <v>284</v>
      </c>
      <c r="E936" s="48">
        <v>0</v>
      </c>
      <c r="F936" s="24">
        <v>0</v>
      </c>
      <c r="G936" s="24">
        <v>0</v>
      </c>
      <c r="H936" t="s">
        <v>565</v>
      </c>
    </row>
    <row r="937" spans="1:8" ht="15" customHeight="1" x14ac:dyDescent="0.3">
      <c r="A937" t="s">
        <v>625</v>
      </c>
      <c r="B937" t="s">
        <v>32</v>
      </c>
      <c r="C937" t="s">
        <v>562</v>
      </c>
      <c r="D937" t="s">
        <v>285</v>
      </c>
      <c r="E937" s="48">
        <v>0</v>
      </c>
      <c r="F937" s="24">
        <v>0</v>
      </c>
      <c r="G937" s="24">
        <v>0</v>
      </c>
      <c r="H937" t="s">
        <v>563</v>
      </c>
    </row>
    <row r="938" spans="1:8" ht="15" customHeight="1" x14ac:dyDescent="0.3">
      <c r="A938" t="s">
        <v>625</v>
      </c>
      <c r="B938" t="s">
        <v>32</v>
      </c>
      <c r="C938" t="s">
        <v>562</v>
      </c>
      <c r="D938" t="s">
        <v>282</v>
      </c>
      <c r="E938" s="48">
        <v>1</v>
      </c>
      <c r="F938" s="24">
        <v>314.60000000000002</v>
      </c>
      <c r="G938" s="24">
        <v>314.60000000000002</v>
      </c>
      <c r="H938" t="s">
        <v>563</v>
      </c>
    </row>
    <row r="939" spans="1:8" ht="15" customHeight="1" x14ac:dyDescent="0.3">
      <c r="A939" t="s">
        <v>625</v>
      </c>
      <c r="B939" t="s">
        <v>32</v>
      </c>
      <c r="C939" t="s">
        <v>564</v>
      </c>
      <c r="D939" t="s">
        <v>282</v>
      </c>
      <c r="E939" s="48">
        <v>0</v>
      </c>
      <c r="F939" s="24">
        <v>0</v>
      </c>
      <c r="G939" s="24">
        <v>0</v>
      </c>
      <c r="H939" t="s">
        <v>567</v>
      </c>
    </row>
    <row r="940" spans="1:8" ht="15" customHeight="1" x14ac:dyDescent="0.3">
      <c r="A940" t="s">
        <v>625</v>
      </c>
      <c r="B940" t="s">
        <v>568</v>
      </c>
      <c r="C940" t="s">
        <v>569</v>
      </c>
      <c r="D940" t="s">
        <v>289</v>
      </c>
      <c r="E940" s="48">
        <v>13530</v>
      </c>
      <c r="F940" s="24">
        <v>3.1825302683130601</v>
      </c>
      <c r="G940" s="24">
        <v>43059.634530000003</v>
      </c>
      <c r="H940" t="s">
        <v>394</v>
      </c>
    </row>
    <row r="941" spans="1:8" ht="15" customHeight="1" x14ac:dyDescent="0.3">
      <c r="A941" t="s">
        <v>625</v>
      </c>
      <c r="B941" t="s">
        <v>44</v>
      </c>
      <c r="C941" t="s">
        <v>570</v>
      </c>
      <c r="D941" t="s">
        <v>287</v>
      </c>
      <c r="E941" s="48">
        <v>-1</v>
      </c>
      <c r="F941" s="24">
        <v>847.7</v>
      </c>
      <c r="G941" s="24">
        <v>-847.7</v>
      </c>
      <c r="H941" t="s">
        <v>571</v>
      </c>
    </row>
    <row r="942" spans="1:8" ht="15" customHeight="1" x14ac:dyDescent="0.3">
      <c r="A942" t="s">
        <v>625</v>
      </c>
      <c r="B942" t="s">
        <v>44</v>
      </c>
      <c r="C942" t="s">
        <v>570</v>
      </c>
      <c r="D942" t="s">
        <v>287</v>
      </c>
      <c r="E942" s="48">
        <v>1</v>
      </c>
      <c r="F942" s="24">
        <v>2959.45</v>
      </c>
      <c r="G942" s="24">
        <v>2959.45</v>
      </c>
      <c r="H942" t="s">
        <v>637</v>
      </c>
    </row>
    <row r="943" spans="1:8" ht="15" customHeight="1" x14ac:dyDescent="0.3">
      <c r="A943" t="s">
        <v>625</v>
      </c>
      <c r="B943" t="s">
        <v>44</v>
      </c>
      <c r="C943" t="s">
        <v>570</v>
      </c>
      <c r="D943" t="s">
        <v>289</v>
      </c>
      <c r="E943" s="48">
        <v>1</v>
      </c>
      <c r="F943" s="24">
        <v>863</v>
      </c>
      <c r="G943" s="24">
        <v>863</v>
      </c>
      <c r="H943" t="s">
        <v>623</v>
      </c>
    </row>
    <row r="944" spans="1:8" ht="15" customHeight="1" x14ac:dyDescent="0.3">
      <c r="A944" t="s">
        <v>625</v>
      </c>
      <c r="B944" t="s">
        <v>44</v>
      </c>
      <c r="C944" t="s">
        <v>573</v>
      </c>
      <c r="D944" t="s">
        <v>289</v>
      </c>
      <c r="E944" s="48">
        <v>0</v>
      </c>
      <c r="F944" s="24">
        <v>0</v>
      </c>
      <c r="G944" s="24">
        <v>0</v>
      </c>
      <c r="H944" t="s">
        <v>574</v>
      </c>
    </row>
    <row r="945" spans="1:8" ht="15" customHeight="1" x14ac:dyDescent="0.3">
      <c r="A945" t="s">
        <v>625</v>
      </c>
      <c r="B945" t="s">
        <v>44</v>
      </c>
      <c r="C945" t="s">
        <v>575</v>
      </c>
      <c r="D945" t="s">
        <v>289</v>
      </c>
      <c r="E945" s="48">
        <v>0</v>
      </c>
      <c r="F945" s="24">
        <v>0</v>
      </c>
      <c r="G945" s="24">
        <v>0</v>
      </c>
      <c r="H945" t="s">
        <v>576</v>
      </c>
    </row>
    <row r="946" spans="1:8" ht="15" customHeight="1" x14ac:dyDescent="0.3">
      <c r="A946" t="s">
        <v>625</v>
      </c>
      <c r="B946" t="s">
        <v>44</v>
      </c>
      <c r="C946" t="s">
        <v>577</v>
      </c>
      <c r="D946" t="s">
        <v>289</v>
      </c>
      <c r="E946" s="48">
        <v>1</v>
      </c>
      <c r="F946" s="24">
        <v>6471.5</v>
      </c>
      <c r="G946" s="24">
        <v>6471.5</v>
      </c>
      <c r="H946" t="s">
        <v>578</v>
      </c>
    </row>
    <row r="947" spans="1:8" ht="15" customHeight="1" x14ac:dyDescent="0.3">
      <c r="A947" t="s">
        <v>625</v>
      </c>
      <c r="B947" t="s">
        <v>44</v>
      </c>
      <c r="C947" t="s">
        <v>570</v>
      </c>
      <c r="D947" t="s">
        <v>293</v>
      </c>
      <c r="E947" s="48">
        <v>1</v>
      </c>
      <c r="F947" s="24">
        <v>1119.06</v>
      </c>
      <c r="G947" s="24">
        <v>1119.06</v>
      </c>
      <c r="H947" t="s">
        <v>623</v>
      </c>
    </row>
    <row r="948" spans="1:8" ht="15" customHeight="1" x14ac:dyDescent="0.3">
      <c r="A948" t="s">
        <v>625</v>
      </c>
      <c r="B948" t="s">
        <v>44</v>
      </c>
      <c r="C948" t="s">
        <v>570</v>
      </c>
      <c r="D948" t="s">
        <v>293</v>
      </c>
      <c r="E948" s="48">
        <v>-1</v>
      </c>
      <c r="F948" s="24">
        <v>155.9</v>
      </c>
      <c r="G948" s="24">
        <v>-155.9</v>
      </c>
      <c r="H948" t="s">
        <v>571</v>
      </c>
    </row>
    <row r="949" spans="1:8" ht="15" customHeight="1" x14ac:dyDescent="0.3">
      <c r="A949" t="s">
        <v>625</v>
      </c>
      <c r="B949" t="s">
        <v>44</v>
      </c>
      <c r="C949" t="s">
        <v>579</v>
      </c>
      <c r="D949" t="s">
        <v>293</v>
      </c>
      <c r="E949" s="48">
        <v>0</v>
      </c>
      <c r="F949" s="24">
        <v>0</v>
      </c>
      <c r="G949" s="24">
        <v>0</v>
      </c>
      <c r="H949" t="s">
        <v>574</v>
      </c>
    </row>
    <row r="950" spans="1:8" ht="15" customHeight="1" x14ac:dyDescent="0.3">
      <c r="A950" t="s">
        <v>625</v>
      </c>
      <c r="B950" t="s">
        <v>44</v>
      </c>
      <c r="C950" t="s">
        <v>580</v>
      </c>
      <c r="D950" t="s">
        <v>293</v>
      </c>
      <c r="E950" s="48">
        <v>0</v>
      </c>
      <c r="F950" s="24">
        <v>0</v>
      </c>
      <c r="G950" s="24">
        <v>0</v>
      </c>
      <c r="H950" t="s">
        <v>578</v>
      </c>
    </row>
    <row r="951" spans="1:8" ht="15" customHeight="1" x14ac:dyDescent="0.3">
      <c r="A951" t="s">
        <v>625</v>
      </c>
      <c r="B951" t="s">
        <v>44</v>
      </c>
      <c r="C951" t="s">
        <v>570</v>
      </c>
      <c r="D951" t="s">
        <v>290</v>
      </c>
      <c r="E951" s="48">
        <v>1</v>
      </c>
      <c r="F951" s="24">
        <v>8439.17</v>
      </c>
      <c r="G951" s="24">
        <v>8439.17</v>
      </c>
      <c r="H951" t="s">
        <v>623</v>
      </c>
    </row>
    <row r="952" spans="1:8" ht="15" customHeight="1" x14ac:dyDescent="0.3">
      <c r="A952" t="s">
        <v>625</v>
      </c>
      <c r="B952" t="s">
        <v>44</v>
      </c>
      <c r="C952" t="s">
        <v>581</v>
      </c>
      <c r="D952" t="s">
        <v>290</v>
      </c>
      <c r="E952" s="48">
        <v>0</v>
      </c>
      <c r="F952" s="24">
        <v>0</v>
      </c>
      <c r="G952" s="24">
        <v>0</v>
      </c>
      <c r="H952" t="s">
        <v>574</v>
      </c>
    </row>
    <row r="953" spans="1:8" ht="15" customHeight="1" x14ac:dyDescent="0.3">
      <c r="A953" t="s">
        <v>625</v>
      </c>
      <c r="B953" t="s">
        <v>44</v>
      </c>
      <c r="C953" t="s">
        <v>582</v>
      </c>
      <c r="D953" t="s">
        <v>290</v>
      </c>
      <c r="E953" s="48">
        <v>0</v>
      </c>
      <c r="F953" s="24">
        <v>0</v>
      </c>
      <c r="G953" s="24">
        <v>0</v>
      </c>
      <c r="H953" t="s">
        <v>574</v>
      </c>
    </row>
    <row r="954" spans="1:8" ht="15" customHeight="1" x14ac:dyDescent="0.3">
      <c r="A954" t="s">
        <v>625</v>
      </c>
      <c r="B954" t="s">
        <v>44</v>
      </c>
      <c r="C954" t="s">
        <v>638</v>
      </c>
      <c r="D954" t="s">
        <v>290</v>
      </c>
      <c r="E954" s="48">
        <v>-1</v>
      </c>
      <c r="F954" s="24">
        <v>358.78</v>
      </c>
      <c r="G954" s="24">
        <v>-358.78</v>
      </c>
      <c r="H954" t="s">
        <v>571</v>
      </c>
    </row>
    <row r="955" spans="1:8" ht="15" customHeight="1" x14ac:dyDescent="0.3">
      <c r="A955" t="s">
        <v>625</v>
      </c>
      <c r="B955" t="s">
        <v>44</v>
      </c>
      <c r="C955" t="s">
        <v>584</v>
      </c>
      <c r="D955" t="s">
        <v>290</v>
      </c>
      <c r="E955" s="48">
        <v>0</v>
      </c>
      <c r="F955" s="24">
        <v>0</v>
      </c>
      <c r="G955" s="24">
        <v>0</v>
      </c>
      <c r="H955" t="s">
        <v>578</v>
      </c>
    </row>
    <row r="956" spans="1:8" ht="15" customHeight="1" x14ac:dyDescent="0.3">
      <c r="A956" t="s">
        <v>625</v>
      </c>
      <c r="B956" t="s">
        <v>44</v>
      </c>
      <c r="C956" t="s">
        <v>624</v>
      </c>
      <c r="D956" t="s">
        <v>290</v>
      </c>
      <c r="E956" s="48">
        <v>0</v>
      </c>
      <c r="F956" s="24">
        <v>0</v>
      </c>
      <c r="G956" s="24">
        <v>0</v>
      </c>
      <c r="H956" t="s">
        <v>578</v>
      </c>
    </row>
    <row r="957" spans="1:8" ht="15" customHeight="1" x14ac:dyDescent="0.3">
      <c r="A957" t="s">
        <v>625</v>
      </c>
      <c r="B957" t="s">
        <v>44</v>
      </c>
      <c r="C957" t="s">
        <v>570</v>
      </c>
      <c r="D957" t="s">
        <v>284</v>
      </c>
      <c r="E957" s="48">
        <v>1</v>
      </c>
      <c r="F957" s="24">
        <v>3957</v>
      </c>
      <c r="G957" s="24">
        <v>3957</v>
      </c>
      <c r="H957" t="s">
        <v>572</v>
      </c>
    </row>
    <row r="958" spans="1:8" ht="15" customHeight="1" x14ac:dyDescent="0.3">
      <c r="A958" t="s">
        <v>625</v>
      </c>
      <c r="B958" t="s">
        <v>44</v>
      </c>
      <c r="C958" t="s">
        <v>570</v>
      </c>
      <c r="D958" t="s">
        <v>284</v>
      </c>
      <c r="E958" s="48">
        <v>0</v>
      </c>
      <c r="F958" s="24">
        <v>0</v>
      </c>
      <c r="G958" s="24">
        <v>0</v>
      </c>
      <c r="H958" t="s">
        <v>572</v>
      </c>
    </row>
    <row r="959" spans="1:8" ht="15" customHeight="1" x14ac:dyDescent="0.3">
      <c r="A959" t="s">
        <v>625</v>
      </c>
      <c r="B959" t="s">
        <v>44</v>
      </c>
      <c r="C959" t="s">
        <v>582</v>
      </c>
      <c r="D959" t="s">
        <v>284</v>
      </c>
      <c r="E959" s="48">
        <v>0</v>
      </c>
      <c r="F959" s="24">
        <v>0</v>
      </c>
      <c r="G959" s="24">
        <v>0</v>
      </c>
      <c r="H959" t="s">
        <v>578</v>
      </c>
    </row>
    <row r="960" spans="1:8" ht="15" customHeight="1" x14ac:dyDescent="0.3">
      <c r="A960" t="s">
        <v>625</v>
      </c>
      <c r="B960" t="s">
        <v>44</v>
      </c>
      <c r="C960" t="s">
        <v>583</v>
      </c>
      <c r="D960" t="s">
        <v>284</v>
      </c>
      <c r="E960" s="48">
        <v>0</v>
      </c>
      <c r="F960" s="24">
        <v>0</v>
      </c>
      <c r="G960" s="24">
        <v>0</v>
      </c>
      <c r="H960" t="s">
        <v>578</v>
      </c>
    </row>
    <row r="961" spans="1:8" ht="15" customHeight="1" x14ac:dyDescent="0.3">
      <c r="A961" t="s">
        <v>625</v>
      </c>
      <c r="B961" t="s">
        <v>44</v>
      </c>
      <c r="C961" t="s">
        <v>570</v>
      </c>
      <c r="D961" t="s">
        <v>285</v>
      </c>
      <c r="E961" s="48">
        <v>1</v>
      </c>
      <c r="F961" s="24">
        <v>1010.04</v>
      </c>
      <c r="G961" s="24">
        <v>1010.04</v>
      </c>
      <c r="H961" t="s">
        <v>623</v>
      </c>
    </row>
    <row r="962" spans="1:8" ht="15" customHeight="1" x14ac:dyDescent="0.3">
      <c r="A962" t="s">
        <v>625</v>
      </c>
      <c r="B962" t="s">
        <v>44</v>
      </c>
      <c r="C962" t="s">
        <v>570</v>
      </c>
      <c r="D962" t="s">
        <v>285</v>
      </c>
      <c r="E962" s="48">
        <v>0</v>
      </c>
      <c r="F962" s="24">
        <v>0</v>
      </c>
      <c r="G962" s="24">
        <v>0</v>
      </c>
      <c r="H962" t="s">
        <v>571</v>
      </c>
    </row>
    <row r="963" spans="1:8" ht="15" customHeight="1" x14ac:dyDescent="0.3">
      <c r="A963" t="s">
        <v>625</v>
      </c>
      <c r="B963" t="s">
        <v>44</v>
      </c>
      <c r="C963" t="s">
        <v>570</v>
      </c>
      <c r="D963" t="s">
        <v>282</v>
      </c>
      <c r="E963" s="48">
        <v>1</v>
      </c>
      <c r="F963" s="24">
        <v>6035.94</v>
      </c>
      <c r="G963" s="24">
        <v>6035.94</v>
      </c>
      <c r="H963" t="s">
        <v>623</v>
      </c>
    </row>
    <row r="964" spans="1:8" ht="15" customHeight="1" x14ac:dyDescent="0.3">
      <c r="A964" t="s">
        <v>625</v>
      </c>
      <c r="B964" t="s">
        <v>44</v>
      </c>
      <c r="C964" t="s">
        <v>570</v>
      </c>
      <c r="D964" t="s">
        <v>282</v>
      </c>
      <c r="E964" s="48">
        <v>-1</v>
      </c>
      <c r="F964" s="24">
        <v>1333.53</v>
      </c>
      <c r="G964" s="24">
        <v>-1333.53</v>
      </c>
      <c r="H964" t="s">
        <v>571</v>
      </c>
    </row>
    <row r="965" spans="1:8" ht="15" customHeight="1" x14ac:dyDescent="0.3">
      <c r="A965" t="s">
        <v>625</v>
      </c>
      <c r="B965" t="s">
        <v>44</v>
      </c>
      <c r="C965" t="s">
        <v>585</v>
      </c>
      <c r="D965" t="s">
        <v>282</v>
      </c>
      <c r="E965" s="48">
        <v>0</v>
      </c>
      <c r="F965" s="24">
        <v>0</v>
      </c>
      <c r="G965" s="24">
        <v>0</v>
      </c>
      <c r="H965" t="s">
        <v>574</v>
      </c>
    </row>
    <row r="966" spans="1:8" ht="15" customHeight="1" x14ac:dyDescent="0.3">
      <c r="A966" t="s">
        <v>625</v>
      </c>
      <c r="B966" t="s">
        <v>44</v>
      </c>
      <c r="C966" t="s">
        <v>580</v>
      </c>
      <c r="D966" t="s">
        <v>282</v>
      </c>
      <c r="E966" s="48">
        <v>0</v>
      </c>
      <c r="F966" s="24">
        <v>0</v>
      </c>
      <c r="G966" s="24">
        <v>0</v>
      </c>
      <c r="H966" t="s">
        <v>578</v>
      </c>
    </row>
    <row r="967" spans="1:8" ht="15" customHeight="1" x14ac:dyDescent="0.3">
      <c r="A967" t="s">
        <v>625</v>
      </c>
      <c r="B967" t="s">
        <v>87</v>
      </c>
      <c r="C967" t="s">
        <v>586</v>
      </c>
      <c r="D967" t="s">
        <v>287</v>
      </c>
      <c r="E967" s="48">
        <v>2</v>
      </c>
      <c r="F967" s="24">
        <v>50</v>
      </c>
      <c r="G967" s="24">
        <v>100</v>
      </c>
      <c r="H967" t="s">
        <v>587</v>
      </c>
    </row>
    <row r="968" spans="1:8" ht="15" customHeight="1" x14ac:dyDescent="0.3">
      <c r="A968" t="s">
        <v>625</v>
      </c>
      <c r="B968" t="s">
        <v>87</v>
      </c>
      <c r="C968" t="s">
        <v>586</v>
      </c>
      <c r="D968" t="s">
        <v>293</v>
      </c>
      <c r="E968" s="48">
        <v>1</v>
      </c>
      <c r="F968" s="24">
        <v>10</v>
      </c>
      <c r="G968" s="24">
        <v>10</v>
      </c>
      <c r="H968" t="s">
        <v>587</v>
      </c>
    </row>
    <row r="969" spans="1:8" ht="15" customHeight="1" x14ac:dyDescent="0.3">
      <c r="A969" t="s">
        <v>625</v>
      </c>
      <c r="B969" t="s">
        <v>87</v>
      </c>
      <c r="C969" t="s">
        <v>586</v>
      </c>
      <c r="D969" t="s">
        <v>290</v>
      </c>
      <c r="E969" s="48">
        <v>1</v>
      </c>
      <c r="F969" s="24">
        <v>10</v>
      </c>
      <c r="G969" s="24">
        <v>10</v>
      </c>
      <c r="H969" t="s">
        <v>587</v>
      </c>
    </row>
    <row r="970" spans="1:8" ht="15" customHeight="1" x14ac:dyDescent="0.3">
      <c r="A970" t="s">
        <v>625</v>
      </c>
      <c r="B970" t="s">
        <v>87</v>
      </c>
      <c r="C970" t="s">
        <v>586</v>
      </c>
      <c r="D970" t="s">
        <v>290</v>
      </c>
      <c r="E970" s="48">
        <v>5</v>
      </c>
      <c r="F970" s="24">
        <v>50</v>
      </c>
      <c r="G970" s="24">
        <v>250</v>
      </c>
      <c r="H970" t="s">
        <v>587</v>
      </c>
    </row>
    <row r="971" spans="1:8" ht="15" customHeight="1" x14ac:dyDescent="0.3">
      <c r="A971" t="s">
        <v>625</v>
      </c>
      <c r="B971" t="s">
        <v>87</v>
      </c>
      <c r="C971" t="s">
        <v>586</v>
      </c>
      <c r="D971" t="s">
        <v>284</v>
      </c>
      <c r="E971" s="48">
        <v>1</v>
      </c>
      <c r="F971" s="24">
        <v>10</v>
      </c>
      <c r="G971" s="24">
        <v>10</v>
      </c>
      <c r="H971" t="s">
        <v>587</v>
      </c>
    </row>
    <row r="972" spans="1:8" ht="15" customHeight="1" x14ac:dyDescent="0.3">
      <c r="A972" t="s">
        <v>625</v>
      </c>
      <c r="B972" t="s">
        <v>87</v>
      </c>
      <c r="C972" t="s">
        <v>586</v>
      </c>
      <c r="D972" t="s">
        <v>284</v>
      </c>
      <c r="E972" s="48">
        <v>2</v>
      </c>
      <c r="F972" s="24">
        <v>50</v>
      </c>
      <c r="G972" s="24">
        <v>100</v>
      </c>
      <c r="H972" t="s">
        <v>587</v>
      </c>
    </row>
    <row r="973" spans="1:8" ht="15" customHeight="1" x14ac:dyDescent="0.3">
      <c r="A973" t="s">
        <v>625</v>
      </c>
      <c r="B973" t="s">
        <v>87</v>
      </c>
      <c r="C973" t="s">
        <v>586</v>
      </c>
      <c r="D973" t="s">
        <v>285</v>
      </c>
      <c r="E973" s="48">
        <v>1</v>
      </c>
      <c r="F973" s="24">
        <v>50</v>
      </c>
      <c r="G973" s="24">
        <v>50</v>
      </c>
      <c r="H973" t="s">
        <v>587</v>
      </c>
    </row>
    <row r="974" spans="1:8" ht="15" customHeight="1" x14ac:dyDescent="0.3">
      <c r="A974" t="s">
        <v>625</v>
      </c>
      <c r="B974" t="s">
        <v>87</v>
      </c>
      <c r="C974" t="s">
        <v>586</v>
      </c>
      <c r="D974" t="s">
        <v>282</v>
      </c>
      <c r="E974" s="48">
        <v>1</v>
      </c>
      <c r="F974" s="24">
        <v>90</v>
      </c>
      <c r="G974" s="24">
        <v>90</v>
      </c>
      <c r="H974" t="s">
        <v>587</v>
      </c>
    </row>
    <row r="975" spans="1:8" ht="15" customHeight="1" x14ac:dyDescent="0.3">
      <c r="A975" t="s">
        <v>625</v>
      </c>
      <c r="B975" t="s">
        <v>87</v>
      </c>
      <c r="C975" t="s">
        <v>586</v>
      </c>
      <c r="D975" t="s">
        <v>282</v>
      </c>
      <c r="E975" s="48">
        <v>2</v>
      </c>
      <c r="F975" s="24">
        <v>10</v>
      </c>
      <c r="G975" s="24">
        <v>20</v>
      </c>
      <c r="H975" t="s">
        <v>587</v>
      </c>
    </row>
    <row r="976" spans="1:8" ht="15" customHeight="1" x14ac:dyDescent="0.3">
      <c r="A976" t="s">
        <v>625</v>
      </c>
      <c r="B976" t="s">
        <v>87</v>
      </c>
      <c r="C976" t="s">
        <v>586</v>
      </c>
      <c r="D976" t="s">
        <v>282</v>
      </c>
      <c r="E976" s="48">
        <v>3</v>
      </c>
      <c r="F976" s="24">
        <v>50</v>
      </c>
      <c r="G976" s="24">
        <v>150</v>
      </c>
      <c r="H976" t="s">
        <v>587</v>
      </c>
    </row>
    <row r="977" spans="1:8" ht="15" customHeight="1" x14ac:dyDescent="0.3">
      <c r="A977" t="s">
        <v>625</v>
      </c>
      <c r="B977" t="s">
        <v>43</v>
      </c>
      <c r="C977" t="s">
        <v>43</v>
      </c>
      <c r="D977" t="s">
        <v>287</v>
      </c>
      <c r="E977" s="48">
        <v>6588</v>
      </c>
      <c r="F977" s="24">
        <v>0.13863395635537101</v>
      </c>
      <c r="G977" s="24">
        <v>913.32050400000003</v>
      </c>
      <c r="H977" t="s">
        <v>394</v>
      </c>
    </row>
    <row r="978" spans="1:8" ht="15" customHeight="1" x14ac:dyDescent="0.3">
      <c r="A978" t="s">
        <v>625</v>
      </c>
      <c r="B978" t="s">
        <v>43</v>
      </c>
      <c r="C978" t="s">
        <v>43</v>
      </c>
      <c r="D978" t="s">
        <v>293</v>
      </c>
      <c r="E978" s="48">
        <v>3765</v>
      </c>
      <c r="F978" s="24">
        <v>0.13863395635537101</v>
      </c>
      <c r="G978" s="24">
        <v>521.95684600000004</v>
      </c>
      <c r="H978" t="s">
        <v>394</v>
      </c>
    </row>
    <row r="979" spans="1:8" ht="15" customHeight="1" x14ac:dyDescent="0.3">
      <c r="A979" t="s">
        <v>625</v>
      </c>
      <c r="B979" t="s">
        <v>43</v>
      </c>
      <c r="C979" t="s">
        <v>43</v>
      </c>
      <c r="D979" t="s">
        <v>290</v>
      </c>
      <c r="E979" s="48">
        <v>6568</v>
      </c>
      <c r="F979" s="24">
        <v>0.13863395635537101</v>
      </c>
      <c r="G979" s="24">
        <v>910.54782499999999</v>
      </c>
      <c r="H979" t="s">
        <v>394</v>
      </c>
    </row>
    <row r="980" spans="1:8" ht="15" customHeight="1" x14ac:dyDescent="0.3">
      <c r="A980" t="s">
        <v>625</v>
      </c>
      <c r="B980" t="s">
        <v>43</v>
      </c>
      <c r="C980" t="s">
        <v>43</v>
      </c>
      <c r="D980" t="s">
        <v>284</v>
      </c>
      <c r="E980" s="48">
        <v>14689</v>
      </c>
      <c r="F980" s="24">
        <v>0.13863395635537101</v>
      </c>
      <c r="G980" s="24">
        <v>2036.3941850000001</v>
      </c>
      <c r="H980" t="s">
        <v>394</v>
      </c>
    </row>
    <row r="981" spans="1:8" ht="15" customHeight="1" x14ac:dyDescent="0.3">
      <c r="A981" t="s">
        <v>625</v>
      </c>
      <c r="B981" t="s">
        <v>43</v>
      </c>
      <c r="C981" t="s">
        <v>43</v>
      </c>
      <c r="D981" t="s">
        <v>285</v>
      </c>
      <c r="E981" s="48">
        <v>4805</v>
      </c>
      <c r="F981" s="24">
        <v>0.13863395635537101</v>
      </c>
      <c r="G981" s="24">
        <v>666.13616000000002</v>
      </c>
      <c r="H981" t="s">
        <v>394</v>
      </c>
    </row>
    <row r="982" spans="1:8" ht="15" customHeight="1" x14ac:dyDescent="0.3">
      <c r="A982" t="s">
        <v>625</v>
      </c>
      <c r="B982" t="s">
        <v>43</v>
      </c>
      <c r="C982" t="s">
        <v>43</v>
      </c>
      <c r="D982" t="s">
        <v>282</v>
      </c>
      <c r="E982" s="48">
        <v>4806</v>
      </c>
      <c r="F982" s="24">
        <v>0.13863395635537101</v>
      </c>
      <c r="G982" s="24">
        <v>666.27479400000004</v>
      </c>
      <c r="H982" t="s">
        <v>394</v>
      </c>
    </row>
    <row r="983" spans="1:8" ht="15" customHeight="1" x14ac:dyDescent="0.3">
      <c r="A983" t="s">
        <v>625</v>
      </c>
      <c r="B983" t="s">
        <v>395</v>
      </c>
      <c r="C983" t="s">
        <v>86</v>
      </c>
      <c r="D983" t="s">
        <v>287</v>
      </c>
      <c r="E983" s="48">
        <v>6588</v>
      </c>
      <c r="F983" s="24">
        <v>0.19068399999999999</v>
      </c>
      <c r="G983" s="24">
        <v>1256.2261920000001</v>
      </c>
      <c r="H983" t="s">
        <v>394</v>
      </c>
    </row>
    <row r="984" spans="1:8" ht="15" customHeight="1" x14ac:dyDescent="0.3">
      <c r="A984" t="s">
        <v>625</v>
      </c>
      <c r="B984" t="s">
        <v>395</v>
      </c>
      <c r="C984" t="s">
        <v>86</v>
      </c>
      <c r="D984" t="s">
        <v>293</v>
      </c>
      <c r="E984" s="48">
        <v>3765</v>
      </c>
      <c r="F984" s="24">
        <v>0.19068399999999999</v>
      </c>
      <c r="G984" s="24">
        <v>717.92525999999998</v>
      </c>
      <c r="H984" t="s">
        <v>394</v>
      </c>
    </row>
    <row r="985" spans="1:8" ht="15" customHeight="1" x14ac:dyDescent="0.3">
      <c r="A985" t="s">
        <v>625</v>
      </c>
      <c r="B985" t="s">
        <v>395</v>
      </c>
      <c r="C985" t="s">
        <v>86</v>
      </c>
      <c r="D985" t="s">
        <v>290</v>
      </c>
      <c r="E985" s="48">
        <v>6568</v>
      </c>
      <c r="F985" s="24">
        <v>0.19068399999999999</v>
      </c>
      <c r="G985" s="24">
        <v>1252.4125120000001</v>
      </c>
      <c r="H985" t="s">
        <v>394</v>
      </c>
    </row>
    <row r="986" spans="1:8" ht="15" customHeight="1" x14ac:dyDescent="0.3">
      <c r="A986" t="s">
        <v>625</v>
      </c>
      <c r="B986" t="s">
        <v>395</v>
      </c>
      <c r="C986" t="s">
        <v>86</v>
      </c>
      <c r="D986" t="s">
        <v>284</v>
      </c>
      <c r="E986" s="48">
        <v>14689</v>
      </c>
      <c r="F986" s="24">
        <v>0.19068399999999999</v>
      </c>
      <c r="G986" s="24">
        <v>2800.9572760000001</v>
      </c>
      <c r="H986" t="s">
        <v>394</v>
      </c>
    </row>
    <row r="987" spans="1:8" ht="15" customHeight="1" x14ac:dyDescent="0.3">
      <c r="A987" t="s">
        <v>625</v>
      </c>
      <c r="B987" t="s">
        <v>395</v>
      </c>
      <c r="C987" t="s">
        <v>86</v>
      </c>
      <c r="D987" t="s">
        <v>285</v>
      </c>
      <c r="E987" s="48">
        <v>4805</v>
      </c>
      <c r="F987" s="24">
        <v>0.19068399999999999</v>
      </c>
      <c r="G987" s="24">
        <v>916.23662000000002</v>
      </c>
      <c r="H987" t="s">
        <v>394</v>
      </c>
    </row>
    <row r="988" spans="1:8" ht="15" customHeight="1" x14ac:dyDescent="0.3">
      <c r="A988" t="s">
        <v>625</v>
      </c>
      <c r="B988" t="s">
        <v>395</v>
      </c>
      <c r="C988" t="s">
        <v>86</v>
      </c>
      <c r="D988" t="s">
        <v>282</v>
      </c>
      <c r="E988" s="48">
        <v>4806</v>
      </c>
      <c r="F988" s="24">
        <v>0.19068399999999999</v>
      </c>
      <c r="G988" s="24">
        <v>916.42730400000005</v>
      </c>
      <c r="H988" t="s">
        <v>394</v>
      </c>
    </row>
    <row r="989" spans="1:8" ht="15" customHeight="1" x14ac:dyDescent="0.3">
      <c r="A989" t="s">
        <v>625</v>
      </c>
      <c r="B989" t="s">
        <v>81</v>
      </c>
      <c r="C989" t="s">
        <v>81</v>
      </c>
      <c r="D989" t="s">
        <v>287</v>
      </c>
      <c r="E989" s="48">
        <v>6588</v>
      </c>
      <c r="F989" s="24">
        <v>7.1167700671494E-2</v>
      </c>
      <c r="G989" s="24">
        <v>468.85281199999997</v>
      </c>
      <c r="H989" t="s">
        <v>394</v>
      </c>
    </row>
    <row r="990" spans="1:8" ht="15" customHeight="1" x14ac:dyDescent="0.3">
      <c r="A990" t="s">
        <v>625</v>
      </c>
      <c r="B990" t="s">
        <v>81</v>
      </c>
      <c r="C990" t="s">
        <v>81</v>
      </c>
      <c r="D990" t="s">
        <v>289</v>
      </c>
      <c r="E990" s="48">
        <v>13530</v>
      </c>
      <c r="F990" s="24">
        <v>7.1167700671494E-2</v>
      </c>
      <c r="G990" s="24">
        <v>962.89899000000003</v>
      </c>
      <c r="H990" t="s">
        <v>394</v>
      </c>
    </row>
    <row r="991" spans="1:8" ht="15" customHeight="1" x14ac:dyDescent="0.3">
      <c r="A991" t="s">
        <v>625</v>
      </c>
      <c r="B991" t="s">
        <v>81</v>
      </c>
      <c r="C991" t="s">
        <v>81</v>
      </c>
      <c r="D991" t="s">
        <v>293</v>
      </c>
      <c r="E991" s="48">
        <v>3765</v>
      </c>
      <c r="F991" s="24">
        <v>7.1167700671494E-2</v>
      </c>
      <c r="G991" s="24">
        <v>267.946393</v>
      </c>
      <c r="H991" t="s">
        <v>394</v>
      </c>
    </row>
    <row r="992" spans="1:8" ht="15" customHeight="1" x14ac:dyDescent="0.3">
      <c r="A992" t="s">
        <v>625</v>
      </c>
      <c r="B992" t="s">
        <v>81</v>
      </c>
      <c r="C992" t="s">
        <v>81</v>
      </c>
      <c r="D992" t="s">
        <v>290</v>
      </c>
      <c r="E992" s="48">
        <v>6568</v>
      </c>
      <c r="F992" s="24">
        <v>7.1167700671494E-2</v>
      </c>
      <c r="G992" s="24">
        <v>467.42945800000001</v>
      </c>
      <c r="H992" t="s">
        <v>394</v>
      </c>
    </row>
    <row r="993" spans="1:8" ht="15" customHeight="1" x14ac:dyDescent="0.3">
      <c r="A993" t="s">
        <v>625</v>
      </c>
      <c r="B993" t="s">
        <v>81</v>
      </c>
      <c r="C993" t="s">
        <v>81</v>
      </c>
      <c r="D993" t="s">
        <v>284</v>
      </c>
      <c r="E993" s="48">
        <v>14689</v>
      </c>
      <c r="F993" s="24">
        <v>7.1167700671494E-2</v>
      </c>
      <c r="G993" s="24">
        <v>1045.382355</v>
      </c>
      <c r="H993" t="s">
        <v>394</v>
      </c>
    </row>
    <row r="994" spans="1:8" ht="15" customHeight="1" x14ac:dyDescent="0.3">
      <c r="A994" t="s">
        <v>625</v>
      </c>
      <c r="B994" t="s">
        <v>81</v>
      </c>
      <c r="C994" t="s">
        <v>81</v>
      </c>
      <c r="D994" t="s">
        <v>285</v>
      </c>
      <c r="E994" s="48">
        <v>4805</v>
      </c>
      <c r="F994" s="24">
        <v>7.1167700671494E-2</v>
      </c>
      <c r="G994" s="24">
        <v>341.960802</v>
      </c>
      <c r="H994" t="s">
        <v>394</v>
      </c>
    </row>
    <row r="995" spans="1:8" ht="15" customHeight="1" x14ac:dyDescent="0.3">
      <c r="A995" t="s">
        <v>625</v>
      </c>
      <c r="B995" t="s">
        <v>81</v>
      </c>
      <c r="C995" t="s">
        <v>81</v>
      </c>
      <c r="D995" t="s">
        <v>282</v>
      </c>
      <c r="E995" s="48">
        <v>4806</v>
      </c>
      <c r="F995" s="24">
        <v>7.1167700671494E-2</v>
      </c>
      <c r="G995" s="24">
        <v>342.031969</v>
      </c>
      <c r="H995" t="s">
        <v>394</v>
      </c>
    </row>
    <row r="996" spans="1:8" ht="15" customHeight="1" x14ac:dyDescent="0.3">
      <c r="A996" t="s">
        <v>625</v>
      </c>
      <c r="B996" t="s">
        <v>36</v>
      </c>
      <c r="C996" t="s">
        <v>36</v>
      </c>
      <c r="D996" t="s">
        <v>287</v>
      </c>
      <c r="E996" s="48">
        <v>6588</v>
      </c>
      <c r="F996" s="24">
        <v>0.37376204594746198</v>
      </c>
      <c r="G996" s="24">
        <v>2462.3443590000002</v>
      </c>
      <c r="H996" t="s">
        <v>394</v>
      </c>
    </row>
    <row r="997" spans="1:8" ht="15" customHeight="1" x14ac:dyDescent="0.3">
      <c r="A997" t="s">
        <v>625</v>
      </c>
      <c r="B997" t="s">
        <v>36</v>
      </c>
      <c r="C997" t="s">
        <v>36</v>
      </c>
      <c r="D997" t="s">
        <v>293</v>
      </c>
      <c r="E997" s="48">
        <v>3765</v>
      </c>
      <c r="F997" s="24">
        <v>0.37376204594746198</v>
      </c>
      <c r="G997" s="24">
        <v>1407.214103</v>
      </c>
      <c r="H997" t="s">
        <v>394</v>
      </c>
    </row>
    <row r="998" spans="1:8" ht="15" customHeight="1" x14ac:dyDescent="0.3">
      <c r="A998" t="s">
        <v>625</v>
      </c>
      <c r="B998" t="s">
        <v>36</v>
      </c>
      <c r="C998" t="s">
        <v>36</v>
      </c>
      <c r="D998" t="s">
        <v>290</v>
      </c>
      <c r="E998" s="48">
        <v>6568</v>
      </c>
      <c r="F998" s="24">
        <v>0.37376204594746198</v>
      </c>
      <c r="G998" s="24">
        <v>2454.8691180000001</v>
      </c>
      <c r="H998" t="s">
        <v>394</v>
      </c>
    </row>
    <row r="999" spans="1:8" ht="15" customHeight="1" x14ac:dyDescent="0.3">
      <c r="A999" t="s">
        <v>625</v>
      </c>
      <c r="B999" t="s">
        <v>36</v>
      </c>
      <c r="C999" t="s">
        <v>36</v>
      </c>
      <c r="D999" t="s">
        <v>284</v>
      </c>
      <c r="E999" s="48">
        <v>14689</v>
      </c>
      <c r="F999" s="24">
        <v>0.37376204594746198</v>
      </c>
      <c r="G999" s="24">
        <v>5490.1906929999996</v>
      </c>
      <c r="H999" t="s">
        <v>394</v>
      </c>
    </row>
    <row r="1000" spans="1:8" ht="15" customHeight="1" x14ac:dyDescent="0.3">
      <c r="A1000" t="s">
        <v>625</v>
      </c>
      <c r="B1000" t="s">
        <v>36</v>
      </c>
      <c r="C1000" t="s">
        <v>36</v>
      </c>
      <c r="D1000" t="s">
        <v>285</v>
      </c>
      <c r="E1000" s="48">
        <v>4805</v>
      </c>
      <c r="F1000" s="24">
        <v>0.37376204594746198</v>
      </c>
      <c r="G1000" s="24">
        <v>1795.926631</v>
      </c>
      <c r="H1000" t="s">
        <v>394</v>
      </c>
    </row>
    <row r="1001" spans="1:8" ht="15" customHeight="1" x14ac:dyDescent="0.3">
      <c r="A1001" t="s">
        <v>625</v>
      </c>
      <c r="B1001" t="s">
        <v>36</v>
      </c>
      <c r="C1001" t="s">
        <v>36</v>
      </c>
      <c r="D1001" t="s">
        <v>282</v>
      </c>
      <c r="E1001" s="48">
        <v>4806</v>
      </c>
      <c r="F1001" s="24">
        <v>0.37376204594746198</v>
      </c>
      <c r="G1001" s="24">
        <v>1796.300393</v>
      </c>
      <c r="H1001" t="s">
        <v>394</v>
      </c>
    </row>
    <row r="1002" spans="1:8" ht="15" customHeight="1" x14ac:dyDescent="0.3">
      <c r="A1002" t="s">
        <v>625</v>
      </c>
      <c r="B1002" t="s">
        <v>83</v>
      </c>
      <c r="C1002" t="s">
        <v>83</v>
      </c>
      <c r="D1002" t="s">
        <v>287</v>
      </c>
      <c r="E1002" s="48">
        <v>6588</v>
      </c>
      <c r="F1002" s="24">
        <v>7.9375307085676305E-2</v>
      </c>
      <c r="G1002" s="24">
        <v>522.92452300000002</v>
      </c>
      <c r="H1002" t="s">
        <v>394</v>
      </c>
    </row>
    <row r="1003" spans="1:8" ht="15" customHeight="1" x14ac:dyDescent="0.3">
      <c r="A1003" t="s">
        <v>625</v>
      </c>
      <c r="B1003" t="s">
        <v>83</v>
      </c>
      <c r="C1003" t="s">
        <v>83</v>
      </c>
      <c r="D1003" t="s">
        <v>293</v>
      </c>
      <c r="E1003" s="48">
        <v>3765</v>
      </c>
      <c r="F1003" s="24">
        <v>7.9375307085676305E-2</v>
      </c>
      <c r="G1003" s="24">
        <v>298.84803099999999</v>
      </c>
      <c r="H1003" t="s">
        <v>394</v>
      </c>
    </row>
    <row r="1004" spans="1:8" ht="15" customHeight="1" x14ac:dyDescent="0.3">
      <c r="A1004" t="s">
        <v>625</v>
      </c>
      <c r="B1004" t="s">
        <v>83</v>
      </c>
      <c r="C1004" t="s">
        <v>83</v>
      </c>
      <c r="D1004" t="s">
        <v>290</v>
      </c>
      <c r="E1004" s="48">
        <v>6568</v>
      </c>
      <c r="F1004" s="24">
        <v>7.9375307085676305E-2</v>
      </c>
      <c r="G1004" s="24">
        <v>521.33701699999995</v>
      </c>
      <c r="H1004" t="s">
        <v>394</v>
      </c>
    </row>
    <row r="1005" spans="1:8" ht="15" customHeight="1" x14ac:dyDescent="0.3">
      <c r="A1005" t="s">
        <v>625</v>
      </c>
      <c r="B1005" t="s">
        <v>83</v>
      </c>
      <c r="C1005" t="s">
        <v>83</v>
      </c>
      <c r="D1005" t="s">
        <v>284</v>
      </c>
      <c r="E1005" s="48">
        <v>14689</v>
      </c>
      <c r="F1005" s="24">
        <v>7.9375307085676305E-2</v>
      </c>
      <c r="G1005" s="24">
        <v>1165.943886</v>
      </c>
      <c r="H1005" t="s">
        <v>394</v>
      </c>
    </row>
    <row r="1006" spans="1:8" ht="15" customHeight="1" x14ac:dyDescent="0.3">
      <c r="A1006" t="s">
        <v>625</v>
      </c>
      <c r="B1006" t="s">
        <v>83</v>
      </c>
      <c r="C1006" t="s">
        <v>83</v>
      </c>
      <c r="D1006" t="s">
        <v>285</v>
      </c>
      <c r="E1006" s="48">
        <v>4805</v>
      </c>
      <c r="F1006" s="24">
        <v>7.9375307085676305E-2</v>
      </c>
      <c r="G1006" s="24">
        <v>381.39835099999999</v>
      </c>
      <c r="H1006" t="s">
        <v>394</v>
      </c>
    </row>
    <row r="1007" spans="1:8" ht="15" customHeight="1" x14ac:dyDescent="0.3">
      <c r="A1007" t="s">
        <v>625</v>
      </c>
      <c r="B1007" t="s">
        <v>83</v>
      </c>
      <c r="C1007" t="s">
        <v>83</v>
      </c>
      <c r="D1007" t="s">
        <v>282</v>
      </c>
      <c r="E1007" s="48">
        <v>4806</v>
      </c>
      <c r="F1007" s="24">
        <v>7.9375307085676305E-2</v>
      </c>
      <c r="G1007" s="24">
        <v>381.47772600000002</v>
      </c>
      <c r="H1007" t="s">
        <v>394</v>
      </c>
    </row>
    <row r="1008" spans="1:8" ht="15" customHeight="1" x14ac:dyDescent="0.3">
      <c r="A1008" t="s">
        <v>625</v>
      </c>
      <c r="B1008" t="s">
        <v>31</v>
      </c>
      <c r="C1008" t="s">
        <v>31</v>
      </c>
      <c r="D1008" t="s">
        <v>287</v>
      </c>
      <c r="E1008" s="48">
        <v>6588</v>
      </c>
      <c r="F1008" s="24">
        <v>0.37185400000000002</v>
      </c>
      <c r="G1008" s="24">
        <v>2449.774152</v>
      </c>
      <c r="H1008" t="s">
        <v>394</v>
      </c>
    </row>
    <row r="1009" spans="1:8" ht="15" customHeight="1" x14ac:dyDescent="0.3">
      <c r="A1009" t="s">
        <v>625</v>
      </c>
      <c r="B1009" t="s">
        <v>31</v>
      </c>
      <c r="C1009" t="s">
        <v>31</v>
      </c>
      <c r="D1009" t="s">
        <v>289</v>
      </c>
      <c r="E1009" s="48">
        <v>13530</v>
      </c>
      <c r="F1009" s="24">
        <v>0.37185400000000002</v>
      </c>
      <c r="G1009" s="24">
        <v>5031.18462</v>
      </c>
      <c r="H1009" t="s">
        <v>394</v>
      </c>
    </row>
    <row r="1010" spans="1:8" ht="15" customHeight="1" x14ac:dyDescent="0.3">
      <c r="A1010" t="s">
        <v>625</v>
      </c>
      <c r="B1010" t="s">
        <v>31</v>
      </c>
      <c r="C1010" t="s">
        <v>31</v>
      </c>
      <c r="D1010" t="s">
        <v>293</v>
      </c>
      <c r="E1010" s="48">
        <v>3765</v>
      </c>
      <c r="F1010" s="24">
        <v>0.37185400000000002</v>
      </c>
      <c r="G1010" s="24">
        <v>1400.0303100000001</v>
      </c>
      <c r="H1010" t="s">
        <v>394</v>
      </c>
    </row>
    <row r="1011" spans="1:8" ht="15" customHeight="1" x14ac:dyDescent="0.3">
      <c r="A1011" t="s">
        <v>625</v>
      </c>
      <c r="B1011" t="s">
        <v>31</v>
      </c>
      <c r="C1011" t="s">
        <v>31</v>
      </c>
      <c r="D1011" t="s">
        <v>290</v>
      </c>
      <c r="E1011" s="48">
        <v>6568</v>
      </c>
      <c r="F1011" s="24">
        <v>0.37185400000000002</v>
      </c>
      <c r="G1011" s="24">
        <v>2442.3370719999998</v>
      </c>
      <c r="H1011" t="s">
        <v>394</v>
      </c>
    </row>
    <row r="1012" spans="1:8" ht="15" customHeight="1" x14ac:dyDescent="0.3">
      <c r="A1012" t="s">
        <v>625</v>
      </c>
      <c r="B1012" t="s">
        <v>31</v>
      </c>
      <c r="C1012" t="s">
        <v>31</v>
      </c>
      <c r="D1012" t="s">
        <v>284</v>
      </c>
      <c r="E1012" s="48">
        <v>14689</v>
      </c>
      <c r="F1012" s="24">
        <v>0.37185400000000002</v>
      </c>
      <c r="G1012" s="24">
        <v>5462.1634059999997</v>
      </c>
      <c r="H1012" t="s">
        <v>394</v>
      </c>
    </row>
    <row r="1013" spans="1:8" ht="15" customHeight="1" x14ac:dyDescent="0.3">
      <c r="A1013" t="s">
        <v>625</v>
      </c>
      <c r="B1013" t="s">
        <v>31</v>
      </c>
      <c r="C1013" t="s">
        <v>31</v>
      </c>
      <c r="D1013" t="s">
        <v>285</v>
      </c>
      <c r="E1013" s="48">
        <v>4805</v>
      </c>
      <c r="F1013" s="24">
        <v>0.37185400000000002</v>
      </c>
      <c r="G1013" s="24">
        <v>1786.75847</v>
      </c>
      <c r="H1013" t="s">
        <v>394</v>
      </c>
    </row>
    <row r="1014" spans="1:8" ht="15" customHeight="1" x14ac:dyDescent="0.3">
      <c r="A1014" t="s">
        <v>625</v>
      </c>
      <c r="B1014" t="s">
        <v>31</v>
      </c>
      <c r="C1014" t="s">
        <v>31</v>
      </c>
      <c r="D1014" t="s">
        <v>282</v>
      </c>
      <c r="E1014" s="48">
        <v>4806</v>
      </c>
      <c r="F1014" s="24">
        <v>0.37185400000000002</v>
      </c>
      <c r="G1014" s="24">
        <v>1787.130324</v>
      </c>
      <c r="H1014" t="s">
        <v>394</v>
      </c>
    </row>
    <row r="1015" spans="1:8" ht="15" customHeight="1" x14ac:dyDescent="0.3">
      <c r="A1015" t="s">
        <v>625</v>
      </c>
      <c r="B1015" t="s">
        <v>32</v>
      </c>
      <c r="C1015" t="s">
        <v>639</v>
      </c>
      <c r="D1015" t="s">
        <v>287</v>
      </c>
      <c r="E1015" s="48">
        <v>29</v>
      </c>
      <c r="F1015" s="24">
        <v>35.637454910091797</v>
      </c>
      <c r="G1015" s="24">
        <v>1033.4861920000001</v>
      </c>
      <c r="H1015" t="s">
        <v>640</v>
      </c>
    </row>
    <row r="1016" spans="1:8" ht="15" customHeight="1" x14ac:dyDescent="0.3">
      <c r="A1016" t="s">
        <v>625</v>
      </c>
      <c r="B1016" t="s">
        <v>32</v>
      </c>
      <c r="C1016" t="s">
        <v>639</v>
      </c>
      <c r="D1016" t="s">
        <v>293</v>
      </c>
      <c r="E1016" s="48">
        <v>10</v>
      </c>
      <c r="F1016" s="24">
        <v>35.637454910091797</v>
      </c>
      <c r="G1016" s="24">
        <v>356.374549</v>
      </c>
      <c r="H1016" t="s">
        <v>640</v>
      </c>
    </row>
    <row r="1017" spans="1:8" ht="15" customHeight="1" x14ac:dyDescent="0.3">
      <c r="A1017" t="s">
        <v>625</v>
      </c>
      <c r="B1017" t="s">
        <v>32</v>
      </c>
      <c r="C1017" t="s">
        <v>639</v>
      </c>
      <c r="D1017" t="s">
        <v>290</v>
      </c>
      <c r="E1017" s="48">
        <v>43</v>
      </c>
      <c r="F1017" s="24">
        <v>35.637454910091797</v>
      </c>
      <c r="G1017" s="24">
        <v>1532.4105609999999</v>
      </c>
      <c r="H1017" t="s">
        <v>640</v>
      </c>
    </row>
    <row r="1018" spans="1:8" ht="15" customHeight="1" x14ac:dyDescent="0.3">
      <c r="A1018" t="s">
        <v>625</v>
      </c>
      <c r="B1018" t="s">
        <v>32</v>
      </c>
      <c r="C1018" t="s">
        <v>639</v>
      </c>
      <c r="D1018" t="s">
        <v>284</v>
      </c>
      <c r="E1018" s="48">
        <v>45</v>
      </c>
      <c r="F1018" s="24">
        <v>35.637454910091797</v>
      </c>
      <c r="G1018" s="24">
        <v>1603.685471</v>
      </c>
      <c r="H1018" t="s">
        <v>640</v>
      </c>
    </row>
    <row r="1019" spans="1:8" ht="15" customHeight="1" x14ac:dyDescent="0.3">
      <c r="A1019" t="s">
        <v>625</v>
      </c>
      <c r="B1019" t="s">
        <v>32</v>
      </c>
      <c r="C1019" t="s">
        <v>639</v>
      </c>
      <c r="D1019" t="s">
        <v>285</v>
      </c>
      <c r="E1019" s="48">
        <v>18</v>
      </c>
      <c r="F1019" s="24">
        <v>35.637454910091797</v>
      </c>
      <c r="G1019" s="24">
        <v>641.47418800000003</v>
      </c>
      <c r="H1019" t="s">
        <v>640</v>
      </c>
    </row>
    <row r="1020" spans="1:8" ht="15" customHeight="1" x14ac:dyDescent="0.3">
      <c r="A1020" t="s">
        <v>625</v>
      </c>
      <c r="B1020" t="s">
        <v>32</v>
      </c>
      <c r="C1020" t="s">
        <v>639</v>
      </c>
      <c r="D1020" t="s">
        <v>282</v>
      </c>
      <c r="E1020" s="48">
        <v>19</v>
      </c>
      <c r="F1020" s="24">
        <v>35.637454910091797</v>
      </c>
      <c r="G1020" s="24">
        <v>677.11164299999996</v>
      </c>
      <c r="H1020" t="s">
        <v>640</v>
      </c>
    </row>
    <row r="1021" spans="1:8" ht="15" customHeight="1" x14ac:dyDescent="0.3">
      <c r="A1021" t="s">
        <v>625</v>
      </c>
      <c r="B1021" t="s">
        <v>33</v>
      </c>
      <c r="C1021" t="s">
        <v>641</v>
      </c>
      <c r="D1021" t="s">
        <v>287</v>
      </c>
      <c r="E1021" s="48">
        <v>29</v>
      </c>
      <c r="F1021" s="24">
        <v>52.434725412844003</v>
      </c>
      <c r="G1021" s="24">
        <v>1520.607037</v>
      </c>
      <c r="H1021" t="s">
        <v>640</v>
      </c>
    </row>
    <row r="1022" spans="1:8" ht="15" customHeight="1" x14ac:dyDescent="0.3">
      <c r="A1022" t="s">
        <v>625</v>
      </c>
      <c r="B1022" t="s">
        <v>33</v>
      </c>
      <c r="C1022" t="s">
        <v>641</v>
      </c>
      <c r="D1022" t="s">
        <v>293</v>
      </c>
      <c r="E1022" s="48">
        <v>10</v>
      </c>
      <c r="F1022" s="24">
        <v>52.434725412844003</v>
      </c>
      <c r="G1022" s="24">
        <v>524.34725400000002</v>
      </c>
      <c r="H1022" t="s">
        <v>640</v>
      </c>
    </row>
    <row r="1023" spans="1:8" ht="15" customHeight="1" x14ac:dyDescent="0.3">
      <c r="A1023" t="s">
        <v>625</v>
      </c>
      <c r="B1023" t="s">
        <v>33</v>
      </c>
      <c r="C1023" t="s">
        <v>641</v>
      </c>
      <c r="D1023" t="s">
        <v>290</v>
      </c>
      <c r="E1023" s="48">
        <v>43</v>
      </c>
      <c r="F1023" s="24">
        <v>52.434725412844003</v>
      </c>
      <c r="G1023" s="24">
        <v>2254.6931930000001</v>
      </c>
      <c r="H1023" t="s">
        <v>640</v>
      </c>
    </row>
    <row r="1024" spans="1:8" ht="15" customHeight="1" x14ac:dyDescent="0.3">
      <c r="A1024" t="s">
        <v>625</v>
      </c>
      <c r="B1024" t="s">
        <v>33</v>
      </c>
      <c r="C1024" t="s">
        <v>641</v>
      </c>
      <c r="D1024" t="s">
        <v>284</v>
      </c>
      <c r="E1024" s="48">
        <v>45</v>
      </c>
      <c r="F1024" s="24">
        <v>52.434725412844003</v>
      </c>
      <c r="G1024" s="24">
        <v>2359.5626440000001</v>
      </c>
      <c r="H1024" t="s">
        <v>640</v>
      </c>
    </row>
    <row r="1025" spans="1:8" ht="15" customHeight="1" x14ac:dyDescent="0.3">
      <c r="A1025" t="s">
        <v>625</v>
      </c>
      <c r="B1025" t="s">
        <v>33</v>
      </c>
      <c r="C1025" t="s">
        <v>641</v>
      </c>
      <c r="D1025" t="s">
        <v>285</v>
      </c>
      <c r="E1025" s="48">
        <v>18</v>
      </c>
      <c r="F1025" s="24">
        <v>52.434725412844003</v>
      </c>
      <c r="G1025" s="24">
        <v>943.82505700000002</v>
      </c>
      <c r="H1025" t="s">
        <v>640</v>
      </c>
    </row>
    <row r="1026" spans="1:8" ht="15" customHeight="1" x14ac:dyDescent="0.3">
      <c r="A1026" t="s">
        <v>625</v>
      </c>
      <c r="B1026" t="s">
        <v>33</v>
      </c>
      <c r="C1026" t="s">
        <v>641</v>
      </c>
      <c r="D1026" t="s">
        <v>282</v>
      </c>
      <c r="E1026" s="48">
        <v>19</v>
      </c>
      <c r="F1026" s="24">
        <v>52.434725412844003</v>
      </c>
      <c r="G1026" s="24">
        <v>996.25978299999997</v>
      </c>
      <c r="H1026" t="s">
        <v>640</v>
      </c>
    </row>
    <row r="1027" spans="1:8" ht="15" customHeight="1" x14ac:dyDescent="0.3">
      <c r="A1027" t="s">
        <v>625</v>
      </c>
      <c r="B1027" t="s">
        <v>44</v>
      </c>
      <c r="C1027" t="s">
        <v>642</v>
      </c>
      <c r="D1027" t="s">
        <v>287</v>
      </c>
      <c r="E1027" s="48">
        <v>29</v>
      </c>
      <c r="F1027" s="24">
        <v>60.081656972477099</v>
      </c>
      <c r="G1027" s="24">
        <v>1742.3680522018401</v>
      </c>
      <c r="H1027" t="s">
        <v>643</v>
      </c>
    </row>
    <row r="1028" spans="1:8" ht="15" customHeight="1" x14ac:dyDescent="0.3">
      <c r="A1028" t="s">
        <v>625</v>
      </c>
      <c r="B1028" t="s">
        <v>44</v>
      </c>
      <c r="C1028" t="s">
        <v>642</v>
      </c>
      <c r="D1028" t="s">
        <v>289</v>
      </c>
      <c r="E1028" s="48">
        <v>37</v>
      </c>
      <c r="F1028" s="24">
        <v>60.081656972477099</v>
      </c>
      <c r="G1028" s="24">
        <v>2223.0213079816499</v>
      </c>
      <c r="H1028" t="s">
        <v>643</v>
      </c>
    </row>
    <row r="1029" spans="1:8" ht="15" customHeight="1" x14ac:dyDescent="0.3">
      <c r="A1029" t="s">
        <v>625</v>
      </c>
      <c r="B1029" t="s">
        <v>44</v>
      </c>
      <c r="C1029" t="s">
        <v>642</v>
      </c>
      <c r="D1029" t="s">
        <v>293</v>
      </c>
      <c r="E1029" s="48">
        <v>10</v>
      </c>
      <c r="F1029" s="24">
        <v>60.081656972477099</v>
      </c>
      <c r="G1029" s="24">
        <v>600.81656972477106</v>
      </c>
      <c r="H1029" t="s">
        <v>643</v>
      </c>
    </row>
    <row r="1030" spans="1:8" ht="15" customHeight="1" x14ac:dyDescent="0.3">
      <c r="A1030" t="s">
        <v>625</v>
      </c>
      <c r="B1030" t="s">
        <v>44</v>
      </c>
      <c r="C1030" t="s">
        <v>642</v>
      </c>
      <c r="D1030" t="s">
        <v>290</v>
      </c>
      <c r="E1030" s="48">
        <v>43</v>
      </c>
      <c r="F1030" s="24">
        <v>60.081656972477099</v>
      </c>
      <c r="G1030" s="24">
        <v>2583.5112498165199</v>
      </c>
      <c r="H1030" t="s">
        <v>643</v>
      </c>
    </row>
    <row r="1031" spans="1:8" ht="15" customHeight="1" x14ac:dyDescent="0.3">
      <c r="A1031" t="s">
        <v>625</v>
      </c>
      <c r="B1031" t="s">
        <v>44</v>
      </c>
      <c r="C1031" t="s">
        <v>642</v>
      </c>
      <c r="D1031" t="s">
        <v>284</v>
      </c>
      <c r="E1031" s="48">
        <v>45</v>
      </c>
      <c r="F1031" s="24">
        <v>60.081656972477099</v>
      </c>
      <c r="G1031" s="24">
        <v>2703.6745637614699</v>
      </c>
      <c r="H1031" t="s">
        <v>643</v>
      </c>
    </row>
    <row r="1032" spans="1:8" ht="15" customHeight="1" x14ac:dyDescent="0.3">
      <c r="A1032" t="s">
        <v>625</v>
      </c>
      <c r="B1032" t="s">
        <v>44</v>
      </c>
      <c r="C1032" t="s">
        <v>642</v>
      </c>
      <c r="D1032" t="s">
        <v>285</v>
      </c>
      <c r="E1032" s="48">
        <v>18</v>
      </c>
      <c r="F1032" s="24">
        <v>60.081656972477099</v>
      </c>
      <c r="G1032" s="24">
        <v>1081.4698255045901</v>
      </c>
      <c r="H1032" t="s">
        <v>643</v>
      </c>
    </row>
    <row r="1033" spans="1:8" ht="15" customHeight="1" x14ac:dyDescent="0.3">
      <c r="A1033" t="s">
        <v>625</v>
      </c>
      <c r="B1033" t="s">
        <v>44</v>
      </c>
      <c r="C1033" t="s">
        <v>642</v>
      </c>
      <c r="D1033" t="s">
        <v>282</v>
      </c>
      <c r="E1033" s="48">
        <v>19</v>
      </c>
      <c r="F1033" s="24">
        <v>60.081656972477099</v>
      </c>
      <c r="G1033" s="24">
        <v>1141.5514824770701</v>
      </c>
      <c r="H1033" t="s">
        <v>643</v>
      </c>
    </row>
    <row r="1034" spans="1:8" ht="15" customHeight="1" x14ac:dyDescent="0.3">
      <c r="A1034" t="s">
        <v>588</v>
      </c>
      <c r="B1034" t="s">
        <v>80</v>
      </c>
      <c r="C1034" t="s">
        <v>80</v>
      </c>
      <c r="D1034" t="s">
        <v>287</v>
      </c>
      <c r="E1034" s="48">
        <v>6280</v>
      </c>
      <c r="F1034" s="24">
        <v>0.15454361241748399</v>
      </c>
      <c r="G1034" s="24">
        <v>970.53388598180004</v>
      </c>
      <c r="H1034" t="s">
        <v>394</v>
      </c>
    </row>
    <row r="1035" spans="1:8" ht="15" customHeight="1" x14ac:dyDescent="0.3">
      <c r="A1035" t="s">
        <v>588</v>
      </c>
      <c r="B1035" t="s">
        <v>80</v>
      </c>
      <c r="C1035" t="s">
        <v>80</v>
      </c>
      <c r="D1035" t="s">
        <v>284</v>
      </c>
      <c r="E1035" s="48">
        <v>14331</v>
      </c>
      <c r="F1035" s="24">
        <v>0.15454361241748399</v>
      </c>
      <c r="G1035" s="24">
        <v>2214.7645095549601</v>
      </c>
      <c r="H1035" t="s">
        <v>394</v>
      </c>
    </row>
    <row r="1036" spans="1:8" ht="15" customHeight="1" x14ac:dyDescent="0.3">
      <c r="A1036" t="s">
        <v>588</v>
      </c>
      <c r="B1036" t="s">
        <v>80</v>
      </c>
      <c r="C1036" t="s">
        <v>80</v>
      </c>
      <c r="D1036" t="s">
        <v>293</v>
      </c>
      <c r="E1036" s="48">
        <v>3650</v>
      </c>
      <c r="F1036" s="24">
        <v>0.15454361241748399</v>
      </c>
      <c r="G1036" s="24">
        <v>564.084185323817</v>
      </c>
      <c r="H1036" t="s">
        <v>394</v>
      </c>
    </row>
    <row r="1037" spans="1:8" ht="15" customHeight="1" x14ac:dyDescent="0.3">
      <c r="A1037" t="s">
        <v>588</v>
      </c>
      <c r="B1037" t="s">
        <v>80</v>
      </c>
      <c r="C1037" t="s">
        <v>80</v>
      </c>
      <c r="D1037" t="s">
        <v>290</v>
      </c>
      <c r="E1037" s="48">
        <v>6396</v>
      </c>
      <c r="F1037" s="24">
        <v>0.15454361241748399</v>
      </c>
      <c r="G1037" s="24">
        <v>988.46094502222797</v>
      </c>
      <c r="H1037" t="s">
        <v>394</v>
      </c>
    </row>
    <row r="1038" spans="1:8" ht="15" customHeight="1" x14ac:dyDescent="0.3">
      <c r="A1038" t="s">
        <v>588</v>
      </c>
      <c r="B1038" t="s">
        <v>80</v>
      </c>
      <c r="C1038" t="s">
        <v>80</v>
      </c>
      <c r="D1038" t="s">
        <v>285</v>
      </c>
      <c r="E1038" s="48">
        <v>4730</v>
      </c>
      <c r="F1038" s="24">
        <v>0.15454361241748399</v>
      </c>
      <c r="G1038" s="24">
        <v>730.99128673469897</v>
      </c>
      <c r="H1038" t="s">
        <v>394</v>
      </c>
    </row>
    <row r="1039" spans="1:8" ht="15" customHeight="1" x14ac:dyDescent="0.3">
      <c r="A1039" t="s">
        <v>588</v>
      </c>
      <c r="B1039" t="s">
        <v>80</v>
      </c>
      <c r="C1039" t="s">
        <v>80</v>
      </c>
      <c r="D1039" t="s">
        <v>282</v>
      </c>
      <c r="E1039" s="48">
        <v>4782</v>
      </c>
      <c r="F1039" s="24">
        <v>0.15454361241748399</v>
      </c>
      <c r="G1039" s="24">
        <v>739.02755458040804</v>
      </c>
      <c r="H1039" t="s">
        <v>394</v>
      </c>
    </row>
    <row r="1040" spans="1:8" ht="15" customHeight="1" x14ac:dyDescent="0.3">
      <c r="A1040" t="s">
        <v>598</v>
      </c>
      <c r="B1040" t="s">
        <v>80</v>
      </c>
      <c r="C1040" t="s">
        <v>80</v>
      </c>
      <c r="D1040" t="s">
        <v>287</v>
      </c>
      <c r="E1040" s="48">
        <v>6445</v>
      </c>
      <c r="F1040" s="24">
        <v>0.15067662524186101</v>
      </c>
      <c r="G1040" s="24">
        <v>971.11084968379396</v>
      </c>
      <c r="H1040" t="s">
        <v>394</v>
      </c>
    </row>
    <row r="1041" spans="1:8" ht="15" customHeight="1" x14ac:dyDescent="0.3">
      <c r="A1041" t="s">
        <v>598</v>
      </c>
      <c r="B1041" t="s">
        <v>80</v>
      </c>
      <c r="C1041" t="s">
        <v>80</v>
      </c>
      <c r="D1041" t="s">
        <v>284</v>
      </c>
      <c r="E1041" s="48">
        <v>14441</v>
      </c>
      <c r="F1041" s="24">
        <v>0.15067662524186101</v>
      </c>
      <c r="G1041" s="24">
        <v>2175.9211451177198</v>
      </c>
      <c r="H1041" t="s">
        <v>394</v>
      </c>
    </row>
    <row r="1042" spans="1:8" ht="15" customHeight="1" x14ac:dyDescent="0.3">
      <c r="A1042" t="s">
        <v>598</v>
      </c>
      <c r="B1042" t="s">
        <v>80</v>
      </c>
      <c r="C1042" t="s">
        <v>80</v>
      </c>
      <c r="D1042" t="s">
        <v>293</v>
      </c>
      <c r="E1042" s="48">
        <v>3704</v>
      </c>
      <c r="F1042" s="24">
        <v>0.15067662524186101</v>
      </c>
      <c r="G1042" s="24">
        <v>558.10621989585297</v>
      </c>
      <c r="H1042" t="s">
        <v>394</v>
      </c>
    </row>
    <row r="1043" spans="1:8" ht="15" customHeight="1" x14ac:dyDescent="0.3">
      <c r="A1043" t="s">
        <v>598</v>
      </c>
      <c r="B1043" t="s">
        <v>80</v>
      </c>
      <c r="C1043" t="s">
        <v>80</v>
      </c>
      <c r="D1043" t="s">
        <v>290</v>
      </c>
      <c r="E1043" s="48">
        <v>6434</v>
      </c>
      <c r="F1043" s="24">
        <v>0.15067662524186101</v>
      </c>
      <c r="G1043" s="24">
        <v>969.45340680613401</v>
      </c>
      <c r="H1043" t="s">
        <v>394</v>
      </c>
    </row>
    <row r="1044" spans="1:8" ht="15" customHeight="1" x14ac:dyDescent="0.3">
      <c r="A1044" t="s">
        <v>598</v>
      </c>
      <c r="B1044" t="s">
        <v>80</v>
      </c>
      <c r="C1044" t="s">
        <v>80</v>
      </c>
      <c r="D1044" t="s">
        <v>285</v>
      </c>
      <c r="E1044" s="48">
        <v>4749</v>
      </c>
      <c r="F1044" s="24">
        <v>0.15067662524186101</v>
      </c>
      <c r="G1044" s="24">
        <v>715.56329327359799</v>
      </c>
      <c r="H1044" t="s">
        <v>394</v>
      </c>
    </row>
    <row r="1045" spans="1:8" ht="15" customHeight="1" x14ac:dyDescent="0.3">
      <c r="A1045" t="s">
        <v>598</v>
      </c>
      <c r="B1045" t="s">
        <v>80</v>
      </c>
      <c r="C1045" t="s">
        <v>80</v>
      </c>
      <c r="D1045" t="s">
        <v>282</v>
      </c>
      <c r="E1045" s="48">
        <v>4795</v>
      </c>
      <c r="F1045" s="24">
        <v>0.15067662524186101</v>
      </c>
      <c r="G1045" s="24">
        <v>722.49441803472405</v>
      </c>
      <c r="H1045" t="s">
        <v>394</v>
      </c>
    </row>
    <row r="1046" spans="1:8" ht="15" customHeight="1" x14ac:dyDescent="0.3">
      <c r="A1046" t="s">
        <v>625</v>
      </c>
      <c r="B1046" t="s">
        <v>80</v>
      </c>
      <c r="C1046" t="s">
        <v>80</v>
      </c>
      <c r="D1046" t="s">
        <v>287</v>
      </c>
      <c r="E1046" s="48">
        <v>6588</v>
      </c>
      <c r="F1046" s="24">
        <v>0.14528977957328101</v>
      </c>
      <c r="G1046" s="24">
        <v>957.16906782877504</v>
      </c>
      <c r="H1046" t="s">
        <v>394</v>
      </c>
    </row>
    <row r="1047" spans="1:8" ht="15" customHeight="1" x14ac:dyDescent="0.3">
      <c r="A1047" t="s">
        <v>625</v>
      </c>
      <c r="B1047" t="s">
        <v>80</v>
      </c>
      <c r="C1047" t="s">
        <v>80</v>
      </c>
      <c r="D1047" t="s">
        <v>284</v>
      </c>
      <c r="E1047" s="48">
        <v>14689</v>
      </c>
      <c r="F1047" s="24">
        <v>0.14528977957328101</v>
      </c>
      <c r="G1047" s="24">
        <v>2134.1615721519302</v>
      </c>
      <c r="H1047" t="s">
        <v>394</v>
      </c>
    </row>
    <row r="1048" spans="1:8" ht="15" customHeight="1" x14ac:dyDescent="0.3">
      <c r="A1048" t="s">
        <v>625</v>
      </c>
      <c r="B1048" t="s">
        <v>80</v>
      </c>
      <c r="C1048" t="s">
        <v>80</v>
      </c>
      <c r="D1048" t="s">
        <v>293</v>
      </c>
      <c r="E1048" s="48">
        <v>3765</v>
      </c>
      <c r="F1048" s="24">
        <v>0.14528977957328101</v>
      </c>
      <c r="G1048" s="24">
        <v>547.01602009340297</v>
      </c>
      <c r="H1048" t="s">
        <v>394</v>
      </c>
    </row>
    <row r="1049" spans="1:8" ht="15" customHeight="1" x14ac:dyDescent="0.3">
      <c r="A1049" t="s">
        <v>625</v>
      </c>
      <c r="B1049" t="s">
        <v>80</v>
      </c>
      <c r="C1049" t="s">
        <v>80</v>
      </c>
      <c r="D1049" t="s">
        <v>290</v>
      </c>
      <c r="E1049" s="48">
        <v>6568</v>
      </c>
      <c r="F1049" s="24">
        <v>0.14528977957328101</v>
      </c>
      <c r="G1049" s="24">
        <v>954.26327223731005</v>
      </c>
      <c r="H1049" t="s">
        <v>394</v>
      </c>
    </row>
    <row r="1050" spans="1:8" ht="15" customHeight="1" x14ac:dyDescent="0.3">
      <c r="A1050" t="s">
        <v>625</v>
      </c>
      <c r="B1050" t="s">
        <v>80</v>
      </c>
      <c r="C1050" t="s">
        <v>80</v>
      </c>
      <c r="D1050" t="s">
        <v>285</v>
      </c>
      <c r="E1050" s="48">
        <v>4805</v>
      </c>
      <c r="F1050" s="24">
        <v>0.14528977957328101</v>
      </c>
      <c r="G1050" s="24">
        <v>698.11739084961505</v>
      </c>
      <c r="H1050" t="s">
        <v>394</v>
      </c>
    </row>
    <row r="1051" spans="1:8" ht="15" customHeight="1" x14ac:dyDescent="0.3">
      <c r="A1051" t="s">
        <v>625</v>
      </c>
      <c r="B1051" t="s">
        <v>80</v>
      </c>
      <c r="C1051" t="s">
        <v>80</v>
      </c>
      <c r="D1051" t="s">
        <v>282</v>
      </c>
      <c r="E1051" s="48">
        <v>4806</v>
      </c>
      <c r="F1051" s="24">
        <v>0.14528977957328101</v>
      </c>
      <c r="G1051" s="24">
        <v>698.26268062918905</v>
      </c>
      <c r="H1051" t="s">
        <v>394</v>
      </c>
    </row>
    <row r="1052" spans="1:8" ht="15" customHeight="1" x14ac:dyDescent="0.3">
      <c r="A1052" t="s">
        <v>588</v>
      </c>
      <c r="B1052" t="s">
        <v>42</v>
      </c>
      <c r="C1052" t="s">
        <v>42</v>
      </c>
      <c r="D1052" t="s">
        <v>287</v>
      </c>
      <c r="E1052" s="48">
        <v>6280</v>
      </c>
      <c r="F1052" s="24">
        <v>0.145293801710045</v>
      </c>
      <c r="G1052" s="24">
        <v>912.445074739083</v>
      </c>
      <c r="H1052" t="s">
        <v>394</v>
      </c>
    </row>
    <row r="1053" spans="1:8" ht="15" customHeight="1" x14ac:dyDescent="0.3">
      <c r="A1053" t="s">
        <v>588</v>
      </c>
      <c r="B1053" t="s">
        <v>42</v>
      </c>
      <c r="C1053" t="s">
        <v>42</v>
      </c>
      <c r="D1053" t="s">
        <v>284</v>
      </c>
      <c r="E1053" s="48">
        <v>14331</v>
      </c>
      <c r="F1053" s="24">
        <v>0.145293801710045</v>
      </c>
      <c r="G1053" s="24">
        <v>2082.2054723066599</v>
      </c>
      <c r="H1053" t="s">
        <v>394</v>
      </c>
    </row>
    <row r="1054" spans="1:8" ht="15" customHeight="1" x14ac:dyDescent="0.3">
      <c r="A1054" t="s">
        <v>588</v>
      </c>
      <c r="B1054" t="s">
        <v>42</v>
      </c>
      <c r="C1054" t="s">
        <v>42</v>
      </c>
      <c r="D1054" t="s">
        <v>293</v>
      </c>
      <c r="E1054" s="48">
        <v>3650</v>
      </c>
      <c r="F1054" s="24">
        <v>0.145293801710045</v>
      </c>
      <c r="G1054" s="24">
        <v>530.32237624166396</v>
      </c>
      <c r="H1054" t="s">
        <v>394</v>
      </c>
    </row>
    <row r="1055" spans="1:8" ht="15" customHeight="1" x14ac:dyDescent="0.3">
      <c r="A1055" t="s">
        <v>588</v>
      </c>
      <c r="B1055" t="s">
        <v>42</v>
      </c>
      <c r="C1055" t="s">
        <v>42</v>
      </c>
      <c r="D1055" t="s">
        <v>290</v>
      </c>
      <c r="E1055" s="48">
        <v>6396</v>
      </c>
      <c r="F1055" s="24">
        <v>0.145293801710045</v>
      </c>
      <c r="G1055" s="24">
        <v>929.29915573744802</v>
      </c>
      <c r="H1055" t="s">
        <v>394</v>
      </c>
    </row>
    <row r="1056" spans="1:8" ht="15" customHeight="1" x14ac:dyDescent="0.3">
      <c r="A1056" t="s">
        <v>588</v>
      </c>
      <c r="B1056" t="s">
        <v>42</v>
      </c>
      <c r="C1056" t="s">
        <v>42</v>
      </c>
      <c r="D1056" t="s">
        <v>285</v>
      </c>
      <c r="E1056" s="48">
        <v>4730</v>
      </c>
      <c r="F1056" s="24">
        <v>0.145293801710045</v>
      </c>
      <c r="G1056" s="24">
        <v>687.23968208851295</v>
      </c>
      <c r="H1056" t="s">
        <v>394</v>
      </c>
    </row>
    <row r="1057" spans="1:8" ht="15" customHeight="1" x14ac:dyDescent="0.3">
      <c r="A1057" t="s">
        <v>588</v>
      </c>
      <c r="B1057" t="s">
        <v>42</v>
      </c>
      <c r="C1057" t="s">
        <v>42</v>
      </c>
      <c r="D1057" t="s">
        <v>282</v>
      </c>
      <c r="E1057" s="48">
        <v>4782</v>
      </c>
      <c r="F1057" s="24">
        <v>0.145293801710045</v>
      </c>
      <c r="G1057" s="24">
        <v>694.794959777435</v>
      </c>
      <c r="H1057" t="s">
        <v>394</v>
      </c>
    </row>
    <row r="1058" spans="1:8" ht="15" customHeight="1" x14ac:dyDescent="0.3">
      <c r="A1058" t="s">
        <v>598</v>
      </c>
      <c r="B1058" t="s">
        <v>42</v>
      </c>
      <c r="C1058" t="s">
        <v>42</v>
      </c>
      <c r="D1058" t="s">
        <v>287</v>
      </c>
      <c r="E1058" s="48">
        <v>6445</v>
      </c>
      <c r="F1058" s="24">
        <v>0.14678242373983599</v>
      </c>
      <c r="G1058" s="24">
        <v>946.01272100324297</v>
      </c>
      <c r="H1058" t="s">
        <v>394</v>
      </c>
    </row>
    <row r="1059" spans="1:8" ht="15" customHeight="1" x14ac:dyDescent="0.3">
      <c r="A1059" t="s">
        <v>598</v>
      </c>
      <c r="B1059" t="s">
        <v>42</v>
      </c>
      <c r="C1059" t="s">
        <v>42</v>
      </c>
      <c r="D1059" t="s">
        <v>284</v>
      </c>
      <c r="E1059" s="48">
        <v>14441</v>
      </c>
      <c r="F1059" s="24">
        <v>0.14678242373983599</v>
      </c>
      <c r="G1059" s="24">
        <v>2119.6849812269702</v>
      </c>
      <c r="H1059" t="s">
        <v>394</v>
      </c>
    </row>
    <row r="1060" spans="1:8" ht="15" customHeight="1" x14ac:dyDescent="0.3">
      <c r="A1060" t="s">
        <v>598</v>
      </c>
      <c r="B1060" t="s">
        <v>42</v>
      </c>
      <c r="C1060" t="s">
        <v>42</v>
      </c>
      <c r="D1060" t="s">
        <v>293</v>
      </c>
      <c r="E1060" s="48">
        <v>3704</v>
      </c>
      <c r="F1060" s="24">
        <v>0.14678242373983599</v>
      </c>
      <c r="G1060" s="24">
        <v>543.68209753235305</v>
      </c>
      <c r="H1060" t="s">
        <v>394</v>
      </c>
    </row>
    <row r="1061" spans="1:8" ht="15" customHeight="1" x14ac:dyDescent="0.3">
      <c r="A1061" t="s">
        <v>598</v>
      </c>
      <c r="B1061" t="s">
        <v>42</v>
      </c>
      <c r="C1061" t="s">
        <v>42</v>
      </c>
      <c r="D1061" t="s">
        <v>290</v>
      </c>
      <c r="E1061" s="48">
        <v>6434</v>
      </c>
      <c r="F1061" s="24">
        <v>0.14678242373983599</v>
      </c>
      <c r="G1061" s="24">
        <v>944.39811434210503</v>
      </c>
      <c r="H1061" t="s">
        <v>394</v>
      </c>
    </row>
    <row r="1062" spans="1:8" ht="15" customHeight="1" x14ac:dyDescent="0.3">
      <c r="A1062" t="s">
        <v>598</v>
      </c>
      <c r="B1062" t="s">
        <v>42</v>
      </c>
      <c r="C1062" t="s">
        <v>42</v>
      </c>
      <c r="D1062" t="s">
        <v>285</v>
      </c>
      <c r="E1062" s="48">
        <v>4749</v>
      </c>
      <c r="F1062" s="24">
        <v>0.14678242373983599</v>
      </c>
      <c r="G1062" s="24">
        <v>697.06973034048099</v>
      </c>
      <c r="H1062" t="s">
        <v>394</v>
      </c>
    </row>
    <row r="1063" spans="1:8" ht="15" customHeight="1" x14ac:dyDescent="0.3">
      <c r="A1063" t="s">
        <v>598</v>
      </c>
      <c r="B1063" t="s">
        <v>42</v>
      </c>
      <c r="C1063" t="s">
        <v>42</v>
      </c>
      <c r="D1063" t="s">
        <v>282</v>
      </c>
      <c r="E1063" s="48">
        <v>4795</v>
      </c>
      <c r="F1063" s="24">
        <v>0.14678242373983599</v>
      </c>
      <c r="G1063" s="24">
        <v>703.82172183251396</v>
      </c>
      <c r="H1063" t="s">
        <v>394</v>
      </c>
    </row>
    <row r="1064" spans="1:8" ht="15" customHeight="1" x14ac:dyDescent="0.3">
      <c r="A1064" t="s">
        <v>625</v>
      </c>
      <c r="B1064" t="s">
        <v>42</v>
      </c>
      <c r="C1064" t="s">
        <v>42</v>
      </c>
      <c r="D1064" t="s">
        <v>287</v>
      </c>
      <c r="E1064" s="48">
        <v>6588</v>
      </c>
      <c r="F1064" s="24">
        <v>0.136978220673766</v>
      </c>
      <c r="G1064" s="24">
        <v>902.41251779876995</v>
      </c>
      <c r="H1064" t="s">
        <v>394</v>
      </c>
    </row>
    <row r="1065" spans="1:8" ht="15" customHeight="1" x14ac:dyDescent="0.3">
      <c r="A1065" t="s">
        <v>625</v>
      </c>
      <c r="B1065" t="s">
        <v>42</v>
      </c>
      <c r="C1065" t="s">
        <v>42</v>
      </c>
      <c r="D1065" t="s">
        <v>284</v>
      </c>
      <c r="E1065" s="48">
        <v>14689</v>
      </c>
      <c r="F1065" s="24">
        <v>0.136978220673766</v>
      </c>
      <c r="G1065" s="24">
        <v>2012.0730834769499</v>
      </c>
      <c r="H1065" t="s">
        <v>394</v>
      </c>
    </row>
    <row r="1066" spans="1:8" ht="15" customHeight="1" x14ac:dyDescent="0.3">
      <c r="A1066" t="s">
        <v>625</v>
      </c>
      <c r="B1066" t="s">
        <v>42</v>
      </c>
      <c r="C1066" t="s">
        <v>42</v>
      </c>
      <c r="D1066" t="s">
        <v>293</v>
      </c>
      <c r="E1066" s="48">
        <v>3765</v>
      </c>
      <c r="F1066" s="24">
        <v>0.136978220673766</v>
      </c>
      <c r="G1066" s="24">
        <v>515.72300083672906</v>
      </c>
      <c r="H1066" t="s">
        <v>394</v>
      </c>
    </row>
    <row r="1067" spans="1:8" ht="15" customHeight="1" x14ac:dyDescent="0.3">
      <c r="A1067" t="s">
        <v>625</v>
      </c>
      <c r="B1067" t="s">
        <v>42</v>
      </c>
      <c r="C1067" t="s">
        <v>42</v>
      </c>
      <c r="D1067" t="s">
        <v>290</v>
      </c>
      <c r="E1067" s="48">
        <v>6568</v>
      </c>
      <c r="F1067" s="24">
        <v>0.136978220673766</v>
      </c>
      <c r="G1067" s="24">
        <v>899.67295338529505</v>
      </c>
      <c r="H1067" t="s">
        <v>394</v>
      </c>
    </row>
    <row r="1068" spans="1:8" ht="15" customHeight="1" x14ac:dyDescent="0.3">
      <c r="A1068" t="s">
        <v>625</v>
      </c>
      <c r="B1068" t="s">
        <v>42</v>
      </c>
      <c r="C1068" t="s">
        <v>42</v>
      </c>
      <c r="D1068" t="s">
        <v>285</v>
      </c>
      <c r="E1068" s="48">
        <v>4805</v>
      </c>
      <c r="F1068" s="24">
        <v>0.136978220673766</v>
      </c>
      <c r="G1068" s="24">
        <v>658.18035033744604</v>
      </c>
      <c r="H1068" t="s">
        <v>394</v>
      </c>
    </row>
    <row r="1069" spans="1:8" ht="15" customHeight="1" x14ac:dyDescent="0.3">
      <c r="A1069" t="s">
        <v>625</v>
      </c>
      <c r="B1069" t="s">
        <v>42</v>
      </c>
      <c r="C1069" t="s">
        <v>42</v>
      </c>
      <c r="D1069" t="s">
        <v>282</v>
      </c>
      <c r="E1069" s="48">
        <v>4806</v>
      </c>
      <c r="F1069" s="24">
        <v>0.136978220673766</v>
      </c>
      <c r="G1069" s="24">
        <v>658.31732855811902</v>
      </c>
      <c r="H1069" t="s">
        <v>394</v>
      </c>
    </row>
    <row r="1070" spans="1:8" ht="15" customHeight="1" x14ac:dyDescent="0.3">
      <c r="A1070" t="s">
        <v>588</v>
      </c>
      <c r="B1070" t="s">
        <v>34</v>
      </c>
      <c r="C1070" t="s">
        <v>34</v>
      </c>
      <c r="D1070" t="s">
        <v>287</v>
      </c>
      <c r="E1070" s="48">
        <v>6280</v>
      </c>
      <c r="F1070" s="24">
        <v>0.23174321635211001</v>
      </c>
      <c r="G1070" s="24">
        <v>1455.347399</v>
      </c>
      <c r="H1070" t="s">
        <v>394</v>
      </c>
    </row>
    <row r="1071" spans="1:8" ht="15" customHeight="1" x14ac:dyDescent="0.3">
      <c r="A1071" t="s">
        <v>588</v>
      </c>
      <c r="B1071" t="s">
        <v>34</v>
      </c>
      <c r="C1071" t="s">
        <v>34</v>
      </c>
      <c r="D1071" t="s">
        <v>289</v>
      </c>
      <c r="E1071" s="48">
        <v>13402</v>
      </c>
      <c r="F1071" s="24">
        <v>0.23174321635211001</v>
      </c>
      <c r="G1071" s="24">
        <v>3105.8225859999998</v>
      </c>
      <c r="H1071" t="s">
        <v>394</v>
      </c>
    </row>
    <row r="1072" spans="1:8" ht="15" customHeight="1" x14ac:dyDescent="0.3">
      <c r="A1072" t="s">
        <v>588</v>
      </c>
      <c r="B1072" t="s">
        <v>34</v>
      </c>
      <c r="C1072" t="s">
        <v>34</v>
      </c>
      <c r="D1072" t="s">
        <v>284</v>
      </c>
      <c r="E1072" s="48">
        <v>14331</v>
      </c>
      <c r="F1072" s="24">
        <v>0.23174321635211001</v>
      </c>
      <c r="G1072" s="24">
        <v>3321.1120340000002</v>
      </c>
      <c r="H1072" t="s">
        <v>394</v>
      </c>
    </row>
    <row r="1073" spans="1:8" ht="15" customHeight="1" x14ac:dyDescent="0.3">
      <c r="A1073" t="s">
        <v>588</v>
      </c>
      <c r="B1073" t="s">
        <v>34</v>
      </c>
      <c r="C1073" t="s">
        <v>34</v>
      </c>
      <c r="D1073" t="s">
        <v>293</v>
      </c>
      <c r="E1073" s="48">
        <v>3650</v>
      </c>
      <c r="F1073" s="24">
        <v>0.23174321635211001</v>
      </c>
      <c r="G1073" s="24">
        <v>845.86274000000003</v>
      </c>
      <c r="H1073" t="s">
        <v>394</v>
      </c>
    </row>
    <row r="1074" spans="1:8" ht="15" customHeight="1" x14ac:dyDescent="0.3">
      <c r="A1074" t="s">
        <v>588</v>
      </c>
      <c r="B1074" t="s">
        <v>34</v>
      </c>
      <c r="C1074" t="s">
        <v>34</v>
      </c>
      <c r="D1074" t="s">
        <v>290</v>
      </c>
      <c r="E1074" s="48">
        <v>6396</v>
      </c>
      <c r="F1074" s="24">
        <v>0.23174321635211001</v>
      </c>
      <c r="G1074" s="24">
        <v>1482.2296120000001</v>
      </c>
      <c r="H1074" t="s">
        <v>394</v>
      </c>
    </row>
    <row r="1075" spans="1:8" ht="15" customHeight="1" x14ac:dyDescent="0.3">
      <c r="A1075" t="s">
        <v>588</v>
      </c>
      <c r="B1075" t="s">
        <v>34</v>
      </c>
      <c r="C1075" t="s">
        <v>34</v>
      </c>
      <c r="D1075" t="s">
        <v>285</v>
      </c>
      <c r="E1075" s="48">
        <v>4730</v>
      </c>
      <c r="F1075" s="24">
        <v>0.23174321635211001</v>
      </c>
      <c r="G1075" s="24">
        <v>1096.145413</v>
      </c>
      <c r="H1075" t="s">
        <v>394</v>
      </c>
    </row>
    <row r="1076" spans="1:8" ht="15" customHeight="1" x14ac:dyDescent="0.3">
      <c r="A1076" t="s">
        <v>588</v>
      </c>
      <c r="B1076" t="s">
        <v>34</v>
      </c>
      <c r="C1076" t="s">
        <v>34</v>
      </c>
      <c r="D1076" t="s">
        <v>282</v>
      </c>
      <c r="E1076" s="48">
        <v>4782</v>
      </c>
      <c r="F1076" s="24">
        <v>0.23174321635211001</v>
      </c>
      <c r="G1076" s="24">
        <v>1108.1960610000001</v>
      </c>
      <c r="H1076" t="s">
        <v>394</v>
      </c>
    </row>
    <row r="1077" spans="1:8" ht="15" customHeight="1" x14ac:dyDescent="0.3">
      <c r="A1077" t="s">
        <v>598</v>
      </c>
      <c r="B1077" t="s">
        <v>34</v>
      </c>
      <c r="C1077" t="s">
        <v>34</v>
      </c>
      <c r="D1077" t="s">
        <v>287</v>
      </c>
      <c r="E1077" s="48">
        <v>6445</v>
      </c>
      <c r="F1077" s="24">
        <v>0.25154373634156801</v>
      </c>
      <c r="G1077" s="24">
        <v>1621.1993809999999</v>
      </c>
      <c r="H1077" t="s">
        <v>394</v>
      </c>
    </row>
    <row r="1078" spans="1:8" ht="15" customHeight="1" x14ac:dyDescent="0.3">
      <c r="A1078" t="s">
        <v>598</v>
      </c>
      <c r="B1078" t="s">
        <v>34</v>
      </c>
      <c r="C1078" t="s">
        <v>34</v>
      </c>
      <c r="D1078" t="s">
        <v>289</v>
      </c>
      <c r="E1078" s="48">
        <v>13418</v>
      </c>
      <c r="F1078" s="24">
        <v>0.25154373634156801</v>
      </c>
      <c r="G1078" s="24">
        <v>3375.2138540000001</v>
      </c>
      <c r="H1078" t="s">
        <v>394</v>
      </c>
    </row>
    <row r="1079" spans="1:8" ht="15" customHeight="1" x14ac:dyDescent="0.3">
      <c r="A1079" t="s">
        <v>598</v>
      </c>
      <c r="B1079" t="s">
        <v>34</v>
      </c>
      <c r="C1079" t="s">
        <v>34</v>
      </c>
      <c r="D1079" t="s">
        <v>284</v>
      </c>
      <c r="E1079" s="48">
        <v>14441</v>
      </c>
      <c r="F1079" s="24">
        <v>0.25154373634156801</v>
      </c>
      <c r="G1079" s="24">
        <v>3632.5430970000002</v>
      </c>
      <c r="H1079" t="s">
        <v>394</v>
      </c>
    </row>
    <row r="1080" spans="1:8" ht="15" customHeight="1" x14ac:dyDescent="0.3">
      <c r="A1080" t="s">
        <v>598</v>
      </c>
      <c r="B1080" t="s">
        <v>34</v>
      </c>
      <c r="C1080" t="s">
        <v>34</v>
      </c>
      <c r="D1080" t="s">
        <v>293</v>
      </c>
      <c r="E1080" s="48">
        <v>3704</v>
      </c>
      <c r="F1080" s="24">
        <v>0.25154373634156801</v>
      </c>
      <c r="G1080" s="24">
        <v>931.71799899999996</v>
      </c>
      <c r="H1080" t="s">
        <v>394</v>
      </c>
    </row>
    <row r="1081" spans="1:8" ht="15" customHeight="1" x14ac:dyDescent="0.3">
      <c r="A1081" t="s">
        <v>598</v>
      </c>
      <c r="B1081" t="s">
        <v>34</v>
      </c>
      <c r="C1081" t="s">
        <v>34</v>
      </c>
      <c r="D1081" t="s">
        <v>290</v>
      </c>
      <c r="E1081" s="48">
        <v>6434</v>
      </c>
      <c r="F1081" s="24">
        <v>0.25154373634156801</v>
      </c>
      <c r="G1081" s="24">
        <v>1618.4323999999999</v>
      </c>
      <c r="H1081" t="s">
        <v>394</v>
      </c>
    </row>
    <row r="1082" spans="1:8" ht="15" customHeight="1" x14ac:dyDescent="0.3">
      <c r="A1082" t="s">
        <v>598</v>
      </c>
      <c r="B1082" t="s">
        <v>34</v>
      </c>
      <c r="C1082" t="s">
        <v>34</v>
      </c>
      <c r="D1082" t="s">
        <v>285</v>
      </c>
      <c r="E1082" s="48">
        <v>4749</v>
      </c>
      <c r="F1082" s="24">
        <v>0.25154373634156801</v>
      </c>
      <c r="G1082" s="24">
        <v>1194.5812040000001</v>
      </c>
      <c r="H1082" t="s">
        <v>394</v>
      </c>
    </row>
    <row r="1083" spans="1:8" ht="15" customHeight="1" x14ac:dyDescent="0.3">
      <c r="A1083" t="s">
        <v>598</v>
      </c>
      <c r="B1083" t="s">
        <v>34</v>
      </c>
      <c r="C1083" t="s">
        <v>34</v>
      </c>
      <c r="D1083" t="s">
        <v>282</v>
      </c>
      <c r="E1083" s="48">
        <v>4795</v>
      </c>
      <c r="F1083" s="24">
        <v>0.25154373634156801</v>
      </c>
      <c r="G1083" s="24">
        <v>1206.152216</v>
      </c>
      <c r="H1083" t="s">
        <v>394</v>
      </c>
    </row>
    <row r="1084" spans="1:8" ht="15" customHeight="1" x14ac:dyDescent="0.3">
      <c r="A1084" t="s">
        <v>625</v>
      </c>
      <c r="B1084" t="s">
        <v>34</v>
      </c>
      <c r="C1084" t="s">
        <v>34</v>
      </c>
      <c r="D1084" t="s">
        <v>287</v>
      </c>
      <c r="E1084" s="48">
        <v>6588</v>
      </c>
      <c r="F1084" s="24">
        <v>0.229782928031525</v>
      </c>
      <c r="G1084" s="24">
        <v>1513.8099299999999</v>
      </c>
      <c r="H1084" t="s">
        <v>394</v>
      </c>
    </row>
    <row r="1085" spans="1:8" ht="15" customHeight="1" x14ac:dyDescent="0.3">
      <c r="A1085" t="s">
        <v>625</v>
      </c>
      <c r="B1085" t="s">
        <v>34</v>
      </c>
      <c r="C1085" t="s">
        <v>34</v>
      </c>
      <c r="D1085" t="s">
        <v>289</v>
      </c>
      <c r="E1085" s="48">
        <v>13530</v>
      </c>
      <c r="F1085" s="24">
        <v>0.229782928031525</v>
      </c>
      <c r="G1085" s="24">
        <v>3108.9630160000002</v>
      </c>
      <c r="H1085" t="s">
        <v>394</v>
      </c>
    </row>
    <row r="1086" spans="1:8" ht="15" customHeight="1" x14ac:dyDescent="0.3">
      <c r="A1086" t="s">
        <v>625</v>
      </c>
      <c r="B1086" t="s">
        <v>34</v>
      </c>
      <c r="C1086" t="s">
        <v>34</v>
      </c>
      <c r="D1086" t="s">
        <v>284</v>
      </c>
      <c r="E1086" s="48">
        <v>14689</v>
      </c>
      <c r="F1086" s="24">
        <v>0.229782928031525</v>
      </c>
      <c r="G1086" s="24">
        <v>3375.28143</v>
      </c>
      <c r="H1086" t="s">
        <v>394</v>
      </c>
    </row>
    <row r="1087" spans="1:8" ht="15" customHeight="1" x14ac:dyDescent="0.3">
      <c r="A1087" t="s">
        <v>625</v>
      </c>
      <c r="B1087" t="s">
        <v>34</v>
      </c>
      <c r="C1087" t="s">
        <v>34</v>
      </c>
      <c r="D1087" t="s">
        <v>293</v>
      </c>
      <c r="E1087" s="48">
        <v>3765</v>
      </c>
      <c r="F1087" s="24">
        <v>0.229782928031525</v>
      </c>
      <c r="G1087" s="24">
        <v>865.13272400000005</v>
      </c>
      <c r="H1087" t="s">
        <v>394</v>
      </c>
    </row>
    <row r="1088" spans="1:8" ht="15" customHeight="1" x14ac:dyDescent="0.3">
      <c r="A1088" t="s">
        <v>625</v>
      </c>
      <c r="B1088" t="s">
        <v>34</v>
      </c>
      <c r="C1088" t="s">
        <v>34</v>
      </c>
      <c r="D1088" t="s">
        <v>290</v>
      </c>
      <c r="E1088" s="48">
        <v>6568</v>
      </c>
      <c r="F1088" s="24">
        <v>0.229782928031525</v>
      </c>
      <c r="G1088" s="24">
        <v>1509.2142710000001</v>
      </c>
      <c r="H1088" t="s">
        <v>394</v>
      </c>
    </row>
    <row r="1089" spans="1:8" ht="15" customHeight="1" x14ac:dyDescent="0.3">
      <c r="A1089" t="s">
        <v>625</v>
      </c>
      <c r="B1089" t="s">
        <v>34</v>
      </c>
      <c r="C1089" t="s">
        <v>34</v>
      </c>
      <c r="D1089" t="s">
        <v>285</v>
      </c>
      <c r="E1089" s="48">
        <v>4805</v>
      </c>
      <c r="F1089" s="24">
        <v>0.229782928031525</v>
      </c>
      <c r="G1089" s="24">
        <v>1104.1069689999999</v>
      </c>
      <c r="H1089" t="s">
        <v>394</v>
      </c>
    </row>
    <row r="1090" spans="1:8" ht="15" customHeight="1" x14ac:dyDescent="0.3">
      <c r="A1090" t="s">
        <v>625</v>
      </c>
      <c r="B1090" t="s">
        <v>34</v>
      </c>
      <c r="C1090" t="s">
        <v>34</v>
      </c>
      <c r="D1090" t="s">
        <v>282</v>
      </c>
      <c r="E1090" s="48">
        <v>4806</v>
      </c>
      <c r="F1090" s="24">
        <v>0.229782928031525</v>
      </c>
      <c r="G1090" s="24">
        <v>1104.3367519999999</v>
      </c>
      <c r="H1090" t="s">
        <v>394</v>
      </c>
    </row>
    <row r="1091" spans="1:8" ht="15" customHeight="1" x14ac:dyDescent="0.3">
      <c r="A1091" t="s">
        <v>588</v>
      </c>
      <c r="B1091" t="s">
        <v>35</v>
      </c>
      <c r="C1091" t="s">
        <v>35</v>
      </c>
      <c r="D1091" t="s">
        <v>287</v>
      </c>
      <c r="E1091" s="48">
        <v>6280</v>
      </c>
      <c r="F1091" s="24">
        <v>8.5544085257177493E-2</v>
      </c>
      <c r="G1091" s="24">
        <v>537.21685541507497</v>
      </c>
      <c r="H1091" t="s">
        <v>394</v>
      </c>
    </row>
    <row r="1092" spans="1:8" ht="15" customHeight="1" x14ac:dyDescent="0.3">
      <c r="A1092" t="s">
        <v>588</v>
      </c>
      <c r="B1092" t="s">
        <v>35</v>
      </c>
      <c r="C1092" t="s">
        <v>35</v>
      </c>
      <c r="D1092" t="s">
        <v>284</v>
      </c>
      <c r="E1092" s="48">
        <v>14331</v>
      </c>
      <c r="F1092" s="24">
        <v>8.5544085257177493E-2</v>
      </c>
      <c r="G1092" s="24">
        <v>1225.9322858206101</v>
      </c>
      <c r="H1092" t="s">
        <v>394</v>
      </c>
    </row>
    <row r="1093" spans="1:8" ht="15" customHeight="1" x14ac:dyDescent="0.3">
      <c r="A1093" t="s">
        <v>588</v>
      </c>
      <c r="B1093" t="s">
        <v>35</v>
      </c>
      <c r="C1093" t="s">
        <v>35</v>
      </c>
      <c r="D1093" t="s">
        <v>293</v>
      </c>
      <c r="E1093" s="48">
        <v>3650</v>
      </c>
      <c r="F1093" s="24">
        <v>8.5544085257177493E-2</v>
      </c>
      <c r="G1093" s="24">
        <v>312.23591118869803</v>
      </c>
      <c r="H1093" t="s">
        <v>394</v>
      </c>
    </row>
    <row r="1094" spans="1:8" ht="15" customHeight="1" x14ac:dyDescent="0.3">
      <c r="A1094" t="s">
        <v>588</v>
      </c>
      <c r="B1094" t="s">
        <v>35</v>
      </c>
      <c r="C1094" t="s">
        <v>35</v>
      </c>
      <c r="D1094" t="s">
        <v>290</v>
      </c>
      <c r="E1094" s="48">
        <v>6396</v>
      </c>
      <c r="F1094" s="24">
        <v>8.5544085257177493E-2</v>
      </c>
      <c r="G1094" s="24">
        <v>547.13996930490703</v>
      </c>
      <c r="H1094" t="s">
        <v>394</v>
      </c>
    </row>
    <row r="1095" spans="1:8" ht="15" customHeight="1" x14ac:dyDescent="0.3">
      <c r="A1095" t="s">
        <v>588</v>
      </c>
      <c r="B1095" t="s">
        <v>35</v>
      </c>
      <c r="C1095" t="s">
        <v>35</v>
      </c>
      <c r="D1095" t="s">
        <v>285</v>
      </c>
      <c r="E1095" s="48">
        <v>4730</v>
      </c>
      <c r="F1095" s="24">
        <v>8.5544085257177493E-2</v>
      </c>
      <c r="G1095" s="24">
        <v>404.62352326644998</v>
      </c>
      <c r="H1095" t="s">
        <v>394</v>
      </c>
    </row>
    <row r="1096" spans="1:8" ht="15" customHeight="1" x14ac:dyDescent="0.3">
      <c r="A1096" t="s">
        <v>588</v>
      </c>
      <c r="B1096" t="s">
        <v>35</v>
      </c>
      <c r="C1096" t="s">
        <v>35</v>
      </c>
      <c r="D1096" t="s">
        <v>282</v>
      </c>
      <c r="E1096" s="48">
        <v>4782</v>
      </c>
      <c r="F1096" s="24">
        <v>8.5544085257177493E-2</v>
      </c>
      <c r="G1096" s="24">
        <v>409.07181569982299</v>
      </c>
      <c r="H1096" t="s">
        <v>394</v>
      </c>
    </row>
    <row r="1097" spans="1:8" ht="15" customHeight="1" x14ac:dyDescent="0.3">
      <c r="A1097" t="s">
        <v>598</v>
      </c>
      <c r="B1097" t="s">
        <v>35</v>
      </c>
      <c r="C1097" t="s">
        <v>35</v>
      </c>
      <c r="D1097" t="s">
        <v>287</v>
      </c>
      <c r="E1097" s="48">
        <v>6445</v>
      </c>
      <c r="F1097" s="24">
        <v>8.6125079679536906E-2</v>
      </c>
      <c r="G1097" s="24">
        <v>555.07613853461498</v>
      </c>
      <c r="H1097" t="s">
        <v>394</v>
      </c>
    </row>
    <row r="1098" spans="1:8" ht="15" customHeight="1" x14ac:dyDescent="0.3">
      <c r="A1098" t="s">
        <v>598</v>
      </c>
      <c r="B1098" t="s">
        <v>35</v>
      </c>
      <c r="C1098" t="s">
        <v>35</v>
      </c>
      <c r="D1098" t="s">
        <v>284</v>
      </c>
      <c r="E1098" s="48">
        <v>14441</v>
      </c>
      <c r="F1098" s="24">
        <v>8.6125079679536906E-2</v>
      </c>
      <c r="G1098" s="24">
        <v>1243.7322756521901</v>
      </c>
      <c r="H1098" t="s">
        <v>394</v>
      </c>
    </row>
    <row r="1099" spans="1:8" ht="15" customHeight="1" x14ac:dyDescent="0.3">
      <c r="A1099" t="s">
        <v>598</v>
      </c>
      <c r="B1099" t="s">
        <v>35</v>
      </c>
      <c r="C1099" t="s">
        <v>35</v>
      </c>
      <c r="D1099" t="s">
        <v>293</v>
      </c>
      <c r="E1099" s="48">
        <v>3704</v>
      </c>
      <c r="F1099" s="24">
        <v>8.6125079679536906E-2</v>
      </c>
      <c r="G1099" s="24">
        <v>319.00729513300502</v>
      </c>
      <c r="H1099" t="s">
        <v>394</v>
      </c>
    </row>
    <row r="1100" spans="1:8" ht="15" customHeight="1" x14ac:dyDescent="0.3">
      <c r="A1100" t="s">
        <v>598</v>
      </c>
      <c r="B1100" t="s">
        <v>35</v>
      </c>
      <c r="C1100" t="s">
        <v>35</v>
      </c>
      <c r="D1100" t="s">
        <v>290</v>
      </c>
      <c r="E1100" s="48">
        <v>6434</v>
      </c>
      <c r="F1100" s="24">
        <v>8.6125079679536906E-2</v>
      </c>
      <c r="G1100" s="24">
        <v>554.12876265813998</v>
      </c>
      <c r="H1100" t="s">
        <v>394</v>
      </c>
    </row>
    <row r="1101" spans="1:8" ht="15" customHeight="1" x14ac:dyDescent="0.3">
      <c r="A1101" t="s">
        <v>598</v>
      </c>
      <c r="B1101" t="s">
        <v>35</v>
      </c>
      <c r="C1101" t="s">
        <v>35</v>
      </c>
      <c r="D1101" t="s">
        <v>285</v>
      </c>
      <c r="E1101" s="48">
        <v>4749</v>
      </c>
      <c r="F1101" s="24">
        <v>8.6125079679536906E-2</v>
      </c>
      <c r="G1101" s="24">
        <v>409.00800339812099</v>
      </c>
      <c r="H1101" t="s">
        <v>394</v>
      </c>
    </row>
    <row r="1102" spans="1:8" ht="15" customHeight="1" x14ac:dyDescent="0.3">
      <c r="A1102" t="s">
        <v>598</v>
      </c>
      <c r="B1102" t="s">
        <v>35</v>
      </c>
      <c r="C1102" t="s">
        <v>35</v>
      </c>
      <c r="D1102" t="s">
        <v>282</v>
      </c>
      <c r="E1102" s="48">
        <v>4795</v>
      </c>
      <c r="F1102" s="24">
        <v>8.6125079679536906E-2</v>
      </c>
      <c r="G1102" s="24">
        <v>412.96975706337997</v>
      </c>
      <c r="H1102" t="s">
        <v>394</v>
      </c>
    </row>
    <row r="1103" spans="1:8" ht="15" customHeight="1" x14ac:dyDescent="0.3">
      <c r="A1103" t="s">
        <v>625</v>
      </c>
      <c r="B1103" t="s">
        <v>35</v>
      </c>
      <c r="C1103" t="s">
        <v>35</v>
      </c>
      <c r="D1103" t="s">
        <v>287</v>
      </c>
      <c r="E1103" s="48">
        <v>6588</v>
      </c>
      <c r="F1103" s="24">
        <v>5.5610036180275997E-2</v>
      </c>
      <c r="G1103" s="24">
        <v>366.35891835565798</v>
      </c>
      <c r="H1103" t="s">
        <v>394</v>
      </c>
    </row>
    <row r="1104" spans="1:8" ht="15" customHeight="1" x14ac:dyDescent="0.3">
      <c r="A1104" t="s">
        <v>625</v>
      </c>
      <c r="B1104" t="s">
        <v>35</v>
      </c>
      <c r="C1104" t="s">
        <v>35</v>
      </c>
      <c r="D1104" t="s">
        <v>284</v>
      </c>
      <c r="E1104" s="48">
        <v>14689</v>
      </c>
      <c r="F1104" s="24">
        <v>5.5610036180275997E-2</v>
      </c>
      <c r="G1104" s="24">
        <v>816.855821452074</v>
      </c>
      <c r="H1104" t="s">
        <v>394</v>
      </c>
    </row>
    <row r="1105" spans="1:8" ht="15" customHeight="1" x14ac:dyDescent="0.3">
      <c r="A1105" t="s">
        <v>625</v>
      </c>
      <c r="B1105" t="s">
        <v>35</v>
      </c>
      <c r="C1105" t="s">
        <v>35</v>
      </c>
      <c r="D1105" t="s">
        <v>293</v>
      </c>
      <c r="E1105" s="48">
        <v>3765</v>
      </c>
      <c r="F1105" s="24">
        <v>5.5610036180275997E-2</v>
      </c>
      <c r="G1105" s="24">
        <v>209.371786218739</v>
      </c>
      <c r="H1105" t="s">
        <v>394</v>
      </c>
    </row>
    <row r="1106" spans="1:8" ht="15" customHeight="1" x14ac:dyDescent="0.3">
      <c r="A1106" t="s">
        <v>625</v>
      </c>
      <c r="B1106" t="s">
        <v>35</v>
      </c>
      <c r="C1106" t="s">
        <v>35</v>
      </c>
      <c r="D1106" t="s">
        <v>290</v>
      </c>
      <c r="E1106" s="48">
        <v>6568</v>
      </c>
      <c r="F1106" s="24">
        <v>5.5610036180275997E-2</v>
      </c>
      <c r="G1106" s="24">
        <v>365.24671763205299</v>
      </c>
      <c r="H1106" t="s">
        <v>394</v>
      </c>
    </row>
    <row r="1107" spans="1:8" ht="15" customHeight="1" x14ac:dyDescent="0.3">
      <c r="A1107" t="s">
        <v>625</v>
      </c>
      <c r="B1107" t="s">
        <v>35</v>
      </c>
      <c r="C1107" t="s">
        <v>35</v>
      </c>
      <c r="D1107" t="s">
        <v>285</v>
      </c>
      <c r="E1107" s="48">
        <v>4805</v>
      </c>
      <c r="F1107" s="24">
        <v>5.5610036180275997E-2</v>
      </c>
      <c r="G1107" s="24">
        <v>267.20622384622601</v>
      </c>
      <c r="H1107" t="s">
        <v>394</v>
      </c>
    </row>
    <row r="1108" spans="1:8" ht="15" customHeight="1" x14ac:dyDescent="0.3">
      <c r="A1108" t="s">
        <v>625</v>
      </c>
      <c r="B1108" t="s">
        <v>35</v>
      </c>
      <c r="C1108" t="s">
        <v>35</v>
      </c>
      <c r="D1108" t="s">
        <v>282</v>
      </c>
      <c r="E1108" s="48">
        <v>4806</v>
      </c>
      <c r="F1108" s="24">
        <v>5.5610036180275997E-2</v>
      </c>
      <c r="G1108" s="24">
        <v>267.26183388240599</v>
      </c>
      <c r="H1108" t="s">
        <v>394</v>
      </c>
    </row>
    <row r="1109" spans="1:8" ht="15" customHeight="1" x14ac:dyDescent="0.3">
      <c r="A1109" t="s">
        <v>588</v>
      </c>
      <c r="B1109" t="s">
        <v>568</v>
      </c>
      <c r="C1109" t="s">
        <v>569</v>
      </c>
      <c r="D1109" t="s">
        <v>287</v>
      </c>
      <c r="E1109" s="48">
        <v>6280</v>
      </c>
      <c r="F1109" s="24">
        <v>2.3557330047643901</v>
      </c>
      <c r="G1109" s="24">
        <v>14794.003269999999</v>
      </c>
      <c r="H1109" t="s">
        <v>394</v>
      </c>
    </row>
    <row r="1110" spans="1:8" ht="15" customHeight="1" x14ac:dyDescent="0.3">
      <c r="A1110" t="s">
        <v>588</v>
      </c>
      <c r="B1110" t="s">
        <v>568</v>
      </c>
      <c r="C1110" t="s">
        <v>569</v>
      </c>
      <c r="D1110" t="s">
        <v>284</v>
      </c>
      <c r="E1110" s="48">
        <v>14331</v>
      </c>
      <c r="F1110" s="24">
        <v>2.3557330047643901</v>
      </c>
      <c r="G1110" s="24">
        <v>33760.009690999999</v>
      </c>
      <c r="H1110" t="s">
        <v>394</v>
      </c>
    </row>
    <row r="1111" spans="1:8" ht="15" customHeight="1" x14ac:dyDescent="0.3">
      <c r="A1111" t="s">
        <v>588</v>
      </c>
      <c r="B1111" t="s">
        <v>568</v>
      </c>
      <c r="C1111" t="s">
        <v>569</v>
      </c>
      <c r="D1111" t="s">
        <v>293</v>
      </c>
      <c r="E1111" s="48">
        <v>3650</v>
      </c>
      <c r="F1111" s="24">
        <v>2.3557330047643901</v>
      </c>
      <c r="G1111" s="24">
        <v>8598.4254669999991</v>
      </c>
      <c r="H1111" t="s">
        <v>394</v>
      </c>
    </row>
    <row r="1112" spans="1:8" ht="15" customHeight="1" x14ac:dyDescent="0.3">
      <c r="A1112" t="s">
        <v>588</v>
      </c>
      <c r="B1112" t="s">
        <v>568</v>
      </c>
      <c r="C1112" t="s">
        <v>569</v>
      </c>
      <c r="D1112" t="s">
        <v>290</v>
      </c>
      <c r="E1112" s="48">
        <v>6396</v>
      </c>
      <c r="F1112" s="24">
        <v>2.3557330047643901</v>
      </c>
      <c r="G1112" s="24">
        <v>15067.268298000001</v>
      </c>
      <c r="H1112" t="s">
        <v>394</v>
      </c>
    </row>
    <row r="1113" spans="1:8" ht="15" customHeight="1" x14ac:dyDescent="0.3">
      <c r="A1113" t="s">
        <v>588</v>
      </c>
      <c r="B1113" t="s">
        <v>568</v>
      </c>
      <c r="C1113" t="s">
        <v>569</v>
      </c>
      <c r="D1113" t="s">
        <v>285</v>
      </c>
      <c r="E1113" s="48">
        <v>4730</v>
      </c>
      <c r="F1113" s="24">
        <v>2.3557330047643901</v>
      </c>
      <c r="G1113" s="24">
        <v>11142.617113</v>
      </c>
      <c r="H1113" t="s">
        <v>394</v>
      </c>
    </row>
    <row r="1114" spans="1:8" ht="15" customHeight="1" x14ac:dyDescent="0.3">
      <c r="A1114" t="s">
        <v>588</v>
      </c>
      <c r="B1114" t="s">
        <v>568</v>
      </c>
      <c r="C1114" t="s">
        <v>569</v>
      </c>
      <c r="D1114" t="s">
        <v>282</v>
      </c>
      <c r="E1114" s="48">
        <v>4782</v>
      </c>
      <c r="F1114" s="24">
        <v>2.3557330047643901</v>
      </c>
      <c r="G1114" s="24">
        <v>11265.115229000001</v>
      </c>
      <c r="H1114" t="s">
        <v>394</v>
      </c>
    </row>
    <row r="1115" spans="1:8" ht="15" customHeight="1" x14ac:dyDescent="0.3">
      <c r="A1115" t="s">
        <v>598</v>
      </c>
      <c r="B1115" t="s">
        <v>568</v>
      </c>
      <c r="C1115" t="s">
        <v>569</v>
      </c>
      <c r="D1115" t="s">
        <v>287</v>
      </c>
      <c r="E1115" s="48">
        <v>6445</v>
      </c>
      <c r="F1115" s="24">
        <v>2.99991610765306</v>
      </c>
      <c r="G1115" s="24">
        <v>19334.459314</v>
      </c>
      <c r="H1115" t="s">
        <v>394</v>
      </c>
    </row>
    <row r="1116" spans="1:8" ht="15" customHeight="1" x14ac:dyDescent="0.3">
      <c r="A1116" t="s">
        <v>598</v>
      </c>
      <c r="B1116" t="s">
        <v>568</v>
      </c>
      <c r="C1116" t="s">
        <v>569</v>
      </c>
      <c r="D1116" t="s">
        <v>284</v>
      </c>
      <c r="E1116" s="48">
        <v>14441</v>
      </c>
      <c r="F1116" s="24">
        <v>2.99991610765306</v>
      </c>
      <c r="G1116" s="24">
        <v>43321.788510999999</v>
      </c>
      <c r="H1116" t="s">
        <v>394</v>
      </c>
    </row>
    <row r="1117" spans="1:8" ht="15" customHeight="1" x14ac:dyDescent="0.3">
      <c r="A1117" t="s">
        <v>598</v>
      </c>
      <c r="B1117" t="s">
        <v>568</v>
      </c>
      <c r="C1117" t="s">
        <v>569</v>
      </c>
      <c r="D1117" t="s">
        <v>293</v>
      </c>
      <c r="E1117" s="48">
        <v>3704</v>
      </c>
      <c r="F1117" s="24">
        <v>2.99991610765306</v>
      </c>
      <c r="G1117" s="24">
        <v>11111.689263</v>
      </c>
      <c r="H1117" t="s">
        <v>394</v>
      </c>
    </row>
    <row r="1118" spans="1:8" ht="15" customHeight="1" x14ac:dyDescent="0.3">
      <c r="A1118" t="s">
        <v>598</v>
      </c>
      <c r="B1118" t="s">
        <v>568</v>
      </c>
      <c r="C1118" t="s">
        <v>569</v>
      </c>
      <c r="D1118" t="s">
        <v>290</v>
      </c>
      <c r="E1118" s="48">
        <v>6434</v>
      </c>
      <c r="F1118" s="24">
        <v>2.99991610765306</v>
      </c>
      <c r="G1118" s="24">
        <v>19301.460236999999</v>
      </c>
      <c r="H1118" t="s">
        <v>394</v>
      </c>
    </row>
    <row r="1119" spans="1:8" ht="15" customHeight="1" x14ac:dyDescent="0.3">
      <c r="A1119" t="s">
        <v>598</v>
      </c>
      <c r="B1119" t="s">
        <v>568</v>
      </c>
      <c r="C1119" t="s">
        <v>569</v>
      </c>
      <c r="D1119" t="s">
        <v>285</v>
      </c>
      <c r="E1119" s="48">
        <v>4749</v>
      </c>
      <c r="F1119" s="24">
        <v>2.99991610765306</v>
      </c>
      <c r="G1119" s="24">
        <v>14246.601595</v>
      </c>
      <c r="H1119" t="s">
        <v>394</v>
      </c>
    </row>
    <row r="1120" spans="1:8" ht="15" customHeight="1" x14ac:dyDescent="0.3">
      <c r="A1120" t="s">
        <v>598</v>
      </c>
      <c r="B1120" t="s">
        <v>568</v>
      </c>
      <c r="C1120" t="s">
        <v>569</v>
      </c>
      <c r="D1120" t="s">
        <v>282</v>
      </c>
      <c r="E1120" s="48">
        <v>4795</v>
      </c>
      <c r="F1120" s="24">
        <v>2.99991610765306</v>
      </c>
      <c r="G1120" s="24">
        <v>14384.597736</v>
      </c>
      <c r="H1120" t="s">
        <v>394</v>
      </c>
    </row>
    <row r="1121" spans="1:8" ht="15" customHeight="1" x14ac:dyDescent="0.3">
      <c r="A1121" t="s">
        <v>625</v>
      </c>
      <c r="B1121" t="s">
        <v>568</v>
      </c>
      <c r="C1121" t="s">
        <v>569</v>
      </c>
      <c r="D1121" t="s">
        <v>287</v>
      </c>
      <c r="E1121" s="48">
        <v>6588</v>
      </c>
      <c r="F1121" s="24">
        <v>3.1825302683130601</v>
      </c>
      <c r="G1121" s="24">
        <v>20966.509408000002</v>
      </c>
      <c r="H1121" t="s">
        <v>394</v>
      </c>
    </row>
    <row r="1122" spans="1:8" ht="15" customHeight="1" x14ac:dyDescent="0.3">
      <c r="A1122" t="s">
        <v>625</v>
      </c>
      <c r="B1122" t="s">
        <v>568</v>
      </c>
      <c r="C1122" t="s">
        <v>569</v>
      </c>
      <c r="D1122" t="s">
        <v>284</v>
      </c>
      <c r="E1122" s="48">
        <v>14689</v>
      </c>
      <c r="F1122" s="24">
        <v>3.1825302683130601</v>
      </c>
      <c r="G1122" s="24">
        <v>46748.187110999999</v>
      </c>
      <c r="H1122" t="s">
        <v>394</v>
      </c>
    </row>
    <row r="1123" spans="1:8" ht="15" customHeight="1" x14ac:dyDescent="0.3">
      <c r="A1123" t="s">
        <v>625</v>
      </c>
      <c r="B1123" t="s">
        <v>568</v>
      </c>
      <c r="C1123" t="s">
        <v>569</v>
      </c>
      <c r="D1123" t="s">
        <v>293</v>
      </c>
      <c r="E1123" s="48">
        <v>3765</v>
      </c>
      <c r="F1123" s="24">
        <v>3.1825302683130601</v>
      </c>
      <c r="G1123" s="24">
        <v>11982.22646</v>
      </c>
      <c r="H1123" t="s">
        <v>394</v>
      </c>
    </row>
    <row r="1124" spans="1:8" ht="15" customHeight="1" x14ac:dyDescent="0.3">
      <c r="A1124" t="s">
        <v>625</v>
      </c>
      <c r="B1124" t="s">
        <v>568</v>
      </c>
      <c r="C1124" t="s">
        <v>569</v>
      </c>
      <c r="D1124" t="s">
        <v>290</v>
      </c>
      <c r="E1124" s="48">
        <v>6568</v>
      </c>
      <c r="F1124" s="24">
        <v>3.1825302683130601</v>
      </c>
      <c r="G1124" s="24">
        <v>20902.858801999999</v>
      </c>
      <c r="H1124" t="s">
        <v>394</v>
      </c>
    </row>
    <row r="1125" spans="1:8" ht="15" customHeight="1" x14ac:dyDescent="0.3">
      <c r="A1125" t="s">
        <v>625</v>
      </c>
      <c r="B1125" t="s">
        <v>568</v>
      </c>
      <c r="C1125" t="s">
        <v>569</v>
      </c>
      <c r="D1125" t="s">
        <v>285</v>
      </c>
      <c r="E1125" s="48">
        <v>4805</v>
      </c>
      <c r="F1125" s="24">
        <v>3.1825302683130601</v>
      </c>
      <c r="G1125" s="24">
        <v>15292.057939</v>
      </c>
      <c r="H1125" t="s">
        <v>394</v>
      </c>
    </row>
    <row r="1126" spans="1:8" ht="15" customHeight="1" x14ac:dyDescent="0.3">
      <c r="A1126" t="s">
        <v>625</v>
      </c>
      <c r="B1126" t="s">
        <v>568</v>
      </c>
      <c r="C1126" t="s">
        <v>569</v>
      </c>
      <c r="D1126" t="s">
        <v>282</v>
      </c>
      <c r="E1126" s="48">
        <v>4806</v>
      </c>
      <c r="F1126" s="24">
        <v>3.1825302683130601</v>
      </c>
      <c r="G1126" s="24">
        <v>15295.240470000001</v>
      </c>
      <c r="H1126" t="s">
        <v>394</v>
      </c>
    </row>
    <row r="1127" spans="1:8" ht="15" customHeight="1" x14ac:dyDescent="0.3">
      <c r="A1127" t="s">
        <v>588</v>
      </c>
      <c r="B1127" t="s">
        <v>141</v>
      </c>
      <c r="C1127" t="s">
        <v>472</v>
      </c>
      <c r="D1127" t="s">
        <v>287</v>
      </c>
      <c r="E1127" s="48">
        <v>6280</v>
      </c>
      <c r="F1127" s="24">
        <v>9.5922582803263504E-2</v>
      </c>
      <c r="G1127" s="24">
        <v>602.39382000000001</v>
      </c>
      <c r="H1127" t="s">
        <v>394</v>
      </c>
    </row>
    <row r="1128" spans="1:8" ht="15" customHeight="1" x14ac:dyDescent="0.3">
      <c r="A1128" t="s">
        <v>588</v>
      </c>
      <c r="B1128" t="s">
        <v>141</v>
      </c>
      <c r="C1128" t="s">
        <v>472</v>
      </c>
      <c r="D1128" t="s">
        <v>284</v>
      </c>
      <c r="E1128" s="48">
        <v>14331</v>
      </c>
      <c r="F1128" s="24">
        <v>9.5922582803263504E-2</v>
      </c>
      <c r="G1128" s="24">
        <v>1374.666534</v>
      </c>
      <c r="H1128" t="s">
        <v>394</v>
      </c>
    </row>
    <row r="1129" spans="1:8" ht="15" customHeight="1" x14ac:dyDescent="0.3">
      <c r="A1129" t="s">
        <v>588</v>
      </c>
      <c r="B1129" t="s">
        <v>141</v>
      </c>
      <c r="C1129" t="s">
        <v>472</v>
      </c>
      <c r="D1129" t="s">
        <v>293</v>
      </c>
      <c r="E1129" s="48">
        <v>3650</v>
      </c>
      <c r="F1129" s="24">
        <v>9.5922582803263504E-2</v>
      </c>
      <c r="G1129" s="24">
        <v>350.11742700000002</v>
      </c>
      <c r="H1129" t="s">
        <v>394</v>
      </c>
    </row>
    <row r="1130" spans="1:8" ht="15" customHeight="1" x14ac:dyDescent="0.3">
      <c r="A1130" t="s">
        <v>588</v>
      </c>
      <c r="B1130" t="s">
        <v>141</v>
      </c>
      <c r="C1130" t="s">
        <v>472</v>
      </c>
      <c r="D1130" t="s">
        <v>290</v>
      </c>
      <c r="E1130" s="48">
        <v>6396</v>
      </c>
      <c r="F1130" s="24">
        <v>9.5922582803263504E-2</v>
      </c>
      <c r="G1130" s="24">
        <v>613.52084000000002</v>
      </c>
      <c r="H1130" t="s">
        <v>394</v>
      </c>
    </row>
    <row r="1131" spans="1:8" ht="15" customHeight="1" x14ac:dyDescent="0.3">
      <c r="A1131" t="s">
        <v>588</v>
      </c>
      <c r="B1131" t="s">
        <v>141</v>
      </c>
      <c r="C1131" t="s">
        <v>472</v>
      </c>
      <c r="D1131" t="s">
        <v>285</v>
      </c>
      <c r="E1131" s="48">
        <v>4730</v>
      </c>
      <c r="F1131" s="24">
        <v>9.5922582803263504E-2</v>
      </c>
      <c r="G1131" s="24">
        <v>453.71381700000001</v>
      </c>
      <c r="H1131" t="s">
        <v>394</v>
      </c>
    </row>
    <row r="1132" spans="1:8" ht="15" customHeight="1" x14ac:dyDescent="0.3">
      <c r="A1132" t="s">
        <v>588</v>
      </c>
      <c r="B1132" t="s">
        <v>141</v>
      </c>
      <c r="C1132" t="s">
        <v>472</v>
      </c>
      <c r="D1132" t="s">
        <v>282</v>
      </c>
      <c r="E1132" s="48">
        <v>4782</v>
      </c>
      <c r="F1132" s="24">
        <v>9.5922582803263504E-2</v>
      </c>
      <c r="G1132" s="24">
        <v>458.70179100000001</v>
      </c>
      <c r="H1132" t="s">
        <v>394</v>
      </c>
    </row>
    <row r="1133" spans="1:8" ht="15" customHeight="1" x14ac:dyDescent="0.3">
      <c r="A1133" t="s">
        <v>598</v>
      </c>
      <c r="B1133" t="s">
        <v>141</v>
      </c>
      <c r="C1133" t="s">
        <v>472</v>
      </c>
      <c r="D1133" t="s">
        <v>287</v>
      </c>
      <c r="E1133" s="48">
        <v>6445</v>
      </c>
      <c r="F1133" s="24">
        <v>0.105895207936646</v>
      </c>
      <c r="G1133" s="24">
        <v>682.49461499999995</v>
      </c>
      <c r="H1133" t="s">
        <v>394</v>
      </c>
    </row>
    <row r="1134" spans="1:8" ht="15" customHeight="1" x14ac:dyDescent="0.3">
      <c r="A1134" t="s">
        <v>598</v>
      </c>
      <c r="B1134" t="s">
        <v>141</v>
      </c>
      <c r="C1134" t="s">
        <v>472</v>
      </c>
      <c r="D1134" t="s">
        <v>284</v>
      </c>
      <c r="E1134" s="48">
        <v>14441</v>
      </c>
      <c r="F1134" s="24">
        <v>0.105895207936646</v>
      </c>
      <c r="G1134" s="24">
        <v>1529.232698</v>
      </c>
      <c r="H1134" t="s">
        <v>394</v>
      </c>
    </row>
    <row r="1135" spans="1:8" ht="15" customHeight="1" x14ac:dyDescent="0.3">
      <c r="A1135" t="s">
        <v>598</v>
      </c>
      <c r="B1135" t="s">
        <v>141</v>
      </c>
      <c r="C1135" t="s">
        <v>472</v>
      </c>
      <c r="D1135" t="s">
        <v>293</v>
      </c>
      <c r="E1135" s="48">
        <v>3704</v>
      </c>
      <c r="F1135" s="24">
        <v>0.105895207936646</v>
      </c>
      <c r="G1135" s="24">
        <v>392.23585000000003</v>
      </c>
      <c r="H1135" t="s">
        <v>394</v>
      </c>
    </row>
    <row r="1136" spans="1:8" ht="15" customHeight="1" x14ac:dyDescent="0.3">
      <c r="A1136" t="s">
        <v>598</v>
      </c>
      <c r="B1136" t="s">
        <v>141</v>
      </c>
      <c r="C1136" t="s">
        <v>472</v>
      </c>
      <c r="D1136" t="s">
        <v>290</v>
      </c>
      <c r="E1136" s="48">
        <v>6434</v>
      </c>
      <c r="F1136" s="24">
        <v>0.105895207936646</v>
      </c>
      <c r="G1136" s="24">
        <v>681.32976799999994</v>
      </c>
      <c r="H1136" t="s">
        <v>394</v>
      </c>
    </row>
    <row r="1137" spans="1:8" ht="15" customHeight="1" x14ac:dyDescent="0.3">
      <c r="A1137" t="s">
        <v>598</v>
      </c>
      <c r="B1137" t="s">
        <v>141</v>
      </c>
      <c r="C1137" t="s">
        <v>472</v>
      </c>
      <c r="D1137" t="s">
        <v>285</v>
      </c>
      <c r="E1137" s="48">
        <v>4749</v>
      </c>
      <c r="F1137" s="24">
        <v>0.105895207936646</v>
      </c>
      <c r="G1137" s="24">
        <v>502.896342</v>
      </c>
      <c r="H1137" t="s">
        <v>394</v>
      </c>
    </row>
    <row r="1138" spans="1:8" ht="15" customHeight="1" x14ac:dyDescent="0.3">
      <c r="A1138" t="s">
        <v>598</v>
      </c>
      <c r="B1138" t="s">
        <v>141</v>
      </c>
      <c r="C1138" t="s">
        <v>472</v>
      </c>
      <c r="D1138" t="s">
        <v>282</v>
      </c>
      <c r="E1138" s="48">
        <v>4795</v>
      </c>
      <c r="F1138" s="24">
        <v>0.105895207936646</v>
      </c>
      <c r="G1138" s="24">
        <v>507.76752199999999</v>
      </c>
      <c r="H1138" t="s">
        <v>394</v>
      </c>
    </row>
    <row r="1139" spans="1:8" ht="15" customHeight="1" x14ac:dyDescent="0.3">
      <c r="A1139" t="s">
        <v>625</v>
      </c>
      <c r="B1139" t="s">
        <v>141</v>
      </c>
      <c r="C1139" t="s">
        <v>472</v>
      </c>
      <c r="D1139" t="s">
        <v>287</v>
      </c>
      <c r="E1139" s="48">
        <v>6588</v>
      </c>
      <c r="F1139" s="24">
        <v>0.101057218436555</v>
      </c>
      <c r="G1139" s="24">
        <v>665.76495499999999</v>
      </c>
      <c r="H1139" t="s">
        <v>394</v>
      </c>
    </row>
    <row r="1140" spans="1:8" ht="15" customHeight="1" x14ac:dyDescent="0.3">
      <c r="A1140" t="s">
        <v>625</v>
      </c>
      <c r="B1140" t="s">
        <v>141</v>
      </c>
      <c r="C1140" t="s">
        <v>472</v>
      </c>
      <c r="D1140" t="s">
        <v>284</v>
      </c>
      <c r="E1140" s="48">
        <v>14689</v>
      </c>
      <c r="F1140" s="24">
        <v>0.101057218436555</v>
      </c>
      <c r="G1140" s="24">
        <v>1484.429482</v>
      </c>
      <c r="H1140" t="s">
        <v>394</v>
      </c>
    </row>
    <row r="1141" spans="1:8" ht="15" customHeight="1" x14ac:dyDescent="0.3">
      <c r="A1141" t="s">
        <v>625</v>
      </c>
      <c r="B1141" t="s">
        <v>141</v>
      </c>
      <c r="C1141" t="s">
        <v>472</v>
      </c>
      <c r="D1141" t="s">
        <v>293</v>
      </c>
      <c r="E1141" s="48">
        <v>3765</v>
      </c>
      <c r="F1141" s="24">
        <v>0.101057218436555</v>
      </c>
      <c r="G1141" s="24">
        <v>380.48042700000002</v>
      </c>
      <c r="H1141" t="s">
        <v>394</v>
      </c>
    </row>
    <row r="1142" spans="1:8" ht="15" customHeight="1" x14ac:dyDescent="0.3">
      <c r="A1142" t="s">
        <v>625</v>
      </c>
      <c r="B1142" t="s">
        <v>141</v>
      </c>
      <c r="C1142" t="s">
        <v>472</v>
      </c>
      <c r="D1142" t="s">
        <v>290</v>
      </c>
      <c r="E1142" s="48">
        <v>6568</v>
      </c>
      <c r="F1142" s="24">
        <v>0.101057218436555</v>
      </c>
      <c r="G1142" s="24">
        <v>663.74381100000005</v>
      </c>
      <c r="H1142" t="s">
        <v>394</v>
      </c>
    </row>
    <row r="1143" spans="1:8" ht="15" customHeight="1" x14ac:dyDescent="0.3">
      <c r="A1143" t="s">
        <v>625</v>
      </c>
      <c r="B1143" t="s">
        <v>141</v>
      </c>
      <c r="C1143" t="s">
        <v>472</v>
      </c>
      <c r="D1143" t="s">
        <v>285</v>
      </c>
      <c r="E1143" s="48">
        <v>4805</v>
      </c>
      <c r="F1143" s="24">
        <v>0.101057218436555</v>
      </c>
      <c r="G1143" s="24">
        <v>485.57993499999998</v>
      </c>
      <c r="H1143" t="s">
        <v>394</v>
      </c>
    </row>
    <row r="1144" spans="1:8" ht="15" customHeight="1" x14ac:dyDescent="0.3">
      <c r="A1144" t="s">
        <v>625</v>
      </c>
      <c r="B1144" t="s">
        <v>141</v>
      </c>
      <c r="C1144" t="s">
        <v>472</v>
      </c>
      <c r="D1144" t="s">
        <v>282</v>
      </c>
      <c r="E1144" s="48">
        <v>4806</v>
      </c>
      <c r="F1144" s="24">
        <v>0.101057218436555</v>
      </c>
      <c r="G1144" s="24">
        <v>485.680992</v>
      </c>
      <c r="H1144" t="s">
        <v>394</v>
      </c>
    </row>
    <row r="1145" spans="1:8" ht="15" customHeight="1" x14ac:dyDescent="0.3">
      <c r="A1145" t="s">
        <v>588</v>
      </c>
      <c r="B1145" t="s">
        <v>40</v>
      </c>
      <c r="C1145" t="s">
        <v>40</v>
      </c>
      <c r="D1145" t="s">
        <v>287</v>
      </c>
      <c r="E1145" s="48">
        <v>6280</v>
      </c>
      <c r="F1145" s="24">
        <v>0.14296612373057599</v>
      </c>
      <c r="G1145" s="24">
        <v>897.82725700000003</v>
      </c>
      <c r="H1145" t="s">
        <v>394</v>
      </c>
    </row>
    <row r="1146" spans="1:8" ht="15" customHeight="1" x14ac:dyDescent="0.3">
      <c r="A1146" t="s">
        <v>588</v>
      </c>
      <c r="B1146" t="s">
        <v>40</v>
      </c>
      <c r="C1146" t="s">
        <v>40</v>
      </c>
      <c r="D1146" t="s">
        <v>284</v>
      </c>
      <c r="E1146" s="48">
        <v>14331</v>
      </c>
      <c r="F1146" s="24">
        <v>0.14296612373057599</v>
      </c>
      <c r="G1146" s="24">
        <v>2048.8475189999999</v>
      </c>
      <c r="H1146" t="s">
        <v>394</v>
      </c>
    </row>
    <row r="1147" spans="1:8" ht="15" customHeight="1" x14ac:dyDescent="0.3">
      <c r="A1147" t="s">
        <v>588</v>
      </c>
      <c r="B1147" t="s">
        <v>40</v>
      </c>
      <c r="C1147" t="s">
        <v>40</v>
      </c>
      <c r="D1147" t="s">
        <v>293</v>
      </c>
      <c r="E1147" s="48">
        <v>3650</v>
      </c>
      <c r="F1147" s="24">
        <v>0.14296612373057599</v>
      </c>
      <c r="G1147" s="24">
        <v>521.82635200000004</v>
      </c>
      <c r="H1147" t="s">
        <v>394</v>
      </c>
    </row>
    <row r="1148" spans="1:8" ht="15" customHeight="1" x14ac:dyDescent="0.3">
      <c r="A1148" t="s">
        <v>588</v>
      </c>
      <c r="B1148" t="s">
        <v>40</v>
      </c>
      <c r="C1148" t="s">
        <v>40</v>
      </c>
      <c r="D1148" t="s">
        <v>290</v>
      </c>
      <c r="E1148" s="48">
        <v>6396</v>
      </c>
      <c r="F1148" s="24">
        <v>0.14296612373057599</v>
      </c>
      <c r="G1148" s="24">
        <v>914.41132700000003</v>
      </c>
      <c r="H1148" t="s">
        <v>394</v>
      </c>
    </row>
    <row r="1149" spans="1:8" ht="15" customHeight="1" x14ac:dyDescent="0.3">
      <c r="A1149" t="s">
        <v>588</v>
      </c>
      <c r="B1149" t="s">
        <v>40</v>
      </c>
      <c r="C1149" t="s">
        <v>40</v>
      </c>
      <c r="D1149" t="s">
        <v>285</v>
      </c>
      <c r="E1149" s="48">
        <v>4730</v>
      </c>
      <c r="F1149" s="24">
        <v>0.14296612373057599</v>
      </c>
      <c r="G1149" s="24">
        <v>676.22976500000004</v>
      </c>
      <c r="H1149" t="s">
        <v>394</v>
      </c>
    </row>
    <row r="1150" spans="1:8" ht="15" customHeight="1" x14ac:dyDescent="0.3">
      <c r="A1150" t="s">
        <v>588</v>
      </c>
      <c r="B1150" t="s">
        <v>40</v>
      </c>
      <c r="C1150" t="s">
        <v>40</v>
      </c>
      <c r="D1150" t="s">
        <v>282</v>
      </c>
      <c r="E1150" s="48">
        <v>4782</v>
      </c>
      <c r="F1150" s="24">
        <v>0.14296612373057599</v>
      </c>
      <c r="G1150" s="24">
        <v>683.66400399999998</v>
      </c>
      <c r="H1150" t="s">
        <v>394</v>
      </c>
    </row>
    <row r="1151" spans="1:8" ht="15" customHeight="1" x14ac:dyDescent="0.3">
      <c r="A1151" t="s">
        <v>598</v>
      </c>
      <c r="B1151" t="s">
        <v>40</v>
      </c>
      <c r="C1151" t="s">
        <v>40</v>
      </c>
      <c r="D1151" t="s">
        <v>287</v>
      </c>
      <c r="E1151" s="48">
        <v>6445</v>
      </c>
      <c r="F1151" s="24">
        <v>0.19364177494700899</v>
      </c>
      <c r="G1151" s="24">
        <v>1248.02124</v>
      </c>
      <c r="H1151" t="s">
        <v>394</v>
      </c>
    </row>
    <row r="1152" spans="1:8" ht="15" customHeight="1" x14ac:dyDescent="0.3">
      <c r="A1152" t="s">
        <v>598</v>
      </c>
      <c r="B1152" t="s">
        <v>40</v>
      </c>
      <c r="C1152" t="s">
        <v>40</v>
      </c>
      <c r="D1152" t="s">
        <v>284</v>
      </c>
      <c r="E1152" s="48">
        <v>14441</v>
      </c>
      <c r="F1152" s="24">
        <v>0.19364177494700899</v>
      </c>
      <c r="G1152" s="24">
        <v>2796.3808720000002</v>
      </c>
      <c r="H1152" t="s">
        <v>394</v>
      </c>
    </row>
    <row r="1153" spans="1:8" ht="15" customHeight="1" x14ac:dyDescent="0.3">
      <c r="A1153" t="s">
        <v>598</v>
      </c>
      <c r="B1153" t="s">
        <v>40</v>
      </c>
      <c r="C1153" t="s">
        <v>40</v>
      </c>
      <c r="D1153" t="s">
        <v>293</v>
      </c>
      <c r="E1153" s="48">
        <v>3704</v>
      </c>
      <c r="F1153" s="24">
        <v>0.19364177494700899</v>
      </c>
      <c r="G1153" s="24">
        <v>717.24913400000003</v>
      </c>
      <c r="H1153" t="s">
        <v>394</v>
      </c>
    </row>
    <row r="1154" spans="1:8" ht="15" customHeight="1" x14ac:dyDescent="0.3">
      <c r="A1154" t="s">
        <v>598</v>
      </c>
      <c r="B1154" t="s">
        <v>40</v>
      </c>
      <c r="C1154" t="s">
        <v>40</v>
      </c>
      <c r="D1154" t="s">
        <v>290</v>
      </c>
      <c r="E1154" s="48">
        <v>6434</v>
      </c>
      <c r="F1154" s="24">
        <v>0.19364177494700899</v>
      </c>
      <c r="G1154" s="24">
        <v>1245.8911800000001</v>
      </c>
      <c r="H1154" t="s">
        <v>394</v>
      </c>
    </row>
    <row r="1155" spans="1:8" ht="15" customHeight="1" x14ac:dyDescent="0.3">
      <c r="A1155" t="s">
        <v>598</v>
      </c>
      <c r="B1155" t="s">
        <v>40</v>
      </c>
      <c r="C1155" t="s">
        <v>40</v>
      </c>
      <c r="D1155" t="s">
        <v>285</v>
      </c>
      <c r="E1155" s="48">
        <v>4749</v>
      </c>
      <c r="F1155" s="24">
        <v>0.19364177494700899</v>
      </c>
      <c r="G1155" s="24">
        <v>919.60478899999998</v>
      </c>
      <c r="H1155" t="s">
        <v>394</v>
      </c>
    </row>
    <row r="1156" spans="1:8" ht="15" customHeight="1" x14ac:dyDescent="0.3">
      <c r="A1156" t="s">
        <v>598</v>
      </c>
      <c r="B1156" t="s">
        <v>40</v>
      </c>
      <c r="C1156" t="s">
        <v>40</v>
      </c>
      <c r="D1156" t="s">
        <v>282</v>
      </c>
      <c r="E1156" s="48">
        <v>4795</v>
      </c>
      <c r="F1156" s="24">
        <v>0.19364177494700899</v>
      </c>
      <c r="G1156" s="24">
        <v>928.51231099999995</v>
      </c>
      <c r="H1156" t="s">
        <v>394</v>
      </c>
    </row>
    <row r="1157" spans="1:8" ht="15" customHeight="1" x14ac:dyDescent="0.3">
      <c r="A1157" t="s">
        <v>625</v>
      </c>
      <c r="B1157" t="s">
        <v>40</v>
      </c>
      <c r="C1157" t="s">
        <v>40</v>
      </c>
      <c r="D1157" t="s">
        <v>287</v>
      </c>
      <c r="E1157" s="48">
        <v>6588</v>
      </c>
      <c r="F1157" s="24">
        <v>0.18235845849194299</v>
      </c>
      <c r="G1157" s="24">
        <v>1201.3775250000001</v>
      </c>
      <c r="H1157" t="s">
        <v>394</v>
      </c>
    </row>
    <row r="1158" spans="1:8" ht="15" customHeight="1" x14ac:dyDescent="0.3">
      <c r="A1158" t="s">
        <v>625</v>
      </c>
      <c r="B1158" t="s">
        <v>40</v>
      </c>
      <c r="C1158" t="s">
        <v>40</v>
      </c>
      <c r="D1158" t="s">
        <v>284</v>
      </c>
      <c r="E1158" s="48">
        <v>14689</v>
      </c>
      <c r="F1158" s="24">
        <v>0.18235845849194299</v>
      </c>
      <c r="G1158" s="24">
        <v>2678.6633969999998</v>
      </c>
      <c r="H1158" t="s">
        <v>394</v>
      </c>
    </row>
    <row r="1159" spans="1:8" ht="15" customHeight="1" x14ac:dyDescent="0.3">
      <c r="A1159" t="s">
        <v>625</v>
      </c>
      <c r="B1159" t="s">
        <v>40</v>
      </c>
      <c r="C1159" t="s">
        <v>40</v>
      </c>
      <c r="D1159" t="s">
        <v>293</v>
      </c>
      <c r="E1159" s="48">
        <v>3765</v>
      </c>
      <c r="F1159" s="24">
        <v>0.18235845849194299</v>
      </c>
      <c r="G1159" s="24">
        <v>686.57959600000004</v>
      </c>
      <c r="H1159" t="s">
        <v>394</v>
      </c>
    </row>
    <row r="1160" spans="1:8" ht="15" customHeight="1" x14ac:dyDescent="0.3">
      <c r="A1160" t="s">
        <v>625</v>
      </c>
      <c r="B1160" t="s">
        <v>40</v>
      </c>
      <c r="C1160" t="s">
        <v>40</v>
      </c>
      <c r="D1160" t="s">
        <v>290</v>
      </c>
      <c r="E1160" s="48">
        <v>6568</v>
      </c>
      <c r="F1160" s="24">
        <v>0.18235845849194299</v>
      </c>
      <c r="G1160" s="24">
        <v>1197.7303549999999</v>
      </c>
      <c r="H1160" t="s">
        <v>394</v>
      </c>
    </row>
    <row r="1161" spans="1:8" ht="15" customHeight="1" x14ac:dyDescent="0.3">
      <c r="A1161" t="s">
        <v>625</v>
      </c>
      <c r="B1161" t="s">
        <v>40</v>
      </c>
      <c r="C1161" t="s">
        <v>40</v>
      </c>
      <c r="D1161" t="s">
        <v>285</v>
      </c>
      <c r="E1161" s="48">
        <v>4805</v>
      </c>
      <c r="F1161" s="24">
        <v>0.18235845849194299</v>
      </c>
      <c r="G1161" s="24">
        <v>876.232393</v>
      </c>
      <c r="H1161" t="s">
        <v>394</v>
      </c>
    </row>
    <row r="1162" spans="1:8" ht="15" customHeight="1" x14ac:dyDescent="0.3">
      <c r="A1162" t="s">
        <v>625</v>
      </c>
      <c r="B1162" t="s">
        <v>40</v>
      </c>
      <c r="C1162" t="s">
        <v>40</v>
      </c>
      <c r="D1162" t="s">
        <v>282</v>
      </c>
      <c r="E1162" s="48">
        <v>4806</v>
      </c>
      <c r="F1162" s="24">
        <v>0.18235845849194299</v>
      </c>
      <c r="G1162" s="24">
        <v>876.41475200000002</v>
      </c>
      <c r="H1162" t="s">
        <v>394</v>
      </c>
    </row>
    <row r="1163" spans="1:8" ht="15" customHeight="1" x14ac:dyDescent="0.3">
      <c r="A1163" t="s">
        <v>588</v>
      </c>
      <c r="B1163" t="s">
        <v>87</v>
      </c>
      <c r="C1163" t="s">
        <v>644</v>
      </c>
      <c r="D1163" t="s">
        <v>287</v>
      </c>
      <c r="E1163" s="48">
        <v>6280</v>
      </c>
      <c r="F1163" s="24">
        <v>0.14883017799892301</v>
      </c>
      <c r="G1163" s="24">
        <v>934.65351799999996</v>
      </c>
      <c r="H1163" t="s">
        <v>394</v>
      </c>
    </row>
    <row r="1164" spans="1:8" ht="15" customHeight="1" x14ac:dyDescent="0.3">
      <c r="A1164" t="s">
        <v>588</v>
      </c>
      <c r="B1164" t="s">
        <v>87</v>
      </c>
      <c r="C1164" t="s">
        <v>644</v>
      </c>
      <c r="D1164" t="s">
        <v>284</v>
      </c>
      <c r="E1164" s="48">
        <v>14331</v>
      </c>
      <c r="F1164" s="24">
        <v>0.14883017799892301</v>
      </c>
      <c r="G1164" s="24">
        <v>2132.8852809999998</v>
      </c>
      <c r="H1164" t="s">
        <v>394</v>
      </c>
    </row>
    <row r="1165" spans="1:8" ht="15" customHeight="1" x14ac:dyDescent="0.3">
      <c r="A1165" t="s">
        <v>588</v>
      </c>
      <c r="B1165" t="s">
        <v>87</v>
      </c>
      <c r="C1165" t="s">
        <v>644</v>
      </c>
      <c r="D1165" t="s">
        <v>293</v>
      </c>
      <c r="E1165" s="48">
        <v>3650</v>
      </c>
      <c r="F1165" s="24">
        <v>0.14883017799892301</v>
      </c>
      <c r="G1165" s="24">
        <v>543.23014999999998</v>
      </c>
      <c r="H1165" t="s">
        <v>394</v>
      </c>
    </row>
    <row r="1166" spans="1:8" ht="15" customHeight="1" x14ac:dyDescent="0.3">
      <c r="A1166" t="s">
        <v>588</v>
      </c>
      <c r="B1166" t="s">
        <v>87</v>
      </c>
      <c r="C1166" t="s">
        <v>644</v>
      </c>
      <c r="D1166" t="s">
        <v>290</v>
      </c>
      <c r="E1166" s="48">
        <v>6396</v>
      </c>
      <c r="F1166" s="24">
        <v>0.14883017799892301</v>
      </c>
      <c r="G1166" s="24">
        <v>951.91781800000001</v>
      </c>
      <c r="H1166" t="s">
        <v>394</v>
      </c>
    </row>
    <row r="1167" spans="1:8" ht="15" customHeight="1" x14ac:dyDescent="0.3">
      <c r="A1167" t="s">
        <v>588</v>
      </c>
      <c r="B1167" t="s">
        <v>87</v>
      </c>
      <c r="C1167" t="s">
        <v>644</v>
      </c>
      <c r="D1167" t="s">
        <v>285</v>
      </c>
      <c r="E1167" s="48">
        <v>4730</v>
      </c>
      <c r="F1167" s="24">
        <v>0.14883017799892301</v>
      </c>
      <c r="G1167" s="24">
        <v>703.96674199999995</v>
      </c>
      <c r="H1167" t="s">
        <v>394</v>
      </c>
    </row>
    <row r="1168" spans="1:8" ht="15" customHeight="1" x14ac:dyDescent="0.3">
      <c r="A1168" t="s">
        <v>588</v>
      </c>
      <c r="B1168" t="s">
        <v>87</v>
      </c>
      <c r="C1168" t="s">
        <v>644</v>
      </c>
      <c r="D1168" t="s">
        <v>282</v>
      </c>
      <c r="E1168" s="48">
        <v>4782</v>
      </c>
      <c r="F1168" s="24">
        <v>0.14883017799892301</v>
      </c>
      <c r="G1168" s="24">
        <v>711.70591100000001</v>
      </c>
      <c r="H1168" t="s">
        <v>394</v>
      </c>
    </row>
    <row r="1169" spans="1:8" ht="15" customHeight="1" x14ac:dyDescent="0.3">
      <c r="A1169" t="s">
        <v>598</v>
      </c>
      <c r="B1169" t="s">
        <v>87</v>
      </c>
      <c r="C1169" t="s">
        <v>644</v>
      </c>
      <c r="D1169" t="s">
        <v>287</v>
      </c>
      <c r="E1169" s="48">
        <v>6445</v>
      </c>
      <c r="F1169" s="24">
        <v>0.165505113968682</v>
      </c>
      <c r="G1169" s="24">
        <v>1066.68046</v>
      </c>
      <c r="H1169" t="s">
        <v>394</v>
      </c>
    </row>
    <row r="1170" spans="1:8" ht="15" customHeight="1" x14ac:dyDescent="0.3">
      <c r="A1170" t="s">
        <v>598</v>
      </c>
      <c r="B1170" t="s">
        <v>87</v>
      </c>
      <c r="C1170" t="s">
        <v>644</v>
      </c>
      <c r="D1170" t="s">
        <v>284</v>
      </c>
      <c r="E1170" s="48">
        <v>14441</v>
      </c>
      <c r="F1170" s="24">
        <v>0.165505113968682</v>
      </c>
      <c r="G1170" s="24">
        <v>2390.0593509999999</v>
      </c>
      <c r="H1170" t="s">
        <v>394</v>
      </c>
    </row>
    <row r="1171" spans="1:8" ht="15" customHeight="1" x14ac:dyDescent="0.3">
      <c r="A1171" t="s">
        <v>598</v>
      </c>
      <c r="B1171" t="s">
        <v>87</v>
      </c>
      <c r="C1171" t="s">
        <v>644</v>
      </c>
      <c r="D1171" t="s">
        <v>293</v>
      </c>
      <c r="E1171" s="48">
        <v>3704</v>
      </c>
      <c r="F1171" s="24">
        <v>0.165505113968682</v>
      </c>
      <c r="G1171" s="24">
        <v>613.03094199999998</v>
      </c>
      <c r="H1171" t="s">
        <v>394</v>
      </c>
    </row>
    <row r="1172" spans="1:8" ht="15" customHeight="1" x14ac:dyDescent="0.3">
      <c r="A1172" t="s">
        <v>598</v>
      </c>
      <c r="B1172" t="s">
        <v>87</v>
      </c>
      <c r="C1172" t="s">
        <v>644</v>
      </c>
      <c r="D1172" t="s">
        <v>290</v>
      </c>
      <c r="E1172" s="48">
        <v>6434</v>
      </c>
      <c r="F1172" s="24">
        <v>0.165505113968682</v>
      </c>
      <c r="G1172" s="24">
        <v>1064.859903</v>
      </c>
      <c r="H1172" t="s">
        <v>394</v>
      </c>
    </row>
    <row r="1173" spans="1:8" ht="15" customHeight="1" x14ac:dyDescent="0.3">
      <c r="A1173" t="s">
        <v>598</v>
      </c>
      <c r="B1173" t="s">
        <v>87</v>
      </c>
      <c r="C1173" t="s">
        <v>644</v>
      </c>
      <c r="D1173" t="s">
        <v>285</v>
      </c>
      <c r="E1173" s="48">
        <v>4749</v>
      </c>
      <c r="F1173" s="24">
        <v>0.165505113968682</v>
      </c>
      <c r="G1173" s="24">
        <v>785.98378600000001</v>
      </c>
      <c r="H1173" t="s">
        <v>394</v>
      </c>
    </row>
    <row r="1174" spans="1:8" ht="15" customHeight="1" x14ac:dyDescent="0.3">
      <c r="A1174" t="s">
        <v>598</v>
      </c>
      <c r="B1174" t="s">
        <v>87</v>
      </c>
      <c r="C1174" t="s">
        <v>644</v>
      </c>
      <c r="D1174" t="s">
        <v>282</v>
      </c>
      <c r="E1174" s="48">
        <v>4795</v>
      </c>
      <c r="F1174" s="24">
        <v>0.165505113968682</v>
      </c>
      <c r="G1174" s="24">
        <v>793.59702100000004</v>
      </c>
      <c r="H1174" t="s">
        <v>394</v>
      </c>
    </row>
    <row r="1175" spans="1:8" ht="15" customHeight="1" x14ac:dyDescent="0.3">
      <c r="A1175" t="s">
        <v>625</v>
      </c>
      <c r="B1175" t="s">
        <v>87</v>
      </c>
      <c r="C1175" t="s">
        <v>644</v>
      </c>
      <c r="D1175" t="s">
        <v>287</v>
      </c>
      <c r="E1175" s="48">
        <v>6588</v>
      </c>
      <c r="F1175" s="24">
        <v>0.17097470082534699</v>
      </c>
      <c r="G1175" s="24">
        <v>1126.3813290000001</v>
      </c>
      <c r="H1175" t="s">
        <v>394</v>
      </c>
    </row>
    <row r="1176" spans="1:8" ht="15" customHeight="1" x14ac:dyDescent="0.3">
      <c r="A1176" t="s">
        <v>625</v>
      </c>
      <c r="B1176" t="s">
        <v>87</v>
      </c>
      <c r="C1176" t="s">
        <v>644</v>
      </c>
      <c r="D1176" t="s">
        <v>284</v>
      </c>
      <c r="E1176" s="48">
        <v>14689</v>
      </c>
      <c r="F1176" s="24">
        <v>0.17097470082534699</v>
      </c>
      <c r="G1176" s="24">
        <v>2511.4473800000001</v>
      </c>
      <c r="H1176" t="s">
        <v>394</v>
      </c>
    </row>
    <row r="1177" spans="1:8" ht="15" customHeight="1" x14ac:dyDescent="0.3">
      <c r="A1177" t="s">
        <v>625</v>
      </c>
      <c r="B1177" t="s">
        <v>87</v>
      </c>
      <c r="C1177" t="s">
        <v>644</v>
      </c>
      <c r="D1177" t="s">
        <v>293</v>
      </c>
      <c r="E1177" s="48">
        <v>3765</v>
      </c>
      <c r="F1177" s="24">
        <v>0.17097470082534699</v>
      </c>
      <c r="G1177" s="24">
        <v>643.71974899999998</v>
      </c>
      <c r="H1177" t="s">
        <v>394</v>
      </c>
    </row>
    <row r="1178" spans="1:8" ht="15" customHeight="1" x14ac:dyDescent="0.3">
      <c r="A1178" t="s">
        <v>625</v>
      </c>
      <c r="B1178" t="s">
        <v>87</v>
      </c>
      <c r="C1178" t="s">
        <v>644</v>
      </c>
      <c r="D1178" t="s">
        <v>290</v>
      </c>
      <c r="E1178" s="48">
        <v>6568</v>
      </c>
      <c r="F1178" s="24">
        <v>0.17097470082534699</v>
      </c>
      <c r="G1178" s="24">
        <v>1122.9618350000001</v>
      </c>
      <c r="H1178" t="s">
        <v>394</v>
      </c>
    </row>
    <row r="1179" spans="1:8" ht="15" customHeight="1" x14ac:dyDescent="0.3">
      <c r="A1179" t="s">
        <v>625</v>
      </c>
      <c r="B1179" t="s">
        <v>87</v>
      </c>
      <c r="C1179" t="s">
        <v>644</v>
      </c>
      <c r="D1179" t="s">
        <v>285</v>
      </c>
      <c r="E1179" s="48">
        <v>4805</v>
      </c>
      <c r="F1179" s="24">
        <v>0.17097470082534699</v>
      </c>
      <c r="G1179" s="24">
        <v>821.53343700000005</v>
      </c>
      <c r="H1179" t="s">
        <v>394</v>
      </c>
    </row>
    <row r="1180" spans="1:8" ht="15" customHeight="1" x14ac:dyDescent="0.3">
      <c r="A1180" t="s">
        <v>625</v>
      </c>
      <c r="B1180" t="s">
        <v>87</v>
      </c>
      <c r="C1180" t="s">
        <v>644</v>
      </c>
      <c r="D1180" t="s">
        <v>282</v>
      </c>
      <c r="E1180" s="48">
        <v>4806</v>
      </c>
      <c r="F1180" s="24">
        <v>0.17097470082534699</v>
      </c>
      <c r="G1180" s="24">
        <v>821.70441200000005</v>
      </c>
      <c r="H1180" t="s">
        <v>394</v>
      </c>
    </row>
    <row r="1181" spans="1:8" ht="15" customHeight="1" x14ac:dyDescent="0.3">
      <c r="A1181" t="s">
        <v>588</v>
      </c>
      <c r="B1181" t="s">
        <v>85</v>
      </c>
      <c r="C1181" t="s">
        <v>645</v>
      </c>
      <c r="D1181" t="s">
        <v>287</v>
      </c>
      <c r="E1181" s="48">
        <v>6280</v>
      </c>
      <c r="F1181" s="24">
        <v>0.31946400403497699</v>
      </c>
      <c r="G1181" s="24">
        <v>2006.2339449999999</v>
      </c>
      <c r="H1181" t="s">
        <v>394</v>
      </c>
    </row>
    <row r="1182" spans="1:8" ht="15" customHeight="1" x14ac:dyDescent="0.3">
      <c r="A1182" t="s">
        <v>588</v>
      </c>
      <c r="B1182" t="s">
        <v>85</v>
      </c>
      <c r="C1182" t="s">
        <v>645</v>
      </c>
      <c r="D1182" t="s">
        <v>289</v>
      </c>
      <c r="E1182" s="48">
        <v>13402</v>
      </c>
      <c r="F1182" s="24">
        <v>0.31946400403497699</v>
      </c>
      <c r="G1182" s="24">
        <v>4281.4565819999998</v>
      </c>
      <c r="H1182" t="s">
        <v>394</v>
      </c>
    </row>
    <row r="1183" spans="1:8" ht="15" customHeight="1" x14ac:dyDescent="0.3">
      <c r="A1183" t="s">
        <v>588</v>
      </c>
      <c r="B1183" t="s">
        <v>85</v>
      </c>
      <c r="C1183" t="s">
        <v>645</v>
      </c>
      <c r="D1183" t="s">
        <v>284</v>
      </c>
      <c r="E1183" s="48">
        <v>14331</v>
      </c>
      <c r="F1183" s="24">
        <v>0.31946400403497699</v>
      </c>
      <c r="G1183" s="24">
        <v>4578.2386420000003</v>
      </c>
      <c r="H1183" t="s">
        <v>394</v>
      </c>
    </row>
    <row r="1184" spans="1:8" ht="15" customHeight="1" x14ac:dyDescent="0.3">
      <c r="A1184" t="s">
        <v>588</v>
      </c>
      <c r="B1184" t="s">
        <v>85</v>
      </c>
      <c r="C1184" t="s">
        <v>645</v>
      </c>
      <c r="D1184" t="s">
        <v>293</v>
      </c>
      <c r="E1184" s="48">
        <v>3650</v>
      </c>
      <c r="F1184" s="24">
        <v>0.31946400403497699</v>
      </c>
      <c r="G1184" s="24">
        <v>1166.043615</v>
      </c>
      <c r="H1184" t="s">
        <v>394</v>
      </c>
    </row>
    <row r="1185" spans="1:8" ht="15" customHeight="1" x14ac:dyDescent="0.3">
      <c r="A1185" t="s">
        <v>588</v>
      </c>
      <c r="B1185" t="s">
        <v>85</v>
      </c>
      <c r="C1185" t="s">
        <v>645</v>
      </c>
      <c r="D1185" t="s">
        <v>290</v>
      </c>
      <c r="E1185" s="48">
        <v>6396</v>
      </c>
      <c r="F1185" s="24">
        <v>0.31946400403497699</v>
      </c>
      <c r="G1185" s="24">
        <v>2043.29177</v>
      </c>
      <c r="H1185" t="s">
        <v>394</v>
      </c>
    </row>
    <row r="1186" spans="1:8" ht="15" customHeight="1" x14ac:dyDescent="0.3">
      <c r="A1186" t="s">
        <v>588</v>
      </c>
      <c r="B1186" t="s">
        <v>85</v>
      </c>
      <c r="C1186" t="s">
        <v>645</v>
      </c>
      <c r="D1186" t="s">
        <v>285</v>
      </c>
      <c r="E1186" s="48">
        <v>4730</v>
      </c>
      <c r="F1186" s="24">
        <v>0.31946400403497699</v>
      </c>
      <c r="G1186" s="24">
        <v>1511.0647389999999</v>
      </c>
      <c r="H1186" t="s">
        <v>394</v>
      </c>
    </row>
    <row r="1187" spans="1:8" ht="15" customHeight="1" x14ac:dyDescent="0.3">
      <c r="A1187" t="s">
        <v>588</v>
      </c>
      <c r="B1187" t="s">
        <v>85</v>
      </c>
      <c r="C1187" t="s">
        <v>645</v>
      </c>
      <c r="D1187" t="s">
        <v>282</v>
      </c>
      <c r="E1187" s="48">
        <v>4782</v>
      </c>
      <c r="F1187" s="24">
        <v>0.31946400403497699</v>
      </c>
      <c r="G1187" s="24">
        <v>1527.6768669999999</v>
      </c>
      <c r="H1187" t="s">
        <v>394</v>
      </c>
    </row>
    <row r="1188" spans="1:8" ht="15" customHeight="1" x14ac:dyDescent="0.3">
      <c r="A1188" t="s">
        <v>598</v>
      </c>
      <c r="B1188" t="s">
        <v>85</v>
      </c>
      <c r="C1188" t="s">
        <v>645</v>
      </c>
      <c r="D1188" t="s">
        <v>287</v>
      </c>
      <c r="E1188" s="48">
        <v>6445</v>
      </c>
      <c r="F1188" s="24">
        <v>0.29309970899647397</v>
      </c>
      <c r="G1188" s="24">
        <v>1889.0276240000001</v>
      </c>
      <c r="H1188" t="s">
        <v>394</v>
      </c>
    </row>
    <row r="1189" spans="1:8" ht="15" customHeight="1" x14ac:dyDescent="0.3">
      <c r="A1189" t="s">
        <v>598</v>
      </c>
      <c r="B1189" t="s">
        <v>85</v>
      </c>
      <c r="C1189" t="s">
        <v>645</v>
      </c>
      <c r="D1189" t="s">
        <v>289</v>
      </c>
      <c r="E1189" s="48">
        <v>13418</v>
      </c>
      <c r="F1189" s="24">
        <v>0.29309970899647397</v>
      </c>
      <c r="G1189" s="24">
        <v>3932.8118949999998</v>
      </c>
      <c r="H1189" t="s">
        <v>394</v>
      </c>
    </row>
    <row r="1190" spans="1:8" ht="15" customHeight="1" x14ac:dyDescent="0.3">
      <c r="A1190" t="s">
        <v>598</v>
      </c>
      <c r="B1190" t="s">
        <v>85</v>
      </c>
      <c r="C1190" t="s">
        <v>645</v>
      </c>
      <c r="D1190" t="s">
        <v>284</v>
      </c>
      <c r="E1190" s="48">
        <v>14441</v>
      </c>
      <c r="F1190" s="24">
        <v>0.29309970899647397</v>
      </c>
      <c r="G1190" s="24">
        <v>4232.6528980000003</v>
      </c>
      <c r="H1190" t="s">
        <v>394</v>
      </c>
    </row>
    <row r="1191" spans="1:8" ht="15" customHeight="1" x14ac:dyDescent="0.3">
      <c r="A1191" t="s">
        <v>598</v>
      </c>
      <c r="B1191" t="s">
        <v>85</v>
      </c>
      <c r="C1191" t="s">
        <v>645</v>
      </c>
      <c r="D1191" t="s">
        <v>293</v>
      </c>
      <c r="E1191" s="48">
        <v>3704</v>
      </c>
      <c r="F1191" s="24">
        <v>0.29309970899647397</v>
      </c>
      <c r="G1191" s="24">
        <v>1085.6413219999999</v>
      </c>
      <c r="H1191" t="s">
        <v>394</v>
      </c>
    </row>
    <row r="1192" spans="1:8" ht="15" customHeight="1" x14ac:dyDescent="0.3">
      <c r="A1192" t="s">
        <v>598</v>
      </c>
      <c r="B1192" t="s">
        <v>85</v>
      </c>
      <c r="C1192" t="s">
        <v>645</v>
      </c>
      <c r="D1192" t="s">
        <v>290</v>
      </c>
      <c r="E1192" s="48">
        <v>6434</v>
      </c>
      <c r="F1192" s="24">
        <v>0.29309970899647397</v>
      </c>
      <c r="G1192" s="24">
        <v>1885.8035279999999</v>
      </c>
      <c r="H1192" t="s">
        <v>394</v>
      </c>
    </row>
    <row r="1193" spans="1:8" ht="15" customHeight="1" x14ac:dyDescent="0.3">
      <c r="A1193" t="s">
        <v>598</v>
      </c>
      <c r="B1193" t="s">
        <v>85</v>
      </c>
      <c r="C1193" t="s">
        <v>645</v>
      </c>
      <c r="D1193" t="s">
        <v>285</v>
      </c>
      <c r="E1193" s="48">
        <v>4749</v>
      </c>
      <c r="F1193" s="24">
        <v>0.29309970899647397</v>
      </c>
      <c r="G1193" s="24">
        <v>1391.9305179999999</v>
      </c>
      <c r="H1193" t="s">
        <v>394</v>
      </c>
    </row>
    <row r="1194" spans="1:8" ht="15" customHeight="1" x14ac:dyDescent="0.3">
      <c r="A1194" t="s">
        <v>598</v>
      </c>
      <c r="B1194" t="s">
        <v>85</v>
      </c>
      <c r="C1194" t="s">
        <v>645</v>
      </c>
      <c r="D1194" t="s">
        <v>282</v>
      </c>
      <c r="E1194" s="48">
        <v>4795</v>
      </c>
      <c r="F1194" s="24">
        <v>0.29309970899647397</v>
      </c>
      <c r="G1194" s="24">
        <v>1405.4131050000001</v>
      </c>
      <c r="H1194" t="s">
        <v>394</v>
      </c>
    </row>
    <row r="1195" spans="1:8" ht="15" customHeight="1" x14ac:dyDescent="0.3">
      <c r="A1195" t="s">
        <v>625</v>
      </c>
      <c r="B1195" t="s">
        <v>85</v>
      </c>
      <c r="C1195" t="s">
        <v>645</v>
      </c>
      <c r="D1195" t="s">
        <v>287</v>
      </c>
      <c r="E1195" s="48">
        <v>6588</v>
      </c>
      <c r="F1195" s="24">
        <v>0.29938243891786698</v>
      </c>
      <c r="G1195" s="24">
        <v>1972.331508</v>
      </c>
      <c r="H1195" t="s">
        <v>394</v>
      </c>
    </row>
    <row r="1196" spans="1:8" ht="15" customHeight="1" x14ac:dyDescent="0.3">
      <c r="A1196" t="s">
        <v>625</v>
      </c>
      <c r="B1196" t="s">
        <v>85</v>
      </c>
      <c r="C1196" t="s">
        <v>645</v>
      </c>
      <c r="D1196" t="s">
        <v>289</v>
      </c>
      <c r="E1196" s="48">
        <v>13530</v>
      </c>
      <c r="F1196" s="24">
        <v>0.29938243891786698</v>
      </c>
      <c r="G1196" s="24">
        <v>4050.6443989999998</v>
      </c>
      <c r="H1196" t="s">
        <v>394</v>
      </c>
    </row>
    <row r="1197" spans="1:8" ht="15" customHeight="1" x14ac:dyDescent="0.3">
      <c r="A1197" t="s">
        <v>625</v>
      </c>
      <c r="B1197" t="s">
        <v>85</v>
      </c>
      <c r="C1197" t="s">
        <v>645</v>
      </c>
      <c r="D1197" t="s">
        <v>284</v>
      </c>
      <c r="E1197" s="48">
        <v>14689</v>
      </c>
      <c r="F1197" s="24">
        <v>0.29938243891786698</v>
      </c>
      <c r="G1197" s="24">
        <v>4397.6286449999998</v>
      </c>
      <c r="H1197" t="s">
        <v>394</v>
      </c>
    </row>
    <row r="1198" spans="1:8" ht="15" customHeight="1" x14ac:dyDescent="0.3">
      <c r="A1198" t="s">
        <v>625</v>
      </c>
      <c r="B1198" t="s">
        <v>85</v>
      </c>
      <c r="C1198" t="s">
        <v>645</v>
      </c>
      <c r="D1198" t="s">
        <v>293</v>
      </c>
      <c r="E1198" s="48">
        <v>3765</v>
      </c>
      <c r="F1198" s="24">
        <v>0.29938243891786698</v>
      </c>
      <c r="G1198" s="24">
        <v>1127.1748829999999</v>
      </c>
      <c r="H1198" t="s">
        <v>394</v>
      </c>
    </row>
    <row r="1199" spans="1:8" ht="15" customHeight="1" x14ac:dyDescent="0.3">
      <c r="A1199" t="s">
        <v>625</v>
      </c>
      <c r="B1199" t="s">
        <v>85</v>
      </c>
      <c r="C1199" t="s">
        <v>645</v>
      </c>
      <c r="D1199" t="s">
        <v>290</v>
      </c>
      <c r="E1199" s="48">
        <v>6568</v>
      </c>
      <c r="F1199" s="24">
        <v>0.29938243891786698</v>
      </c>
      <c r="G1199" s="24">
        <v>1966.3438590000001</v>
      </c>
      <c r="H1199" t="s">
        <v>394</v>
      </c>
    </row>
    <row r="1200" spans="1:8" ht="15" customHeight="1" x14ac:dyDescent="0.3">
      <c r="A1200" t="s">
        <v>625</v>
      </c>
      <c r="B1200" t="s">
        <v>85</v>
      </c>
      <c r="C1200" t="s">
        <v>645</v>
      </c>
      <c r="D1200" t="s">
        <v>285</v>
      </c>
      <c r="E1200" s="48">
        <v>4805</v>
      </c>
      <c r="F1200" s="24">
        <v>0.29938243891786698</v>
      </c>
      <c r="G1200" s="24">
        <v>1438.5326190000001</v>
      </c>
      <c r="H1200" t="s">
        <v>394</v>
      </c>
    </row>
    <row r="1201" spans="1:8" ht="15" customHeight="1" x14ac:dyDescent="0.3">
      <c r="A1201" t="s">
        <v>625</v>
      </c>
      <c r="B1201" t="s">
        <v>85</v>
      </c>
      <c r="C1201" t="s">
        <v>645</v>
      </c>
      <c r="D1201" t="s">
        <v>282</v>
      </c>
      <c r="E1201" s="48">
        <v>4806</v>
      </c>
      <c r="F1201" s="24">
        <v>0.29938243891786698</v>
      </c>
      <c r="G1201" s="24">
        <v>1438.832001</v>
      </c>
      <c r="H1201" t="s">
        <v>394</v>
      </c>
    </row>
    <row r="1202" spans="1:8" ht="15" customHeight="1" x14ac:dyDescent="0.3">
      <c r="A1202" t="s">
        <v>588</v>
      </c>
      <c r="B1202" t="s">
        <v>55</v>
      </c>
      <c r="C1202" t="s">
        <v>646</v>
      </c>
      <c r="D1202" t="s">
        <v>287</v>
      </c>
      <c r="E1202">
        <v>35</v>
      </c>
      <c r="F1202">
        <v>22.579439696106402</v>
      </c>
      <c r="G1202">
        <v>790.28038900000001</v>
      </c>
      <c r="H1202" t="s">
        <v>640</v>
      </c>
    </row>
    <row r="1203" spans="1:8" ht="15" customHeight="1" x14ac:dyDescent="0.3">
      <c r="A1203" t="s">
        <v>588</v>
      </c>
      <c r="B1203" t="s">
        <v>55</v>
      </c>
      <c r="C1203" t="s">
        <v>646</v>
      </c>
      <c r="D1203" t="s">
        <v>289</v>
      </c>
      <c r="E1203">
        <v>35</v>
      </c>
      <c r="F1203">
        <v>22.579439696106402</v>
      </c>
      <c r="G1203">
        <v>790.28038900000001</v>
      </c>
      <c r="H1203" t="s">
        <v>640</v>
      </c>
    </row>
    <row r="1204" spans="1:8" ht="15" customHeight="1" x14ac:dyDescent="0.3">
      <c r="A1204" t="s">
        <v>588</v>
      </c>
      <c r="B1204" t="s">
        <v>55</v>
      </c>
      <c r="C1204" t="s">
        <v>646</v>
      </c>
      <c r="D1204" t="s">
        <v>284</v>
      </c>
      <c r="E1204">
        <v>42</v>
      </c>
      <c r="F1204">
        <v>22.579439696106402</v>
      </c>
      <c r="G1204">
        <v>948.33646699999997</v>
      </c>
      <c r="H1204" t="s">
        <v>640</v>
      </c>
    </row>
    <row r="1205" spans="1:8" ht="15" customHeight="1" x14ac:dyDescent="0.3">
      <c r="A1205" t="s">
        <v>588</v>
      </c>
      <c r="B1205" t="s">
        <v>55</v>
      </c>
      <c r="C1205" t="s">
        <v>646</v>
      </c>
      <c r="D1205" t="s">
        <v>293</v>
      </c>
      <c r="E1205">
        <v>11</v>
      </c>
      <c r="F1205">
        <v>22.579439696106402</v>
      </c>
      <c r="G1205">
        <v>248.37383700000001</v>
      </c>
      <c r="H1205" t="s">
        <v>640</v>
      </c>
    </row>
    <row r="1206" spans="1:8" ht="15" customHeight="1" x14ac:dyDescent="0.3">
      <c r="A1206" t="s">
        <v>588</v>
      </c>
      <c r="B1206" t="s">
        <v>55</v>
      </c>
      <c r="C1206" t="s">
        <v>646</v>
      </c>
      <c r="D1206" t="s">
        <v>290</v>
      </c>
      <c r="E1206">
        <v>42</v>
      </c>
      <c r="F1206">
        <v>22.579439696106402</v>
      </c>
      <c r="G1206">
        <v>948.33646699999997</v>
      </c>
      <c r="H1206" t="s">
        <v>640</v>
      </c>
    </row>
    <row r="1207" spans="1:8" ht="15" customHeight="1" x14ac:dyDescent="0.3">
      <c r="A1207" t="s">
        <v>588</v>
      </c>
      <c r="B1207" t="s">
        <v>55</v>
      </c>
      <c r="C1207" t="s">
        <v>646</v>
      </c>
      <c r="D1207" t="s">
        <v>285</v>
      </c>
      <c r="E1207">
        <v>18</v>
      </c>
      <c r="F1207">
        <v>22.579439696106402</v>
      </c>
      <c r="G1207">
        <v>406.42991499999999</v>
      </c>
      <c r="H1207" t="s">
        <v>640</v>
      </c>
    </row>
    <row r="1208" spans="1:8" ht="15" customHeight="1" x14ac:dyDescent="0.3">
      <c r="A1208" t="s">
        <v>588</v>
      </c>
      <c r="B1208" t="s">
        <v>55</v>
      </c>
      <c r="C1208" t="s">
        <v>646</v>
      </c>
      <c r="D1208" t="s">
        <v>282</v>
      </c>
      <c r="E1208">
        <v>20</v>
      </c>
      <c r="F1208">
        <v>22.579439696106402</v>
      </c>
      <c r="G1208">
        <v>451.58879400000001</v>
      </c>
      <c r="H1208" t="s">
        <v>640</v>
      </c>
    </row>
    <row r="1209" spans="1:8" ht="15" customHeight="1" x14ac:dyDescent="0.3">
      <c r="A1209" t="s">
        <v>598</v>
      </c>
      <c r="B1209" t="s">
        <v>55</v>
      </c>
      <c r="C1209" t="s">
        <v>646</v>
      </c>
      <c r="D1209" t="s">
        <v>287</v>
      </c>
      <c r="E1209">
        <v>34</v>
      </c>
      <c r="F1209">
        <v>22.6655386081983</v>
      </c>
      <c r="G1209">
        <v>770.62831300000005</v>
      </c>
      <c r="H1209" t="s">
        <v>640</v>
      </c>
    </row>
    <row r="1210" spans="1:8" ht="15" customHeight="1" x14ac:dyDescent="0.3">
      <c r="A1210" t="s">
        <v>598</v>
      </c>
      <c r="B1210" t="s">
        <v>55</v>
      </c>
      <c r="C1210" t="s">
        <v>646</v>
      </c>
      <c r="D1210" t="s">
        <v>289</v>
      </c>
      <c r="E1210">
        <v>32</v>
      </c>
      <c r="F1210">
        <v>22.6655386081983</v>
      </c>
      <c r="G1210">
        <v>725.297235</v>
      </c>
      <c r="H1210" t="s">
        <v>640</v>
      </c>
    </row>
    <row r="1211" spans="1:8" ht="15" customHeight="1" x14ac:dyDescent="0.3">
      <c r="A1211" t="s">
        <v>598</v>
      </c>
      <c r="B1211" t="s">
        <v>55</v>
      </c>
      <c r="C1211" t="s">
        <v>646</v>
      </c>
      <c r="D1211" t="s">
        <v>284</v>
      </c>
      <c r="E1211">
        <v>42</v>
      </c>
      <c r="F1211">
        <v>22.6655386081983</v>
      </c>
      <c r="G1211">
        <v>951.95262200000002</v>
      </c>
      <c r="H1211" t="s">
        <v>640</v>
      </c>
    </row>
    <row r="1212" spans="1:8" ht="15" customHeight="1" x14ac:dyDescent="0.3">
      <c r="A1212" t="s">
        <v>598</v>
      </c>
      <c r="B1212" t="s">
        <v>55</v>
      </c>
      <c r="C1212" t="s">
        <v>646</v>
      </c>
      <c r="D1212" t="s">
        <v>293</v>
      </c>
      <c r="E1212">
        <v>11</v>
      </c>
      <c r="F1212">
        <v>22.6655386081983</v>
      </c>
      <c r="G1212">
        <v>249.32092499999999</v>
      </c>
      <c r="H1212" t="s">
        <v>640</v>
      </c>
    </row>
    <row r="1213" spans="1:8" ht="15" customHeight="1" x14ac:dyDescent="0.3">
      <c r="A1213" t="s">
        <v>598</v>
      </c>
      <c r="B1213" t="s">
        <v>55</v>
      </c>
      <c r="C1213" t="s">
        <v>646</v>
      </c>
      <c r="D1213" t="s">
        <v>290</v>
      </c>
      <c r="E1213">
        <v>42</v>
      </c>
      <c r="F1213">
        <v>22.6655386081983</v>
      </c>
      <c r="G1213">
        <v>951.95262200000002</v>
      </c>
      <c r="H1213" t="s">
        <v>640</v>
      </c>
    </row>
    <row r="1214" spans="1:8" ht="15" customHeight="1" x14ac:dyDescent="0.3">
      <c r="A1214" t="s">
        <v>598</v>
      </c>
      <c r="B1214" t="s">
        <v>55</v>
      </c>
      <c r="C1214" t="s">
        <v>646</v>
      </c>
      <c r="D1214" t="s">
        <v>285</v>
      </c>
      <c r="E1214">
        <v>18</v>
      </c>
      <c r="F1214">
        <v>22.6655386081983</v>
      </c>
      <c r="G1214">
        <v>407.97969499999999</v>
      </c>
      <c r="H1214" t="s">
        <v>640</v>
      </c>
    </row>
    <row r="1215" spans="1:8" ht="15" customHeight="1" x14ac:dyDescent="0.3">
      <c r="A1215" t="s">
        <v>598</v>
      </c>
      <c r="B1215" t="s">
        <v>55</v>
      </c>
      <c r="C1215" t="s">
        <v>646</v>
      </c>
      <c r="D1215" t="s">
        <v>282</v>
      </c>
      <c r="E1215">
        <v>17</v>
      </c>
      <c r="F1215">
        <v>22.6655386081983</v>
      </c>
      <c r="G1215">
        <v>385.31415600000003</v>
      </c>
      <c r="H1215" t="s">
        <v>640</v>
      </c>
    </row>
    <row r="1216" spans="1:8" ht="15" customHeight="1" x14ac:dyDescent="0.3">
      <c r="A1216" t="s">
        <v>625</v>
      </c>
      <c r="B1216" t="s">
        <v>55</v>
      </c>
      <c r="C1216" t="s">
        <v>646</v>
      </c>
      <c r="D1216" t="s">
        <v>287</v>
      </c>
      <c r="E1216">
        <v>34</v>
      </c>
      <c r="F1216">
        <v>21.8129266055046</v>
      </c>
      <c r="G1216">
        <v>741.63950499999999</v>
      </c>
      <c r="H1216" t="s">
        <v>640</v>
      </c>
    </row>
    <row r="1217" spans="1:8" ht="15" customHeight="1" x14ac:dyDescent="0.3">
      <c r="A1217" t="s">
        <v>625</v>
      </c>
      <c r="B1217" t="s">
        <v>55</v>
      </c>
      <c r="C1217" t="s">
        <v>646</v>
      </c>
      <c r="D1217" t="s">
        <v>289</v>
      </c>
      <c r="H1217" t="s">
        <v>647</v>
      </c>
    </row>
    <row r="1218" spans="1:8" ht="15" customHeight="1" x14ac:dyDescent="0.3">
      <c r="A1218" t="s">
        <v>625</v>
      </c>
      <c r="B1218" t="s">
        <v>55</v>
      </c>
      <c r="C1218" t="s">
        <v>646</v>
      </c>
      <c r="D1218" t="s">
        <v>284</v>
      </c>
      <c r="E1218">
        <v>47</v>
      </c>
      <c r="F1218">
        <v>21.8129266055046</v>
      </c>
      <c r="G1218">
        <v>1025.2075500000001</v>
      </c>
      <c r="H1218" t="s">
        <v>640</v>
      </c>
    </row>
    <row r="1219" spans="1:8" ht="15" customHeight="1" x14ac:dyDescent="0.3">
      <c r="A1219" t="s">
        <v>625</v>
      </c>
      <c r="B1219" t="s">
        <v>55</v>
      </c>
      <c r="C1219" t="s">
        <v>646</v>
      </c>
      <c r="D1219" t="s">
        <v>293</v>
      </c>
      <c r="E1219">
        <v>11</v>
      </c>
      <c r="F1219">
        <v>21.8129266055046</v>
      </c>
      <c r="G1219">
        <v>239.942193</v>
      </c>
      <c r="H1219" t="s">
        <v>640</v>
      </c>
    </row>
    <row r="1220" spans="1:8" ht="15" customHeight="1" x14ac:dyDescent="0.3">
      <c r="A1220" t="s">
        <v>625</v>
      </c>
      <c r="B1220" t="s">
        <v>55</v>
      </c>
      <c r="C1220" t="s">
        <v>646</v>
      </c>
      <c r="D1220" t="s">
        <v>290</v>
      </c>
      <c r="E1220">
        <v>50</v>
      </c>
      <c r="F1220">
        <v>21.8129266055046</v>
      </c>
      <c r="G1220">
        <v>1090.64633</v>
      </c>
      <c r="H1220" t="s">
        <v>640</v>
      </c>
    </row>
    <row r="1221" spans="1:8" ht="15" customHeight="1" x14ac:dyDescent="0.3">
      <c r="A1221" t="s">
        <v>625</v>
      </c>
      <c r="B1221" t="s">
        <v>55</v>
      </c>
      <c r="C1221" t="s">
        <v>646</v>
      </c>
      <c r="D1221" t="s">
        <v>285</v>
      </c>
      <c r="E1221">
        <v>18</v>
      </c>
      <c r="F1221">
        <v>21.8129266055046</v>
      </c>
      <c r="G1221">
        <v>392.632679</v>
      </c>
      <c r="H1221" t="s">
        <v>640</v>
      </c>
    </row>
    <row r="1222" spans="1:8" ht="15" customHeight="1" x14ac:dyDescent="0.3">
      <c r="A1222" t="s">
        <v>625</v>
      </c>
      <c r="B1222" t="s">
        <v>55</v>
      </c>
      <c r="C1222" t="s">
        <v>646</v>
      </c>
      <c r="D1222" t="s">
        <v>282</v>
      </c>
      <c r="E1222">
        <v>24</v>
      </c>
      <c r="F1222">
        <v>21.8129266055046</v>
      </c>
      <c r="G1222">
        <v>523.51023899999996</v>
      </c>
      <c r="H1222" t="s">
        <v>640</v>
      </c>
    </row>
    <row r="1223" spans="1:8" ht="15" customHeight="1" x14ac:dyDescent="0.3">
      <c r="A1223" t="s">
        <v>588</v>
      </c>
      <c r="B1223" t="s">
        <v>55</v>
      </c>
      <c r="C1223" t="s">
        <v>648</v>
      </c>
      <c r="D1223" t="s">
        <v>287</v>
      </c>
      <c r="E1223">
        <v>1</v>
      </c>
      <c r="F1223">
        <v>32179.26</v>
      </c>
      <c r="G1223">
        <v>32179.26</v>
      </c>
      <c r="H1223" t="s">
        <v>649</v>
      </c>
    </row>
    <row r="1224" spans="1:8" ht="15" customHeight="1" x14ac:dyDescent="0.3">
      <c r="A1224" t="s">
        <v>588</v>
      </c>
      <c r="B1224" t="s">
        <v>55</v>
      </c>
      <c r="C1224" t="s">
        <v>648</v>
      </c>
      <c r="D1224" t="s">
        <v>293</v>
      </c>
      <c r="E1224">
        <v>1</v>
      </c>
      <c r="F1224">
        <v>18442.400000000001</v>
      </c>
      <c r="G1224">
        <v>18442.400000000001</v>
      </c>
      <c r="H1224" t="s">
        <v>649</v>
      </c>
    </row>
    <row r="1225" spans="1:8" ht="15" customHeight="1" x14ac:dyDescent="0.3">
      <c r="A1225" t="s">
        <v>588</v>
      </c>
      <c r="B1225" t="s">
        <v>55</v>
      </c>
      <c r="C1225" t="s">
        <v>648</v>
      </c>
      <c r="D1225" t="s">
        <v>290</v>
      </c>
      <c r="E1225">
        <v>1</v>
      </c>
      <c r="F1225">
        <v>38121.519999999997</v>
      </c>
      <c r="G1225">
        <v>38121.519999999997</v>
      </c>
      <c r="H1225" t="s">
        <v>649</v>
      </c>
    </row>
    <row r="1226" spans="1:8" ht="15" customHeight="1" x14ac:dyDescent="0.3">
      <c r="A1226" t="s">
        <v>588</v>
      </c>
      <c r="B1226" t="s">
        <v>55</v>
      </c>
      <c r="C1226" t="s">
        <v>648</v>
      </c>
      <c r="D1226" t="s">
        <v>284</v>
      </c>
      <c r="E1226">
        <v>1</v>
      </c>
      <c r="F1226">
        <v>81174.19</v>
      </c>
      <c r="G1226">
        <v>81174.19</v>
      </c>
      <c r="H1226" t="s">
        <v>649</v>
      </c>
    </row>
    <row r="1227" spans="1:8" ht="15" customHeight="1" x14ac:dyDescent="0.3">
      <c r="A1227" t="s">
        <v>588</v>
      </c>
      <c r="B1227" t="s">
        <v>55</v>
      </c>
      <c r="C1227" t="s">
        <v>648</v>
      </c>
      <c r="D1227" t="s">
        <v>285</v>
      </c>
      <c r="E1227">
        <v>1</v>
      </c>
      <c r="F1227">
        <v>24421.33</v>
      </c>
      <c r="G1227">
        <v>24421.33</v>
      </c>
      <c r="H1227" t="s">
        <v>649</v>
      </c>
    </row>
    <row r="1228" spans="1:8" ht="15" customHeight="1" x14ac:dyDescent="0.3">
      <c r="A1228" t="s">
        <v>588</v>
      </c>
      <c r="B1228" t="s">
        <v>55</v>
      </c>
      <c r="C1228" t="s">
        <v>648</v>
      </c>
      <c r="D1228" t="s">
        <v>282</v>
      </c>
      <c r="E1228">
        <v>1</v>
      </c>
      <c r="F1228">
        <v>29324.31</v>
      </c>
      <c r="G1228">
        <v>29324.31</v>
      </c>
      <c r="H1228" t="s">
        <v>649</v>
      </c>
    </row>
    <row r="1229" spans="1:8" ht="15" customHeight="1" x14ac:dyDescent="0.3">
      <c r="A1229" t="s">
        <v>598</v>
      </c>
      <c r="B1229" t="s">
        <v>55</v>
      </c>
      <c r="C1229" t="s">
        <v>648</v>
      </c>
      <c r="D1229" t="s">
        <v>287</v>
      </c>
      <c r="E1229">
        <v>1</v>
      </c>
      <c r="F1229">
        <v>33737.43</v>
      </c>
      <c r="G1229">
        <v>33737.43</v>
      </c>
      <c r="H1229" t="s">
        <v>649</v>
      </c>
    </row>
    <row r="1230" spans="1:8" ht="15" customHeight="1" x14ac:dyDescent="0.3">
      <c r="A1230" t="s">
        <v>598</v>
      </c>
      <c r="B1230" t="s">
        <v>55</v>
      </c>
      <c r="C1230" t="s">
        <v>648</v>
      </c>
      <c r="D1230" t="s">
        <v>293</v>
      </c>
      <c r="E1230">
        <v>1</v>
      </c>
      <c r="F1230">
        <v>20747.18</v>
      </c>
      <c r="G1230">
        <v>20747.18</v>
      </c>
      <c r="H1230" t="s">
        <v>649</v>
      </c>
    </row>
    <row r="1231" spans="1:8" ht="15" customHeight="1" x14ac:dyDescent="0.3">
      <c r="A1231" t="s">
        <v>598</v>
      </c>
      <c r="B1231" t="s">
        <v>55</v>
      </c>
      <c r="C1231" t="s">
        <v>648</v>
      </c>
      <c r="D1231" t="s">
        <v>290</v>
      </c>
      <c r="E1231">
        <v>1</v>
      </c>
      <c r="F1231">
        <v>40834.769999999997</v>
      </c>
      <c r="G1231">
        <v>40834.769999999997</v>
      </c>
      <c r="H1231" t="s">
        <v>649</v>
      </c>
    </row>
    <row r="1232" spans="1:8" ht="15" customHeight="1" x14ac:dyDescent="0.3">
      <c r="A1232" t="s">
        <v>598</v>
      </c>
      <c r="B1232" t="s">
        <v>55</v>
      </c>
      <c r="C1232" t="s">
        <v>648</v>
      </c>
      <c r="D1232" t="s">
        <v>284</v>
      </c>
      <c r="E1232">
        <v>1</v>
      </c>
      <c r="F1232">
        <v>88540.29</v>
      </c>
      <c r="G1232">
        <v>88540.29</v>
      </c>
      <c r="H1232" t="s">
        <v>649</v>
      </c>
    </row>
    <row r="1233" spans="1:8" ht="15" customHeight="1" x14ac:dyDescent="0.3">
      <c r="A1233" t="s">
        <v>598</v>
      </c>
      <c r="B1233" t="s">
        <v>55</v>
      </c>
      <c r="C1233" t="s">
        <v>648</v>
      </c>
      <c r="D1233" t="s">
        <v>285</v>
      </c>
      <c r="E1233">
        <v>1</v>
      </c>
      <c r="F1233">
        <v>26681.82</v>
      </c>
      <c r="G1233">
        <v>26681.82</v>
      </c>
      <c r="H1233" t="s">
        <v>649</v>
      </c>
    </row>
    <row r="1234" spans="1:8" ht="15" customHeight="1" x14ac:dyDescent="0.3">
      <c r="A1234" t="s">
        <v>598</v>
      </c>
      <c r="B1234" t="s">
        <v>55</v>
      </c>
      <c r="C1234" t="s">
        <v>648</v>
      </c>
      <c r="D1234" t="s">
        <v>282</v>
      </c>
      <c r="E1234">
        <v>1</v>
      </c>
      <c r="F1234">
        <v>31624.98</v>
      </c>
      <c r="G1234">
        <v>31624.98</v>
      </c>
      <c r="H1234" t="s">
        <v>649</v>
      </c>
    </row>
    <row r="1235" spans="1:8" ht="15" customHeight="1" x14ac:dyDescent="0.3">
      <c r="A1235" t="s">
        <v>625</v>
      </c>
      <c r="B1235" t="s">
        <v>55</v>
      </c>
      <c r="C1235" t="s">
        <v>648</v>
      </c>
      <c r="D1235" t="s">
        <v>287</v>
      </c>
      <c r="E1235">
        <v>1</v>
      </c>
      <c r="F1235">
        <v>37628.980000000003</v>
      </c>
      <c r="G1235">
        <v>37628.980000000003</v>
      </c>
      <c r="H1235" t="s">
        <v>649</v>
      </c>
    </row>
    <row r="1236" spans="1:8" ht="15" customHeight="1" x14ac:dyDescent="0.3">
      <c r="A1236" t="s">
        <v>625</v>
      </c>
      <c r="B1236" t="s">
        <v>55</v>
      </c>
      <c r="C1236" t="s">
        <v>648</v>
      </c>
      <c r="D1236" t="s">
        <v>293</v>
      </c>
      <c r="E1236">
        <v>1</v>
      </c>
      <c r="F1236">
        <v>21544.9</v>
      </c>
      <c r="G1236">
        <v>21544.9</v>
      </c>
      <c r="H1236" t="s">
        <v>649</v>
      </c>
    </row>
    <row r="1237" spans="1:8" ht="15" customHeight="1" x14ac:dyDescent="0.3">
      <c r="A1237" t="s">
        <v>625</v>
      </c>
      <c r="B1237" t="s">
        <v>55</v>
      </c>
      <c r="C1237" t="s">
        <v>648</v>
      </c>
      <c r="D1237" t="s">
        <v>290</v>
      </c>
      <c r="E1237">
        <v>1</v>
      </c>
      <c r="F1237">
        <v>41387.019999999997</v>
      </c>
      <c r="G1237">
        <v>41387.019999999997</v>
      </c>
      <c r="H1237" t="s">
        <v>649</v>
      </c>
    </row>
    <row r="1238" spans="1:8" ht="15" customHeight="1" x14ac:dyDescent="0.3">
      <c r="A1238" t="s">
        <v>625</v>
      </c>
      <c r="B1238" t="s">
        <v>55</v>
      </c>
      <c r="C1238" t="s">
        <v>648</v>
      </c>
      <c r="D1238" t="s">
        <v>284</v>
      </c>
      <c r="E1238">
        <v>1</v>
      </c>
      <c r="F1238">
        <v>90134.89</v>
      </c>
      <c r="G1238">
        <v>90134.89</v>
      </c>
      <c r="H1238" t="s">
        <v>649</v>
      </c>
    </row>
    <row r="1239" spans="1:8" ht="15" customHeight="1" x14ac:dyDescent="0.3">
      <c r="A1239" t="s">
        <v>625</v>
      </c>
      <c r="B1239" t="s">
        <v>55</v>
      </c>
      <c r="C1239" t="s">
        <v>648</v>
      </c>
      <c r="D1239" t="s">
        <v>285</v>
      </c>
      <c r="E1239">
        <v>1</v>
      </c>
      <c r="F1239">
        <v>26769.64</v>
      </c>
      <c r="G1239">
        <v>26769.64</v>
      </c>
      <c r="H1239" t="s">
        <v>649</v>
      </c>
    </row>
    <row r="1240" spans="1:8" ht="15" customHeight="1" x14ac:dyDescent="0.3">
      <c r="A1240" t="s">
        <v>625</v>
      </c>
      <c r="B1240" t="s">
        <v>55</v>
      </c>
      <c r="C1240" t="s">
        <v>648</v>
      </c>
      <c r="D1240" t="s">
        <v>282</v>
      </c>
      <c r="E1240">
        <v>1</v>
      </c>
      <c r="F1240">
        <v>31924.42</v>
      </c>
      <c r="G1240">
        <v>31924.42</v>
      </c>
      <c r="H1240" t="s">
        <v>649</v>
      </c>
    </row>
    <row r="1241" spans="1:8" ht="15" customHeight="1" x14ac:dyDescent="0.3">
      <c r="A1241" t="s">
        <v>588</v>
      </c>
      <c r="B1241" t="s">
        <v>41</v>
      </c>
      <c r="C1241" t="s">
        <v>41</v>
      </c>
      <c r="D1241" t="s">
        <v>287</v>
      </c>
      <c r="E1241">
        <v>6280</v>
      </c>
      <c r="F1241">
        <v>9.5085439645214695E-2</v>
      </c>
      <c r="G1241">
        <v>597.13656097194803</v>
      </c>
      <c r="H1241" t="s">
        <v>394</v>
      </c>
    </row>
    <row r="1242" spans="1:8" ht="15" customHeight="1" x14ac:dyDescent="0.3">
      <c r="A1242" t="s">
        <v>588</v>
      </c>
      <c r="B1242" t="s">
        <v>41</v>
      </c>
      <c r="C1242" t="s">
        <v>41</v>
      </c>
      <c r="D1242" t="s">
        <v>284</v>
      </c>
      <c r="E1242">
        <v>14331</v>
      </c>
      <c r="F1242">
        <v>9.5085439645214695E-2</v>
      </c>
      <c r="G1242">
        <v>1362.6694355555701</v>
      </c>
      <c r="H1242" t="s">
        <v>394</v>
      </c>
    </row>
    <row r="1243" spans="1:8" ht="15" customHeight="1" x14ac:dyDescent="0.3">
      <c r="A1243" t="s">
        <v>588</v>
      </c>
      <c r="B1243" t="s">
        <v>41</v>
      </c>
      <c r="C1243" t="s">
        <v>41</v>
      </c>
      <c r="D1243" t="s">
        <v>293</v>
      </c>
      <c r="E1243">
        <v>3650</v>
      </c>
      <c r="F1243">
        <v>9.5085439645214695E-2</v>
      </c>
      <c r="G1243">
        <v>347.06185470503402</v>
      </c>
      <c r="H1243" t="s">
        <v>394</v>
      </c>
    </row>
    <row r="1244" spans="1:8" ht="15" customHeight="1" x14ac:dyDescent="0.3">
      <c r="A1244" t="s">
        <v>588</v>
      </c>
      <c r="B1244" t="s">
        <v>41</v>
      </c>
      <c r="C1244" t="s">
        <v>41</v>
      </c>
      <c r="D1244" t="s">
        <v>290</v>
      </c>
      <c r="E1244">
        <v>6396</v>
      </c>
      <c r="F1244">
        <v>9.5085439645214695E-2</v>
      </c>
      <c r="G1244">
        <v>608.16647197079305</v>
      </c>
      <c r="H1244" t="s">
        <v>394</v>
      </c>
    </row>
    <row r="1245" spans="1:8" ht="15" customHeight="1" x14ac:dyDescent="0.3">
      <c r="A1245" t="s">
        <v>588</v>
      </c>
      <c r="B1245" t="s">
        <v>41</v>
      </c>
      <c r="C1245" t="s">
        <v>41</v>
      </c>
      <c r="D1245" t="s">
        <v>285</v>
      </c>
      <c r="E1245">
        <v>4730</v>
      </c>
      <c r="F1245">
        <v>9.5085439645214695E-2</v>
      </c>
      <c r="G1245">
        <v>449.75412952186599</v>
      </c>
      <c r="H1245" t="s">
        <v>394</v>
      </c>
    </row>
    <row r="1246" spans="1:8" ht="15" customHeight="1" x14ac:dyDescent="0.3">
      <c r="A1246" t="s">
        <v>588</v>
      </c>
      <c r="B1246" t="s">
        <v>41</v>
      </c>
      <c r="C1246" t="s">
        <v>41</v>
      </c>
      <c r="D1246" t="s">
        <v>282</v>
      </c>
      <c r="E1246">
        <v>4782</v>
      </c>
      <c r="F1246">
        <v>9.5085439645214695E-2</v>
      </c>
      <c r="G1246">
        <v>454.698572383417</v>
      </c>
      <c r="H1246" t="s">
        <v>394</v>
      </c>
    </row>
    <row r="1247" spans="1:8" ht="15" customHeight="1" x14ac:dyDescent="0.3">
      <c r="A1247" t="s">
        <v>598</v>
      </c>
      <c r="B1247" t="s">
        <v>41</v>
      </c>
      <c r="C1247" t="s">
        <v>41</v>
      </c>
      <c r="D1247" t="s">
        <v>287</v>
      </c>
      <c r="E1247">
        <v>6445</v>
      </c>
      <c r="F1247">
        <v>9.2647970745677294E-2</v>
      </c>
      <c r="G1247">
        <v>597.11617145589003</v>
      </c>
      <c r="H1247" t="s">
        <v>394</v>
      </c>
    </row>
    <row r="1248" spans="1:8" ht="15" customHeight="1" x14ac:dyDescent="0.3">
      <c r="A1248" t="s">
        <v>598</v>
      </c>
      <c r="B1248" t="s">
        <v>41</v>
      </c>
      <c r="C1248" t="s">
        <v>41</v>
      </c>
      <c r="D1248" t="s">
        <v>284</v>
      </c>
      <c r="E1248">
        <v>14441</v>
      </c>
      <c r="F1248">
        <v>9.2647970745677294E-2</v>
      </c>
      <c r="G1248">
        <v>1337.9293455383299</v>
      </c>
      <c r="H1248" t="s">
        <v>394</v>
      </c>
    </row>
    <row r="1249" spans="1:8" ht="15" customHeight="1" x14ac:dyDescent="0.3">
      <c r="A1249" t="s">
        <v>598</v>
      </c>
      <c r="B1249" t="s">
        <v>41</v>
      </c>
      <c r="C1249" t="s">
        <v>41</v>
      </c>
      <c r="D1249" t="s">
        <v>293</v>
      </c>
      <c r="E1249">
        <v>3704</v>
      </c>
      <c r="F1249">
        <v>9.2647970745677294E-2</v>
      </c>
      <c r="G1249">
        <v>343.16808364198903</v>
      </c>
      <c r="H1249" t="s">
        <v>394</v>
      </c>
    </row>
    <row r="1250" spans="1:8" ht="15" customHeight="1" x14ac:dyDescent="0.3">
      <c r="A1250" t="s">
        <v>598</v>
      </c>
      <c r="B1250" t="s">
        <v>41</v>
      </c>
      <c r="C1250" t="s">
        <v>41</v>
      </c>
      <c r="D1250" t="s">
        <v>290</v>
      </c>
      <c r="E1250">
        <v>6434</v>
      </c>
      <c r="F1250">
        <v>9.2647970745677294E-2</v>
      </c>
      <c r="G1250">
        <v>596.09704377768799</v>
      </c>
      <c r="H1250" t="s">
        <v>394</v>
      </c>
    </row>
    <row r="1251" spans="1:8" ht="15" customHeight="1" x14ac:dyDescent="0.3">
      <c r="A1251" t="s">
        <v>598</v>
      </c>
      <c r="B1251" t="s">
        <v>41</v>
      </c>
      <c r="C1251" t="s">
        <v>41</v>
      </c>
      <c r="D1251" t="s">
        <v>285</v>
      </c>
      <c r="E1251">
        <v>4749</v>
      </c>
      <c r="F1251">
        <v>9.2647970745677294E-2</v>
      </c>
      <c r="G1251">
        <v>439.98521307122201</v>
      </c>
      <c r="H1251" t="s">
        <v>394</v>
      </c>
    </row>
    <row r="1252" spans="1:8" ht="15" customHeight="1" x14ac:dyDescent="0.3">
      <c r="A1252" t="s">
        <v>598</v>
      </c>
      <c r="B1252" t="s">
        <v>41</v>
      </c>
      <c r="C1252" t="s">
        <v>41</v>
      </c>
      <c r="D1252" t="s">
        <v>282</v>
      </c>
      <c r="E1252">
        <v>4795</v>
      </c>
      <c r="F1252">
        <v>9.2647970745677294E-2</v>
      </c>
      <c r="G1252">
        <v>444.24701972552299</v>
      </c>
      <c r="H1252" t="s">
        <v>394</v>
      </c>
    </row>
    <row r="1253" spans="1:8" ht="15" customHeight="1" x14ac:dyDescent="0.3">
      <c r="A1253" t="s">
        <v>625</v>
      </c>
      <c r="B1253" t="s">
        <v>41</v>
      </c>
      <c r="C1253" t="s">
        <v>41</v>
      </c>
      <c r="D1253" t="s">
        <v>287</v>
      </c>
      <c r="E1253">
        <v>6588</v>
      </c>
      <c r="F1253">
        <v>9.9740720885796399E-2</v>
      </c>
      <c r="G1253">
        <v>657.09186919562705</v>
      </c>
      <c r="H1253" t="s">
        <v>394</v>
      </c>
    </row>
    <row r="1254" spans="1:8" ht="15" customHeight="1" x14ac:dyDescent="0.3">
      <c r="A1254" t="s">
        <v>625</v>
      </c>
      <c r="B1254" t="s">
        <v>41</v>
      </c>
      <c r="C1254" t="s">
        <v>41</v>
      </c>
      <c r="D1254" t="s">
        <v>284</v>
      </c>
      <c r="E1254">
        <v>14689</v>
      </c>
      <c r="F1254">
        <v>9.9740720885796399E-2</v>
      </c>
      <c r="G1254">
        <v>1465.0914490914599</v>
      </c>
      <c r="H1254" t="s">
        <v>394</v>
      </c>
    </row>
    <row r="1255" spans="1:8" ht="14.25" customHeight="1" x14ac:dyDescent="0.3">
      <c r="A1255" t="s">
        <v>625</v>
      </c>
      <c r="B1255" t="s">
        <v>41</v>
      </c>
      <c r="C1255" t="s">
        <v>41</v>
      </c>
      <c r="D1255" t="s">
        <v>293</v>
      </c>
      <c r="E1255">
        <v>3765</v>
      </c>
      <c r="F1255">
        <v>9.9740720885796399E-2</v>
      </c>
      <c r="G1255">
        <v>375.52381413502297</v>
      </c>
      <c r="H1255" t="s">
        <v>394</v>
      </c>
    </row>
    <row r="1256" spans="1:8" ht="14.25" customHeight="1" x14ac:dyDescent="0.3">
      <c r="A1256" t="s">
        <v>625</v>
      </c>
      <c r="B1256" t="s">
        <v>41</v>
      </c>
      <c r="C1256" t="s">
        <v>41</v>
      </c>
      <c r="D1256" t="s">
        <v>290</v>
      </c>
      <c r="E1256">
        <v>6568</v>
      </c>
      <c r="F1256">
        <v>9.9740720885796399E-2</v>
      </c>
      <c r="G1256">
        <v>655.09705477791101</v>
      </c>
      <c r="H1256" t="s">
        <v>394</v>
      </c>
    </row>
    <row r="1257" spans="1:8" ht="14.25" customHeight="1" x14ac:dyDescent="0.3">
      <c r="A1257" t="s">
        <v>625</v>
      </c>
      <c r="B1257" t="s">
        <v>41</v>
      </c>
      <c r="C1257" t="s">
        <v>41</v>
      </c>
      <c r="D1257" t="s">
        <v>285</v>
      </c>
      <c r="E1257">
        <v>4805</v>
      </c>
      <c r="F1257">
        <v>9.9740720885796399E-2</v>
      </c>
      <c r="G1257">
        <v>479.25416385625198</v>
      </c>
      <c r="H1257" t="s">
        <v>394</v>
      </c>
    </row>
    <row r="1258" spans="1:8" ht="14.25" customHeight="1" x14ac:dyDescent="0.3">
      <c r="A1258" t="s">
        <v>625</v>
      </c>
      <c r="B1258" t="s">
        <v>41</v>
      </c>
      <c r="C1258" t="s">
        <v>41</v>
      </c>
      <c r="D1258" t="s">
        <v>282</v>
      </c>
      <c r="E1258">
        <v>4806</v>
      </c>
      <c r="F1258">
        <v>9.9740720885796399E-2</v>
      </c>
      <c r="G1258">
        <v>479.353904577138</v>
      </c>
      <c r="H1258" t="s">
        <v>394</v>
      </c>
    </row>
    <row r="1259" spans="1:8" ht="14.25" customHeight="1" x14ac:dyDescent="0.3">
      <c r="A1259" t="s">
        <v>650</v>
      </c>
      <c r="B1259" t="s">
        <v>43</v>
      </c>
      <c r="C1259" t="s">
        <v>43</v>
      </c>
      <c r="D1259" t="s">
        <v>287</v>
      </c>
      <c r="E1259">
        <v>6647</v>
      </c>
      <c r="F1259">
        <v>0.128580108535781</v>
      </c>
      <c r="G1259">
        <v>854.67198143733594</v>
      </c>
      <c r="H1259" t="s">
        <v>394</v>
      </c>
    </row>
    <row r="1260" spans="1:8" ht="14.25" customHeight="1" x14ac:dyDescent="0.3">
      <c r="A1260" t="s">
        <v>650</v>
      </c>
      <c r="B1260" t="s">
        <v>43</v>
      </c>
      <c r="C1260" t="s">
        <v>43</v>
      </c>
      <c r="D1260" t="s">
        <v>293</v>
      </c>
      <c r="E1260">
        <v>3735</v>
      </c>
      <c r="F1260">
        <v>0.128580108535781</v>
      </c>
      <c r="G1260">
        <v>480.24670538114202</v>
      </c>
      <c r="H1260" t="s">
        <v>394</v>
      </c>
    </row>
    <row r="1261" spans="1:8" ht="14.25" customHeight="1" x14ac:dyDescent="0.3">
      <c r="A1261" t="s">
        <v>650</v>
      </c>
      <c r="B1261" t="s">
        <v>43</v>
      </c>
      <c r="C1261" t="s">
        <v>43</v>
      </c>
      <c r="D1261" t="s">
        <v>290</v>
      </c>
      <c r="E1261">
        <v>6601</v>
      </c>
      <c r="F1261">
        <v>0.128580108535781</v>
      </c>
      <c r="G1261">
        <v>848.75729644469004</v>
      </c>
      <c r="H1261" t="s">
        <v>394</v>
      </c>
    </row>
    <row r="1262" spans="1:8" ht="14.25" customHeight="1" x14ac:dyDescent="0.3">
      <c r="A1262" t="s">
        <v>650</v>
      </c>
      <c r="B1262" t="s">
        <v>43</v>
      </c>
      <c r="C1262" t="s">
        <v>43</v>
      </c>
      <c r="D1262" t="s">
        <v>284</v>
      </c>
      <c r="E1262">
        <v>14697</v>
      </c>
      <c r="F1262">
        <v>0.128580108535781</v>
      </c>
      <c r="G1262">
        <v>1889.7418551503699</v>
      </c>
      <c r="H1262" t="s">
        <v>394</v>
      </c>
    </row>
    <row r="1263" spans="1:8" ht="14.25" customHeight="1" x14ac:dyDescent="0.3">
      <c r="A1263" t="s">
        <v>650</v>
      </c>
      <c r="B1263" t="s">
        <v>43</v>
      </c>
      <c r="C1263" t="s">
        <v>43</v>
      </c>
      <c r="D1263" t="s">
        <v>285</v>
      </c>
      <c r="E1263">
        <v>4789</v>
      </c>
      <c r="F1263">
        <v>0.128580108535781</v>
      </c>
      <c r="G1263">
        <v>615.77013977785498</v>
      </c>
      <c r="H1263" t="s">
        <v>394</v>
      </c>
    </row>
    <row r="1264" spans="1:8" ht="14.25" customHeight="1" x14ac:dyDescent="0.3">
      <c r="A1264" t="s">
        <v>650</v>
      </c>
      <c r="B1264" t="s">
        <v>43</v>
      </c>
      <c r="C1264" t="s">
        <v>43</v>
      </c>
      <c r="D1264" t="s">
        <v>282</v>
      </c>
      <c r="E1264">
        <v>4796</v>
      </c>
      <c r="F1264">
        <v>0.128580108535781</v>
      </c>
      <c r="G1264">
        <v>616.67020053760598</v>
      </c>
      <c r="H1264" t="s">
        <v>394</v>
      </c>
    </row>
    <row r="1265" spans="1:8" ht="14.25" customHeight="1" x14ac:dyDescent="0.3">
      <c r="A1265" t="s">
        <v>650</v>
      </c>
      <c r="B1265" t="s">
        <v>31</v>
      </c>
      <c r="C1265" t="s">
        <v>31</v>
      </c>
      <c r="D1265" t="s">
        <v>287</v>
      </c>
      <c r="E1265">
        <v>6647</v>
      </c>
      <c r="F1265">
        <v>0.21704011766495901</v>
      </c>
      <c r="G1265">
        <v>1442.66566211898</v>
      </c>
      <c r="H1265" t="s">
        <v>394</v>
      </c>
    </row>
    <row r="1266" spans="1:8" ht="14.25" customHeight="1" x14ac:dyDescent="0.3">
      <c r="A1266" t="s">
        <v>650</v>
      </c>
      <c r="B1266" t="s">
        <v>31</v>
      </c>
      <c r="C1266" t="s">
        <v>31</v>
      </c>
      <c r="D1266" t="s">
        <v>289</v>
      </c>
      <c r="E1266">
        <v>13510</v>
      </c>
      <c r="F1266">
        <v>0.21704011766495901</v>
      </c>
      <c r="G1266">
        <v>2932.2119896536001</v>
      </c>
      <c r="H1266" t="s">
        <v>394</v>
      </c>
    </row>
    <row r="1267" spans="1:8" ht="14.25" customHeight="1" x14ac:dyDescent="0.3">
      <c r="A1267" t="s">
        <v>650</v>
      </c>
      <c r="B1267" t="s">
        <v>31</v>
      </c>
      <c r="C1267" t="s">
        <v>31</v>
      </c>
      <c r="D1267" t="s">
        <v>293</v>
      </c>
      <c r="E1267">
        <v>3735</v>
      </c>
      <c r="F1267">
        <v>0.21704011766495901</v>
      </c>
      <c r="G1267">
        <v>810.64483947862198</v>
      </c>
      <c r="H1267" t="s">
        <v>394</v>
      </c>
    </row>
    <row r="1268" spans="1:8" ht="14.25" customHeight="1" x14ac:dyDescent="0.3">
      <c r="A1268" t="s">
        <v>650</v>
      </c>
      <c r="B1268" t="s">
        <v>31</v>
      </c>
      <c r="C1268" t="s">
        <v>31</v>
      </c>
      <c r="D1268" t="s">
        <v>290</v>
      </c>
      <c r="E1268">
        <v>6601</v>
      </c>
      <c r="F1268">
        <v>0.21704011766495901</v>
      </c>
      <c r="G1268">
        <v>1432.68181670639</v>
      </c>
      <c r="H1268" t="s">
        <v>394</v>
      </c>
    </row>
    <row r="1269" spans="1:8" ht="14.25" customHeight="1" x14ac:dyDescent="0.3">
      <c r="A1269" t="s">
        <v>650</v>
      </c>
      <c r="B1269" t="s">
        <v>31</v>
      </c>
      <c r="C1269" t="s">
        <v>31</v>
      </c>
      <c r="D1269" t="s">
        <v>284</v>
      </c>
      <c r="E1269">
        <v>14697</v>
      </c>
      <c r="F1269">
        <v>0.21704011766495901</v>
      </c>
      <c r="G1269">
        <v>3189.8386093219001</v>
      </c>
      <c r="H1269" t="s">
        <v>394</v>
      </c>
    </row>
    <row r="1270" spans="1:8" ht="14.25" customHeight="1" x14ac:dyDescent="0.3">
      <c r="A1270" t="s">
        <v>650</v>
      </c>
      <c r="B1270" t="s">
        <v>31</v>
      </c>
      <c r="C1270" t="s">
        <v>31</v>
      </c>
      <c r="D1270" t="s">
        <v>285</v>
      </c>
      <c r="E1270">
        <v>4789</v>
      </c>
      <c r="F1270">
        <v>0.21704011766495901</v>
      </c>
      <c r="G1270">
        <v>1039.40512349749</v>
      </c>
      <c r="H1270" t="s">
        <v>394</v>
      </c>
    </row>
    <row r="1271" spans="1:8" ht="14.25" customHeight="1" x14ac:dyDescent="0.3">
      <c r="A1271" t="s">
        <v>650</v>
      </c>
      <c r="B1271" t="s">
        <v>31</v>
      </c>
      <c r="C1271" t="s">
        <v>31</v>
      </c>
      <c r="D1271" t="s">
        <v>282</v>
      </c>
      <c r="E1271">
        <v>4796</v>
      </c>
      <c r="F1271">
        <v>0.21704011766495901</v>
      </c>
      <c r="G1271">
        <v>1040.9244043211399</v>
      </c>
      <c r="H1271" t="s">
        <v>394</v>
      </c>
    </row>
    <row r="1272" spans="1:8" ht="14.25" customHeight="1" x14ac:dyDescent="0.3">
      <c r="A1272" t="s">
        <v>650</v>
      </c>
      <c r="B1272" t="s">
        <v>395</v>
      </c>
      <c r="C1272" t="s">
        <v>86</v>
      </c>
      <c r="D1272" t="s">
        <v>287</v>
      </c>
      <c r="E1272">
        <v>6647</v>
      </c>
      <c r="F1272">
        <v>0.22106451285692599</v>
      </c>
      <c r="G1272">
        <v>1469.41581695999</v>
      </c>
      <c r="H1272" t="s">
        <v>394</v>
      </c>
    </row>
    <row r="1273" spans="1:8" ht="14.25" customHeight="1" x14ac:dyDescent="0.3">
      <c r="A1273" t="s">
        <v>650</v>
      </c>
      <c r="B1273" t="s">
        <v>395</v>
      </c>
      <c r="C1273" t="s">
        <v>86</v>
      </c>
      <c r="D1273" t="s">
        <v>289</v>
      </c>
      <c r="E1273">
        <v>13510</v>
      </c>
      <c r="F1273">
        <v>0.22106451285692599</v>
      </c>
      <c r="G1273">
        <v>2986.58156869707</v>
      </c>
      <c r="H1273" t="s">
        <v>394</v>
      </c>
    </row>
    <row r="1274" spans="1:8" ht="14.25" customHeight="1" x14ac:dyDescent="0.3">
      <c r="A1274" t="s">
        <v>650</v>
      </c>
      <c r="B1274" t="s">
        <v>395</v>
      </c>
      <c r="C1274" t="s">
        <v>86</v>
      </c>
      <c r="D1274" t="s">
        <v>293</v>
      </c>
      <c r="E1274">
        <v>3735</v>
      </c>
      <c r="F1274">
        <v>0.22106451285692599</v>
      </c>
      <c r="G1274">
        <v>825.67595552061903</v>
      </c>
      <c r="H1274" t="s">
        <v>394</v>
      </c>
    </row>
    <row r="1275" spans="1:8" ht="14.25" customHeight="1" x14ac:dyDescent="0.3">
      <c r="A1275" t="s">
        <v>650</v>
      </c>
      <c r="B1275" t="s">
        <v>395</v>
      </c>
      <c r="C1275" t="s">
        <v>86</v>
      </c>
      <c r="D1275" t="s">
        <v>290</v>
      </c>
      <c r="E1275">
        <v>6601</v>
      </c>
      <c r="F1275">
        <v>0.22106451285692599</v>
      </c>
      <c r="G1275">
        <v>1459.2468493685701</v>
      </c>
      <c r="H1275" t="s">
        <v>394</v>
      </c>
    </row>
    <row r="1276" spans="1:8" ht="14.25" customHeight="1" x14ac:dyDescent="0.3">
      <c r="A1276" t="s">
        <v>650</v>
      </c>
      <c r="B1276" t="s">
        <v>395</v>
      </c>
      <c r="C1276" t="s">
        <v>86</v>
      </c>
      <c r="D1276" t="s">
        <v>284</v>
      </c>
      <c r="E1276">
        <v>14697</v>
      </c>
      <c r="F1276">
        <v>0.22106451285692599</v>
      </c>
      <c r="G1276">
        <v>3248.9851454582399</v>
      </c>
      <c r="H1276" t="s">
        <v>394</v>
      </c>
    </row>
    <row r="1277" spans="1:8" ht="14.25" customHeight="1" x14ac:dyDescent="0.3">
      <c r="A1277" t="s">
        <v>650</v>
      </c>
      <c r="B1277" t="s">
        <v>395</v>
      </c>
      <c r="C1277" t="s">
        <v>86</v>
      </c>
      <c r="D1277" t="s">
        <v>285</v>
      </c>
      <c r="E1277">
        <v>4789</v>
      </c>
      <c r="F1277">
        <v>0.22106451285692599</v>
      </c>
      <c r="G1277">
        <v>1058.6779520718201</v>
      </c>
      <c r="H1277" t="s">
        <v>394</v>
      </c>
    </row>
    <row r="1278" spans="1:8" ht="14.25" customHeight="1" x14ac:dyDescent="0.3">
      <c r="A1278" t="s">
        <v>650</v>
      </c>
      <c r="B1278" t="s">
        <v>395</v>
      </c>
      <c r="C1278" t="s">
        <v>86</v>
      </c>
      <c r="D1278" t="s">
        <v>282</v>
      </c>
      <c r="E1278">
        <v>4796</v>
      </c>
      <c r="F1278">
        <v>0.22106451285692599</v>
      </c>
      <c r="G1278">
        <v>1060.2254036618201</v>
      </c>
      <c r="H1278" t="s">
        <v>394</v>
      </c>
    </row>
    <row r="1279" spans="1:8" ht="14.25" customHeight="1" x14ac:dyDescent="0.3">
      <c r="A1279" t="s">
        <v>650</v>
      </c>
      <c r="B1279" t="s">
        <v>81</v>
      </c>
      <c r="C1279" t="s">
        <v>81</v>
      </c>
      <c r="D1279" t="s">
        <v>287</v>
      </c>
      <c r="E1279">
        <v>6647</v>
      </c>
      <c r="F1279">
        <v>7.3867069026728197E-2</v>
      </c>
      <c r="G1279">
        <v>490.99440782066199</v>
      </c>
      <c r="H1279" t="s">
        <v>394</v>
      </c>
    </row>
    <row r="1280" spans="1:8" ht="14.25" customHeight="1" x14ac:dyDescent="0.3">
      <c r="A1280" t="s">
        <v>650</v>
      </c>
      <c r="B1280" t="s">
        <v>81</v>
      </c>
      <c r="C1280" t="s">
        <v>81</v>
      </c>
      <c r="D1280" t="s">
        <v>289</v>
      </c>
      <c r="E1280">
        <v>13510</v>
      </c>
      <c r="F1280">
        <v>7.3867069026728197E-2</v>
      </c>
      <c r="G1280">
        <v>997.94410255109801</v>
      </c>
      <c r="H1280" t="s">
        <v>394</v>
      </c>
    </row>
    <row r="1281" spans="1:8" ht="14.25" customHeight="1" x14ac:dyDescent="0.3">
      <c r="A1281" t="s">
        <v>650</v>
      </c>
      <c r="B1281" t="s">
        <v>81</v>
      </c>
      <c r="C1281" t="s">
        <v>81</v>
      </c>
      <c r="D1281" t="s">
        <v>293</v>
      </c>
      <c r="E1281">
        <v>3735</v>
      </c>
      <c r="F1281">
        <v>7.3867069026728197E-2</v>
      </c>
      <c r="G1281">
        <v>275.89350281483001</v>
      </c>
      <c r="H1281" t="s">
        <v>394</v>
      </c>
    </row>
    <row r="1282" spans="1:8" ht="14.25" customHeight="1" x14ac:dyDescent="0.3">
      <c r="A1282" t="s">
        <v>650</v>
      </c>
      <c r="B1282" t="s">
        <v>81</v>
      </c>
      <c r="C1282" t="s">
        <v>81</v>
      </c>
      <c r="D1282" t="s">
        <v>290</v>
      </c>
      <c r="E1282">
        <v>6601</v>
      </c>
      <c r="F1282">
        <v>7.3867069026728197E-2</v>
      </c>
      <c r="G1282">
        <v>487.59652264543303</v>
      </c>
      <c r="H1282" t="s">
        <v>394</v>
      </c>
    </row>
    <row r="1283" spans="1:8" ht="14.25" customHeight="1" x14ac:dyDescent="0.3">
      <c r="A1283" t="s">
        <v>650</v>
      </c>
      <c r="B1283" t="s">
        <v>81</v>
      </c>
      <c r="C1283" t="s">
        <v>81</v>
      </c>
      <c r="D1283" t="s">
        <v>284</v>
      </c>
      <c r="E1283">
        <v>14697</v>
      </c>
      <c r="F1283">
        <v>7.3867069026728197E-2</v>
      </c>
      <c r="G1283">
        <v>1085.62431348582</v>
      </c>
      <c r="H1283" t="s">
        <v>394</v>
      </c>
    </row>
    <row r="1284" spans="1:8" ht="14.25" customHeight="1" x14ac:dyDescent="0.3">
      <c r="A1284" t="s">
        <v>650</v>
      </c>
      <c r="B1284" t="s">
        <v>81</v>
      </c>
      <c r="C1284" t="s">
        <v>81</v>
      </c>
      <c r="D1284" t="s">
        <v>285</v>
      </c>
      <c r="E1284">
        <v>4789</v>
      </c>
      <c r="F1284">
        <v>7.3867069026728197E-2</v>
      </c>
      <c r="G1284">
        <v>353.74939356900097</v>
      </c>
      <c r="H1284" t="s">
        <v>394</v>
      </c>
    </row>
    <row r="1285" spans="1:8" ht="14.25" customHeight="1" x14ac:dyDescent="0.3">
      <c r="A1285" t="s">
        <v>650</v>
      </c>
      <c r="B1285" t="s">
        <v>81</v>
      </c>
      <c r="C1285" t="s">
        <v>81</v>
      </c>
      <c r="D1285" t="s">
        <v>282</v>
      </c>
      <c r="E1285">
        <v>4796</v>
      </c>
      <c r="F1285">
        <v>7.3867069026728197E-2</v>
      </c>
      <c r="G1285">
        <v>354.26646305218799</v>
      </c>
      <c r="H1285" t="s">
        <v>394</v>
      </c>
    </row>
    <row r="1286" spans="1:8" ht="14.25" customHeight="1" x14ac:dyDescent="0.3">
      <c r="A1286" t="s">
        <v>650</v>
      </c>
      <c r="B1286" t="s">
        <v>85</v>
      </c>
      <c r="C1286" t="s">
        <v>645</v>
      </c>
      <c r="D1286" t="s">
        <v>287</v>
      </c>
      <c r="E1286">
        <v>6647</v>
      </c>
      <c r="F1286">
        <v>0.32786204797890101</v>
      </c>
      <c r="G1286">
        <v>2179.2990329157601</v>
      </c>
      <c r="H1286" t="s">
        <v>394</v>
      </c>
    </row>
    <row r="1287" spans="1:8" ht="14.25" customHeight="1" x14ac:dyDescent="0.3">
      <c r="A1287" t="s">
        <v>650</v>
      </c>
      <c r="B1287" t="s">
        <v>85</v>
      </c>
      <c r="C1287" t="s">
        <v>645</v>
      </c>
      <c r="D1287" t="s">
        <v>289</v>
      </c>
      <c r="E1287">
        <v>13510</v>
      </c>
      <c r="F1287">
        <v>0.32786204797890101</v>
      </c>
      <c r="G1287">
        <v>4429.4162681949501</v>
      </c>
      <c r="H1287" t="s">
        <v>394</v>
      </c>
    </row>
    <row r="1288" spans="1:8" ht="14.25" customHeight="1" x14ac:dyDescent="0.3">
      <c r="A1288" t="s">
        <v>650</v>
      </c>
      <c r="B1288" t="s">
        <v>85</v>
      </c>
      <c r="C1288" t="s">
        <v>645</v>
      </c>
      <c r="D1288" t="s">
        <v>293</v>
      </c>
      <c r="E1288">
        <v>3735</v>
      </c>
      <c r="F1288">
        <v>0.32786204797890101</v>
      </c>
      <c r="G1288">
        <v>1224.5647492011999</v>
      </c>
      <c r="H1288" t="s">
        <v>394</v>
      </c>
    </row>
    <row r="1289" spans="1:8" ht="14.25" customHeight="1" x14ac:dyDescent="0.3">
      <c r="A1289" t="s">
        <v>650</v>
      </c>
      <c r="B1289" t="s">
        <v>85</v>
      </c>
      <c r="C1289" t="s">
        <v>645</v>
      </c>
      <c r="D1289" t="s">
        <v>290</v>
      </c>
      <c r="E1289">
        <v>6601</v>
      </c>
      <c r="F1289">
        <v>0.32786204797890101</v>
      </c>
      <c r="G1289">
        <v>2164.2173787087299</v>
      </c>
      <c r="H1289" t="s">
        <v>394</v>
      </c>
    </row>
    <row r="1290" spans="1:8" ht="14.25" customHeight="1" x14ac:dyDescent="0.3">
      <c r="A1290" t="s">
        <v>650</v>
      </c>
      <c r="B1290" t="s">
        <v>85</v>
      </c>
      <c r="C1290" t="s">
        <v>645</v>
      </c>
      <c r="D1290" t="s">
        <v>284</v>
      </c>
      <c r="E1290">
        <v>14697</v>
      </c>
      <c r="F1290">
        <v>0.32786204797890101</v>
      </c>
      <c r="G1290">
        <v>4818.5885191459101</v>
      </c>
      <c r="H1290" t="s">
        <v>394</v>
      </c>
    </row>
    <row r="1291" spans="1:8" ht="14.25" customHeight="1" x14ac:dyDescent="0.3">
      <c r="A1291" t="s">
        <v>650</v>
      </c>
      <c r="B1291" t="s">
        <v>85</v>
      </c>
      <c r="C1291" t="s">
        <v>645</v>
      </c>
      <c r="D1291" t="s">
        <v>285</v>
      </c>
      <c r="E1291">
        <v>4789</v>
      </c>
      <c r="F1291">
        <v>0.32786204797890101</v>
      </c>
      <c r="G1291">
        <v>1570.13134777096</v>
      </c>
      <c r="H1291" t="s">
        <v>394</v>
      </c>
    </row>
    <row r="1292" spans="1:8" ht="14.25" customHeight="1" x14ac:dyDescent="0.3">
      <c r="A1292" t="s">
        <v>650</v>
      </c>
      <c r="B1292" t="s">
        <v>85</v>
      </c>
      <c r="C1292" t="s">
        <v>645</v>
      </c>
      <c r="D1292" t="s">
        <v>282</v>
      </c>
      <c r="E1292">
        <v>4796</v>
      </c>
      <c r="F1292">
        <v>0.32786204797890101</v>
      </c>
      <c r="G1292">
        <v>1572.42638210681</v>
      </c>
      <c r="H1292" t="s">
        <v>394</v>
      </c>
    </row>
    <row r="1293" spans="1:8" ht="14.25" customHeight="1" x14ac:dyDescent="0.3">
      <c r="A1293" t="s">
        <v>650</v>
      </c>
      <c r="B1293" t="s">
        <v>87</v>
      </c>
      <c r="C1293" t="s">
        <v>644</v>
      </c>
      <c r="D1293" t="s">
        <v>287</v>
      </c>
      <c r="E1293">
        <v>6647</v>
      </c>
      <c r="F1293">
        <v>0.18198848709235699</v>
      </c>
      <c r="G1293">
        <v>1209.6774737029</v>
      </c>
      <c r="H1293" t="s">
        <v>394</v>
      </c>
    </row>
    <row r="1294" spans="1:8" ht="14.25" customHeight="1" x14ac:dyDescent="0.3">
      <c r="A1294" t="s">
        <v>650</v>
      </c>
      <c r="B1294" t="s">
        <v>87</v>
      </c>
      <c r="C1294" t="s">
        <v>644</v>
      </c>
      <c r="D1294" t="s">
        <v>293</v>
      </c>
      <c r="E1294">
        <v>3735</v>
      </c>
      <c r="F1294">
        <v>0.18198848709235699</v>
      </c>
      <c r="G1294">
        <v>679.72699928995303</v>
      </c>
      <c r="H1294" t="s">
        <v>394</v>
      </c>
    </row>
    <row r="1295" spans="1:8" ht="14.25" customHeight="1" x14ac:dyDescent="0.3">
      <c r="A1295" t="s">
        <v>650</v>
      </c>
      <c r="B1295" t="s">
        <v>87</v>
      </c>
      <c r="C1295" t="s">
        <v>644</v>
      </c>
      <c r="D1295" t="s">
        <v>290</v>
      </c>
      <c r="E1295">
        <v>6601</v>
      </c>
      <c r="F1295">
        <v>0.18198848709235699</v>
      </c>
      <c r="G1295">
        <v>1201.30600329665</v>
      </c>
      <c r="H1295" t="s">
        <v>394</v>
      </c>
    </row>
    <row r="1296" spans="1:8" ht="14.25" customHeight="1" x14ac:dyDescent="0.3">
      <c r="A1296" t="s">
        <v>650</v>
      </c>
      <c r="B1296" t="s">
        <v>87</v>
      </c>
      <c r="C1296" t="s">
        <v>644</v>
      </c>
      <c r="D1296" t="s">
        <v>284</v>
      </c>
      <c r="E1296">
        <v>14697</v>
      </c>
      <c r="F1296">
        <v>0.18198848709235699</v>
      </c>
      <c r="G1296">
        <v>2674.6847947963702</v>
      </c>
      <c r="H1296" t="s">
        <v>394</v>
      </c>
    </row>
    <row r="1297" spans="1:8" ht="14.25" customHeight="1" x14ac:dyDescent="0.3">
      <c r="A1297" t="s">
        <v>650</v>
      </c>
      <c r="B1297" t="s">
        <v>87</v>
      </c>
      <c r="C1297" t="s">
        <v>644</v>
      </c>
      <c r="D1297" t="s">
        <v>285</v>
      </c>
      <c r="E1297">
        <v>4789</v>
      </c>
      <c r="F1297">
        <v>0.18198848709235699</v>
      </c>
      <c r="G1297">
        <v>871.54286468529801</v>
      </c>
      <c r="H1297" t="s">
        <v>394</v>
      </c>
    </row>
    <row r="1298" spans="1:8" ht="14.25" customHeight="1" x14ac:dyDescent="0.3">
      <c r="A1298" t="s">
        <v>650</v>
      </c>
      <c r="B1298" t="s">
        <v>87</v>
      </c>
      <c r="C1298" t="s">
        <v>644</v>
      </c>
      <c r="D1298" t="s">
        <v>282</v>
      </c>
      <c r="E1298">
        <v>4796</v>
      </c>
      <c r="F1298">
        <v>0.18198848709235699</v>
      </c>
      <c r="G1298">
        <v>872.81678409494396</v>
      </c>
      <c r="H1298" t="s">
        <v>394</v>
      </c>
    </row>
    <row r="1299" spans="1:8" ht="14.25" customHeight="1" x14ac:dyDescent="0.3">
      <c r="A1299" t="s">
        <v>650</v>
      </c>
      <c r="B1299" t="s">
        <v>35</v>
      </c>
      <c r="C1299" t="s">
        <v>35</v>
      </c>
      <c r="D1299" t="s">
        <v>287</v>
      </c>
      <c r="E1299">
        <v>6647</v>
      </c>
      <c r="F1299">
        <v>0.116105036263123</v>
      </c>
      <c r="G1299">
        <v>771.750176040979</v>
      </c>
      <c r="H1299" t="s">
        <v>394</v>
      </c>
    </row>
    <row r="1300" spans="1:8" ht="14.25" customHeight="1" x14ac:dyDescent="0.3">
      <c r="A1300" t="s">
        <v>650</v>
      </c>
      <c r="B1300" t="s">
        <v>35</v>
      </c>
      <c r="C1300" t="s">
        <v>35</v>
      </c>
      <c r="D1300" t="s">
        <v>293</v>
      </c>
      <c r="E1300">
        <v>3735</v>
      </c>
      <c r="F1300">
        <v>0.116105036263123</v>
      </c>
      <c r="G1300">
        <v>433.65231044276402</v>
      </c>
      <c r="H1300" t="s">
        <v>394</v>
      </c>
    </row>
    <row r="1301" spans="1:8" ht="14.25" customHeight="1" x14ac:dyDescent="0.3">
      <c r="A1301" t="s">
        <v>650</v>
      </c>
      <c r="B1301" t="s">
        <v>35</v>
      </c>
      <c r="C1301" t="s">
        <v>35</v>
      </c>
      <c r="D1301" t="s">
        <v>290</v>
      </c>
      <c r="E1301">
        <v>6601</v>
      </c>
      <c r="F1301">
        <v>0.116105036263123</v>
      </c>
      <c r="G1301">
        <v>766.40934437287501</v>
      </c>
      <c r="H1301" t="s">
        <v>394</v>
      </c>
    </row>
    <row r="1302" spans="1:8" ht="14.25" customHeight="1" x14ac:dyDescent="0.3">
      <c r="A1302" t="s">
        <v>650</v>
      </c>
      <c r="B1302" t="s">
        <v>35</v>
      </c>
      <c r="C1302" t="s">
        <v>35</v>
      </c>
      <c r="D1302" t="s">
        <v>284</v>
      </c>
      <c r="E1302">
        <v>14697</v>
      </c>
      <c r="F1302">
        <v>0.116105036263123</v>
      </c>
      <c r="G1302">
        <v>1706.39571795912</v>
      </c>
      <c r="H1302" t="s">
        <v>394</v>
      </c>
    </row>
    <row r="1303" spans="1:8" ht="14.25" customHeight="1" x14ac:dyDescent="0.3">
      <c r="A1303" t="s">
        <v>650</v>
      </c>
      <c r="B1303" t="s">
        <v>35</v>
      </c>
      <c r="C1303" t="s">
        <v>35</v>
      </c>
      <c r="D1303" t="s">
        <v>285</v>
      </c>
      <c r="E1303">
        <v>4789</v>
      </c>
      <c r="F1303">
        <v>0.116105036263123</v>
      </c>
      <c r="G1303">
        <v>556.02701866409598</v>
      </c>
      <c r="H1303" t="s">
        <v>394</v>
      </c>
    </row>
    <row r="1304" spans="1:8" ht="14.25" customHeight="1" x14ac:dyDescent="0.3">
      <c r="A1304" t="s">
        <v>650</v>
      </c>
      <c r="B1304" t="s">
        <v>35</v>
      </c>
      <c r="C1304" t="s">
        <v>35</v>
      </c>
      <c r="D1304" t="s">
        <v>282</v>
      </c>
      <c r="E1304">
        <v>4796</v>
      </c>
      <c r="F1304">
        <v>0.116105036263123</v>
      </c>
      <c r="G1304">
        <v>556.83975391793797</v>
      </c>
      <c r="H1304" t="s">
        <v>394</v>
      </c>
    </row>
    <row r="1305" spans="1:8" ht="14.25" customHeight="1" x14ac:dyDescent="0.3">
      <c r="A1305" t="s">
        <v>650</v>
      </c>
      <c r="B1305" t="s">
        <v>78</v>
      </c>
      <c r="C1305" t="s">
        <v>407</v>
      </c>
      <c r="D1305" t="s">
        <v>293</v>
      </c>
      <c r="E1305">
        <v>3735</v>
      </c>
      <c r="F1305">
        <v>0.369409088603743</v>
      </c>
      <c r="G1305">
        <v>1379.7429459349801</v>
      </c>
      <c r="H1305" t="s">
        <v>394</v>
      </c>
    </row>
    <row r="1306" spans="1:8" ht="14.25" customHeight="1" x14ac:dyDescent="0.3">
      <c r="A1306" t="s">
        <v>650</v>
      </c>
      <c r="B1306" t="s">
        <v>78</v>
      </c>
      <c r="C1306" t="s">
        <v>407</v>
      </c>
      <c r="D1306" t="s">
        <v>284</v>
      </c>
      <c r="E1306">
        <v>14697</v>
      </c>
      <c r="F1306">
        <v>0.369409088603743</v>
      </c>
      <c r="G1306">
        <v>5429.2053752092097</v>
      </c>
      <c r="H1306" t="s">
        <v>394</v>
      </c>
    </row>
    <row r="1307" spans="1:8" ht="14.25" customHeight="1" x14ac:dyDescent="0.3">
      <c r="A1307" t="s">
        <v>650</v>
      </c>
      <c r="B1307" t="s">
        <v>78</v>
      </c>
      <c r="C1307" t="s">
        <v>407</v>
      </c>
      <c r="D1307" t="s">
        <v>282</v>
      </c>
      <c r="E1307">
        <v>4796</v>
      </c>
      <c r="F1307">
        <v>0.369409088603743</v>
      </c>
      <c r="G1307">
        <v>1771.68598894355</v>
      </c>
      <c r="H1307" t="s">
        <v>394</v>
      </c>
    </row>
    <row r="1308" spans="1:8" ht="14.25" customHeight="1" x14ac:dyDescent="0.3">
      <c r="A1308" t="s">
        <v>650</v>
      </c>
      <c r="B1308" t="s">
        <v>143</v>
      </c>
      <c r="C1308" t="s">
        <v>471</v>
      </c>
      <c r="D1308" t="s">
        <v>287</v>
      </c>
      <c r="E1308">
        <v>6647</v>
      </c>
      <c r="F1308">
        <v>0.23771319166201799</v>
      </c>
      <c r="G1308">
        <v>1580.0795849774299</v>
      </c>
      <c r="H1308" t="s">
        <v>394</v>
      </c>
    </row>
    <row r="1309" spans="1:8" ht="14.25" customHeight="1" x14ac:dyDescent="0.3">
      <c r="A1309" t="s">
        <v>650</v>
      </c>
      <c r="B1309" t="s">
        <v>143</v>
      </c>
      <c r="C1309" t="s">
        <v>471</v>
      </c>
      <c r="D1309" t="s">
        <v>289</v>
      </c>
      <c r="E1309">
        <v>13510</v>
      </c>
      <c r="F1309">
        <v>0.23771319166201799</v>
      </c>
      <c r="G1309">
        <v>3211.50521935386</v>
      </c>
      <c r="H1309" t="s">
        <v>394</v>
      </c>
    </row>
    <row r="1310" spans="1:8" ht="14.25" customHeight="1" x14ac:dyDescent="0.3">
      <c r="A1310" t="s">
        <v>650</v>
      </c>
      <c r="B1310" t="s">
        <v>143</v>
      </c>
      <c r="C1310" t="s">
        <v>471</v>
      </c>
      <c r="D1310" t="s">
        <v>293</v>
      </c>
      <c r="E1310">
        <v>3735</v>
      </c>
      <c r="F1310">
        <v>0.23771319166201799</v>
      </c>
      <c r="G1310">
        <v>887.85877085763696</v>
      </c>
      <c r="H1310" t="s">
        <v>394</v>
      </c>
    </row>
    <row r="1311" spans="1:8" ht="14.25" customHeight="1" x14ac:dyDescent="0.3">
      <c r="A1311" t="s">
        <v>650</v>
      </c>
      <c r="B1311" t="s">
        <v>143</v>
      </c>
      <c r="C1311" t="s">
        <v>471</v>
      </c>
      <c r="D1311" t="s">
        <v>290</v>
      </c>
      <c r="E1311">
        <v>6601</v>
      </c>
      <c r="F1311">
        <v>0.23771319166201799</v>
      </c>
      <c r="G1311">
        <v>1569.14477816098</v>
      </c>
      <c r="H1311" t="s">
        <v>394</v>
      </c>
    </row>
    <row r="1312" spans="1:8" ht="14.25" customHeight="1" x14ac:dyDescent="0.3">
      <c r="A1312" t="s">
        <v>650</v>
      </c>
      <c r="B1312" t="s">
        <v>143</v>
      </c>
      <c r="C1312" t="s">
        <v>471</v>
      </c>
      <c r="D1312" t="s">
        <v>284</v>
      </c>
      <c r="E1312">
        <v>14697</v>
      </c>
      <c r="F1312">
        <v>0.23771319166201799</v>
      </c>
      <c r="G1312">
        <v>3493.6707778566802</v>
      </c>
      <c r="H1312" t="s">
        <v>394</v>
      </c>
    </row>
    <row r="1313" spans="1:8" ht="14.25" customHeight="1" x14ac:dyDescent="0.3">
      <c r="A1313" t="s">
        <v>650</v>
      </c>
      <c r="B1313" t="s">
        <v>143</v>
      </c>
      <c r="C1313" t="s">
        <v>471</v>
      </c>
      <c r="D1313" t="s">
        <v>285</v>
      </c>
      <c r="E1313">
        <v>4789</v>
      </c>
      <c r="F1313">
        <v>0.23771319166201799</v>
      </c>
      <c r="G1313">
        <v>1138.4084748693999</v>
      </c>
      <c r="H1313" t="s">
        <v>394</v>
      </c>
    </row>
    <row r="1314" spans="1:8" ht="14.25" customHeight="1" x14ac:dyDescent="0.3">
      <c r="A1314" t="s">
        <v>650</v>
      </c>
      <c r="B1314" t="s">
        <v>143</v>
      </c>
      <c r="C1314" t="s">
        <v>471</v>
      </c>
      <c r="D1314" t="s">
        <v>282</v>
      </c>
      <c r="E1314">
        <v>4796</v>
      </c>
      <c r="F1314">
        <v>0.23771319166201799</v>
      </c>
      <c r="G1314">
        <v>1140.07246721104</v>
      </c>
      <c r="H1314" t="s">
        <v>394</v>
      </c>
    </row>
    <row r="1315" spans="1:8" ht="14.25" customHeight="1" x14ac:dyDescent="0.3">
      <c r="A1315" t="s">
        <v>650</v>
      </c>
      <c r="B1315" t="s">
        <v>40</v>
      </c>
      <c r="C1315" t="s">
        <v>40</v>
      </c>
      <c r="D1315" t="s">
        <v>287</v>
      </c>
      <c r="E1315">
        <v>6647</v>
      </c>
      <c r="F1315">
        <v>0.200781102601816</v>
      </c>
      <c r="G1315">
        <v>1334.59198899427</v>
      </c>
      <c r="H1315" t="s">
        <v>394</v>
      </c>
    </row>
    <row r="1316" spans="1:8" ht="14.25" customHeight="1" x14ac:dyDescent="0.3">
      <c r="A1316" t="s">
        <v>650</v>
      </c>
      <c r="B1316" t="s">
        <v>40</v>
      </c>
      <c r="C1316" t="s">
        <v>40</v>
      </c>
      <c r="D1316" t="s">
        <v>293</v>
      </c>
      <c r="E1316">
        <v>3735</v>
      </c>
      <c r="F1316">
        <v>0.200781102601816</v>
      </c>
      <c r="G1316">
        <v>749.91741821778305</v>
      </c>
      <c r="H1316" t="s">
        <v>394</v>
      </c>
    </row>
    <row r="1317" spans="1:8" ht="14.25" customHeight="1" x14ac:dyDescent="0.3">
      <c r="A1317" t="s">
        <v>650</v>
      </c>
      <c r="B1317" t="s">
        <v>40</v>
      </c>
      <c r="C1317" t="s">
        <v>40</v>
      </c>
      <c r="D1317" t="s">
        <v>290</v>
      </c>
      <c r="E1317">
        <v>6601</v>
      </c>
      <c r="F1317">
        <v>0.200781102601816</v>
      </c>
      <c r="G1317">
        <v>1325.3560582745899</v>
      </c>
      <c r="H1317" t="s">
        <v>394</v>
      </c>
    </row>
    <row r="1318" spans="1:8" ht="14.25" customHeight="1" x14ac:dyDescent="0.3">
      <c r="A1318" t="s">
        <v>650</v>
      </c>
      <c r="B1318" t="s">
        <v>40</v>
      </c>
      <c r="C1318" t="s">
        <v>40</v>
      </c>
      <c r="D1318" t="s">
        <v>284</v>
      </c>
      <c r="E1318">
        <v>14697</v>
      </c>
      <c r="F1318">
        <v>0.200781102601816</v>
      </c>
      <c r="G1318">
        <v>2950.87986493889</v>
      </c>
      <c r="H1318" t="s">
        <v>394</v>
      </c>
    </row>
    <row r="1319" spans="1:8" ht="14.25" customHeight="1" x14ac:dyDescent="0.3">
      <c r="A1319" t="s">
        <v>650</v>
      </c>
      <c r="B1319" t="s">
        <v>40</v>
      </c>
      <c r="C1319" t="s">
        <v>40</v>
      </c>
      <c r="D1319" t="s">
        <v>285</v>
      </c>
      <c r="E1319">
        <v>4789</v>
      </c>
      <c r="F1319">
        <v>0.200781102601816</v>
      </c>
      <c r="G1319">
        <v>961.54070036009705</v>
      </c>
      <c r="H1319" t="s">
        <v>394</v>
      </c>
    </row>
    <row r="1320" spans="1:8" ht="14.25" customHeight="1" x14ac:dyDescent="0.3">
      <c r="A1320" t="s">
        <v>650</v>
      </c>
      <c r="B1320" t="s">
        <v>40</v>
      </c>
      <c r="C1320" t="s">
        <v>40</v>
      </c>
      <c r="D1320" t="s">
        <v>282</v>
      </c>
      <c r="E1320">
        <v>4796</v>
      </c>
      <c r="F1320">
        <v>0.200781102601816</v>
      </c>
      <c r="G1320">
        <v>962.94616807831005</v>
      </c>
      <c r="H1320" t="s">
        <v>394</v>
      </c>
    </row>
    <row r="1321" spans="1:8" ht="14.25" customHeight="1" x14ac:dyDescent="0.3">
      <c r="A1321" t="s">
        <v>650</v>
      </c>
      <c r="B1321" t="s">
        <v>41</v>
      </c>
      <c r="C1321" t="s">
        <v>41</v>
      </c>
      <c r="D1321" t="s">
        <v>287</v>
      </c>
      <c r="E1321">
        <v>6647</v>
      </c>
      <c r="F1321">
        <v>9.1583303748034695E-2</v>
      </c>
      <c r="G1321">
        <v>608.75422001318702</v>
      </c>
      <c r="H1321" t="s">
        <v>394</v>
      </c>
    </row>
    <row r="1322" spans="1:8" ht="14.25" customHeight="1" x14ac:dyDescent="0.3">
      <c r="A1322" t="s">
        <v>650</v>
      </c>
      <c r="B1322" t="s">
        <v>41</v>
      </c>
      <c r="C1322" t="s">
        <v>41</v>
      </c>
      <c r="D1322" t="s">
        <v>293</v>
      </c>
      <c r="E1322">
        <v>3735</v>
      </c>
      <c r="F1322">
        <v>9.1583303748034695E-2</v>
      </c>
      <c r="G1322">
        <v>342.06363949890999</v>
      </c>
      <c r="H1322" t="s">
        <v>394</v>
      </c>
    </row>
    <row r="1323" spans="1:8" ht="14.25" customHeight="1" x14ac:dyDescent="0.3">
      <c r="A1323" t="s">
        <v>650</v>
      </c>
      <c r="B1323" t="s">
        <v>41</v>
      </c>
      <c r="C1323" t="s">
        <v>41</v>
      </c>
      <c r="D1323" t="s">
        <v>290</v>
      </c>
      <c r="E1323">
        <v>6601</v>
      </c>
      <c r="F1323">
        <v>9.1583303748034695E-2</v>
      </c>
      <c r="G1323">
        <v>604.54138804077695</v>
      </c>
      <c r="H1323" t="s">
        <v>394</v>
      </c>
    </row>
    <row r="1324" spans="1:8" ht="14.25" customHeight="1" x14ac:dyDescent="0.3">
      <c r="A1324" t="s">
        <v>650</v>
      </c>
      <c r="B1324" t="s">
        <v>41</v>
      </c>
      <c r="C1324" t="s">
        <v>41</v>
      </c>
      <c r="D1324" t="s">
        <v>284</v>
      </c>
      <c r="E1324">
        <v>14697</v>
      </c>
      <c r="F1324">
        <v>9.1583303748034695E-2</v>
      </c>
      <c r="G1324">
        <v>1345.9998151848699</v>
      </c>
      <c r="H1324" t="s">
        <v>394</v>
      </c>
    </row>
    <row r="1325" spans="1:8" ht="14.25" customHeight="1" x14ac:dyDescent="0.3">
      <c r="A1325" t="s">
        <v>650</v>
      </c>
      <c r="B1325" t="s">
        <v>41</v>
      </c>
      <c r="C1325" t="s">
        <v>41</v>
      </c>
      <c r="D1325" t="s">
        <v>285</v>
      </c>
      <c r="E1325">
        <v>4789</v>
      </c>
      <c r="F1325">
        <v>9.1583303748034695E-2</v>
      </c>
      <c r="G1325">
        <v>438.59244164933801</v>
      </c>
      <c r="H1325" t="s">
        <v>394</v>
      </c>
    </row>
    <row r="1326" spans="1:8" ht="14.25" customHeight="1" x14ac:dyDescent="0.3">
      <c r="A1326" t="s">
        <v>650</v>
      </c>
      <c r="B1326" t="s">
        <v>41</v>
      </c>
      <c r="C1326" t="s">
        <v>41</v>
      </c>
      <c r="D1326" t="s">
        <v>282</v>
      </c>
      <c r="E1326">
        <v>4796</v>
      </c>
      <c r="F1326">
        <v>9.1583303748034695E-2</v>
      </c>
      <c r="G1326">
        <v>439.23352477557398</v>
      </c>
      <c r="H1326" t="s">
        <v>394</v>
      </c>
    </row>
    <row r="1327" spans="1:8" ht="14.25" customHeight="1" x14ac:dyDescent="0.3">
      <c r="A1327" t="s">
        <v>650</v>
      </c>
      <c r="B1327" t="s">
        <v>141</v>
      </c>
      <c r="C1327" t="s">
        <v>472</v>
      </c>
      <c r="D1327" t="s">
        <v>287</v>
      </c>
      <c r="E1327">
        <v>6647</v>
      </c>
      <c r="F1327">
        <v>0.124952629710402</v>
      </c>
      <c r="G1327">
        <v>830.56012968504206</v>
      </c>
      <c r="H1327" t="s">
        <v>394</v>
      </c>
    </row>
    <row r="1328" spans="1:8" ht="14.25" customHeight="1" x14ac:dyDescent="0.3">
      <c r="A1328" t="s">
        <v>650</v>
      </c>
      <c r="B1328" t="s">
        <v>141</v>
      </c>
      <c r="C1328" t="s">
        <v>472</v>
      </c>
      <c r="D1328" t="s">
        <v>289</v>
      </c>
      <c r="E1328">
        <v>13510</v>
      </c>
      <c r="F1328">
        <v>0.124952629710402</v>
      </c>
      <c r="G1328">
        <v>1688.11002738753</v>
      </c>
      <c r="H1328" t="s">
        <v>394</v>
      </c>
    </row>
    <row r="1329" spans="1:8" ht="14.25" customHeight="1" x14ac:dyDescent="0.3">
      <c r="A1329" t="s">
        <v>650</v>
      </c>
      <c r="B1329" t="s">
        <v>141</v>
      </c>
      <c r="C1329" t="s">
        <v>472</v>
      </c>
      <c r="D1329" t="s">
        <v>293</v>
      </c>
      <c r="E1329">
        <v>3735</v>
      </c>
      <c r="F1329">
        <v>0.124952629710402</v>
      </c>
      <c r="G1329">
        <v>466.698071968352</v>
      </c>
      <c r="H1329" t="s">
        <v>394</v>
      </c>
    </row>
    <row r="1330" spans="1:8" ht="14.25" customHeight="1" x14ac:dyDescent="0.3">
      <c r="A1330" t="s">
        <v>650</v>
      </c>
      <c r="B1330" t="s">
        <v>141</v>
      </c>
      <c r="C1330" t="s">
        <v>472</v>
      </c>
      <c r="D1330" t="s">
        <v>290</v>
      </c>
      <c r="E1330">
        <v>6601</v>
      </c>
      <c r="F1330">
        <v>0.124952629710402</v>
      </c>
      <c r="G1330">
        <v>824.81230871836397</v>
      </c>
      <c r="H1330" t="s">
        <v>394</v>
      </c>
    </row>
    <row r="1331" spans="1:8" ht="14.25" customHeight="1" x14ac:dyDescent="0.3">
      <c r="A1331" t="s">
        <v>650</v>
      </c>
      <c r="B1331" t="s">
        <v>141</v>
      </c>
      <c r="C1331" t="s">
        <v>472</v>
      </c>
      <c r="D1331" t="s">
        <v>284</v>
      </c>
      <c r="E1331">
        <v>14697</v>
      </c>
      <c r="F1331">
        <v>0.124952629710402</v>
      </c>
      <c r="G1331">
        <v>1836.4287988537801</v>
      </c>
      <c r="H1331" t="s">
        <v>394</v>
      </c>
    </row>
    <row r="1332" spans="1:8" ht="14.25" customHeight="1" x14ac:dyDescent="0.3">
      <c r="A1332" t="s">
        <v>650</v>
      </c>
      <c r="B1332" t="s">
        <v>141</v>
      </c>
      <c r="C1332" t="s">
        <v>472</v>
      </c>
      <c r="D1332" t="s">
        <v>285</v>
      </c>
      <c r="E1332">
        <v>4789</v>
      </c>
      <c r="F1332">
        <v>0.124952629710402</v>
      </c>
      <c r="G1332">
        <v>598.39814368311499</v>
      </c>
      <c r="H1332" t="s">
        <v>394</v>
      </c>
    </row>
    <row r="1333" spans="1:8" ht="14.25" customHeight="1" x14ac:dyDescent="0.3">
      <c r="A1333" t="s">
        <v>650</v>
      </c>
      <c r="B1333" t="s">
        <v>141</v>
      </c>
      <c r="C1333" t="s">
        <v>472</v>
      </c>
      <c r="D1333" t="s">
        <v>282</v>
      </c>
      <c r="E1333">
        <v>4796</v>
      </c>
      <c r="F1333">
        <v>0.124952629710402</v>
      </c>
      <c r="G1333">
        <v>599.27281209108799</v>
      </c>
      <c r="H1333" t="s">
        <v>394</v>
      </c>
    </row>
    <row r="1334" spans="1:8" ht="14.25" customHeight="1" x14ac:dyDescent="0.3">
      <c r="A1334" t="s">
        <v>650</v>
      </c>
      <c r="B1334" t="s">
        <v>80</v>
      </c>
      <c r="C1334" t="s">
        <v>80</v>
      </c>
      <c r="D1334" t="s">
        <v>287</v>
      </c>
      <c r="E1334">
        <v>6647</v>
      </c>
      <c r="F1334">
        <v>5.71887711112238E-2</v>
      </c>
      <c r="G1334">
        <v>380.13376157630501</v>
      </c>
      <c r="H1334" t="s">
        <v>394</v>
      </c>
    </row>
    <row r="1335" spans="1:8" ht="14.25" customHeight="1" x14ac:dyDescent="0.3">
      <c r="A1335" t="s">
        <v>650</v>
      </c>
      <c r="B1335" t="s">
        <v>80</v>
      </c>
      <c r="C1335" t="s">
        <v>80</v>
      </c>
      <c r="D1335" t="s">
        <v>293</v>
      </c>
      <c r="E1335">
        <v>3735</v>
      </c>
      <c r="F1335">
        <v>5.71887711112238E-2</v>
      </c>
      <c r="G1335">
        <v>213.60006010042099</v>
      </c>
      <c r="H1335" t="s">
        <v>394</v>
      </c>
    </row>
    <row r="1336" spans="1:8" ht="14.25" customHeight="1" x14ac:dyDescent="0.3">
      <c r="A1336" t="s">
        <v>650</v>
      </c>
      <c r="B1336" t="s">
        <v>80</v>
      </c>
      <c r="C1336" t="s">
        <v>80</v>
      </c>
      <c r="D1336" t="s">
        <v>290</v>
      </c>
      <c r="E1336">
        <v>6601</v>
      </c>
      <c r="F1336">
        <v>5.71887711112238E-2</v>
      </c>
      <c r="G1336">
        <v>377.50307810518802</v>
      </c>
      <c r="H1336" t="s">
        <v>394</v>
      </c>
    </row>
    <row r="1337" spans="1:8" ht="14.25" customHeight="1" x14ac:dyDescent="0.3">
      <c r="A1337" t="s">
        <v>650</v>
      </c>
      <c r="B1337" t="s">
        <v>80</v>
      </c>
      <c r="C1337" t="s">
        <v>80</v>
      </c>
      <c r="D1337" t="s">
        <v>284</v>
      </c>
      <c r="E1337">
        <v>14697</v>
      </c>
      <c r="F1337">
        <v>5.71887711112238E-2</v>
      </c>
      <c r="G1337">
        <v>840.503369021656</v>
      </c>
      <c r="H1337" t="s">
        <v>394</v>
      </c>
    </row>
    <row r="1338" spans="1:8" ht="14.25" customHeight="1" x14ac:dyDescent="0.3">
      <c r="A1338" t="s">
        <v>650</v>
      </c>
      <c r="B1338" t="s">
        <v>80</v>
      </c>
      <c r="C1338" t="s">
        <v>80</v>
      </c>
      <c r="D1338" t="s">
        <v>285</v>
      </c>
      <c r="E1338">
        <v>4789</v>
      </c>
      <c r="F1338">
        <v>5.71887711112238E-2</v>
      </c>
      <c r="G1338">
        <v>273.87702485165102</v>
      </c>
      <c r="H1338" t="s">
        <v>394</v>
      </c>
    </row>
    <row r="1339" spans="1:8" ht="14.25" customHeight="1" x14ac:dyDescent="0.3">
      <c r="A1339" t="s">
        <v>650</v>
      </c>
      <c r="B1339" t="s">
        <v>80</v>
      </c>
      <c r="C1339" t="s">
        <v>80</v>
      </c>
      <c r="D1339" t="s">
        <v>282</v>
      </c>
      <c r="E1339">
        <v>4796</v>
      </c>
      <c r="F1339">
        <v>5.71887711112238E-2</v>
      </c>
      <c r="G1339">
        <v>274.277346249429</v>
      </c>
      <c r="H1339" t="s">
        <v>394</v>
      </c>
    </row>
    <row r="1340" spans="1:8" ht="14.25" customHeight="1" x14ac:dyDescent="0.3">
      <c r="A1340" t="s">
        <v>650</v>
      </c>
      <c r="B1340" t="s">
        <v>42</v>
      </c>
      <c r="C1340" t="s">
        <v>42</v>
      </c>
      <c r="D1340" t="s">
        <v>287</v>
      </c>
      <c r="E1340">
        <v>6647</v>
      </c>
      <c r="F1340">
        <v>0.14480661358218799</v>
      </c>
      <c r="G1340">
        <v>962.52956048080398</v>
      </c>
      <c r="H1340" t="s">
        <v>394</v>
      </c>
    </row>
    <row r="1341" spans="1:8" ht="14.25" customHeight="1" x14ac:dyDescent="0.3">
      <c r="A1341" t="s">
        <v>650</v>
      </c>
      <c r="B1341" t="s">
        <v>42</v>
      </c>
      <c r="C1341" t="s">
        <v>42</v>
      </c>
      <c r="D1341" t="s">
        <v>293</v>
      </c>
      <c r="E1341">
        <v>3735</v>
      </c>
      <c r="F1341">
        <v>0.14480661358218799</v>
      </c>
      <c r="G1341">
        <v>540.85270172947196</v>
      </c>
      <c r="H1341" t="s">
        <v>394</v>
      </c>
    </row>
    <row r="1342" spans="1:8" ht="14.25" customHeight="1" x14ac:dyDescent="0.3">
      <c r="A1342" t="s">
        <v>650</v>
      </c>
      <c r="B1342" t="s">
        <v>42</v>
      </c>
      <c r="C1342" t="s">
        <v>42</v>
      </c>
      <c r="D1342" t="s">
        <v>290</v>
      </c>
      <c r="E1342">
        <v>6601</v>
      </c>
      <c r="F1342">
        <v>0.14480661358218799</v>
      </c>
      <c r="G1342">
        <v>955.86845625602302</v>
      </c>
      <c r="H1342" t="s">
        <v>394</v>
      </c>
    </row>
    <row r="1343" spans="1:8" ht="14.25" customHeight="1" x14ac:dyDescent="0.3">
      <c r="A1343" t="s">
        <v>650</v>
      </c>
      <c r="B1343" t="s">
        <v>42</v>
      </c>
      <c r="C1343" t="s">
        <v>42</v>
      </c>
      <c r="D1343" t="s">
        <v>284</v>
      </c>
      <c r="E1343">
        <v>14697</v>
      </c>
      <c r="F1343">
        <v>0.14480661358218799</v>
      </c>
      <c r="G1343">
        <v>2128.2227998174199</v>
      </c>
      <c r="H1343" t="s">
        <v>394</v>
      </c>
    </row>
    <row r="1344" spans="1:8" ht="14.25" customHeight="1" x14ac:dyDescent="0.3">
      <c r="A1344" t="s">
        <v>650</v>
      </c>
      <c r="B1344" t="s">
        <v>42</v>
      </c>
      <c r="C1344" t="s">
        <v>42</v>
      </c>
      <c r="D1344" t="s">
        <v>285</v>
      </c>
      <c r="E1344">
        <v>4789</v>
      </c>
      <c r="F1344">
        <v>0.14480661358218799</v>
      </c>
      <c r="G1344">
        <v>693.47887244509798</v>
      </c>
      <c r="H1344" t="s">
        <v>394</v>
      </c>
    </row>
    <row r="1345" spans="1:8" ht="14.25" customHeight="1" x14ac:dyDescent="0.3">
      <c r="A1345" t="s">
        <v>650</v>
      </c>
      <c r="B1345" t="s">
        <v>42</v>
      </c>
      <c r="C1345" t="s">
        <v>42</v>
      </c>
      <c r="D1345" t="s">
        <v>282</v>
      </c>
      <c r="E1345">
        <v>4796</v>
      </c>
      <c r="F1345">
        <v>0.14480661358218799</v>
      </c>
      <c r="G1345">
        <v>694.49251874017398</v>
      </c>
      <c r="H1345" t="s">
        <v>394</v>
      </c>
    </row>
    <row r="1346" spans="1:8" ht="14.25" customHeight="1" x14ac:dyDescent="0.3">
      <c r="A1346" t="s">
        <v>650</v>
      </c>
      <c r="B1346" t="s">
        <v>36</v>
      </c>
      <c r="C1346" t="s">
        <v>36</v>
      </c>
      <c r="D1346" t="s">
        <v>287</v>
      </c>
      <c r="E1346">
        <v>6647</v>
      </c>
      <c r="F1346">
        <v>0.17373667393619699</v>
      </c>
      <c r="G1346">
        <v>1154.8276716539001</v>
      </c>
      <c r="H1346" t="s">
        <v>394</v>
      </c>
    </row>
    <row r="1347" spans="1:8" ht="14.25" customHeight="1" x14ac:dyDescent="0.3">
      <c r="A1347" t="s">
        <v>650</v>
      </c>
      <c r="B1347" t="s">
        <v>36</v>
      </c>
      <c r="C1347" t="s">
        <v>36</v>
      </c>
      <c r="D1347" t="s">
        <v>293</v>
      </c>
      <c r="E1347">
        <v>3735</v>
      </c>
      <c r="F1347">
        <v>0.17373667393619699</v>
      </c>
      <c r="G1347">
        <v>648.90647715169598</v>
      </c>
      <c r="H1347" t="s">
        <v>394</v>
      </c>
    </row>
    <row r="1348" spans="1:8" ht="14.25" customHeight="1" x14ac:dyDescent="0.3">
      <c r="A1348" t="s">
        <v>650</v>
      </c>
      <c r="B1348" t="s">
        <v>36</v>
      </c>
      <c r="C1348" t="s">
        <v>36</v>
      </c>
      <c r="D1348" t="s">
        <v>290</v>
      </c>
      <c r="E1348">
        <v>6601</v>
      </c>
      <c r="F1348">
        <v>0.17373667393619699</v>
      </c>
      <c r="G1348">
        <v>1146.8357846528399</v>
      </c>
      <c r="H1348" t="s">
        <v>394</v>
      </c>
    </row>
    <row r="1349" spans="1:8" ht="14.25" customHeight="1" x14ac:dyDescent="0.3">
      <c r="A1349" t="s">
        <v>650</v>
      </c>
      <c r="B1349" t="s">
        <v>36</v>
      </c>
      <c r="C1349" t="s">
        <v>36</v>
      </c>
      <c r="D1349" t="s">
        <v>284</v>
      </c>
      <c r="E1349">
        <v>14697</v>
      </c>
      <c r="F1349">
        <v>0.17373667393619699</v>
      </c>
      <c r="G1349">
        <v>2553.4078968402901</v>
      </c>
      <c r="H1349" t="s">
        <v>394</v>
      </c>
    </row>
    <row r="1350" spans="1:8" ht="14.25" customHeight="1" x14ac:dyDescent="0.3">
      <c r="A1350" t="s">
        <v>650</v>
      </c>
      <c r="B1350" t="s">
        <v>36</v>
      </c>
      <c r="C1350" t="s">
        <v>36</v>
      </c>
      <c r="D1350" t="s">
        <v>285</v>
      </c>
      <c r="E1350">
        <v>4789</v>
      </c>
      <c r="F1350">
        <v>0.17373667393619699</v>
      </c>
      <c r="G1350">
        <v>832.02493148044698</v>
      </c>
      <c r="H1350" t="s">
        <v>394</v>
      </c>
    </row>
    <row r="1351" spans="1:8" ht="14.25" customHeight="1" x14ac:dyDescent="0.3">
      <c r="A1351" t="s">
        <v>650</v>
      </c>
      <c r="B1351" t="s">
        <v>36</v>
      </c>
      <c r="C1351" t="s">
        <v>36</v>
      </c>
      <c r="D1351" t="s">
        <v>282</v>
      </c>
      <c r="E1351">
        <v>4796</v>
      </c>
      <c r="F1351">
        <v>0.17373667393619699</v>
      </c>
      <c r="G1351">
        <v>833.24108819800097</v>
      </c>
      <c r="H1351" t="s">
        <v>394</v>
      </c>
    </row>
    <row r="1352" spans="1:8" ht="14.25" customHeight="1" x14ac:dyDescent="0.3">
      <c r="A1352" t="s">
        <v>650</v>
      </c>
      <c r="B1352" t="s">
        <v>34</v>
      </c>
      <c r="C1352" t="s">
        <v>34</v>
      </c>
      <c r="D1352" t="s">
        <v>287</v>
      </c>
      <c r="E1352">
        <v>6647</v>
      </c>
      <c r="F1352">
        <v>0.32296003448800498</v>
      </c>
      <c r="G1352">
        <v>2146.7153492417701</v>
      </c>
      <c r="H1352" t="s">
        <v>394</v>
      </c>
    </row>
    <row r="1353" spans="1:8" ht="14.25" customHeight="1" x14ac:dyDescent="0.3">
      <c r="A1353" t="s">
        <v>650</v>
      </c>
      <c r="B1353" t="s">
        <v>34</v>
      </c>
      <c r="C1353" t="s">
        <v>34</v>
      </c>
      <c r="D1353" t="s">
        <v>289</v>
      </c>
      <c r="E1353">
        <v>13510</v>
      </c>
      <c r="F1353">
        <v>0.32296003448800498</v>
      </c>
      <c r="G1353">
        <v>4363.1900659329503</v>
      </c>
      <c r="H1353" t="s">
        <v>394</v>
      </c>
    </row>
    <row r="1354" spans="1:8" ht="14.25" customHeight="1" x14ac:dyDescent="0.3">
      <c r="A1354" t="s">
        <v>650</v>
      </c>
      <c r="B1354" t="s">
        <v>34</v>
      </c>
      <c r="C1354" t="s">
        <v>34</v>
      </c>
      <c r="D1354" t="s">
        <v>293</v>
      </c>
      <c r="E1354">
        <v>3735</v>
      </c>
      <c r="F1354">
        <v>0.32296003448800498</v>
      </c>
      <c r="G1354">
        <v>1206.2557288127</v>
      </c>
      <c r="H1354" t="s">
        <v>394</v>
      </c>
    </row>
    <row r="1355" spans="1:8" ht="14.25" customHeight="1" x14ac:dyDescent="0.3">
      <c r="A1355" t="s">
        <v>650</v>
      </c>
      <c r="B1355" t="s">
        <v>34</v>
      </c>
      <c r="C1355" t="s">
        <v>34</v>
      </c>
      <c r="D1355" t="s">
        <v>290</v>
      </c>
      <c r="E1355">
        <v>6601</v>
      </c>
      <c r="F1355">
        <v>0.32296003448800498</v>
      </c>
      <c r="G1355">
        <v>2131.8591876553201</v>
      </c>
      <c r="H1355" t="s">
        <v>394</v>
      </c>
    </row>
    <row r="1356" spans="1:8" ht="14.25" customHeight="1" x14ac:dyDescent="0.3">
      <c r="A1356" t="s">
        <v>650</v>
      </c>
      <c r="B1356" t="s">
        <v>34</v>
      </c>
      <c r="C1356" t="s">
        <v>34</v>
      </c>
      <c r="D1356" t="s">
        <v>284</v>
      </c>
      <c r="E1356">
        <v>14697</v>
      </c>
      <c r="F1356">
        <v>0.32296003448800498</v>
      </c>
      <c r="G1356">
        <v>4746.5436268702097</v>
      </c>
      <c r="H1356" t="s">
        <v>394</v>
      </c>
    </row>
    <row r="1357" spans="1:8" ht="14.25" customHeight="1" x14ac:dyDescent="0.3">
      <c r="A1357" t="s">
        <v>650</v>
      </c>
      <c r="B1357" t="s">
        <v>34</v>
      </c>
      <c r="C1357" t="s">
        <v>34</v>
      </c>
      <c r="D1357" t="s">
        <v>285</v>
      </c>
      <c r="E1357">
        <v>4789</v>
      </c>
      <c r="F1357">
        <v>0.32296003448800498</v>
      </c>
      <c r="G1357">
        <v>1546.65560516306</v>
      </c>
      <c r="H1357" t="s">
        <v>394</v>
      </c>
    </row>
    <row r="1358" spans="1:8" ht="14.25" customHeight="1" x14ac:dyDescent="0.3">
      <c r="A1358" t="s">
        <v>650</v>
      </c>
      <c r="B1358" t="s">
        <v>34</v>
      </c>
      <c r="C1358" t="s">
        <v>34</v>
      </c>
      <c r="D1358" t="s">
        <v>282</v>
      </c>
      <c r="E1358">
        <v>4796</v>
      </c>
      <c r="F1358">
        <v>0.32296003448800498</v>
      </c>
      <c r="G1358">
        <v>1548.9163254044699</v>
      </c>
      <c r="H1358" t="s">
        <v>394</v>
      </c>
    </row>
    <row r="1359" spans="1:8" ht="14.25" customHeight="1" x14ac:dyDescent="0.3">
      <c r="A1359" t="s">
        <v>650</v>
      </c>
      <c r="B1359" t="s">
        <v>83</v>
      </c>
      <c r="C1359" t="s">
        <v>83</v>
      </c>
      <c r="D1359" t="s">
        <v>287</v>
      </c>
      <c r="E1359">
        <v>6647</v>
      </c>
      <c r="F1359">
        <v>7.9426231171070699E-2</v>
      </c>
      <c r="G1359">
        <v>527.94615859410703</v>
      </c>
      <c r="H1359" t="s">
        <v>394</v>
      </c>
    </row>
    <row r="1360" spans="1:8" ht="14.25" customHeight="1" x14ac:dyDescent="0.3">
      <c r="A1360" t="s">
        <v>650</v>
      </c>
      <c r="B1360" t="s">
        <v>83</v>
      </c>
      <c r="C1360" t="s">
        <v>83</v>
      </c>
      <c r="D1360" t="s">
        <v>293</v>
      </c>
      <c r="E1360">
        <v>3735</v>
      </c>
      <c r="F1360">
        <v>7.9426231171070699E-2</v>
      </c>
      <c r="G1360">
        <v>296.65697342394901</v>
      </c>
      <c r="H1360" t="s">
        <v>394</v>
      </c>
    </row>
    <row r="1361" spans="1:8" ht="14.25" customHeight="1" x14ac:dyDescent="0.3">
      <c r="A1361" t="s">
        <v>650</v>
      </c>
      <c r="B1361" t="s">
        <v>83</v>
      </c>
      <c r="C1361" t="s">
        <v>83</v>
      </c>
      <c r="D1361" t="s">
        <v>290</v>
      </c>
      <c r="E1361">
        <v>6601</v>
      </c>
      <c r="F1361">
        <v>7.9426231171070699E-2</v>
      </c>
      <c r="G1361">
        <v>524.29255196023803</v>
      </c>
      <c r="H1361" t="s">
        <v>394</v>
      </c>
    </row>
    <row r="1362" spans="1:8" ht="14.25" customHeight="1" x14ac:dyDescent="0.3">
      <c r="A1362" t="s">
        <v>650</v>
      </c>
      <c r="B1362" t="s">
        <v>83</v>
      </c>
      <c r="C1362" t="s">
        <v>83</v>
      </c>
      <c r="D1362" t="s">
        <v>284</v>
      </c>
      <c r="E1362">
        <v>14697</v>
      </c>
      <c r="F1362">
        <v>7.9426231171070699E-2</v>
      </c>
      <c r="G1362">
        <v>1167.32731952123</v>
      </c>
      <c r="H1362" t="s">
        <v>394</v>
      </c>
    </row>
    <row r="1363" spans="1:8" ht="14.25" customHeight="1" x14ac:dyDescent="0.3">
      <c r="A1363" t="s">
        <v>650</v>
      </c>
      <c r="B1363" t="s">
        <v>83</v>
      </c>
      <c r="C1363" t="s">
        <v>83</v>
      </c>
      <c r="D1363" t="s">
        <v>285</v>
      </c>
      <c r="E1363">
        <v>4789</v>
      </c>
      <c r="F1363">
        <v>7.9426231171070699E-2</v>
      </c>
      <c r="G1363">
        <v>380.37222107825801</v>
      </c>
      <c r="H1363" t="s">
        <v>394</v>
      </c>
    </row>
    <row r="1364" spans="1:8" ht="14.25" customHeight="1" x14ac:dyDescent="0.3">
      <c r="A1364" t="s">
        <v>650</v>
      </c>
      <c r="B1364" t="s">
        <v>83</v>
      </c>
      <c r="C1364" t="s">
        <v>83</v>
      </c>
      <c r="D1364" t="s">
        <v>282</v>
      </c>
      <c r="E1364">
        <v>4796</v>
      </c>
      <c r="F1364">
        <v>7.9426231171070699E-2</v>
      </c>
      <c r="G1364">
        <v>380.928204696455</v>
      </c>
      <c r="H1364" t="s">
        <v>394</v>
      </c>
    </row>
    <row r="1365" spans="1:8" ht="14.25" customHeight="1" x14ac:dyDescent="0.3">
      <c r="A1365" t="s">
        <v>650</v>
      </c>
      <c r="B1365" t="s">
        <v>32</v>
      </c>
      <c r="C1365" t="s">
        <v>639</v>
      </c>
      <c r="D1365" t="s">
        <v>287</v>
      </c>
      <c r="E1365">
        <v>30</v>
      </c>
      <c r="F1365">
        <v>36.250133079847899</v>
      </c>
      <c r="G1365">
        <v>1087.50399239544</v>
      </c>
      <c r="H1365" t="s">
        <v>640</v>
      </c>
    </row>
    <row r="1366" spans="1:8" ht="14.25" customHeight="1" x14ac:dyDescent="0.3">
      <c r="A1366" t="s">
        <v>650</v>
      </c>
      <c r="B1366" t="s">
        <v>32</v>
      </c>
      <c r="C1366" t="s">
        <v>639</v>
      </c>
      <c r="D1366" t="s">
        <v>293</v>
      </c>
      <c r="E1366">
        <v>10</v>
      </c>
      <c r="F1366">
        <v>36.250133079847899</v>
      </c>
      <c r="G1366">
        <v>362.50133079847899</v>
      </c>
      <c r="H1366" t="s">
        <v>640</v>
      </c>
    </row>
    <row r="1367" spans="1:8" ht="14.25" customHeight="1" x14ac:dyDescent="0.3">
      <c r="A1367" t="s">
        <v>650</v>
      </c>
      <c r="B1367" t="s">
        <v>32</v>
      </c>
      <c r="C1367" t="s">
        <v>639</v>
      </c>
      <c r="D1367" t="s">
        <v>290</v>
      </c>
      <c r="E1367">
        <v>46</v>
      </c>
      <c r="F1367">
        <v>36.250133079847899</v>
      </c>
      <c r="G1367">
        <v>1667.5061216730001</v>
      </c>
      <c r="H1367" t="s">
        <v>640</v>
      </c>
    </row>
    <row r="1368" spans="1:8" ht="14.25" customHeight="1" x14ac:dyDescent="0.3">
      <c r="A1368" t="s">
        <v>650</v>
      </c>
      <c r="B1368" t="s">
        <v>32</v>
      </c>
      <c r="C1368" t="s">
        <v>639</v>
      </c>
      <c r="D1368" t="s">
        <v>284</v>
      </c>
      <c r="E1368">
        <v>45</v>
      </c>
      <c r="F1368">
        <v>36.250133079847899</v>
      </c>
      <c r="G1368">
        <v>1631.2559885931601</v>
      </c>
      <c r="H1368" t="s">
        <v>640</v>
      </c>
    </row>
    <row r="1369" spans="1:8" ht="14.25" customHeight="1" x14ac:dyDescent="0.3">
      <c r="A1369" t="s">
        <v>650</v>
      </c>
      <c r="B1369" t="s">
        <v>32</v>
      </c>
      <c r="C1369" t="s">
        <v>639</v>
      </c>
      <c r="D1369" t="s">
        <v>285</v>
      </c>
      <c r="E1369">
        <v>17</v>
      </c>
      <c r="F1369">
        <v>36.250133079847899</v>
      </c>
      <c r="G1369">
        <v>616.252262357414</v>
      </c>
      <c r="H1369" t="s">
        <v>640</v>
      </c>
    </row>
    <row r="1370" spans="1:8" ht="14.25" customHeight="1" x14ac:dyDescent="0.3">
      <c r="A1370" t="s">
        <v>650</v>
      </c>
      <c r="B1370" t="s">
        <v>32</v>
      </c>
      <c r="C1370" t="s">
        <v>639</v>
      </c>
      <c r="D1370" t="s">
        <v>282</v>
      </c>
      <c r="E1370">
        <v>23</v>
      </c>
      <c r="F1370">
        <v>36.250133079847899</v>
      </c>
      <c r="G1370">
        <v>833.75306083650196</v>
      </c>
      <c r="H1370" t="s">
        <v>640</v>
      </c>
    </row>
    <row r="1371" spans="1:8" ht="14.25" customHeight="1" x14ac:dyDescent="0.3">
      <c r="A1371" t="s">
        <v>650</v>
      </c>
      <c r="B1371" t="s">
        <v>33</v>
      </c>
      <c r="C1371" t="s">
        <v>641</v>
      </c>
      <c r="D1371" t="s">
        <v>287</v>
      </c>
      <c r="E1371">
        <v>30</v>
      </c>
      <c r="F1371">
        <v>49.5105988593156</v>
      </c>
      <c r="G1371">
        <v>1485.3179657794699</v>
      </c>
      <c r="H1371" t="s">
        <v>640</v>
      </c>
    </row>
    <row r="1372" spans="1:8" ht="14.25" customHeight="1" x14ac:dyDescent="0.3">
      <c r="A1372" t="s">
        <v>650</v>
      </c>
      <c r="B1372" t="s">
        <v>33</v>
      </c>
      <c r="C1372" t="s">
        <v>641</v>
      </c>
      <c r="D1372" t="s">
        <v>293</v>
      </c>
      <c r="E1372">
        <v>10</v>
      </c>
      <c r="F1372">
        <v>49.5105988593156</v>
      </c>
      <c r="G1372">
        <v>495.10598859315598</v>
      </c>
      <c r="H1372" t="s">
        <v>640</v>
      </c>
    </row>
    <row r="1373" spans="1:8" ht="14.25" customHeight="1" x14ac:dyDescent="0.3">
      <c r="A1373" t="s">
        <v>650</v>
      </c>
      <c r="B1373" t="s">
        <v>33</v>
      </c>
      <c r="C1373" t="s">
        <v>641</v>
      </c>
      <c r="D1373" t="s">
        <v>290</v>
      </c>
      <c r="E1373">
        <v>46</v>
      </c>
      <c r="F1373">
        <v>49.5105988593156</v>
      </c>
      <c r="G1373">
        <v>2277.4875475285198</v>
      </c>
      <c r="H1373" t="s">
        <v>640</v>
      </c>
    </row>
    <row r="1374" spans="1:8" ht="14.25" customHeight="1" x14ac:dyDescent="0.3">
      <c r="A1374" t="s">
        <v>650</v>
      </c>
      <c r="B1374" t="s">
        <v>33</v>
      </c>
      <c r="C1374" t="s">
        <v>641</v>
      </c>
      <c r="D1374" t="s">
        <v>284</v>
      </c>
      <c r="E1374">
        <v>45</v>
      </c>
      <c r="F1374">
        <v>49.5105988593156</v>
      </c>
      <c r="G1374">
        <v>2227.9769486691998</v>
      </c>
      <c r="H1374" t="s">
        <v>640</v>
      </c>
    </row>
    <row r="1375" spans="1:8" ht="14.25" customHeight="1" x14ac:dyDescent="0.3">
      <c r="A1375" t="s">
        <v>650</v>
      </c>
      <c r="B1375" t="s">
        <v>33</v>
      </c>
      <c r="C1375" t="s">
        <v>641</v>
      </c>
      <c r="D1375" t="s">
        <v>285</v>
      </c>
      <c r="E1375">
        <v>17</v>
      </c>
      <c r="F1375">
        <v>49.5105988593156</v>
      </c>
      <c r="G1375">
        <v>841.68018060836505</v>
      </c>
      <c r="H1375" t="s">
        <v>640</v>
      </c>
    </row>
    <row r="1376" spans="1:8" ht="14.25" customHeight="1" x14ac:dyDescent="0.3">
      <c r="A1376" t="s">
        <v>650</v>
      </c>
      <c r="B1376" t="s">
        <v>33</v>
      </c>
      <c r="C1376" t="s">
        <v>641</v>
      </c>
      <c r="D1376" t="s">
        <v>282</v>
      </c>
      <c r="E1376">
        <v>23</v>
      </c>
      <c r="F1376">
        <v>49.5105988593156</v>
      </c>
      <c r="G1376">
        <v>1138.7437737642599</v>
      </c>
      <c r="H1376" t="s">
        <v>640</v>
      </c>
    </row>
    <row r="1377" spans="1:8" ht="14.25" customHeight="1" x14ac:dyDescent="0.3">
      <c r="A1377" t="s">
        <v>650</v>
      </c>
      <c r="B1377" t="s">
        <v>44</v>
      </c>
      <c r="C1377" t="s">
        <v>642</v>
      </c>
      <c r="D1377" t="s">
        <v>287</v>
      </c>
      <c r="E1377">
        <v>30</v>
      </c>
      <c r="F1377">
        <v>49.782309885931603</v>
      </c>
      <c r="G1377">
        <v>1493.46929657795</v>
      </c>
      <c r="H1377" t="s">
        <v>640</v>
      </c>
    </row>
    <row r="1378" spans="1:8" ht="14.25" customHeight="1" x14ac:dyDescent="0.3">
      <c r="A1378" t="s">
        <v>650</v>
      </c>
      <c r="B1378" t="s">
        <v>44</v>
      </c>
      <c r="C1378" t="s">
        <v>642</v>
      </c>
      <c r="D1378" t="s">
        <v>289</v>
      </c>
      <c r="E1378">
        <v>37</v>
      </c>
      <c r="F1378">
        <v>49.782309885931603</v>
      </c>
      <c r="G1378">
        <v>1841.9454657794699</v>
      </c>
      <c r="H1378" t="s">
        <v>640</v>
      </c>
    </row>
    <row r="1379" spans="1:8" ht="14.25" customHeight="1" x14ac:dyDescent="0.3">
      <c r="A1379" t="s">
        <v>650</v>
      </c>
      <c r="B1379" t="s">
        <v>44</v>
      </c>
      <c r="C1379" t="s">
        <v>642</v>
      </c>
      <c r="D1379" t="s">
        <v>293</v>
      </c>
      <c r="E1379">
        <v>10</v>
      </c>
      <c r="F1379">
        <v>49.782309885931603</v>
      </c>
      <c r="G1379">
        <v>497.82309885931602</v>
      </c>
      <c r="H1379" t="s">
        <v>640</v>
      </c>
    </row>
    <row r="1380" spans="1:8" ht="14.25" customHeight="1" x14ac:dyDescent="0.3">
      <c r="A1380" t="s">
        <v>650</v>
      </c>
      <c r="B1380" t="s">
        <v>44</v>
      </c>
      <c r="C1380" t="s">
        <v>642</v>
      </c>
      <c r="D1380" t="s">
        <v>290</v>
      </c>
      <c r="E1380">
        <v>46</v>
      </c>
      <c r="F1380">
        <v>49.782309885931603</v>
      </c>
      <c r="G1380">
        <v>2289.9862547528501</v>
      </c>
      <c r="H1380" t="s">
        <v>640</v>
      </c>
    </row>
    <row r="1381" spans="1:8" ht="14.25" customHeight="1" x14ac:dyDescent="0.3">
      <c r="A1381" t="s">
        <v>650</v>
      </c>
      <c r="B1381" t="s">
        <v>44</v>
      </c>
      <c r="C1381" t="s">
        <v>642</v>
      </c>
      <c r="D1381" t="s">
        <v>284</v>
      </c>
      <c r="E1381">
        <v>45</v>
      </c>
      <c r="F1381">
        <v>49.782309885931603</v>
      </c>
      <c r="G1381">
        <v>2240.2039448669202</v>
      </c>
      <c r="H1381" t="s">
        <v>640</v>
      </c>
    </row>
    <row r="1382" spans="1:8" ht="14.25" customHeight="1" x14ac:dyDescent="0.3">
      <c r="A1382" t="s">
        <v>650</v>
      </c>
      <c r="B1382" t="s">
        <v>44</v>
      </c>
      <c r="C1382" t="s">
        <v>642</v>
      </c>
      <c r="D1382" t="s">
        <v>285</v>
      </c>
      <c r="E1382">
        <v>17</v>
      </c>
      <c r="F1382">
        <v>49.782309885931603</v>
      </c>
      <c r="G1382">
        <v>846.29926806083699</v>
      </c>
      <c r="H1382" t="s">
        <v>640</v>
      </c>
    </row>
    <row r="1383" spans="1:8" ht="14.25" customHeight="1" x14ac:dyDescent="0.3">
      <c r="A1383" t="s">
        <v>650</v>
      </c>
      <c r="B1383" t="s">
        <v>44</v>
      </c>
      <c r="C1383" t="s">
        <v>642</v>
      </c>
      <c r="D1383" t="s">
        <v>282</v>
      </c>
      <c r="E1383">
        <v>23</v>
      </c>
      <c r="F1383">
        <v>49.782309885931603</v>
      </c>
      <c r="G1383">
        <v>1144.99312737643</v>
      </c>
      <c r="H1383" t="s">
        <v>640</v>
      </c>
    </row>
    <row r="1384" spans="1:8" ht="14.25" customHeight="1" x14ac:dyDescent="0.3">
      <c r="A1384" t="s">
        <v>650</v>
      </c>
      <c r="B1384" t="s">
        <v>55</v>
      </c>
      <c r="C1384" t="s">
        <v>646</v>
      </c>
      <c r="D1384" t="s">
        <v>287</v>
      </c>
      <c r="E1384">
        <v>30</v>
      </c>
      <c r="F1384">
        <v>22.186397338403001</v>
      </c>
      <c r="G1384">
        <v>665.59192015208998</v>
      </c>
      <c r="H1384" t="s">
        <v>640</v>
      </c>
    </row>
    <row r="1385" spans="1:8" ht="14.25" customHeight="1" x14ac:dyDescent="0.3">
      <c r="A1385" t="s">
        <v>650</v>
      </c>
      <c r="B1385" t="s">
        <v>55</v>
      </c>
      <c r="C1385" t="s">
        <v>646</v>
      </c>
      <c r="D1385" t="s">
        <v>289</v>
      </c>
      <c r="F1385">
        <v>22.186397338403001</v>
      </c>
      <c r="H1385" t="s">
        <v>647</v>
      </c>
    </row>
    <row r="1386" spans="1:8" ht="14.25" customHeight="1" x14ac:dyDescent="0.3">
      <c r="A1386" t="s">
        <v>650</v>
      </c>
      <c r="B1386" t="s">
        <v>55</v>
      </c>
      <c r="C1386" t="s">
        <v>646</v>
      </c>
      <c r="D1386" t="s">
        <v>293</v>
      </c>
      <c r="E1386">
        <v>10</v>
      </c>
      <c r="F1386">
        <v>22.186397338403001</v>
      </c>
      <c r="G1386">
        <v>221.86397338403</v>
      </c>
      <c r="H1386" t="s">
        <v>640</v>
      </c>
    </row>
    <row r="1387" spans="1:8" ht="14.25" customHeight="1" x14ac:dyDescent="0.3">
      <c r="A1387" t="s">
        <v>650</v>
      </c>
      <c r="B1387" t="s">
        <v>55</v>
      </c>
      <c r="C1387" t="s">
        <v>646</v>
      </c>
      <c r="D1387" t="s">
        <v>290</v>
      </c>
      <c r="E1387">
        <v>46</v>
      </c>
      <c r="F1387">
        <v>22.186397338403001</v>
      </c>
      <c r="G1387">
        <v>1020.57427756654</v>
      </c>
      <c r="H1387" t="s">
        <v>640</v>
      </c>
    </row>
    <row r="1388" spans="1:8" ht="14.25" customHeight="1" x14ac:dyDescent="0.3">
      <c r="A1388" t="s">
        <v>650</v>
      </c>
      <c r="B1388" t="s">
        <v>55</v>
      </c>
      <c r="C1388" t="s">
        <v>646</v>
      </c>
      <c r="D1388" t="s">
        <v>284</v>
      </c>
      <c r="E1388">
        <v>45</v>
      </c>
      <c r="F1388">
        <v>22.186397338403001</v>
      </c>
      <c r="G1388">
        <v>998.38788022813503</v>
      </c>
      <c r="H1388" t="s">
        <v>640</v>
      </c>
    </row>
    <row r="1389" spans="1:8" ht="14.25" customHeight="1" x14ac:dyDescent="0.3">
      <c r="A1389" t="s">
        <v>650</v>
      </c>
      <c r="B1389" t="s">
        <v>55</v>
      </c>
      <c r="C1389" t="s">
        <v>646</v>
      </c>
      <c r="D1389" t="s">
        <v>285</v>
      </c>
      <c r="E1389">
        <v>17</v>
      </c>
      <c r="F1389">
        <v>22.186397338403001</v>
      </c>
      <c r="G1389">
        <v>377.16875475285099</v>
      </c>
      <c r="H1389" t="s">
        <v>640</v>
      </c>
    </row>
    <row r="1390" spans="1:8" ht="14.25" customHeight="1" x14ac:dyDescent="0.3">
      <c r="A1390" t="s">
        <v>650</v>
      </c>
      <c r="B1390" t="s">
        <v>55</v>
      </c>
      <c r="C1390" t="s">
        <v>646</v>
      </c>
      <c r="D1390" t="s">
        <v>282</v>
      </c>
      <c r="E1390">
        <v>23</v>
      </c>
      <c r="F1390">
        <v>22.186397338403001</v>
      </c>
      <c r="G1390">
        <v>510.28713878326897</v>
      </c>
      <c r="H1390" t="s">
        <v>640</v>
      </c>
    </row>
    <row r="1391" spans="1:8" ht="14.25" customHeight="1" x14ac:dyDescent="0.3">
      <c r="A1391" t="s">
        <v>650</v>
      </c>
      <c r="B1391" t="s">
        <v>537</v>
      </c>
      <c r="C1391" t="s">
        <v>538</v>
      </c>
      <c r="D1391" t="s">
        <v>289</v>
      </c>
      <c r="E1391">
        <v>1</v>
      </c>
      <c r="F1391">
        <v>238.88</v>
      </c>
      <c r="G1391">
        <v>238.88</v>
      </c>
      <c r="H1391" t="s">
        <v>651</v>
      </c>
    </row>
    <row r="1392" spans="1:8" ht="14.25" customHeight="1" x14ac:dyDescent="0.3">
      <c r="A1392" t="s">
        <v>650</v>
      </c>
      <c r="B1392" t="s">
        <v>537</v>
      </c>
      <c r="C1392" t="s">
        <v>540</v>
      </c>
      <c r="D1392" t="s">
        <v>289</v>
      </c>
      <c r="E1392">
        <v>1</v>
      </c>
      <c r="F1392">
        <v>624.79</v>
      </c>
      <c r="G1392">
        <v>624.79</v>
      </c>
      <c r="H1392" t="s">
        <v>651</v>
      </c>
    </row>
    <row r="1393" spans="1:8" ht="14.25" customHeight="1" x14ac:dyDescent="0.3">
      <c r="A1393" t="s">
        <v>650</v>
      </c>
      <c r="B1393" t="s">
        <v>537</v>
      </c>
      <c r="C1393" t="s">
        <v>541</v>
      </c>
      <c r="D1393" t="s">
        <v>289</v>
      </c>
      <c r="E1393">
        <v>1</v>
      </c>
      <c r="F1393">
        <v>510</v>
      </c>
      <c r="G1393">
        <v>510</v>
      </c>
      <c r="H1393" t="s">
        <v>651</v>
      </c>
    </row>
    <row r="1394" spans="1:8" ht="14.25" customHeight="1" x14ac:dyDescent="0.3">
      <c r="A1394" t="s">
        <v>650</v>
      </c>
      <c r="B1394" t="s">
        <v>537</v>
      </c>
      <c r="C1394" t="s">
        <v>542</v>
      </c>
      <c r="D1394" t="s">
        <v>289</v>
      </c>
      <c r="E1394">
        <v>1</v>
      </c>
      <c r="F1394">
        <v>333.1</v>
      </c>
      <c r="G1394">
        <v>333.1</v>
      </c>
      <c r="H1394" t="s">
        <v>651</v>
      </c>
    </row>
    <row r="1395" spans="1:8" ht="14.25" customHeight="1" x14ac:dyDescent="0.3">
      <c r="A1395" t="s">
        <v>650</v>
      </c>
      <c r="B1395" t="s">
        <v>537</v>
      </c>
      <c r="C1395" t="s">
        <v>545</v>
      </c>
      <c r="D1395" t="s">
        <v>289</v>
      </c>
      <c r="E1395">
        <v>1</v>
      </c>
      <c r="F1395">
        <v>2973.2</v>
      </c>
      <c r="G1395">
        <v>2973.2</v>
      </c>
      <c r="H1395" t="s">
        <v>651</v>
      </c>
    </row>
    <row r="1396" spans="1:8" ht="14.25" customHeight="1" x14ac:dyDescent="0.3">
      <c r="A1396" t="s">
        <v>650</v>
      </c>
      <c r="B1396" t="s">
        <v>537</v>
      </c>
      <c r="C1396" t="s">
        <v>619</v>
      </c>
      <c r="D1396" t="s">
        <v>289</v>
      </c>
      <c r="E1396">
        <v>1</v>
      </c>
      <c r="F1396">
        <v>1833.24</v>
      </c>
      <c r="G1396">
        <v>1833.24</v>
      </c>
      <c r="H1396" t="s">
        <v>651</v>
      </c>
    </row>
    <row r="1397" spans="1:8" ht="14.25" customHeight="1" x14ac:dyDescent="0.3">
      <c r="A1397" t="s">
        <v>650</v>
      </c>
      <c r="B1397" t="s">
        <v>537</v>
      </c>
      <c r="C1397" t="s">
        <v>546</v>
      </c>
      <c r="D1397" t="s">
        <v>289</v>
      </c>
      <c r="E1397">
        <v>1</v>
      </c>
      <c r="F1397">
        <v>7615.46</v>
      </c>
      <c r="G1397">
        <v>7615.46</v>
      </c>
      <c r="H1397" t="s">
        <v>651</v>
      </c>
    </row>
    <row r="1398" spans="1:8" ht="14.25" customHeight="1" x14ac:dyDescent="0.3">
      <c r="A1398" t="s">
        <v>588</v>
      </c>
      <c r="B1398" t="s">
        <v>143</v>
      </c>
      <c r="C1398" t="s">
        <v>471</v>
      </c>
      <c r="D1398" t="s">
        <v>275</v>
      </c>
      <c r="E1398">
        <v>137756</v>
      </c>
      <c r="F1398">
        <v>0.212371943123151</v>
      </c>
      <c r="G1398">
        <v>29255.5093968728</v>
      </c>
      <c r="H1398" t="s">
        <v>394</v>
      </c>
    </row>
    <row r="1399" spans="1:8" ht="14.25" customHeight="1" x14ac:dyDescent="0.3">
      <c r="A1399" t="s">
        <v>588</v>
      </c>
      <c r="B1399" t="s">
        <v>141</v>
      </c>
      <c r="C1399" t="s">
        <v>472</v>
      </c>
      <c r="D1399" t="s">
        <v>275</v>
      </c>
      <c r="E1399">
        <v>137756</v>
      </c>
      <c r="F1399">
        <v>9.5922582803263504E-2</v>
      </c>
      <c r="G1399">
        <v>13213.911316646399</v>
      </c>
      <c r="H1399" t="s">
        <v>394</v>
      </c>
    </row>
    <row r="1400" spans="1:8" ht="14.25" customHeight="1" x14ac:dyDescent="0.3">
      <c r="A1400" t="s">
        <v>588</v>
      </c>
      <c r="B1400" t="s">
        <v>568</v>
      </c>
      <c r="C1400" t="s">
        <v>569</v>
      </c>
      <c r="D1400" t="s">
        <v>275</v>
      </c>
      <c r="E1400">
        <v>137756</v>
      </c>
      <c r="F1400">
        <v>2.3557330047643901</v>
      </c>
      <c r="G1400">
        <v>324516.35580432299</v>
      </c>
      <c r="H1400" t="s">
        <v>394</v>
      </c>
    </row>
    <row r="1401" spans="1:8" ht="14.25" customHeight="1" x14ac:dyDescent="0.3">
      <c r="A1401" t="s">
        <v>598</v>
      </c>
      <c r="B1401" t="s">
        <v>143</v>
      </c>
      <c r="C1401" t="s">
        <v>471</v>
      </c>
      <c r="D1401" t="s">
        <v>275</v>
      </c>
      <c r="E1401">
        <v>140857</v>
      </c>
      <c r="F1401">
        <v>0.25375464036608297</v>
      </c>
      <c r="G1401">
        <v>35743.117378045303</v>
      </c>
      <c r="H1401" t="s">
        <v>394</v>
      </c>
    </row>
    <row r="1402" spans="1:8" ht="14.25" customHeight="1" x14ac:dyDescent="0.3">
      <c r="A1402" t="s">
        <v>598</v>
      </c>
      <c r="B1402" t="s">
        <v>141</v>
      </c>
      <c r="C1402" t="s">
        <v>472</v>
      </c>
      <c r="D1402" t="s">
        <v>275</v>
      </c>
      <c r="E1402">
        <v>140857</v>
      </c>
      <c r="F1402">
        <v>0.105895207936646</v>
      </c>
      <c r="G1402">
        <v>14916.0813043321</v>
      </c>
      <c r="H1402" t="s">
        <v>394</v>
      </c>
    </row>
    <row r="1403" spans="1:8" ht="14.25" customHeight="1" x14ac:dyDescent="0.3">
      <c r="A1403" t="s">
        <v>598</v>
      </c>
      <c r="B1403" t="s">
        <v>568</v>
      </c>
      <c r="C1403" t="s">
        <v>569</v>
      </c>
      <c r="D1403" t="s">
        <v>275</v>
      </c>
      <c r="E1403">
        <v>140857</v>
      </c>
      <c r="F1403">
        <v>2.99991610765306</v>
      </c>
      <c r="G1403">
        <v>422559.18317568698</v>
      </c>
      <c r="H1403" t="s">
        <v>394</v>
      </c>
    </row>
    <row r="1404" spans="1:8" ht="14.25" customHeight="1" x14ac:dyDescent="0.3">
      <c r="A1404" t="s">
        <v>625</v>
      </c>
      <c r="B1404" t="s">
        <v>395</v>
      </c>
      <c r="C1404" t="s">
        <v>86</v>
      </c>
      <c r="D1404" t="s">
        <v>275</v>
      </c>
      <c r="E1404">
        <v>146740</v>
      </c>
      <c r="F1404">
        <v>0.23</v>
      </c>
      <c r="G1404">
        <v>33750.199999999997</v>
      </c>
      <c r="H1404" t="s">
        <v>394</v>
      </c>
    </row>
    <row r="1405" spans="1:8" ht="14.25" customHeight="1" x14ac:dyDescent="0.3">
      <c r="A1405" t="s">
        <v>625</v>
      </c>
      <c r="B1405" t="s">
        <v>143</v>
      </c>
      <c r="C1405" t="s">
        <v>471</v>
      </c>
      <c r="D1405" t="s">
        <v>275</v>
      </c>
      <c r="E1405">
        <v>146740</v>
      </c>
      <c r="F1405">
        <v>0.2</v>
      </c>
      <c r="G1405">
        <v>29348</v>
      </c>
      <c r="H1405" t="s">
        <v>394</v>
      </c>
    </row>
    <row r="1406" spans="1:8" ht="14.25" customHeight="1" x14ac:dyDescent="0.3">
      <c r="A1406" t="s">
        <v>625</v>
      </c>
      <c r="B1406" t="s">
        <v>141</v>
      </c>
      <c r="C1406" t="s">
        <v>472</v>
      </c>
      <c r="D1406" t="s">
        <v>275</v>
      </c>
      <c r="E1406">
        <v>146740</v>
      </c>
      <c r="F1406">
        <v>0.101057218436555</v>
      </c>
      <c r="G1406">
        <v>14829.136233380101</v>
      </c>
      <c r="H1406" t="s">
        <v>394</v>
      </c>
    </row>
    <row r="1407" spans="1:8" ht="14.25" customHeight="1" x14ac:dyDescent="0.3">
      <c r="A1407" t="s">
        <v>625</v>
      </c>
      <c r="B1407" t="s">
        <v>568</v>
      </c>
      <c r="C1407" t="s">
        <v>569</v>
      </c>
      <c r="D1407" t="s">
        <v>275</v>
      </c>
      <c r="E1407">
        <v>146740</v>
      </c>
      <c r="F1407">
        <v>3.1825302683130601</v>
      </c>
      <c r="G1407">
        <v>467004.491572258</v>
      </c>
      <c r="H1407" t="s">
        <v>394</v>
      </c>
    </row>
    <row r="1408" spans="1:8" ht="14.25" customHeight="1" x14ac:dyDescent="0.3">
      <c r="A1408" t="s">
        <v>625</v>
      </c>
      <c r="B1408" t="s">
        <v>43</v>
      </c>
      <c r="C1408" t="s">
        <v>43</v>
      </c>
      <c r="D1408" t="s">
        <v>275</v>
      </c>
      <c r="E1408">
        <v>146740</v>
      </c>
      <c r="F1408">
        <v>0.13863395635537101</v>
      </c>
      <c r="G1408">
        <v>20343.146755587099</v>
      </c>
      <c r="H1408" t="s">
        <v>394</v>
      </c>
    </row>
    <row r="1409" spans="1:8" ht="14.25" customHeight="1" x14ac:dyDescent="0.3">
      <c r="A1409" t="s">
        <v>625</v>
      </c>
      <c r="B1409" t="s">
        <v>81</v>
      </c>
      <c r="C1409" t="s">
        <v>81</v>
      </c>
      <c r="D1409" t="s">
        <v>275</v>
      </c>
      <c r="E1409">
        <v>146740</v>
      </c>
      <c r="F1409">
        <v>7.1167700671494E-2</v>
      </c>
      <c r="G1409">
        <v>10443.148396535</v>
      </c>
      <c r="H1409" t="s">
        <v>394</v>
      </c>
    </row>
    <row r="1410" spans="1:8" ht="14.25" customHeight="1" x14ac:dyDescent="0.3">
      <c r="A1410" t="s">
        <v>625</v>
      </c>
      <c r="B1410" t="s">
        <v>36</v>
      </c>
      <c r="C1410" t="s">
        <v>36</v>
      </c>
      <c r="D1410" t="s">
        <v>275</v>
      </c>
      <c r="E1410">
        <v>146740</v>
      </c>
      <c r="F1410">
        <v>0.37376204594746198</v>
      </c>
      <c r="G1410">
        <v>54845.842622330601</v>
      </c>
      <c r="H1410" t="s">
        <v>394</v>
      </c>
    </row>
    <row r="1411" spans="1:8" ht="14.25" customHeight="1" x14ac:dyDescent="0.3">
      <c r="A1411" t="s">
        <v>625</v>
      </c>
      <c r="B1411" t="s">
        <v>83</v>
      </c>
      <c r="C1411" t="s">
        <v>83</v>
      </c>
      <c r="D1411" t="s">
        <v>275</v>
      </c>
      <c r="E1411">
        <v>146740</v>
      </c>
      <c r="F1411">
        <v>7.9375307085676305E-2</v>
      </c>
      <c r="G1411">
        <v>11647.532561752099</v>
      </c>
      <c r="H1411" t="s">
        <v>394</v>
      </c>
    </row>
    <row r="1412" spans="1:8" ht="14.25" customHeight="1" x14ac:dyDescent="0.3">
      <c r="A1412" t="s">
        <v>625</v>
      </c>
      <c r="B1412" t="s">
        <v>652</v>
      </c>
      <c r="C1412" t="s">
        <v>652</v>
      </c>
      <c r="D1412" t="s">
        <v>275</v>
      </c>
      <c r="E1412">
        <v>146740</v>
      </c>
      <c r="F1412">
        <v>0.71331760506424602</v>
      </c>
      <c r="G1412">
        <v>104672.22536712801</v>
      </c>
      <c r="H1412" t="s">
        <v>394</v>
      </c>
    </row>
    <row r="1413" spans="1:8" ht="14.25" customHeight="1" x14ac:dyDescent="0.3">
      <c r="A1413" t="s">
        <v>625</v>
      </c>
      <c r="B1413" t="s">
        <v>31</v>
      </c>
      <c r="C1413" t="s">
        <v>31</v>
      </c>
      <c r="D1413" t="s">
        <v>275</v>
      </c>
      <c r="E1413">
        <v>146740</v>
      </c>
      <c r="F1413">
        <v>0.37185400000000002</v>
      </c>
      <c r="G1413">
        <v>54565.855960000001</v>
      </c>
      <c r="H1413" t="s">
        <v>394</v>
      </c>
    </row>
    <row r="1414" spans="1:8" ht="14.25" customHeight="1" x14ac:dyDescent="0.3">
      <c r="A1414" t="s">
        <v>588</v>
      </c>
      <c r="B1414" t="s">
        <v>80</v>
      </c>
      <c r="C1414" t="s">
        <v>80</v>
      </c>
      <c r="D1414" t="s">
        <v>275</v>
      </c>
      <c r="E1414">
        <v>137756</v>
      </c>
      <c r="F1414">
        <v>0.15454361241748399</v>
      </c>
      <c r="G1414">
        <v>21289.309872182901</v>
      </c>
      <c r="H1414" t="s">
        <v>394</v>
      </c>
    </row>
    <row r="1415" spans="1:8" ht="14.25" customHeight="1" x14ac:dyDescent="0.3">
      <c r="A1415" t="s">
        <v>598</v>
      </c>
      <c r="B1415" t="s">
        <v>80</v>
      </c>
      <c r="C1415" t="s">
        <v>80</v>
      </c>
      <c r="D1415" t="s">
        <v>275</v>
      </c>
      <c r="E1415">
        <v>140857</v>
      </c>
      <c r="F1415">
        <v>0.15067662524186101</v>
      </c>
      <c r="G1415">
        <v>21223.8574016928</v>
      </c>
      <c r="H1415" t="s">
        <v>394</v>
      </c>
    </row>
    <row r="1416" spans="1:8" ht="14.25" customHeight="1" x14ac:dyDescent="0.3">
      <c r="A1416" t="s">
        <v>625</v>
      </c>
      <c r="B1416" t="s">
        <v>80</v>
      </c>
      <c r="C1416" t="s">
        <v>80</v>
      </c>
      <c r="D1416" t="s">
        <v>275</v>
      </c>
      <c r="E1416">
        <v>146740</v>
      </c>
      <c r="F1416">
        <v>0.14528977957328101</v>
      </c>
      <c r="G1416">
        <v>21319.822254583301</v>
      </c>
      <c r="H1416" t="s">
        <v>394</v>
      </c>
    </row>
    <row r="1417" spans="1:8" ht="14.25" customHeight="1" x14ac:dyDescent="0.3">
      <c r="A1417" t="s">
        <v>588</v>
      </c>
      <c r="B1417" t="s">
        <v>42</v>
      </c>
      <c r="C1417" t="s">
        <v>42</v>
      </c>
      <c r="D1417" t="s">
        <v>275</v>
      </c>
      <c r="E1417">
        <v>137756</v>
      </c>
      <c r="F1417">
        <v>0.145293801710045</v>
      </c>
      <c r="G1417">
        <v>20015.092948369002</v>
      </c>
      <c r="H1417" t="s">
        <v>394</v>
      </c>
    </row>
    <row r="1418" spans="1:8" ht="14.25" customHeight="1" x14ac:dyDescent="0.3">
      <c r="A1418" t="s">
        <v>598</v>
      </c>
      <c r="B1418" t="s">
        <v>42</v>
      </c>
      <c r="C1418" t="s">
        <v>42</v>
      </c>
      <c r="D1418" t="s">
        <v>275</v>
      </c>
      <c r="E1418">
        <v>140857</v>
      </c>
      <c r="F1418">
        <v>0.14678242373983599</v>
      </c>
      <c r="G1418">
        <v>20675.331860722101</v>
      </c>
      <c r="H1418" t="s">
        <v>394</v>
      </c>
    </row>
    <row r="1419" spans="1:8" ht="14.25" customHeight="1" x14ac:dyDescent="0.3">
      <c r="A1419" t="s">
        <v>625</v>
      </c>
      <c r="B1419" t="s">
        <v>42</v>
      </c>
      <c r="C1419" t="s">
        <v>42</v>
      </c>
      <c r="D1419" t="s">
        <v>275</v>
      </c>
      <c r="E1419">
        <v>146740</v>
      </c>
      <c r="F1419">
        <v>0.136978220673766</v>
      </c>
      <c r="G1419">
        <v>20100.184101668401</v>
      </c>
      <c r="H1419" t="s">
        <v>394</v>
      </c>
    </row>
    <row r="1420" spans="1:8" ht="14.25" customHeight="1" x14ac:dyDescent="0.3">
      <c r="A1420" t="s">
        <v>588</v>
      </c>
      <c r="B1420" t="s">
        <v>34</v>
      </c>
      <c r="C1420" t="s">
        <v>34</v>
      </c>
      <c r="D1420" t="s">
        <v>275</v>
      </c>
      <c r="E1420">
        <v>137756</v>
      </c>
      <c r="F1420">
        <v>0.23174321635211001</v>
      </c>
      <c r="G1420">
        <v>31924.0185118013</v>
      </c>
      <c r="H1420" t="s">
        <v>394</v>
      </c>
    </row>
    <row r="1421" spans="1:8" ht="14.25" customHeight="1" x14ac:dyDescent="0.3">
      <c r="A1421" t="s">
        <v>598</v>
      </c>
      <c r="B1421" t="s">
        <v>34</v>
      </c>
      <c r="C1421" t="s">
        <v>34</v>
      </c>
      <c r="D1421" t="s">
        <v>275</v>
      </c>
      <c r="E1421">
        <v>140857</v>
      </c>
      <c r="F1421">
        <v>0.25154373634156801</v>
      </c>
      <c r="G1421">
        <v>35431.6960698642</v>
      </c>
      <c r="H1421" t="s">
        <v>394</v>
      </c>
    </row>
    <row r="1422" spans="1:8" ht="14.25" customHeight="1" x14ac:dyDescent="0.3">
      <c r="A1422" t="s">
        <v>625</v>
      </c>
      <c r="B1422" t="s">
        <v>34</v>
      </c>
      <c r="C1422" t="s">
        <v>34</v>
      </c>
      <c r="D1422" t="s">
        <v>275</v>
      </c>
      <c r="E1422">
        <v>146740</v>
      </c>
      <c r="F1422">
        <v>0.229782928031525</v>
      </c>
      <c r="G1422">
        <v>33718.346859345998</v>
      </c>
      <c r="H1422" t="s">
        <v>394</v>
      </c>
    </row>
    <row r="1423" spans="1:8" ht="14.25" customHeight="1" x14ac:dyDescent="0.3">
      <c r="A1423" t="s">
        <v>588</v>
      </c>
      <c r="B1423" t="s">
        <v>35</v>
      </c>
      <c r="C1423" t="s">
        <v>35</v>
      </c>
      <c r="D1423" t="s">
        <v>275</v>
      </c>
      <c r="E1423">
        <v>137756</v>
      </c>
      <c r="F1423">
        <v>8.5544085257177493E-2</v>
      </c>
      <c r="G1423">
        <v>11784.2110086877</v>
      </c>
      <c r="H1423" t="s">
        <v>394</v>
      </c>
    </row>
    <row r="1424" spans="1:8" ht="14.25" customHeight="1" x14ac:dyDescent="0.3">
      <c r="A1424" t="s">
        <v>598</v>
      </c>
      <c r="B1424" t="s">
        <v>35</v>
      </c>
      <c r="C1424" t="s">
        <v>35</v>
      </c>
      <c r="D1424" t="s">
        <v>275</v>
      </c>
      <c r="E1424">
        <v>140857</v>
      </c>
      <c r="F1424">
        <v>8.6125079679536906E-2</v>
      </c>
      <c r="G1424">
        <v>12131.320348420501</v>
      </c>
      <c r="H1424" t="s">
        <v>394</v>
      </c>
    </row>
    <row r="1425" spans="1:8" ht="14.25" customHeight="1" x14ac:dyDescent="0.3">
      <c r="A1425" t="s">
        <v>625</v>
      </c>
      <c r="B1425" t="s">
        <v>35</v>
      </c>
      <c r="C1425" t="s">
        <v>35</v>
      </c>
      <c r="D1425" t="s">
        <v>275</v>
      </c>
      <c r="E1425">
        <v>146740</v>
      </c>
      <c r="F1425">
        <v>5.5610036180275997E-2</v>
      </c>
      <c r="G1425">
        <v>8160.2167090937</v>
      </c>
      <c r="H1425" t="s">
        <v>394</v>
      </c>
    </row>
    <row r="1426" spans="1:8" ht="14.25" customHeight="1" x14ac:dyDescent="0.3">
      <c r="A1426" t="s">
        <v>588</v>
      </c>
      <c r="B1426" t="s">
        <v>40</v>
      </c>
      <c r="C1426" t="s">
        <v>40</v>
      </c>
      <c r="D1426" t="s">
        <v>275</v>
      </c>
      <c r="E1426">
        <v>137756</v>
      </c>
      <c r="F1426">
        <v>0.14296612373057599</v>
      </c>
      <c r="G1426">
        <v>19694.441340629201</v>
      </c>
      <c r="H1426" t="s">
        <v>394</v>
      </c>
    </row>
    <row r="1427" spans="1:8" ht="14.25" customHeight="1" x14ac:dyDescent="0.3">
      <c r="A1427" t="s">
        <v>598</v>
      </c>
      <c r="B1427" t="s">
        <v>40</v>
      </c>
      <c r="C1427" t="s">
        <v>40</v>
      </c>
      <c r="D1427" t="s">
        <v>275</v>
      </c>
      <c r="E1427">
        <v>140857</v>
      </c>
      <c r="F1427">
        <v>0.19364177494700899</v>
      </c>
      <c r="G1427">
        <v>27275.799493710801</v>
      </c>
      <c r="H1427" t="s">
        <v>394</v>
      </c>
    </row>
    <row r="1428" spans="1:8" ht="14.25" customHeight="1" x14ac:dyDescent="0.3">
      <c r="A1428" t="s">
        <v>625</v>
      </c>
      <c r="B1428" t="s">
        <v>40</v>
      </c>
      <c r="C1428" t="s">
        <v>40</v>
      </c>
      <c r="D1428" t="s">
        <v>275</v>
      </c>
      <c r="E1428">
        <v>146740</v>
      </c>
      <c r="F1428">
        <v>0.18235845849194299</v>
      </c>
      <c r="G1428">
        <v>26759.280199107699</v>
      </c>
      <c r="H1428" t="s">
        <v>394</v>
      </c>
    </row>
    <row r="1429" spans="1:8" ht="14.25" customHeight="1" x14ac:dyDescent="0.3">
      <c r="A1429" t="s">
        <v>588</v>
      </c>
      <c r="B1429" t="s">
        <v>87</v>
      </c>
      <c r="C1429" t="s">
        <v>644</v>
      </c>
      <c r="D1429" t="s">
        <v>275</v>
      </c>
      <c r="E1429">
        <v>137756</v>
      </c>
      <c r="F1429">
        <v>0.14883017799892301</v>
      </c>
      <c r="G1429">
        <v>20502.250000419601</v>
      </c>
      <c r="H1429" t="s">
        <v>394</v>
      </c>
    </row>
    <row r="1430" spans="1:8" ht="14.25" customHeight="1" x14ac:dyDescent="0.3">
      <c r="A1430" t="s">
        <v>598</v>
      </c>
      <c r="B1430" t="s">
        <v>87</v>
      </c>
      <c r="C1430" t="s">
        <v>644</v>
      </c>
      <c r="D1430" t="s">
        <v>275</v>
      </c>
      <c r="E1430">
        <v>140857</v>
      </c>
      <c r="F1430">
        <v>0.165505113968682</v>
      </c>
      <c r="G1430">
        <v>23312.5538382866</v>
      </c>
      <c r="H1430" t="s">
        <v>394</v>
      </c>
    </row>
    <row r="1431" spans="1:8" ht="14.25" customHeight="1" x14ac:dyDescent="0.3">
      <c r="A1431" t="s">
        <v>625</v>
      </c>
      <c r="B1431" t="s">
        <v>87</v>
      </c>
      <c r="C1431" t="s">
        <v>644</v>
      </c>
      <c r="D1431" t="s">
        <v>275</v>
      </c>
      <c r="E1431">
        <v>146740</v>
      </c>
      <c r="F1431">
        <v>0.17097470082534699</v>
      </c>
      <c r="G1431">
        <v>25088.827599111399</v>
      </c>
      <c r="H1431" t="s">
        <v>394</v>
      </c>
    </row>
    <row r="1432" spans="1:8" ht="14.25" customHeight="1" x14ac:dyDescent="0.3">
      <c r="A1432" t="s">
        <v>588</v>
      </c>
      <c r="B1432" t="s">
        <v>85</v>
      </c>
      <c r="C1432" t="s">
        <v>645</v>
      </c>
      <c r="D1432" t="s">
        <v>275</v>
      </c>
      <c r="E1432">
        <v>137756</v>
      </c>
      <c r="F1432">
        <v>0.31946400403497699</v>
      </c>
      <c r="G1432">
        <v>44008.083339842298</v>
      </c>
      <c r="H1432" t="s">
        <v>394</v>
      </c>
    </row>
    <row r="1433" spans="1:8" ht="14.25" customHeight="1" x14ac:dyDescent="0.3">
      <c r="A1433" t="s">
        <v>598</v>
      </c>
      <c r="B1433" t="s">
        <v>85</v>
      </c>
      <c r="C1433" t="s">
        <v>645</v>
      </c>
      <c r="D1433" t="s">
        <v>275</v>
      </c>
      <c r="E1433">
        <v>140857</v>
      </c>
      <c r="F1433">
        <v>0.29309970899647397</v>
      </c>
      <c r="G1433">
        <v>41285.145710116303</v>
      </c>
      <c r="H1433" t="s">
        <v>394</v>
      </c>
    </row>
    <row r="1434" spans="1:8" ht="14.25" customHeight="1" x14ac:dyDescent="0.3">
      <c r="A1434" t="s">
        <v>625</v>
      </c>
      <c r="B1434" t="s">
        <v>85</v>
      </c>
      <c r="C1434" t="s">
        <v>645</v>
      </c>
      <c r="D1434" t="s">
        <v>275</v>
      </c>
      <c r="E1434">
        <v>146740</v>
      </c>
      <c r="F1434">
        <v>0.29938243891786698</v>
      </c>
      <c r="G1434">
        <v>43931.379086807799</v>
      </c>
      <c r="H1434" t="s">
        <v>394</v>
      </c>
    </row>
    <row r="1435" spans="1:8" ht="14.25" customHeight="1" x14ac:dyDescent="0.3">
      <c r="A1435" t="s">
        <v>588</v>
      </c>
      <c r="B1435" t="s">
        <v>50</v>
      </c>
      <c r="C1435" t="s">
        <v>50</v>
      </c>
      <c r="D1435" t="s">
        <v>275</v>
      </c>
      <c r="E1435">
        <v>137756</v>
      </c>
      <c r="F1435">
        <v>0.305046267385157</v>
      </c>
      <c r="G1435">
        <v>42021.953609909702</v>
      </c>
      <c r="H1435" t="s">
        <v>394</v>
      </c>
    </row>
    <row r="1436" spans="1:8" ht="14.25" customHeight="1" x14ac:dyDescent="0.3">
      <c r="A1436" t="s">
        <v>598</v>
      </c>
      <c r="B1436" t="s">
        <v>50</v>
      </c>
      <c r="C1436" t="s">
        <v>50</v>
      </c>
      <c r="D1436" t="s">
        <v>275</v>
      </c>
      <c r="E1436">
        <v>140857</v>
      </c>
      <c r="F1436">
        <v>0.34028946998352499</v>
      </c>
      <c r="G1436">
        <v>47932.153873469397</v>
      </c>
      <c r="H1436" t="s">
        <v>394</v>
      </c>
    </row>
    <row r="1437" spans="1:8" ht="14.25" customHeight="1" x14ac:dyDescent="0.3">
      <c r="A1437" t="s">
        <v>625</v>
      </c>
      <c r="B1437" t="s">
        <v>50</v>
      </c>
      <c r="C1437" t="s">
        <v>50</v>
      </c>
      <c r="D1437" t="s">
        <v>275</v>
      </c>
      <c r="E1437">
        <v>146740</v>
      </c>
      <c r="F1437">
        <v>0.58158690164821303</v>
      </c>
      <c r="G1437">
        <v>85342.061947858805</v>
      </c>
      <c r="H1437" t="s">
        <v>394</v>
      </c>
    </row>
    <row r="1438" spans="1:8" ht="14.25" customHeight="1" x14ac:dyDescent="0.3">
      <c r="A1438" t="s">
        <v>588</v>
      </c>
      <c r="B1438" t="s">
        <v>45</v>
      </c>
      <c r="C1438" t="s">
        <v>653</v>
      </c>
      <c r="D1438" t="s">
        <v>275</v>
      </c>
      <c r="E1438">
        <v>137756</v>
      </c>
      <c r="F1438">
        <v>0.37822842149827302</v>
      </c>
      <c r="G1438">
        <v>52103.234431916098</v>
      </c>
      <c r="H1438" t="s">
        <v>654</v>
      </c>
    </row>
    <row r="1439" spans="1:8" ht="14.25" customHeight="1" x14ac:dyDescent="0.3">
      <c r="A1439" t="s">
        <v>598</v>
      </c>
      <c r="B1439" t="s">
        <v>45</v>
      </c>
      <c r="C1439" t="s">
        <v>653</v>
      </c>
      <c r="D1439" t="s">
        <v>275</v>
      </c>
      <c r="E1439">
        <v>140857</v>
      </c>
      <c r="F1439">
        <v>0.377040492601736</v>
      </c>
      <c r="G1439">
        <v>53108.792666402704</v>
      </c>
      <c r="H1439" t="s">
        <v>654</v>
      </c>
    </row>
    <row r="1440" spans="1:8" ht="14.25" customHeight="1" x14ac:dyDescent="0.3">
      <c r="A1440" t="s">
        <v>625</v>
      </c>
      <c r="B1440" t="s">
        <v>45</v>
      </c>
      <c r="C1440" t="s">
        <v>653</v>
      </c>
      <c r="D1440" t="s">
        <v>275</v>
      </c>
      <c r="E1440">
        <v>146740</v>
      </c>
      <c r="F1440">
        <v>0.44449225523720698</v>
      </c>
      <c r="G1440">
        <v>65224.793533507698</v>
      </c>
      <c r="H1440" t="s">
        <v>654</v>
      </c>
    </row>
    <row r="1441" spans="1:8" ht="14.25" customHeight="1" x14ac:dyDescent="0.3">
      <c r="A1441" t="s">
        <v>588</v>
      </c>
      <c r="B1441" t="s">
        <v>41</v>
      </c>
      <c r="C1441" t="s">
        <v>41</v>
      </c>
      <c r="D1441" t="s">
        <v>275</v>
      </c>
      <c r="E1441">
        <v>137756</v>
      </c>
      <c r="F1441">
        <v>9.5085439645214695E-2</v>
      </c>
      <c r="G1441">
        <v>13098.5898237662</v>
      </c>
      <c r="H1441" t="s">
        <v>394</v>
      </c>
    </row>
    <row r="1442" spans="1:8" ht="14.25" customHeight="1" x14ac:dyDescent="0.3">
      <c r="A1442" t="s">
        <v>598</v>
      </c>
      <c r="B1442" t="s">
        <v>41</v>
      </c>
      <c r="C1442" t="s">
        <v>41</v>
      </c>
      <c r="D1442" t="s">
        <v>275</v>
      </c>
      <c r="E1442">
        <v>140857</v>
      </c>
      <c r="F1442">
        <v>9.2647970745677294E-2</v>
      </c>
      <c r="G1442">
        <v>13050.1152153239</v>
      </c>
      <c r="H1442" t="s">
        <v>394</v>
      </c>
    </row>
    <row r="1443" spans="1:8" ht="14.25" customHeight="1" x14ac:dyDescent="0.3">
      <c r="A1443" t="s">
        <v>625</v>
      </c>
      <c r="B1443" t="s">
        <v>41</v>
      </c>
      <c r="C1443" t="s">
        <v>41</v>
      </c>
      <c r="D1443" t="s">
        <v>275</v>
      </c>
      <c r="E1443">
        <v>146740</v>
      </c>
      <c r="F1443">
        <v>9.9740720885796399E-2</v>
      </c>
      <c r="G1443">
        <v>14635.9533827818</v>
      </c>
      <c r="H1443" t="s">
        <v>394</v>
      </c>
    </row>
    <row r="1444" spans="1:8" ht="14.25" customHeight="1" x14ac:dyDescent="0.3">
      <c r="A1444" t="s">
        <v>650</v>
      </c>
      <c r="B1444" t="s">
        <v>43</v>
      </c>
      <c r="C1444" t="s">
        <v>43</v>
      </c>
      <c r="D1444" t="s">
        <v>275</v>
      </c>
      <c r="E1444">
        <v>142395</v>
      </c>
      <c r="F1444">
        <v>0.128580108535781</v>
      </c>
      <c r="G1444">
        <v>18309.164554952498</v>
      </c>
      <c r="H1444" t="s">
        <v>394</v>
      </c>
    </row>
    <row r="1445" spans="1:8" ht="14.25" customHeight="1" x14ac:dyDescent="0.3">
      <c r="A1445" t="s">
        <v>650</v>
      </c>
      <c r="B1445" t="s">
        <v>31</v>
      </c>
      <c r="C1445" t="s">
        <v>31</v>
      </c>
      <c r="D1445" t="s">
        <v>275</v>
      </c>
      <c r="E1445">
        <v>142395</v>
      </c>
      <c r="F1445">
        <v>0.21704011766495901</v>
      </c>
      <c r="G1445">
        <v>30905.427554901798</v>
      </c>
      <c r="H1445" t="s">
        <v>394</v>
      </c>
    </row>
    <row r="1446" spans="1:8" ht="14.25" customHeight="1" x14ac:dyDescent="0.3">
      <c r="A1446" t="s">
        <v>650</v>
      </c>
      <c r="B1446" t="s">
        <v>395</v>
      </c>
      <c r="C1446" t="s">
        <v>86</v>
      </c>
      <c r="D1446" t="s">
        <v>275</v>
      </c>
      <c r="E1446">
        <v>142395</v>
      </c>
      <c r="F1446">
        <v>0.22106451285692599</v>
      </c>
      <c r="G1446">
        <v>31478.481308261998</v>
      </c>
      <c r="H1446" t="s">
        <v>394</v>
      </c>
    </row>
    <row r="1447" spans="1:8" ht="14.25" customHeight="1" x14ac:dyDescent="0.3">
      <c r="A1447" t="s">
        <v>650</v>
      </c>
      <c r="B1447" t="s">
        <v>81</v>
      </c>
      <c r="C1447" t="s">
        <v>81</v>
      </c>
      <c r="D1447" t="s">
        <v>275</v>
      </c>
      <c r="E1447">
        <v>142395</v>
      </c>
      <c r="F1447">
        <v>7.3867069026728197E-2</v>
      </c>
      <c r="G1447">
        <v>10518.301294061001</v>
      </c>
      <c r="H1447" t="s">
        <v>394</v>
      </c>
    </row>
    <row r="1448" spans="1:8" ht="14.25" customHeight="1" x14ac:dyDescent="0.3">
      <c r="A1448" t="s">
        <v>650</v>
      </c>
      <c r="B1448" t="s">
        <v>85</v>
      </c>
      <c r="C1448" t="s">
        <v>645</v>
      </c>
      <c r="D1448" t="s">
        <v>275</v>
      </c>
      <c r="E1448">
        <v>142395</v>
      </c>
      <c r="F1448">
        <v>0.32786204797890101</v>
      </c>
      <c r="G1448">
        <v>46685.916321955599</v>
      </c>
      <c r="H1448" t="s">
        <v>394</v>
      </c>
    </row>
    <row r="1449" spans="1:8" ht="14.25" customHeight="1" x14ac:dyDescent="0.3">
      <c r="A1449" t="s">
        <v>650</v>
      </c>
      <c r="B1449" t="s">
        <v>87</v>
      </c>
      <c r="C1449" t="s">
        <v>644</v>
      </c>
      <c r="D1449" t="s">
        <v>275</v>
      </c>
      <c r="E1449">
        <v>142395</v>
      </c>
      <c r="F1449">
        <v>0.18198848709235699</v>
      </c>
      <c r="G1449">
        <v>25914.250619516199</v>
      </c>
      <c r="H1449" t="s">
        <v>394</v>
      </c>
    </row>
    <row r="1450" spans="1:8" ht="14.25" customHeight="1" x14ac:dyDescent="0.3">
      <c r="A1450" t="s">
        <v>650</v>
      </c>
      <c r="B1450" t="s">
        <v>35</v>
      </c>
      <c r="C1450" t="s">
        <v>35</v>
      </c>
      <c r="D1450" t="s">
        <v>275</v>
      </c>
      <c r="E1450">
        <v>142395</v>
      </c>
      <c r="F1450">
        <v>0.116105036263123</v>
      </c>
      <c r="G1450">
        <v>16532.776638687399</v>
      </c>
      <c r="H1450" t="s">
        <v>394</v>
      </c>
    </row>
    <row r="1451" spans="1:8" ht="14.25" customHeight="1" x14ac:dyDescent="0.3">
      <c r="A1451" t="s">
        <v>650</v>
      </c>
      <c r="B1451" t="s">
        <v>143</v>
      </c>
      <c r="C1451" t="s">
        <v>471</v>
      </c>
      <c r="D1451" t="s">
        <v>275</v>
      </c>
      <c r="E1451">
        <v>142395</v>
      </c>
      <c r="F1451">
        <v>0.23771319166201799</v>
      </c>
      <c r="G1451">
        <v>33849.169926713097</v>
      </c>
      <c r="H1451" t="s">
        <v>394</v>
      </c>
    </row>
    <row r="1452" spans="1:8" ht="14.25" customHeight="1" x14ac:dyDescent="0.3">
      <c r="A1452" t="s">
        <v>650</v>
      </c>
      <c r="B1452" t="s">
        <v>40</v>
      </c>
      <c r="C1452" t="s">
        <v>40</v>
      </c>
      <c r="D1452" t="s">
        <v>275</v>
      </c>
      <c r="E1452">
        <v>142395</v>
      </c>
      <c r="F1452">
        <v>0.200781102601816</v>
      </c>
      <c r="G1452">
        <v>28590.225104985599</v>
      </c>
      <c r="H1452" t="s">
        <v>394</v>
      </c>
    </row>
    <row r="1453" spans="1:8" ht="14.25" customHeight="1" x14ac:dyDescent="0.3">
      <c r="A1453" t="s">
        <v>650</v>
      </c>
      <c r="B1453" t="s">
        <v>41</v>
      </c>
      <c r="C1453" t="s">
        <v>41</v>
      </c>
      <c r="D1453" t="s">
        <v>275</v>
      </c>
      <c r="E1453">
        <v>142395</v>
      </c>
      <c r="F1453">
        <v>9.1583303748034695E-2</v>
      </c>
      <c r="G1453">
        <v>13041.004537201399</v>
      </c>
      <c r="H1453" t="s">
        <v>394</v>
      </c>
    </row>
    <row r="1454" spans="1:8" ht="14.25" customHeight="1" x14ac:dyDescent="0.3">
      <c r="A1454" t="s">
        <v>650</v>
      </c>
      <c r="B1454" t="s">
        <v>141</v>
      </c>
      <c r="C1454" t="s">
        <v>472</v>
      </c>
      <c r="D1454" t="s">
        <v>275</v>
      </c>
      <c r="E1454">
        <v>142395</v>
      </c>
      <c r="F1454">
        <v>0.124952629710402</v>
      </c>
      <c r="G1454">
        <v>17792.629707612701</v>
      </c>
      <c r="H1454" t="s">
        <v>394</v>
      </c>
    </row>
    <row r="1455" spans="1:8" ht="14.25" customHeight="1" x14ac:dyDescent="0.3">
      <c r="A1455" t="s">
        <v>650</v>
      </c>
      <c r="B1455" t="s">
        <v>80</v>
      </c>
      <c r="C1455" t="s">
        <v>80</v>
      </c>
      <c r="D1455" t="s">
        <v>275</v>
      </c>
      <c r="E1455">
        <v>142395</v>
      </c>
      <c r="F1455">
        <v>5.71887711112238E-2</v>
      </c>
      <c r="G1455">
        <v>8143.3950623827004</v>
      </c>
      <c r="H1455" t="s">
        <v>394</v>
      </c>
    </row>
    <row r="1456" spans="1:8" ht="14.25" customHeight="1" x14ac:dyDescent="0.3">
      <c r="A1456" t="s">
        <v>650</v>
      </c>
      <c r="B1456" t="s">
        <v>42</v>
      </c>
      <c r="C1456" t="s">
        <v>42</v>
      </c>
      <c r="D1456" t="s">
        <v>275</v>
      </c>
      <c r="E1456">
        <v>142395</v>
      </c>
      <c r="F1456">
        <v>0.14480661358218799</v>
      </c>
      <c r="G1456">
        <v>20619.7377410357</v>
      </c>
      <c r="H1456" t="s">
        <v>394</v>
      </c>
    </row>
    <row r="1457" spans="1:8" ht="14.25" customHeight="1" x14ac:dyDescent="0.3">
      <c r="A1457" t="s">
        <v>650</v>
      </c>
      <c r="B1457" t="s">
        <v>50</v>
      </c>
      <c r="C1457" t="s">
        <v>50</v>
      </c>
      <c r="D1457" t="s">
        <v>275</v>
      </c>
      <c r="E1457">
        <v>142395</v>
      </c>
      <c r="F1457">
        <v>0.49884668052949199</v>
      </c>
      <c r="G1457">
        <v>71033.273073996999</v>
      </c>
      <c r="H1457" t="s">
        <v>394</v>
      </c>
    </row>
    <row r="1458" spans="1:8" ht="14.25" customHeight="1" x14ac:dyDescent="0.3">
      <c r="A1458" t="s">
        <v>650</v>
      </c>
      <c r="B1458" t="s">
        <v>36</v>
      </c>
      <c r="C1458" t="s">
        <v>36</v>
      </c>
      <c r="D1458" t="s">
        <v>275</v>
      </c>
      <c r="E1458">
        <v>142395</v>
      </c>
      <c r="F1458">
        <v>0.17373667393619699</v>
      </c>
      <c r="G1458">
        <v>24739.233685144802</v>
      </c>
      <c r="H1458" t="s">
        <v>394</v>
      </c>
    </row>
    <row r="1459" spans="1:8" ht="14.25" customHeight="1" x14ac:dyDescent="0.3">
      <c r="A1459" t="s">
        <v>650</v>
      </c>
      <c r="B1459" t="s">
        <v>34</v>
      </c>
      <c r="C1459" t="s">
        <v>34</v>
      </c>
      <c r="D1459" t="s">
        <v>275</v>
      </c>
      <c r="E1459">
        <v>142395</v>
      </c>
      <c r="F1459">
        <v>0.32296003448800498</v>
      </c>
      <c r="G1459">
        <v>45987.8941109195</v>
      </c>
      <c r="H1459" t="s">
        <v>394</v>
      </c>
    </row>
    <row r="1460" spans="1:8" ht="14.25" customHeight="1" x14ac:dyDescent="0.3">
      <c r="A1460" t="s">
        <v>650</v>
      </c>
      <c r="B1460" t="s">
        <v>83</v>
      </c>
      <c r="C1460" t="s">
        <v>83</v>
      </c>
      <c r="D1460" t="s">
        <v>275</v>
      </c>
      <c r="E1460">
        <v>142395</v>
      </c>
      <c r="F1460">
        <v>7.9426231171070699E-2</v>
      </c>
      <c r="G1460">
        <v>11309.8981876046</v>
      </c>
      <c r="H1460" t="s">
        <v>394</v>
      </c>
    </row>
    <row r="1461" spans="1:8" ht="14.25" customHeight="1" x14ac:dyDescent="0.3">
      <c r="A1461" t="s">
        <v>650</v>
      </c>
      <c r="B1461" t="s">
        <v>652</v>
      </c>
      <c r="C1461" t="s">
        <v>652</v>
      </c>
      <c r="D1461" t="s">
        <v>275</v>
      </c>
      <c r="E1461">
        <v>142395</v>
      </c>
      <c r="F1461">
        <v>0.53985063650656795</v>
      </c>
      <c r="G1461">
        <v>76872.031385352704</v>
      </c>
      <c r="H1461" t="s">
        <v>394</v>
      </c>
    </row>
    <row r="1462" spans="1:8" ht="14.25" customHeight="1" x14ac:dyDescent="0.3">
      <c r="A1462" t="s">
        <v>650</v>
      </c>
      <c r="B1462" t="s">
        <v>45</v>
      </c>
      <c r="C1462" t="s">
        <v>653</v>
      </c>
      <c r="D1462" t="s">
        <v>275</v>
      </c>
      <c r="E1462">
        <v>142395</v>
      </c>
      <c r="F1462">
        <v>0.33874397727849098</v>
      </c>
      <c r="G1462">
        <v>48235.448644570701</v>
      </c>
      <c r="H1462" t="s">
        <v>654</v>
      </c>
    </row>
    <row r="1463" spans="1:8" ht="14.25" customHeight="1" x14ac:dyDescent="0.3">
      <c r="A1463" t="s">
        <v>650</v>
      </c>
      <c r="B1463" t="s">
        <v>55</v>
      </c>
      <c r="C1463" t="s">
        <v>648</v>
      </c>
      <c r="D1463" t="s">
        <v>287</v>
      </c>
      <c r="E1463">
        <v>1</v>
      </c>
      <c r="F1463">
        <v>35896.54</v>
      </c>
      <c r="G1463">
        <v>35896.54</v>
      </c>
      <c r="H1463" t="s">
        <v>655</v>
      </c>
    </row>
    <row r="1464" spans="1:8" ht="14.25" customHeight="1" x14ac:dyDescent="0.3">
      <c r="A1464" t="s">
        <v>650</v>
      </c>
      <c r="B1464" t="s">
        <v>55</v>
      </c>
      <c r="C1464" t="s">
        <v>648</v>
      </c>
      <c r="D1464" t="s">
        <v>293</v>
      </c>
      <c r="E1464">
        <v>1</v>
      </c>
      <c r="F1464">
        <v>21063.91</v>
      </c>
      <c r="G1464">
        <v>21063.91</v>
      </c>
      <c r="H1464" t="s">
        <v>655</v>
      </c>
    </row>
    <row r="1465" spans="1:8" ht="14.25" customHeight="1" x14ac:dyDescent="0.3">
      <c r="A1465" t="s">
        <v>650</v>
      </c>
      <c r="B1465" t="s">
        <v>55</v>
      </c>
      <c r="C1465" t="s">
        <v>648</v>
      </c>
      <c r="D1465" t="s">
        <v>290</v>
      </c>
      <c r="E1465">
        <v>1</v>
      </c>
      <c r="F1465">
        <v>39812</v>
      </c>
      <c r="G1465">
        <v>39812</v>
      </c>
      <c r="H1465" t="s">
        <v>655</v>
      </c>
    </row>
    <row r="1466" spans="1:8" ht="14.25" customHeight="1" x14ac:dyDescent="0.3">
      <c r="A1466" t="s">
        <v>650</v>
      </c>
      <c r="B1466" t="s">
        <v>55</v>
      </c>
      <c r="C1466" t="s">
        <v>648</v>
      </c>
      <c r="D1466" t="s">
        <v>284</v>
      </c>
      <c r="E1466">
        <v>1</v>
      </c>
      <c r="F1466">
        <v>86092.65</v>
      </c>
      <c r="G1466">
        <v>86092.65</v>
      </c>
      <c r="H1466" t="s">
        <v>655</v>
      </c>
    </row>
    <row r="1467" spans="1:8" ht="14.25" customHeight="1" x14ac:dyDescent="0.3">
      <c r="A1467" t="s">
        <v>650</v>
      </c>
      <c r="B1467" t="s">
        <v>55</v>
      </c>
      <c r="C1467" t="s">
        <v>648</v>
      </c>
      <c r="D1467" t="s">
        <v>285</v>
      </c>
      <c r="E1467">
        <v>1</v>
      </c>
      <c r="F1467">
        <v>25200.240000000002</v>
      </c>
      <c r="G1467">
        <v>25200.240000000002</v>
      </c>
      <c r="H1467" t="s">
        <v>655</v>
      </c>
    </row>
    <row r="1468" spans="1:8" ht="14.25" customHeight="1" x14ac:dyDescent="0.3">
      <c r="A1468" t="s">
        <v>650</v>
      </c>
      <c r="B1468" t="s">
        <v>55</v>
      </c>
      <c r="C1468" t="s">
        <v>648</v>
      </c>
      <c r="D1468" t="s">
        <v>282</v>
      </c>
      <c r="E1468">
        <v>1</v>
      </c>
      <c r="F1468">
        <v>30881.55</v>
      </c>
      <c r="G1468">
        <v>30881.55</v>
      </c>
      <c r="H1468" t="s">
        <v>655</v>
      </c>
    </row>
    <row r="1469" spans="1:8" ht="14.25" customHeight="1" x14ac:dyDescent="0.3">
      <c r="A1469" t="s">
        <v>598</v>
      </c>
      <c r="B1469" t="s">
        <v>54</v>
      </c>
      <c r="C1469" t="s">
        <v>54</v>
      </c>
      <c r="D1469" t="s">
        <v>287</v>
      </c>
      <c r="E1469">
        <v>1</v>
      </c>
      <c r="F1469">
        <v>997.32609749999995</v>
      </c>
      <c r="G1469">
        <v>997.32609749999995</v>
      </c>
      <c r="H1469" t="s">
        <v>656</v>
      </c>
    </row>
    <row r="1470" spans="1:8" ht="14.25" customHeight="1" x14ac:dyDescent="0.3">
      <c r="A1470" t="s">
        <v>598</v>
      </c>
      <c r="B1470" t="s">
        <v>54</v>
      </c>
      <c r="C1470" t="s">
        <v>54</v>
      </c>
      <c r="D1470" t="s">
        <v>289</v>
      </c>
      <c r="E1470">
        <v>1</v>
      </c>
      <c r="F1470">
        <v>997.32609749999995</v>
      </c>
      <c r="G1470">
        <v>997.32609749999995</v>
      </c>
      <c r="H1470" t="s">
        <v>656</v>
      </c>
    </row>
    <row r="1471" spans="1:8" ht="14.25" customHeight="1" x14ac:dyDescent="0.3">
      <c r="A1471" t="s">
        <v>598</v>
      </c>
      <c r="B1471" t="s">
        <v>54</v>
      </c>
      <c r="C1471" t="s">
        <v>54</v>
      </c>
      <c r="D1471" t="s">
        <v>293</v>
      </c>
      <c r="E1471">
        <v>1</v>
      </c>
      <c r="F1471">
        <v>997.32609749999995</v>
      </c>
      <c r="G1471">
        <v>997.32609749999995</v>
      </c>
      <c r="H1471" t="s">
        <v>656</v>
      </c>
    </row>
    <row r="1472" spans="1:8" ht="14.25" customHeight="1" x14ac:dyDescent="0.3">
      <c r="A1472" t="s">
        <v>598</v>
      </c>
      <c r="B1472" t="s">
        <v>54</v>
      </c>
      <c r="C1472" t="s">
        <v>54</v>
      </c>
      <c r="D1472" t="s">
        <v>290</v>
      </c>
      <c r="E1472">
        <v>1</v>
      </c>
      <c r="F1472">
        <v>997.32609749999995</v>
      </c>
      <c r="G1472">
        <v>997.32609749999995</v>
      </c>
      <c r="H1472" t="s">
        <v>656</v>
      </c>
    </row>
    <row r="1473" spans="1:8" ht="14.25" customHeight="1" x14ac:dyDescent="0.3">
      <c r="A1473" t="s">
        <v>598</v>
      </c>
      <c r="B1473" t="s">
        <v>54</v>
      </c>
      <c r="C1473" t="s">
        <v>54</v>
      </c>
      <c r="D1473" t="s">
        <v>284</v>
      </c>
      <c r="E1473">
        <v>1</v>
      </c>
      <c r="F1473">
        <v>997.32609749999995</v>
      </c>
      <c r="G1473">
        <v>997.32609749999995</v>
      </c>
      <c r="H1473" t="s">
        <v>656</v>
      </c>
    </row>
    <row r="1474" spans="1:8" ht="14.25" customHeight="1" x14ac:dyDescent="0.3">
      <c r="A1474" t="s">
        <v>598</v>
      </c>
      <c r="B1474" t="s">
        <v>54</v>
      </c>
      <c r="C1474" t="s">
        <v>54</v>
      </c>
      <c r="D1474" t="s">
        <v>285</v>
      </c>
      <c r="E1474">
        <v>1</v>
      </c>
      <c r="F1474">
        <v>997.32609749999995</v>
      </c>
      <c r="G1474">
        <v>997.32609749999995</v>
      </c>
      <c r="H1474" t="s">
        <v>656</v>
      </c>
    </row>
    <row r="1475" spans="1:8" ht="14.25" customHeight="1" x14ac:dyDescent="0.3">
      <c r="A1475" t="s">
        <v>598</v>
      </c>
      <c r="B1475" t="s">
        <v>54</v>
      </c>
      <c r="C1475" t="s">
        <v>54</v>
      </c>
      <c r="D1475" t="s">
        <v>282</v>
      </c>
      <c r="E1475">
        <v>1</v>
      </c>
      <c r="F1475">
        <v>997.32609749999995</v>
      </c>
      <c r="G1475">
        <v>997.32609749999995</v>
      </c>
      <c r="H1475" t="s">
        <v>656</v>
      </c>
    </row>
    <row r="1476" spans="1:8" ht="14.25" customHeight="1" x14ac:dyDescent="0.3">
      <c r="A1476" t="s">
        <v>598</v>
      </c>
      <c r="B1476" t="s">
        <v>54</v>
      </c>
      <c r="C1476" t="s">
        <v>54</v>
      </c>
      <c r="D1476" t="s">
        <v>275</v>
      </c>
      <c r="E1476">
        <v>1</v>
      </c>
      <c r="F1476">
        <v>997.32609749999995</v>
      </c>
      <c r="G1476">
        <v>997.32609749999995</v>
      </c>
      <c r="H1476" t="s">
        <v>656</v>
      </c>
    </row>
    <row r="1477" spans="1:8" ht="14.25" customHeight="1" x14ac:dyDescent="0.3">
      <c r="A1477" t="s">
        <v>625</v>
      </c>
      <c r="B1477" t="s">
        <v>54</v>
      </c>
      <c r="C1477" t="s">
        <v>54</v>
      </c>
      <c r="D1477" t="s">
        <v>287</v>
      </c>
      <c r="E1477">
        <v>1</v>
      </c>
      <c r="F1477">
        <v>1697.9445136756799</v>
      </c>
      <c r="G1477">
        <v>1697.9445136756799</v>
      </c>
      <c r="H1477" t="s">
        <v>656</v>
      </c>
    </row>
    <row r="1478" spans="1:8" ht="14.25" customHeight="1" x14ac:dyDescent="0.3">
      <c r="A1478" t="s">
        <v>625</v>
      </c>
      <c r="B1478" t="s">
        <v>54</v>
      </c>
      <c r="C1478" t="s">
        <v>54</v>
      </c>
      <c r="D1478" t="s">
        <v>289</v>
      </c>
      <c r="E1478">
        <v>1</v>
      </c>
      <c r="F1478">
        <v>1697.9445136756799</v>
      </c>
      <c r="G1478">
        <v>1697.9445136756799</v>
      </c>
      <c r="H1478" t="s">
        <v>656</v>
      </c>
    </row>
    <row r="1479" spans="1:8" ht="14.25" customHeight="1" x14ac:dyDescent="0.3">
      <c r="A1479" t="s">
        <v>625</v>
      </c>
      <c r="B1479" t="s">
        <v>54</v>
      </c>
      <c r="C1479" t="s">
        <v>54</v>
      </c>
      <c r="D1479" t="s">
        <v>293</v>
      </c>
      <c r="E1479">
        <v>1</v>
      </c>
      <c r="F1479">
        <v>1697.9445136756799</v>
      </c>
      <c r="G1479">
        <v>1697.9445136756799</v>
      </c>
      <c r="H1479" t="s">
        <v>656</v>
      </c>
    </row>
    <row r="1480" spans="1:8" ht="14.25" customHeight="1" x14ac:dyDescent="0.3">
      <c r="A1480" t="s">
        <v>625</v>
      </c>
      <c r="B1480" t="s">
        <v>54</v>
      </c>
      <c r="C1480" t="s">
        <v>54</v>
      </c>
      <c r="D1480" t="s">
        <v>290</v>
      </c>
      <c r="E1480">
        <v>1</v>
      </c>
      <c r="F1480">
        <v>1697.9445136756799</v>
      </c>
      <c r="G1480">
        <v>1697.9445136756799</v>
      </c>
      <c r="H1480" t="s">
        <v>656</v>
      </c>
    </row>
    <row r="1481" spans="1:8" ht="14.25" customHeight="1" x14ac:dyDescent="0.3">
      <c r="A1481" t="s">
        <v>625</v>
      </c>
      <c r="B1481" t="s">
        <v>54</v>
      </c>
      <c r="C1481" t="s">
        <v>54</v>
      </c>
      <c r="D1481" t="s">
        <v>284</v>
      </c>
      <c r="E1481">
        <v>1</v>
      </c>
      <c r="F1481">
        <v>1697.9445136756799</v>
      </c>
      <c r="G1481">
        <v>1697.9445136756799</v>
      </c>
      <c r="H1481" t="s">
        <v>656</v>
      </c>
    </row>
    <row r="1482" spans="1:8" ht="14.25" customHeight="1" x14ac:dyDescent="0.3">
      <c r="A1482" t="s">
        <v>625</v>
      </c>
      <c r="B1482" t="s">
        <v>54</v>
      </c>
      <c r="C1482" t="s">
        <v>54</v>
      </c>
      <c r="D1482" t="s">
        <v>285</v>
      </c>
      <c r="E1482">
        <v>1</v>
      </c>
      <c r="F1482">
        <v>1697.9445136756799</v>
      </c>
      <c r="G1482">
        <v>1697.9445136756799</v>
      </c>
      <c r="H1482" t="s">
        <v>656</v>
      </c>
    </row>
    <row r="1483" spans="1:8" ht="14.25" customHeight="1" x14ac:dyDescent="0.3">
      <c r="A1483" t="s">
        <v>625</v>
      </c>
      <c r="B1483" t="s">
        <v>54</v>
      </c>
      <c r="C1483" t="s">
        <v>54</v>
      </c>
      <c r="D1483" t="s">
        <v>282</v>
      </c>
      <c r="E1483">
        <v>1</v>
      </c>
      <c r="F1483">
        <v>1697.9445136756799</v>
      </c>
      <c r="G1483">
        <v>1697.9445136756799</v>
      </c>
      <c r="H1483" t="s">
        <v>656</v>
      </c>
    </row>
    <row r="1484" spans="1:8" ht="14.25" customHeight="1" x14ac:dyDescent="0.3">
      <c r="A1484" t="s">
        <v>625</v>
      </c>
      <c r="B1484" t="s">
        <v>54</v>
      </c>
      <c r="C1484" t="s">
        <v>54</v>
      </c>
      <c r="D1484" t="s">
        <v>275</v>
      </c>
      <c r="E1484">
        <v>1</v>
      </c>
      <c r="F1484">
        <v>1697.9445136756799</v>
      </c>
      <c r="G1484">
        <v>1697.9445136756799</v>
      </c>
      <c r="H1484" t="s">
        <v>656</v>
      </c>
    </row>
    <row r="1485" spans="1:8" ht="14.25" customHeight="1" x14ac:dyDescent="0.3">
      <c r="A1485" t="s">
        <v>650</v>
      </c>
      <c r="B1485" t="s">
        <v>54</v>
      </c>
      <c r="C1485" t="s">
        <v>54</v>
      </c>
      <c r="D1485" t="s">
        <v>287</v>
      </c>
      <c r="E1485">
        <v>4</v>
      </c>
      <c r="F1485">
        <v>1002.254202</v>
      </c>
      <c r="G1485">
        <v>4009.0168079999999</v>
      </c>
      <c r="H1485" t="s">
        <v>657</v>
      </c>
    </row>
    <row r="1486" spans="1:8" ht="14.25" customHeight="1" x14ac:dyDescent="0.3">
      <c r="A1486" t="s">
        <v>650</v>
      </c>
      <c r="B1486" t="s">
        <v>54</v>
      </c>
      <c r="C1486" t="s">
        <v>54</v>
      </c>
      <c r="D1486" t="s">
        <v>289</v>
      </c>
      <c r="E1486">
        <v>8</v>
      </c>
      <c r="F1486">
        <v>1002.254202</v>
      </c>
      <c r="G1486">
        <v>8018.0336159999997</v>
      </c>
      <c r="H1486" t="s">
        <v>657</v>
      </c>
    </row>
    <row r="1487" spans="1:8" ht="14.25" customHeight="1" x14ac:dyDescent="0.3">
      <c r="A1487" t="s">
        <v>650</v>
      </c>
      <c r="B1487" t="s">
        <v>54</v>
      </c>
      <c r="C1487" t="s">
        <v>54</v>
      </c>
      <c r="D1487" t="s">
        <v>293</v>
      </c>
      <c r="E1487">
        <v>0</v>
      </c>
      <c r="F1487">
        <v>1002.254202</v>
      </c>
      <c r="G1487">
        <v>0</v>
      </c>
      <c r="H1487" t="s">
        <v>657</v>
      </c>
    </row>
    <row r="1488" spans="1:8" ht="14.25" customHeight="1" x14ac:dyDescent="0.3">
      <c r="A1488" t="s">
        <v>650</v>
      </c>
      <c r="B1488" t="s">
        <v>54</v>
      </c>
      <c r="C1488" t="s">
        <v>54</v>
      </c>
      <c r="D1488" t="s">
        <v>290</v>
      </c>
      <c r="E1488">
        <v>14</v>
      </c>
      <c r="F1488">
        <v>1002.254202</v>
      </c>
      <c r="G1488">
        <v>14031.558827999999</v>
      </c>
      <c r="H1488" t="s">
        <v>657</v>
      </c>
    </row>
    <row r="1489" spans="1:8" ht="14.25" customHeight="1" x14ac:dyDescent="0.3">
      <c r="A1489" t="s">
        <v>650</v>
      </c>
      <c r="B1489" t="s">
        <v>54</v>
      </c>
      <c r="C1489" t="s">
        <v>54</v>
      </c>
      <c r="D1489" t="s">
        <v>284</v>
      </c>
      <c r="E1489">
        <v>16</v>
      </c>
      <c r="F1489">
        <v>1002.254202</v>
      </c>
      <c r="G1489">
        <v>16036.067231999999</v>
      </c>
      <c r="H1489" t="s">
        <v>657</v>
      </c>
    </row>
    <row r="1490" spans="1:8" ht="14.25" customHeight="1" x14ac:dyDescent="0.3">
      <c r="A1490" t="s">
        <v>650</v>
      </c>
      <c r="B1490" t="s">
        <v>54</v>
      </c>
      <c r="C1490" t="s">
        <v>54</v>
      </c>
      <c r="D1490" t="s">
        <v>285</v>
      </c>
      <c r="E1490">
        <v>8</v>
      </c>
      <c r="F1490">
        <v>1002.254202</v>
      </c>
      <c r="G1490">
        <v>8018.0336159999997</v>
      </c>
      <c r="H1490" t="s">
        <v>657</v>
      </c>
    </row>
    <row r="1491" spans="1:8" ht="14.25" customHeight="1" x14ac:dyDescent="0.3">
      <c r="A1491" t="s">
        <v>650</v>
      </c>
      <c r="B1491" t="s">
        <v>54</v>
      </c>
      <c r="C1491" t="s">
        <v>54</v>
      </c>
      <c r="D1491" t="s">
        <v>282</v>
      </c>
      <c r="E1491">
        <v>9</v>
      </c>
      <c r="F1491">
        <v>1002.254202</v>
      </c>
      <c r="G1491">
        <v>9020.2878180000007</v>
      </c>
      <c r="H1491" t="s">
        <v>657</v>
      </c>
    </row>
    <row r="1492" spans="1:8" ht="14.25" customHeight="1" x14ac:dyDescent="0.3">
      <c r="A1492" t="s">
        <v>650</v>
      </c>
      <c r="B1492" t="s">
        <v>54</v>
      </c>
      <c r="C1492" t="s">
        <v>54</v>
      </c>
      <c r="D1492" t="s">
        <v>275</v>
      </c>
      <c r="E1492">
        <v>129</v>
      </c>
      <c r="F1492">
        <v>1002.254202</v>
      </c>
      <c r="G1492">
        <v>129290.79205800001</v>
      </c>
      <c r="H1492" t="s">
        <v>657</v>
      </c>
    </row>
    <row r="1493" spans="1:8" ht="14.25" customHeight="1" x14ac:dyDescent="0.3">
      <c r="A1493" t="s">
        <v>588</v>
      </c>
      <c r="B1493" t="s">
        <v>44</v>
      </c>
      <c r="C1493" t="s">
        <v>642</v>
      </c>
      <c r="D1493" t="s">
        <v>287</v>
      </c>
      <c r="E1493">
        <v>35</v>
      </c>
      <c r="F1493">
        <v>49.6814849002849</v>
      </c>
      <c r="G1493">
        <v>1738.8519715099701</v>
      </c>
      <c r="H1493" t="s">
        <v>658</v>
      </c>
    </row>
    <row r="1494" spans="1:8" ht="14.25" customHeight="1" x14ac:dyDescent="0.3">
      <c r="A1494" t="s">
        <v>588</v>
      </c>
      <c r="B1494" t="s">
        <v>44</v>
      </c>
      <c r="C1494" t="s">
        <v>642</v>
      </c>
      <c r="D1494" t="s">
        <v>289</v>
      </c>
      <c r="E1494">
        <v>37</v>
      </c>
      <c r="F1494">
        <v>49.6814849002849</v>
      </c>
      <c r="G1494">
        <v>1838.2149413105401</v>
      </c>
      <c r="H1494" t="s">
        <v>658</v>
      </c>
    </row>
    <row r="1495" spans="1:8" ht="14.25" customHeight="1" x14ac:dyDescent="0.3">
      <c r="A1495" t="s">
        <v>588</v>
      </c>
      <c r="B1495" t="s">
        <v>44</v>
      </c>
      <c r="C1495" t="s">
        <v>642</v>
      </c>
      <c r="D1495" t="s">
        <v>293</v>
      </c>
      <c r="E1495">
        <v>11</v>
      </c>
      <c r="F1495">
        <v>49.6814849002849</v>
      </c>
      <c r="G1495">
        <v>546.49633390313397</v>
      </c>
      <c r="H1495" t="s">
        <v>658</v>
      </c>
    </row>
    <row r="1496" spans="1:8" ht="14.25" customHeight="1" x14ac:dyDescent="0.3">
      <c r="A1496" t="s">
        <v>588</v>
      </c>
      <c r="B1496" t="s">
        <v>44</v>
      </c>
      <c r="C1496" t="s">
        <v>642</v>
      </c>
      <c r="D1496" t="s">
        <v>290</v>
      </c>
      <c r="E1496">
        <v>42</v>
      </c>
      <c r="F1496">
        <v>49.6814849002849</v>
      </c>
      <c r="G1496">
        <v>2086.6223658119702</v>
      </c>
      <c r="H1496" t="s">
        <v>658</v>
      </c>
    </row>
    <row r="1497" spans="1:8" ht="14.25" customHeight="1" x14ac:dyDescent="0.3">
      <c r="A1497" t="s">
        <v>588</v>
      </c>
      <c r="B1497" t="s">
        <v>44</v>
      </c>
      <c r="C1497" t="s">
        <v>642</v>
      </c>
      <c r="D1497" t="s">
        <v>284</v>
      </c>
      <c r="E1497">
        <v>42</v>
      </c>
      <c r="F1497">
        <v>49.6814849002849</v>
      </c>
      <c r="G1497">
        <v>2086.6223658119702</v>
      </c>
      <c r="H1497" t="s">
        <v>658</v>
      </c>
    </row>
    <row r="1498" spans="1:8" ht="14.25" customHeight="1" x14ac:dyDescent="0.3">
      <c r="A1498" t="s">
        <v>588</v>
      </c>
      <c r="B1498" t="s">
        <v>44</v>
      </c>
      <c r="C1498" t="s">
        <v>642</v>
      </c>
      <c r="D1498" t="s">
        <v>285</v>
      </c>
      <c r="E1498">
        <v>18</v>
      </c>
      <c r="F1498">
        <v>49.6814849002849</v>
      </c>
      <c r="G1498">
        <v>894.26672820512795</v>
      </c>
      <c r="H1498" t="s">
        <v>658</v>
      </c>
    </row>
    <row r="1499" spans="1:8" ht="14.25" customHeight="1" x14ac:dyDescent="0.3">
      <c r="A1499" t="s">
        <v>588</v>
      </c>
      <c r="B1499" t="s">
        <v>44</v>
      </c>
      <c r="C1499" t="s">
        <v>642</v>
      </c>
      <c r="D1499" t="s">
        <v>282</v>
      </c>
      <c r="E1499">
        <v>20</v>
      </c>
      <c r="F1499">
        <v>49.6814849002849</v>
      </c>
      <c r="G1499">
        <v>993.62969800569795</v>
      </c>
      <c r="H1499" t="s">
        <v>658</v>
      </c>
    </row>
    <row r="1500" spans="1:8" ht="14.25" customHeight="1" x14ac:dyDescent="0.3">
      <c r="A1500" t="s">
        <v>598</v>
      </c>
      <c r="B1500" t="s">
        <v>44</v>
      </c>
      <c r="C1500" t="s">
        <v>642</v>
      </c>
      <c r="D1500" t="s">
        <v>287</v>
      </c>
      <c r="E1500">
        <v>34</v>
      </c>
      <c r="F1500">
        <v>48.117722211630102</v>
      </c>
      <c r="G1500">
        <v>1636.00255519542</v>
      </c>
      <c r="H1500" t="s">
        <v>658</v>
      </c>
    </row>
    <row r="1501" spans="1:8" ht="14.25" customHeight="1" x14ac:dyDescent="0.3">
      <c r="A1501" t="s">
        <v>598</v>
      </c>
      <c r="B1501" t="s">
        <v>44</v>
      </c>
      <c r="C1501" t="s">
        <v>642</v>
      </c>
      <c r="D1501" t="s">
        <v>289</v>
      </c>
      <c r="E1501">
        <v>37</v>
      </c>
      <c r="F1501">
        <v>48.117722211630102</v>
      </c>
      <c r="G1501">
        <v>1780.3557218303099</v>
      </c>
      <c r="H1501" t="s">
        <v>658</v>
      </c>
    </row>
    <row r="1502" spans="1:8" ht="14.25" customHeight="1" x14ac:dyDescent="0.3">
      <c r="A1502" t="s">
        <v>598</v>
      </c>
      <c r="B1502" t="s">
        <v>44</v>
      </c>
      <c r="C1502" t="s">
        <v>642</v>
      </c>
      <c r="D1502" t="s">
        <v>293</v>
      </c>
      <c r="E1502">
        <v>11</v>
      </c>
      <c r="F1502">
        <v>48.117722211630102</v>
      </c>
      <c r="G1502">
        <v>529.29494432793103</v>
      </c>
      <c r="H1502" t="s">
        <v>658</v>
      </c>
    </row>
    <row r="1503" spans="1:8" ht="14.25" customHeight="1" x14ac:dyDescent="0.3">
      <c r="A1503" t="s">
        <v>598</v>
      </c>
      <c r="B1503" t="s">
        <v>44</v>
      </c>
      <c r="C1503" t="s">
        <v>642</v>
      </c>
      <c r="D1503" t="s">
        <v>290</v>
      </c>
      <c r="E1503">
        <v>42</v>
      </c>
      <c r="F1503">
        <v>48.117722211630102</v>
      </c>
      <c r="G1503">
        <v>2020.9443328884599</v>
      </c>
      <c r="H1503" t="s">
        <v>658</v>
      </c>
    </row>
    <row r="1504" spans="1:8" ht="14.25" customHeight="1" x14ac:dyDescent="0.3">
      <c r="A1504" t="s">
        <v>598</v>
      </c>
      <c r="B1504" t="s">
        <v>44</v>
      </c>
      <c r="C1504" t="s">
        <v>642</v>
      </c>
      <c r="D1504" t="s">
        <v>284</v>
      </c>
      <c r="E1504">
        <v>42</v>
      </c>
      <c r="F1504">
        <v>48.117722211630102</v>
      </c>
      <c r="G1504">
        <v>2020.9443328884599</v>
      </c>
      <c r="H1504" t="s">
        <v>658</v>
      </c>
    </row>
    <row r="1505" spans="1:8" ht="14.25" customHeight="1" x14ac:dyDescent="0.3">
      <c r="A1505" t="s">
        <v>598</v>
      </c>
      <c r="B1505" t="s">
        <v>44</v>
      </c>
      <c r="C1505" t="s">
        <v>642</v>
      </c>
      <c r="D1505" t="s">
        <v>285</v>
      </c>
      <c r="E1505">
        <v>18</v>
      </c>
      <c r="F1505">
        <v>48.117722211630102</v>
      </c>
      <c r="G1505">
        <v>866.11899980934197</v>
      </c>
      <c r="H1505" t="s">
        <v>658</v>
      </c>
    </row>
    <row r="1506" spans="1:8" ht="14.25" customHeight="1" x14ac:dyDescent="0.3">
      <c r="A1506" t="s">
        <v>598</v>
      </c>
      <c r="B1506" t="s">
        <v>44</v>
      </c>
      <c r="C1506" t="s">
        <v>642</v>
      </c>
      <c r="D1506" t="s">
        <v>282</v>
      </c>
      <c r="E1506">
        <v>17</v>
      </c>
      <c r="F1506">
        <v>48.117722211630102</v>
      </c>
      <c r="G1506">
        <v>818.00127759771203</v>
      </c>
      <c r="H1506" t="s">
        <v>658</v>
      </c>
    </row>
    <row r="1507" spans="1:8" ht="14.25" customHeight="1" x14ac:dyDescent="0.3"/>
    <row r="1508" spans="1:8" ht="14.25" customHeight="1" x14ac:dyDescent="0.3"/>
    <row r="1509" spans="1:8" ht="14.25" customHeight="1" x14ac:dyDescent="0.3"/>
    <row r="1510" spans="1:8" ht="14.25" customHeight="1" x14ac:dyDescent="0.3"/>
    <row r="1511" spans="1:8" ht="14.25" customHeight="1" x14ac:dyDescent="0.3"/>
    <row r="1512" spans="1:8" ht="14.25" customHeight="1" x14ac:dyDescent="0.3"/>
    <row r="1513" spans="1:8" ht="14.25" customHeight="1" x14ac:dyDescent="0.3"/>
    <row r="1514" spans="1:8" ht="14.25" customHeight="1" x14ac:dyDescent="0.3"/>
    <row r="1515" spans="1:8" ht="14.25" customHeight="1" x14ac:dyDescent="0.3"/>
    <row r="1516" spans="1:8" ht="14.25" customHeight="1" x14ac:dyDescent="0.3"/>
    <row r="1517" spans="1:8" ht="14.25" customHeight="1" x14ac:dyDescent="0.3"/>
    <row r="1518" spans="1:8" ht="14.25" customHeight="1" x14ac:dyDescent="0.3"/>
    <row r="1519" spans="1:8" ht="14.25" customHeight="1" x14ac:dyDescent="0.3"/>
    <row r="1520" spans="1:8" ht="14.25" customHeight="1" x14ac:dyDescent="0.3"/>
    <row r="1521" ht="14.25" customHeight="1" x14ac:dyDescent="0.3"/>
    <row r="1522" ht="14.25" customHeight="1" x14ac:dyDescent="0.3"/>
    <row r="1523" ht="14.25" customHeight="1" x14ac:dyDescent="0.3"/>
    <row r="1524" ht="14.25" customHeight="1" x14ac:dyDescent="0.3"/>
    <row r="1525" ht="14.25" customHeight="1" x14ac:dyDescent="0.3"/>
    <row r="1526" ht="14.25" customHeight="1" x14ac:dyDescent="0.3"/>
    <row r="1527" ht="14.25" customHeight="1" x14ac:dyDescent="0.3"/>
    <row r="1528" ht="14.25" customHeight="1" x14ac:dyDescent="0.3"/>
    <row r="1529" ht="14.25" customHeight="1" x14ac:dyDescent="0.3"/>
    <row r="1530" ht="14.25" customHeight="1" x14ac:dyDescent="0.3"/>
    <row r="1531" ht="14.25" customHeight="1" x14ac:dyDescent="0.3"/>
    <row r="1532" ht="14.25" customHeight="1" x14ac:dyDescent="0.3"/>
    <row r="1533" ht="14.25" customHeight="1" x14ac:dyDescent="0.3"/>
    <row r="1534" ht="14.25" customHeight="1" x14ac:dyDescent="0.3"/>
    <row r="1535" ht="14.25" customHeight="1" x14ac:dyDescent="0.3"/>
    <row r="1536" ht="14.25" customHeight="1" x14ac:dyDescent="0.3"/>
    <row r="1537" ht="14.25" customHeight="1" x14ac:dyDescent="0.3"/>
    <row r="1538" ht="14.25" customHeight="1" x14ac:dyDescent="0.3"/>
    <row r="1539" ht="14.25" customHeight="1" x14ac:dyDescent="0.3"/>
    <row r="1540" ht="14.25" customHeight="1" x14ac:dyDescent="0.3"/>
    <row r="1541" ht="14.25" customHeight="1" x14ac:dyDescent="0.3"/>
    <row r="1542" ht="14.25" customHeight="1" x14ac:dyDescent="0.3"/>
    <row r="1543" ht="14.25" customHeight="1" x14ac:dyDescent="0.3"/>
    <row r="1544" ht="14.25" customHeight="1" x14ac:dyDescent="0.3"/>
    <row r="1545" ht="14.25" customHeight="1" x14ac:dyDescent="0.3"/>
    <row r="1546" ht="14.25" customHeight="1" x14ac:dyDescent="0.3"/>
    <row r="1547" ht="14.25" customHeight="1" x14ac:dyDescent="0.3"/>
    <row r="1548" ht="14.25" customHeight="1" x14ac:dyDescent="0.3"/>
    <row r="1549" ht="14.25" customHeight="1" x14ac:dyDescent="0.3"/>
    <row r="1550" ht="14.25" customHeight="1" x14ac:dyDescent="0.3"/>
    <row r="1551" ht="14.25" customHeight="1" x14ac:dyDescent="0.3"/>
    <row r="1552" ht="14.25" customHeight="1" x14ac:dyDescent="0.3"/>
    <row r="1553" ht="14.25" customHeight="1" x14ac:dyDescent="0.3"/>
    <row r="1554" ht="14.25" customHeight="1" x14ac:dyDescent="0.3"/>
    <row r="1555" ht="14.25" customHeight="1" x14ac:dyDescent="0.3"/>
    <row r="1556" ht="14.25" customHeight="1" x14ac:dyDescent="0.3"/>
    <row r="1557" ht="14.25" customHeight="1" x14ac:dyDescent="0.3"/>
    <row r="1558" ht="14.25" customHeight="1" x14ac:dyDescent="0.3"/>
    <row r="1559" ht="14.25" customHeight="1" x14ac:dyDescent="0.3"/>
    <row r="1560" ht="14.25" customHeight="1" x14ac:dyDescent="0.3"/>
    <row r="1561" ht="14.25" customHeight="1" x14ac:dyDescent="0.3"/>
    <row r="1562" ht="14.25" customHeight="1" x14ac:dyDescent="0.3"/>
    <row r="1563" ht="14.25" customHeight="1" x14ac:dyDescent="0.3"/>
    <row r="1564" ht="14.25" customHeight="1" x14ac:dyDescent="0.3"/>
    <row r="1565" ht="14.25" customHeight="1" x14ac:dyDescent="0.3"/>
    <row r="1566" ht="14.25" customHeight="1" x14ac:dyDescent="0.3"/>
    <row r="1567" ht="14.25" customHeight="1" x14ac:dyDescent="0.3"/>
    <row r="1568" ht="14.25" customHeight="1" x14ac:dyDescent="0.3"/>
    <row r="1569" ht="14.25" customHeight="1" x14ac:dyDescent="0.3"/>
    <row r="1570" ht="14.25" customHeight="1" x14ac:dyDescent="0.3"/>
    <row r="1571" ht="14.25" customHeight="1" x14ac:dyDescent="0.3"/>
    <row r="1572" ht="14.25" customHeight="1" x14ac:dyDescent="0.3"/>
    <row r="1573" ht="14.25" customHeight="1" x14ac:dyDescent="0.3"/>
    <row r="1574" ht="14.25" customHeight="1" x14ac:dyDescent="0.3"/>
    <row r="1575" ht="14.25" customHeight="1" x14ac:dyDescent="0.3"/>
    <row r="1576" ht="14.25" customHeight="1" x14ac:dyDescent="0.3"/>
    <row r="1577" ht="14.25" customHeight="1" x14ac:dyDescent="0.3"/>
    <row r="1578" ht="14.25" customHeight="1" x14ac:dyDescent="0.3"/>
    <row r="1579" ht="14.25" customHeight="1" x14ac:dyDescent="0.3"/>
    <row r="1580" ht="14.25" customHeight="1" x14ac:dyDescent="0.3"/>
    <row r="1581" ht="14.25" customHeight="1" x14ac:dyDescent="0.3"/>
    <row r="1582" ht="14.25" customHeight="1" x14ac:dyDescent="0.3"/>
    <row r="1583" ht="14.25" customHeight="1" x14ac:dyDescent="0.3"/>
    <row r="1584" ht="14.25" customHeight="1" x14ac:dyDescent="0.3"/>
    <row r="1585" ht="14.25" customHeight="1" x14ac:dyDescent="0.3"/>
    <row r="1586" ht="14.25" customHeight="1" x14ac:dyDescent="0.3"/>
    <row r="1587" ht="14.25" customHeight="1" x14ac:dyDescent="0.3"/>
    <row r="1588" ht="14.25" customHeight="1" x14ac:dyDescent="0.3"/>
    <row r="1589" ht="14.25" customHeight="1" x14ac:dyDescent="0.3"/>
    <row r="1590" ht="14.25" customHeight="1" x14ac:dyDescent="0.3"/>
    <row r="1591" ht="14.25" customHeight="1" x14ac:dyDescent="0.3"/>
    <row r="1592" ht="14.25" customHeight="1" x14ac:dyDescent="0.3"/>
    <row r="1593" ht="14.25" customHeight="1" x14ac:dyDescent="0.3"/>
    <row r="1594" ht="14.25" customHeight="1" x14ac:dyDescent="0.3"/>
    <row r="1595" ht="14.25" customHeight="1" x14ac:dyDescent="0.3"/>
    <row r="1596" ht="14.25" customHeight="1" x14ac:dyDescent="0.3"/>
    <row r="1597" ht="14.25" customHeight="1" x14ac:dyDescent="0.3"/>
    <row r="1598" ht="14.25" customHeight="1" x14ac:dyDescent="0.3"/>
    <row r="1599" ht="14.25" customHeight="1" x14ac:dyDescent="0.3"/>
    <row r="1600" ht="14.25" customHeight="1" x14ac:dyDescent="0.3"/>
    <row r="1601" ht="14.25" customHeight="1" x14ac:dyDescent="0.3"/>
    <row r="1602" ht="14.25" customHeight="1" x14ac:dyDescent="0.3"/>
    <row r="1603" ht="14.25" customHeight="1" x14ac:dyDescent="0.3"/>
    <row r="1604" ht="14.25" customHeight="1" x14ac:dyDescent="0.3"/>
    <row r="1605" ht="14.25" customHeight="1" x14ac:dyDescent="0.3"/>
    <row r="1606" ht="14.25" customHeight="1" x14ac:dyDescent="0.3"/>
    <row r="1607" ht="14.25" customHeight="1" x14ac:dyDescent="0.3"/>
    <row r="1608" ht="14.25" customHeight="1" x14ac:dyDescent="0.3"/>
    <row r="1609" ht="14.25" customHeight="1" x14ac:dyDescent="0.3"/>
  </sheetData>
  <autoFilter ref="A4:H4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PARÂMETROS</vt:lpstr>
      <vt:lpstr>SETORES</vt:lpstr>
      <vt:lpstr>CUSTOS MENSAIS</vt:lpstr>
      <vt:lpstr>RESUMO REEMBOLSO</vt:lpstr>
      <vt:lpstr>COMERCIAL VAREJO</vt:lpstr>
      <vt:lpstr>REEMBOLSO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Débora Carla</cp:lastModifiedBy>
  <cp:revision>0</cp:revision>
  <dcterms:created xsi:type="dcterms:W3CDTF">2026-07-21T12:34:18Z</dcterms:created>
  <dcterms:modified xsi:type="dcterms:W3CDTF">2026-09-17T17:30:01Z</dcterms:modified>
  <dc:language>en-US</dc:language>
</cp:coreProperties>
</file>