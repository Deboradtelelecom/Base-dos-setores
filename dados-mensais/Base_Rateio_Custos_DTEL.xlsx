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<sst xmlns="http://schemas.openxmlformats.org/spreadsheetml/2006/main" count="26344" uniqueCount="735">
  <si>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</si>
  <si>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</si>
  <si>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</si>
  <si>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</si>
  <si>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</si>
  <si>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</si>
  <si>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</si>
  <si>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</si>
  <si>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</si>
  <si>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</si>
  <si>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DX2</t>
  </si>
  <si>
    <t xml:space="preserve">Junho/2026</t>
  </si>
  <si>
    <t xml:space="preserve">H&amp;A</t>
  </si>
  <si>
    <t xml:space="preserve">Solon Araújo</t>
  </si>
  <si>
    <t xml:space="preserve">Soares e Lins</t>
  </si>
  <si>
    <t xml:space="preserve">Soares e Silva</t>
  </si>
  <si>
    <t xml:space="preserve">Souza e Silva</t>
  </si>
  <si>
    <t xml:space="preserve">Voicenet</t>
  </si>
  <si>
    <t xml:space="preserve">DTEL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</si>
  <si>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</si>
  <si>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</si>
  <si>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</si>
  <si>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</si>
  <si>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</si>
  <si>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</si>
  <si>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</si>
  <si>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</si>
  <si>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</si>
  <si>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</si>
  <si>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</si>
  <si>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</si>
  <si>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</si>
  <si>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</si>
  <si>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</si>
  <si>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</si>
  <si>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</si>
  <si>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</si>
  <si>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</si>
  <si>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</si>
  <si>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</si>
  <si>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</si>
  <si>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</si>
  <si>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</si>
  <si>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</si>
  <si>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</si>
  <si>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</si>
  <si>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</si>
  <si>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</si>
  <si>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</si>
  <si>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</si>
  <si>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</si>
  <si>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</si>
  <si>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</si>
  <si>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</si>
  <si>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</si>
  <si>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</si>
  <si>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</si>
  <si>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</si>
  <si>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</si>
  <si>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</si>
  <si>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</si>
  <si>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</si>
  <si>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</si>
  <si>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</si>
  <si>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</si>
  <si>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</si>
  <si>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</si>
  <si>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</si>
  <si>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</si>
  <si>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</si>
  <si>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</si>
  <si>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</si>
  <si>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</si>
  <si>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</si>
  <si>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</si>
  <si>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</si>
  <si>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</si>
  <si>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</si>
  <si>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</si>
  <si>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</si>
  <si>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</si>
  <si>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</si>
  <si>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</si>
  <si>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</si>
  <si>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</si>
  <si>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</si>
  <si>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</si>
  <si>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</si>
  <si>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</si>
  <si>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</si>
  <si>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</si>
  <si>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</si>
  <si>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</si>
  <si>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</si>
  <si>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</si>
  <si>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</si>
  <si>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</si>
  <si>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</si>
  <si>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</si>
  <si>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</si>
  <si>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</si>
  <si>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</si>
  <si>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</si>
  <si>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</si>
  <si>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</si>
  <si>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</si>
  <si>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</si>
  <si>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</si>
  <si>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</si>
  <si>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</si>
  <si>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</si>
  <si>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</si>
  <si>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</si>
  <si>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</si>
  <si>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</si>
  <si>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</si>
  <si>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</si>
  <si>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</si>
  <si>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</si>
  <si>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</si>
  <si>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</si>
  <si>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</si>
  <si>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</si>
  <si>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</si>
  <si>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</si>
  <si>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</si>
  <si>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</si>
  <si>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</si>
  <si>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</si>
  <si>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</si>
  <si>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</si>
  <si>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</si>
  <si>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</si>
  <si>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</si>
  <si>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</si>
  <si>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</si>
  <si>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</si>
  <si>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</si>
  <si>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</si>
  <si>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</si>
  <si>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</si>
  <si>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</si>
  <si>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</si>
  <si>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</si>
  <si>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</si>
  <si>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</si>
  <si>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</si>
  <si>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</si>
  <si>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</si>
  <si>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</si>
  <si>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</si>
  <si>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</si>
  <si>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</si>
  <si>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</si>
  <si>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</si>
  <si>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</si>
  <si>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</si>
  <si>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</si>
  <si>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</si>
  <si>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</si>
  <si>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</si>
  <si>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</si>
  <si>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</si>
  <si>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</si>
  <si>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</si>
  <si>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</si>
  <si>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</si>
  <si>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</si>
  <si>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</si>
  <si>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</si>
  <si>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</si>
  <si>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</si>
  <si>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</si>
  <si>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</si>
  <si>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</si>
  <si>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</si>
  <si>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</si>
  <si>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</si>
  <si>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</si>
  <si>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</si>
  <si>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</si>
  <si>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</si>
  <si>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</si>
  <si>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</si>
  <si>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</si>
  <si>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</si>
  <si>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</si>
  <si>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</si>
  <si>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</si>
  <si>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</si>
  <si>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</si>
  <si>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</si>
  <si>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</si>
  <si>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</si>
  <si>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</si>
  <si>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</si>
  <si>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</si>
  <si>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</si>
  <si>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</si>
  <si>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</si>
  <si>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</si>
  <si>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</si>
  <si>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</si>
  <si>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</si>
  <si>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</si>
  <si>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</si>
  <si>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</si>
  <si>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</si>
  <si>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</si>
  <si>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</si>
  <si>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</si>
  <si>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</si>
  <si>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</si>
  <si>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</si>
  <si>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</si>
  <si>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</si>
  <si>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</si>
  <si>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</si>
  <si>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</si>
  <si>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</si>
  <si>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</si>
  <si>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</si>
  <si>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</si>
  <si>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</si>
  <si>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</si>
  <si>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</si>
  <si>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</si>
  <si>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</si>
  <si>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</si>
  <si>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</si>
  <si>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</si>
  <si>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</si>
  <si>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</si>
  <si>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</si>
  <si>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</si>
  <si>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</si>
  <si>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</si>
  <si>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</si>
  <si>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</si>
  <si>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</si>
  <si>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</si>
  <si>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</si>
  <si>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</si>
  <si>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</si>
  <si>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</si>
  <si>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</si>
  <si>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</si>
  <si>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</si>
  <si>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</si>
  <si>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</si>
  <si>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</si>
  <si>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</si>
  <si>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</si>
  <si>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</si>
  <si>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</si>
  <si>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</si>
  <si>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</si>
  <si>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</si>
  <si>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</si>
  <si>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</si>
  <si>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</si>
  <si>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</si>
  <si>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</si>
  <si>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</si>
  <si>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</si>
  <si>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</si>
  <si>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</si>
  <si>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</si>
  <si>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</si>
  <si>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</si>
  <si>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</si>
  <si>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</si>
  <si>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</si>
  <si>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</si>
  <si>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</si>
  <si>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</si>
  <si>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</si>
  <si>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</si>
  <si>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</si>
  <si>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</si>
  <si>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</si>
  <si>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</si>
  <si>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 DE ARAÚJO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</si>
  <si>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</si>
  <si>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</si>
  <si>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</si>
  <si>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</si>
  <si>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</si>
  <si>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</si>
  <si>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</si>
  <si>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</si>
  <si>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</si>
  <si>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 | RESUMIDO 23/09/2026 (novo CUSTO TOTAL com Beneficios/Desconto): R$187084.07</t>
  </si>
  <si>
    <t xml:space="preserve">Vale Transporte</t>
  </si>
  <si>
    <t xml:space="preserve">Estimado (fatia proporcional ao nº de colaboradores da equipe, sem taxa fixa por pessoa), fatia de 39 colaboradores da equipe | ZERADO 23/09/2026: Vale Transporte já embutido (liquido) dentro do novo CUSTO TOTAL da Folha Trabalhista, mantido aqui so como duplicaria o custo.</t>
  </si>
  <si>
    <t xml:space="preserve">Real (taxa fixa por colaborador, confirmada em todas as empresas)</t>
  </si>
  <si>
    <t xml:space="preserve">Estimado (fatia proporcional ao nº de colaboradores da equipe, sem taxa fixa por pessoa), fatia de 39 colaboradores da equipe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</si>
  <si>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</si>
  <si>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</si>
  <si>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</si>
  <si>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</si>
  <si>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</si>
  <si>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</si>
  <si>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</si>
  <si>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</si>
  <si>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</si>
  <si>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</si>
  <si>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</si>
  <si>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</si>
  <si>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</si>
  <si>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</si>
  <si>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 | RESUMIDO 23/09/2026 (novo CUSTO TOTAL com Beneficios/Desconto): R$103432.58</t>
  </si>
  <si>
    <t xml:space="preserve">Estimado (fatia proporcional ao nº de colaboradores da equipe, sem taxa fixa por pessoa), fatia de 18 colaboradores da equipe | ZERADO 23/09/2026: Vale Transporte já embutido (liquido) dentro do novo CUSTO TOTAL da Folha Trabalhista, mantido aqui so como duplicaria o custo.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</si>
  <si>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</si>
  <si>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</si>
  <si>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</si>
  <si>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</si>
  <si>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</si>
  <si>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</si>
  <si>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</si>
  <si>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</si>
  <si>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</si>
  <si>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 | RESUMIDO 23/09/2026 (novo CUSTO TOTAL com Beneficios/Desconto): R$181921.8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</si>
  <si>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</si>
  <si>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</si>
  <si>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</si>
  <si>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</si>
  <si>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</si>
  <si>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</si>
  <si>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</si>
  <si>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</si>
  <si>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</si>
  <si>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</si>
  <si>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</si>
  <si>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</si>
  <si>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 | RESUMIDO 23/09/2026 (novo CUSTO TOTAL com Beneficios/Desconto): R$117229.51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</si>
  <si>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</si>
  <si>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</si>
  <si>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</si>
  <si>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</si>
  <si>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</si>
  <si>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 | RESUMIDO 23/09/2026 (novo CUSTO TOTAL com Beneficios/Desconto): R$198704.0</t>
  </si>
  <si>
    <t xml:space="preserve">Estimado (fatia proporcional a folha real do coordenador), fatia de 47 colaboradores da equipe | ZERADO 23/09/2026: Vale Transporte já embutido (liquido) dentro do novo CUSTO TOTAL da Folha Trabalhista, mantido aqui so como duplicaria o custo.</t>
  </si>
  <si>
    <t xml:space="preserve">Real (taxa fixa por colaborador, quantidade = equipe real VENDAS PAP)</t>
  </si>
  <si>
    <t xml:space="preserve">Estimado (fatia proporcional a folha real do coordenador), fatia de 47 colaboradores da equipe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</si>
  <si>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</si>
  <si>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</si>
  <si>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</si>
  <si>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</si>
  <si>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</si>
  <si>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</si>
  <si>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</si>
  <si>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</si>
  <si>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 | RESUMIDO 23/09/2026 (novo CUSTO TOTAL com Beneficios/Desconto): R$89221.09</t>
  </si>
  <si>
    <t xml:space="preserve">Estimado (fatia proporcional a folha real do coordenador), fatia de 17 colaboradores da equipe | ZERADO 23/09/2026: Vale Transporte já embutido (liquido) dentro do novo CUSTO TOTAL da Folha Trabalhista, mantido aqui so como duplicaria o custo.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</si>
  <si>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</si>
  <si>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</si>
  <si>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</si>
  <si>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</si>
  <si>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</si>
  <si>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</si>
  <si>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</si>
  <si>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</si>
  <si>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</si>
  <si>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</si>
  <si>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</si>
  <si>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</si>
  <si>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</si>
  <si>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</si>
  <si>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</si>
  <si>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</si>
  <si>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</si>
  <si>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</si>
  <si>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</si>
  <si>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</si>
  <si>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</si>
  <si>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</si>
  <si>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</si>
  <si>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 | RESUMIDO 23/09/2026 (novo CUSTO TOTAL com Beneficios/Desconto): R$250091.04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</si>
  <si>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</si>
  <si>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 | ZERADO 23/09/2026: Vale Transporte já embutido (liquido) dentro do novo CUSTO TOTAL da Folha Trabalhista, mantido aqui so como duplicaria o custo.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</si>
  <si>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</si>
  <si>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</si>
  <si>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</si>
  <si>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</si>
  <si>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</si>
  <si>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</si>
  <si>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</si>
  <si>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</si>
  <si>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</si>
  <si>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</si>
  <si>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</si>
  <si>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</si>
  <si>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</si>
  <si>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</si>
  <si>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</si>
  <si>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</si>
  <si>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</si>
  <si>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</si>
  <si>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</si>
  <si>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</si>
  <si>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</si>
  <si>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</si>
  <si>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</si>
  <si>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</si>
  <si>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</si>
  <si>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 | RESUMIDO 23/09/2026 (novo CUSTO TOTAL com Beneficios/Desconto): base R$115720.87 x 22/26 = R$97917.66</t>
  </si>
  <si>
    <t xml:space="preserve">Estimado (fatia proporcional ao saldo de Vale Transporte da DTEL após alocar Lucas Bonifácio e Michelangelo por nome: R$1.080,00 restantes ÷ headcount de Elthon/Gabriel/Tarcizio, 22 de 76) | ZERADO 23/09/2026: Vale Transporte já embutido (liquido) dentro do novo CUSTO TOTAL da Folha Trabalhista, mantido aqui so como duplicaria o custo.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</si>
  <si>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</si>
  <si>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</si>
  <si>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</si>
  <si>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</si>
  <si>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</si>
  <si>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</si>
  <si>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</si>
  <si>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</si>
  <si>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</si>
  <si>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</si>
  <si>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</si>
  <si>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</si>
  <si>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</si>
  <si>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</si>
  <si>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</si>
  <si>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</si>
  <si>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</si>
  <si>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</si>
  <si>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</si>
  <si>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</si>
  <si>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</si>
  <si>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</si>
  <si>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</si>
  <si>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</si>
  <si>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</si>
  <si>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</si>
  <si>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</si>
  <si>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</si>
  <si>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</si>
  <si>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</si>
  <si>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</si>
  <si>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</si>
  <si>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</si>
  <si>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</si>
  <si>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</si>
  <si>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</si>
  <si>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MAIO/2026</t>
  </si>
  <si>
    <t xml:space="preserve">Adm Qualidade</t>
  </si>
  <si>
    <t xml:space="preserve">Cálculo por número de clientes ativos</t>
  </si>
  <si>
    <t xml:space="preserve">Atendimento</t>
  </si>
  <si>
    <t xml:space="preserve">Material de escritório</t>
  </si>
  <si>
    <t xml:space="preserve">Preenchido da planilha de materiais (materiais recebidos em 05-2026.xlsx)</t>
  </si>
  <si>
    <t xml:space="preserve">Material de uso coletivo</t>
  </si>
  <si>
    <t xml:space="preserve">Capa de carnê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</si>
  <si>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</si>
  <si>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</si>
  <si>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</si>
  <si>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</si>
  <si>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</si>
  <si>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Comercial</t>
  </si>
  <si>
    <t xml:space="preserve">Consultas e análises de crédito</t>
  </si>
  <si>
    <t xml:space="preserve">Vendas cadastradas e consultadas pelo argos (Consultas e analise de credito - Maio26.xlsx)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</si>
  <si>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</si>
  <si>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</si>
  <si>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</si>
  <si>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</si>
  <si>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</si>
  <si>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</si>
  <si>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</si>
  <si>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</si>
  <si>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</si>
  <si>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</si>
  <si>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</si>
  <si>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</si>
  <si>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</si>
  <si>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</si>
  <si>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</si>
  <si>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</si>
  <si>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</si>
  <si>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</si>
  <si>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</si>
  <si>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</si>
  <si>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</si>
  <si>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</si>
  <si>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</si>
  <si>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</si>
  <si>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</si>
  <si>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</si>
  <si>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</si>
  <si>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</si>
  <si>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</si>
  <si>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</si>
  <si>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</si>
  <si>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</si>
  <si>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</si>
  <si>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</si>
  <si>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</si>
  <si>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</si>
  <si>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</si>
  <si>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</si>
  <si>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</si>
  <si>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</si>
  <si>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</si>
  <si>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</si>
  <si>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</si>
  <si>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</si>
  <si>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</si>
  <si>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</si>
  <si>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</si>
  <si>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</si>
  <si>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</si>
  <si>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</si>
  <si>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</si>
  <si>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</si>
  <si>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Conselho regional de farmacia do estado de PE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</si>
  <si>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</si>
  <si>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</si>
  <si>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</si>
  <si>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</si>
  <si>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</si>
  <si>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Soares e Lins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</si>
  <si>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</si>
  <si>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</si>
  <si>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</si>
  <si>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</si>
  <si>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</si>
  <si>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</si>
  <si>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Manutenção predial</t>
  </si>
  <si>
    <t xml:space="preserve">Serviços executados em projeto neoenergia (800 pontos)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</si>
  <si>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</si>
  <si>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</si>
  <si>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</si>
  <si>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</si>
  <si>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</si>
  <si>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</si>
  <si>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</si>
  <si>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</si>
  <si>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</si>
  <si>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</si>
  <si>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</si>
  <si>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</si>
  <si>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</si>
  <si>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</si>
  <si>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</si>
  <si>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</si>
  <si>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</si>
  <si>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</si>
  <si>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</si>
  <si>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</si>
  <si>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</si>
  <si>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</si>
  <si>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</si>
  <si>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</si>
  <si>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e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</si>
  <si>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</si>
  <si>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</si>
  <si>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</si>
  <si>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e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</si>
  <si>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</si>
  <si>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</si>
  <si>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</si>
  <si>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</si>
  <si>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</si>
  <si>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Soares e Lins</t>
  </si>
  <si>
    <t xml:space="preserve">Deslocamento de equipes DTEL</t>
  </si>
  <si>
    <t xml:space="preserve">KM rodado para serviços técnicos Soares e Lins para DTEL</t>
  </si>
  <si>
    <t xml:space="preserve">Deslocamento de equipes Soares e Lins</t>
  </si>
  <si>
    <t xml:space="preserve">KM rodado para serviços técnicos da Soares e Lins para DTEL</t>
  </si>
  <si>
    <t xml:space="preserve">Serviços técnicos da DTEL para Soares e Lins</t>
  </si>
  <si>
    <t xml:space="preserve">Serviços da equipe técnica</t>
  </si>
  <si>
    <t xml:space="preserve">Serviços técnicos da Soares e Lins para DTEL</t>
  </si>
  <si>
    <t xml:space="preserve">Supervisor JOSUE DE MOURA SILVA JUNIOR</t>
  </si>
  <si>
    <t xml:space="preserve">Despesa dividida entre Soares e Lins e DTEL pelo supervisor JOSUE estar assumindo as bases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</si>
  <si>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</si>
  <si>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</si>
  <si>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</si>
  <si>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</si>
  <si>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</si>
  <si>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</si>
  <si>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</si>
  <si>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</si>
  <si>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</si>
  <si>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</si>
  <si>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</si>
  <si>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</si>
  <si>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</si>
  <si>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</si>
  <si>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</si>
  <si>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</si>
  <si>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maio)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</si>
  <si>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</si>
  <si>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</si>
  <si>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</si>
  <si>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junho)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</si>
  <si>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</si>
  <si>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</si>
  <si>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</si>
  <si>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</si>
  <si>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</si>
  <si>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</si>
  <si>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Imposto pago pela H&amp;A, pelo recebimento da licitação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</si>
  <si>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</si>
  <si>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</si>
  <si>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</t>
  </si>
  <si>
    <t xml:space="preserve">Serviços executados, despesa com combustÍvel e colaborador inst. dos aramados do pop novo, troca de retificadora</t>
  </si>
  <si>
    <t xml:space="preserve">Despesa com material, combust, e colaborador para manut. de ar, e manut. de telhado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</si>
  <si>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</si>
  <si>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</si>
  <si>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 (VENDAS MUNDIALE - junho26.xlsx)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</si>
  <si>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</si>
  <si>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</si>
  <si>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</si>
  <si>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</si>
  <si>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</si>
  <si>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</si>
  <si>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</si>
  <si>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</si>
  <si>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</si>
  <si>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</si>
  <si>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EPI/Equipamentos do mês (CUSTO DE SEGURANÇA - MAIO26.xlsx)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</si>
  <si>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</si>
  <si>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</si>
  <si>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</si>
  <si>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</si>
  <si>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</si>
  <si>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</si>
  <si>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</si>
  <si>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</si>
  <si>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</si>
  <si>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</si>
  <si>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</si>
  <si>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</si>
  <si>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EPI, EPC, Fardamento</t>
  </si>
  <si>
    <t xml:space="preserve">Km rodado Segurança e Saúde do Trabalho DTEL p/ Voicenet</t>
  </si>
  <si>
    <t xml:space="preserve">E-mail DTEL</t>
  </si>
  <si>
    <t xml:space="preserve">Utilização de email corporativo</t>
  </si>
  <si>
    <t xml:space="preserve">JUNHO/2026</t>
  </si>
  <si>
    <t xml:space="preserve">Preenchido da planilha de materiais (materiais recebidos em 06-2026.xlsx)</t>
  </si>
  <si>
    <t xml:space="preserve">Água mineral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</si>
  <si>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</si>
  <si>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</si>
  <si>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</si>
  <si>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</si>
  <si>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</si>
  <si>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</si>
  <si>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</si>
  <si>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</si>
  <si>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</si>
  <si>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</si>
  <si>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</si>
  <si>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</si>
  <si>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</si>
  <si>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</si>
  <si>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</si>
  <si>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</si>
  <si>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</si>
  <si>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</si>
  <si>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</si>
  <si>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</si>
  <si>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</si>
  <si>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</si>
  <si>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executados, despesa com combustÍvel e colaborador para reforma pop b, e passagem de tubulação de condensadora</t>
  </si>
  <si>
    <t xml:space="preserve">Serviços executados despesas com comb. e colaborador para urgencia na base</t>
  </si>
  <si>
    <t xml:space="preserve">EPI/Equipamentos do mês (CUSTO DE SEGURANÇA - JUN26.xlsx)</t>
  </si>
  <si>
    <t xml:space="preserve">EPI/Equipamentos do mês</t>
  </si>
  <si>
    <t xml:space="preserve">Devolução de Crédito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</si>
  <si>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</si>
  <si>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</si>
  <si>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</si>
  <si>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</si>
  <si>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cadastradas e consultadas pelo argos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</si>
  <si>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</si>
  <si>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</si>
  <si>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</si>
  <si>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</si>
  <si>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</si>
  <si>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</si>
  <si>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</si>
  <si>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</si>
  <si>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</si>
  <si>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</si>
  <si>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</si>
  <si>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</si>
  <si>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</si>
  <si>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</si>
  <si>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</si>
  <si>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</si>
  <si>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</si>
  <si>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</si>
  <si>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</si>
  <si>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</si>
  <si>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</si>
  <si>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</si>
  <si>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</si>
  <si>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</si>
  <si>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</si>
  <si>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</si>
  <si>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</si>
  <si>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 | Qtd/VU atualizados em 22/09/2026 conforme folha do mês (excluindo desligados e sócios)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</si>
  <si>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</si>
  <si>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</si>
  <si>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</si>
  <si>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</si>
  <si>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</si>
  <si>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</si>
  <si>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</si>
  <si>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</si>
  <si>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</si>
  <si>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</si>
  <si>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</si>
  <si>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</si>
  <si>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</si>
  <si>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</si>
  <si>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</si>
  <si>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</si>
  <si>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</si>
  <si>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</si>
  <si>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</si>
  <si>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</si>
  <si>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</si>
  <si>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</si>
  <si>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</si>
  <si>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</si>
  <si>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</si>
  <si>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</si>
  <si>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</si>
  <si>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</si>
  <si>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</si>
  <si>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</si>
  <si>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</si>
  <si>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</si>
  <si>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</si>
  <si>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Cálculo por número de funcionários ativos (folha do mês, excluindo desligados e sócios) — preenchido em 22/09/2026 a pedido da Débora. Solon Araújo = contagem em 'LITORAL NET' na folha consolidada (empresa não aparece com nome próprio na folha; mapeamento confirmado pela Débora em 22/09/2026).</t>
  </si>
  <si>
    <t xml:space="preserve">Serviços do C.O.E distribuição de serviços</t>
  </si>
  <si>
    <t xml:space="preserve">Cálculo por número de clientes ativos — recriado em 22/09/2026: COE cobra apenas DTEL, Soares e Lins, Voicenet e Solon Araújo (confirmado pela Débora); removida Soares e Silva; deduplicado; taxa SETORES vigente.</t>
  </si>
  <si>
    <t xml:space="preserve">Administração da Engenharia</t>
  </si>
  <si>
    <t xml:space="preserve">Cálculo por número de clientes ativos — estendido para todas as licenciadas em 22/09/2026 (antes só existia para DTEL); taxa SETORES Engenharia vigente.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</si>
</sst>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67" headerRowCount="1" totalsRowCount="0" totalsRowShown="0">
  <autoFilter ref="A4:H2667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38662.034356</v>
      </c>
      <c r="F47" s="21" t="n">
        <f aca="false">IFERROR(D47*E47,0)</f>
        <v>1253.10692860248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1253.10692860248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38662.034356</v>
      </c>
      <c r="F48" s="22" t="n">
        <f aca="false">IFERROR(D48*E48,0)</f>
        <v>1179.39475633174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1179.39475633174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38662.034356</v>
      </c>
      <c r="F49" s="21" t="n">
        <f aca="false">IFERROR(D49*E49,0)</f>
        <v>1547.95561768541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1547.95561768541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38662.034356</v>
      </c>
      <c r="F50" s="22" t="n">
        <f aca="false">IFERROR(D50*E50,0)</f>
        <v>405.416947489037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405.416947489037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38662.034356</v>
      </c>
      <c r="F51" s="21" t="n">
        <f aca="false">IFERROR(D51*E51,0)</f>
        <v>1547.95561768541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1547.95561768541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38662.034356</v>
      </c>
      <c r="F52" s="22" t="n">
        <f aca="false">IFERROR(D52*E52,0)</f>
        <v>663.409550436606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663.409550436606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38662.034356</v>
      </c>
      <c r="F53" s="21" t="n">
        <f aca="false">IFERROR(D53*E53,0)</f>
        <v>626.553464301239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626.553464301239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38662.034356</v>
      </c>
      <c r="F54" s="22" t="n">
        <f aca="false">IFERROR(D54*E54,0)</f>
        <v>31438.2414734681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31438.2414734681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59601.5555</v>
      </c>
      <c r="F55" s="21" t="n">
        <f aca="false">IFERROR(D55*E55,0)</f>
        <v>1931.79493517636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1931.79493517636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59601.5555</v>
      </c>
      <c r="F56" s="22" t="n">
        <f aca="false">IFERROR(D56*E56,0)</f>
        <v>1818.15993898951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1818.15993898951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59601.5555</v>
      </c>
      <c r="F57" s="21" t="n">
        <f aca="false">IFERROR(D57*E57,0)</f>
        <v>2386.33491992374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2386.33491992374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59601.5555</v>
      </c>
      <c r="F58" s="22" t="n">
        <f aca="false">IFERROR(D58*E58,0)</f>
        <v>624.992479027645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624.992479027645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59601.5555</v>
      </c>
      <c r="F59" s="21" t="n">
        <f aca="false">IFERROR(D59*E59,0)</f>
        <v>2386.33491992374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2386.33491992374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59601.5555</v>
      </c>
      <c r="F60" s="22" t="n">
        <f aca="false">IFERROR(D60*E60,0)</f>
        <v>1022.7149656816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1022.7149656816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59601.5555</v>
      </c>
      <c r="F61" s="21" t="n">
        <f aca="false">IFERROR(D61*E61,0)</f>
        <v>965.897467588179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965.897467588179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59601.5555</v>
      </c>
      <c r="F62" s="22" t="n">
        <f aca="false">IFERROR(D62*E62,0)</f>
        <v>48465.3258736892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48465.3258736892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50412.16292</v>
      </c>
      <c r="F63" s="21" t="n">
        <f aca="false">IFERROR(D63*E63,0)</f>
        <v>1667.52919026806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1667.52919026806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50412.16292</v>
      </c>
      <c r="F64" s="22" t="n">
        <f aca="false">IFERROR(D64*E64,0)</f>
        <v>3471.66899534784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3471.66899534784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50412.16292</v>
      </c>
      <c r="F65" s="21" t="n">
        <f aca="false">IFERROR(D65*E65,0)</f>
        <v>3736.35206154555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3736.35206154555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50412.16292</v>
      </c>
      <c r="F66" s="22" t="n">
        <f aca="false">IFERROR(D66*E66,0)</f>
        <v>958.344161482219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958.344161482219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50412.16292</v>
      </c>
      <c r="F67" s="21" t="n">
        <f aca="false">IFERROR(D67*E67,0)</f>
        <v>1664.68313579282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1664.68313579282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50412.16292</v>
      </c>
      <c r="F68" s="22" t="n">
        <f aca="false">IFERROR(D68*E68,0)</f>
        <v>1228.71933663042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1228.71933663042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50412.16292</v>
      </c>
      <c r="F69" s="21" t="n">
        <f aca="false">IFERROR(D69*E69,0)</f>
        <v>1240.62101898144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1240.62101898144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50412.16292</v>
      </c>
      <c r="F70" s="22" t="n">
        <f aca="false">IFERROR(D70*E70,0)</f>
        <v>36444.2450199517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36444.2450199517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17484.4989</v>
      </c>
      <c r="F71" s="21" t="n">
        <f aca="false">IFERROR(D71*E71,0)</f>
        <v>578.350751171456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578.350751171456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17484.4989</v>
      </c>
      <c r="F72" s="22" t="n">
        <f aca="false">IFERROR(D72*E72,0)</f>
        <v>1204.08229312934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1204.08229312934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17484.4989</v>
      </c>
      <c r="F73" s="21" t="n">
        <f aca="false">IFERROR(D73*E73,0)</f>
        <v>1295.88257527804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1295.88257527804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17484.4989</v>
      </c>
      <c r="F74" s="22" t="n">
        <f aca="false">IFERROR(D74*E74,0)</f>
        <v>332.383426274488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332.383426274488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17484.4989</v>
      </c>
      <c r="F75" s="21" t="n">
        <f aca="false">IFERROR(D75*E75,0)</f>
        <v>577.363651363405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577.363651363405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17484.4989</v>
      </c>
      <c r="F76" s="22" t="n">
        <f aca="false">IFERROR(D76*E76,0)</f>
        <v>426.157908039293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426.157908039293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17484.4989</v>
      </c>
      <c r="F77" s="21" t="n">
        <f aca="false">IFERROR(D77*E77,0)</f>
        <v>430.285779963868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430.285779963868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17484.4989</v>
      </c>
      <c r="F78" s="22" t="n">
        <f aca="false">IFERROR(D78*E78,0)</f>
        <v>12639.9925147801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12639.9925147801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177614.214106</v>
      </c>
      <c r="F87" s="21" t="n">
        <f aca="false">IFERROR(D87*E87,0)</f>
        <v>5875.10770165297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5875.10770165297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177614.214106</v>
      </c>
      <c r="F88" s="22" t="n">
        <f aca="false">IFERROR(D88*E88,0)</f>
        <v>12231.5275625725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12231.5275625725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177614.214106</v>
      </c>
      <c r="F89" s="21" t="n">
        <f aca="false">IFERROR(D89*E89,0)</f>
        <v>13164.0698711514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13164.0698711514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177614.214106</v>
      </c>
      <c r="F90" s="22" t="n">
        <f aca="false">IFERROR(D90*E90,0)</f>
        <v>3376.47772333943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3376.47772333943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177614.214106</v>
      </c>
      <c r="F91" s="21" t="n">
        <f aca="false">IFERROR(D91*E91,0)</f>
        <v>5865.08036500159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5865.08036500159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177614.214106</v>
      </c>
      <c r="F92" s="22" t="n">
        <f aca="false">IFERROR(D92*E92,0)</f>
        <v>4329.0747052211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4329.0747052211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177614.214106</v>
      </c>
      <c r="F93" s="21" t="n">
        <f aca="false">IFERROR(D93*E93,0)</f>
        <v>4371.00720394507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4371.00720394507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177614.214106</v>
      </c>
      <c r="F94" s="22" t="n">
        <f aca="false">IFERROR(D94*E94,0)</f>
        <v>128401.868973116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128401.868973116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44351.736051</v>
      </c>
      <c r="F95" s="21" t="n">
        <f aca="false">IFERROR(D95*E95,0)</f>
        <v>1467.06291141429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1467.06291141429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44351.736051</v>
      </c>
      <c r="F96" s="22" t="n">
        <f aca="false">IFERROR(D96*E96,0)</f>
        <v>3054.31344381024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3054.31344381024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44351.736051</v>
      </c>
      <c r="F97" s="21" t="n">
        <f aca="false">IFERROR(D97*E97,0)</f>
        <v>3287.17695946219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3287.17695946219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44351.736051</v>
      </c>
      <c r="F98" s="22" t="n">
        <f aca="false">IFERROR(D98*E98,0)</f>
        <v>843.134371431891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843.134371431891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44351.736051</v>
      </c>
      <c r="F99" s="21" t="n">
        <f aca="false">IFERROR(D99*E99,0)</f>
        <v>1464.55900264384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1464.55900264384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44351.736051</v>
      </c>
      <c r="F100" s="22" t="n">
        <f aca="false">IFERROR(D100*E100,0)</f>
        <v>1081.00570462474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1081.00570462474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44351.736051</v>
      </c>
      <c r="F101" s="21" t="n">
        <f aca="false">IFERROR(D101*E101,0)</f>
        <v>1091.47659584663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1091.47659584663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44351.736051</v>
      </c>
      <c r="F102" s="22" t="n">
        <f aca="false">IFERROR(D102*E102,0)</f>
        <v>32063.0070617662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32063.0070617662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35249.155043</v>
      </c>
      <c r="F183" s="21" t="n">
        <f aca="false">IFERROR(D183*E183,0)</f>
        <v>1165.96851953693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1165.96851953693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35249.155043</v>
      </c>
      <c r="F184" s="22" t="n">
        <f aca="false">IFERROR(D184*E184,0)</f>
        <v>2427.45781150451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2427.45781150451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35249.155043</v>
      </c>
      <c r="F185" s="21" t="n">
        <f aca="false">IFERROR(D185*E185,0)</f>
        <v>2612.52930808889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2612.52930808889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35249.155043</v>
      </c>
      <c r="F186" s="22" t="n">
        <f aca="false">IFERROR(D186*E186,0)</f>
        <v>670.092691445277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670.092691445277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35249.155043</v>
      </c>
      <c r="F187" s="21" t="n">
        <f aca="false">IFERROR(D187*E187,0)</f>
        <v>1163.97850344463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1163.97850344463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35249.155043</v>
      </c>
      <c r="F188" s="22" t="n">
        <f aca="false">IFERROR(D188*E188,0)</f>
        <v>859.14422021426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859.14422021426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35249.155043</v>
      </c>
      <c r="F189" s="21" t="n">
        <f aca="false">IFERROR(D189*E189,0)</f>
        <v>867.466105691172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867.466105691172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35249.155043</v>
      </c>
      <c r="F190" s="22" t="n">
        <f aca="false">IFERROR(D190*E190,0)</f>
        <v>25482.5178830743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25482.5178830743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125451.283886</v>
      </c>
      <c r="F215" s="21" t="n">
        <f aca="false">IFERROR(D215*E215,0)</f>
        <v>4149.66678117905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4149.66678117905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125451.283886</v>
      </c>
      <c r="F216" s="22" t="n">
        <f aca="false">IFERROR(D216*E216,0)</f>
        <v>8639.29074784492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8639.29074784492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125451.283886</v>
      </c>
      <c r="F217" s="21" t="n">
        <f aca="false">IFERROR(D217*E217,0)</f>
        <v>9297.95779472563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9297.95779472563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125451.283886</v>
      </c>
      <c r="F218" s="22" t="n">
        <f aca="false">IFERROR(D218*E218,0)</f>
        <v>2384.85116485449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2384.85116485449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125451.283886</v>
      </c>
      <c r="F219" s="21" t="n">
        <f aca="false">IFERROR(D219*E219,0)</f>
        <v>4142.58433981474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4142.58433981474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125451.283886</v>
      </c>
      <c r="F220" s="22" t="n">
        <f aca="false">IFERROR(D220*E220,0)</f>
        <v>3057.68309446382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3057.68309446382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125451.283886</v>
      </c>
      <c r="F221" s="21" t="n">
        <f aca="false">IFERROR(D221*E221,0)</f>
        <v>3087.30057653275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3087.30057653275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125451.283886</v>
      </c>
      <c r="F222" s="22" t="n">
        <f aca="false">IFERROR(D222*E222,0)</f>
        <v>90691.9493865846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90691.9493865846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143669.46804</v>
      </c>
      <c r="F223" s="21" t="n">
        <f aca="false">IFERROR(D223*E223,0)</f>
        <v>4752.28631009479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4752.28631009479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143669.46804</v>
      </c>
      <c r="F224" s="22" t="n">
        <f aca="false">IFERROR(D224*E224,0)</f>
        <v>9893.89879113296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9893.89879113296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143669.46804</v>
      </c>
      <c r="F225" s="21" t="n">
        <f aca="false">IFERROR(D225*E225,0)</f>
        <v>10648.2182473358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10648.2182473358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143669.46804</v>
      </c>
      <c r="F226" s="22" t="n">
        <f aca="false">IFERROR(D226*E226,0)</f>
        <v>2731.18207798156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2731.18207798156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143669.46804</v>
      </c>
      <c r="F227" s="21" t="n">
        <f aca="false">IFERROR(D227*E227,0)</f>
        <v>4744.17534820014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4744.17534820014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143669.46804</v>
      </c>
      <c r="F228" s="22" t="n">
        <f aca="false">IFERROR(D228*E228,0)</f>
        <v>3501.72345797365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3501.72345797365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143669.46804</v>
      </c>
      <c r="F229" s="21" t="n">
        <f aca="false">IFERROR(D229*E229,0)</f>
        <v>3535.64202589675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3535.64202589675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143669.46804</v>
      </c>
      <c r="F230" s="22" t="n">
        <f aca="false">IFERROR(D230*E230,0)</f>
        <v>103862.341781384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103862.341781384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32084.587644</v>
      </c>
      <c r="F247" s="21" t="n">
        <f aca="false">IFERROR(D247*E247,0)</f>
        <v>1066.43928541311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1066.43928541311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32084.587644</v>
      </c>
      <c r="F248" s="22" t="n">
        <f aca="false">IFERROR(D248*E248,0)</f>
        <v>1066.43928541311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1066.43928541311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32084.587644</v>
      </c>
      <c r="F249" s="21" t="n">
        <f aca="false">IFERROR(D249*E249,0)</f>
        <v>1279.72714249573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1279.72714249573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32084.587644</v>
      </c>
      <c r="F250" s="22" t="n">
        <f aca="false">IFERROR(D250*E250,0)</f>
        <v>335.166632558405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335.166632558405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32084.587644</v>
      </c>
      <c r="F251" s="21" t="n">
        <f aca="false">IFERROR(D251*E251,0)</f>
        <v>1279.72714249573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1279.72714249573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32084.587644</v>
      </c>
      <c r="F252" s="22" t="n">
        <f aca="false">IFERROR(D252*E252,0)</f>
        <v>548.454489641026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548.454489641026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32084.587644</v>
      </c>
      <c r="F253" s="21" t="n">
        <f aca="false">IFERROR(D253*E253,0)</f>
        <v>609.393877378917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609.393877378917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32084.587644</v>
      </c>
      <c r="F254" s="22" t="n">
        <f aca="false">IFERROR(D254*E254,0)</f>
        <v>25899.239788604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25899.239788604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53650.4859</v>
      </c>
      <c r="F255" s="21" t="n">
        <f aca="false">IFERROR(D255*E255,0)</f>
        <v>1783.25451709402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1783.25451709402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53650.4859</v>
      </c>
      <c r="F256" s="22" t="n">
        <f aca="false">IFERROR(D256*E256,0)</f>
        <v>1783.25451709402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1783.25451709402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53650.4859</v>
      </c>
      <c r="F257" s="21" t="n">
        <f aca="false">IFERROR(D257*E257,0)</f>
        <v>2139.90542051282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2139.90542051282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53650.4859</v>
      </c>
      <c r="F258" s="22" t="n">
        <f aca="false">IFERROR(D258*E258,0)</f>
        <v>560.45141965812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560.45141965812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53650.4859</v>
      </c>
      <c r="F259" s="21" t="n">
        <f aca="false">IFERROR(D259*E259,0)</f>
        <v>2139.90542051282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2139.90542051282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53650.4859</v>
      </c>
      <c r="F260" s="22" t="n">
        <f aca="false">IFERROR(D260*E260,0)</f>
        <v>917.102323076923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917.102323076923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53650.4859</v>
      </c>
      <c r="F261" s="21" t="n">
        <f aca="false">IFERROR(D261*E261,0)</f>
        <v>1019.00258119658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1019.00258119658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53650.4859</v>
      </c>
      <c r="F262" s="22" t="n">
        <f aca="false">IFERROR(D262*E262,0)</f>
        <v>43307.6097008547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43307.6097008547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42920.099555</v>
      </c>
      <c r="F263" s="21" t="n">
        <f aca="false">IFERROR(D263*E263,0)</f>
        <v>1408.78300085926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1408.78300085926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42920.099555</v>
      </c>
      <c r="F264" s="22" t="n">
        <f aca="false">IFERROR(D264*E264,0)</f>
        <v>3006.45060151526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3006.45060151526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42920.099555</v>
      </c>
      <c r="F265" s="21" t="n">
        <f aca="false">IFERROR(D265*E265,0)</f>
        <v>3214.85178110097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3214.85178110097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42920.099555</v>
      </c>
      <c r="F266" s="22" t="n">
        <f aca="false">IFERROR(D266*E266,0)</f>
        <v>818.799037123616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818.799037123616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42920.099555</v>
      </c>
      <c r="F267" s="21" t="n">
        <f aca="false">IFERROR(D267*E267,0)</f>
        <v>1434.80510724456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1434.80510724456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42920.099555</v>
      </c>
      <c r="F268" s="22" t="n">
        <f aca="false">IFERROR(D268*E268,0)</f>
        <v>1061.07382071088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1061.07382071088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42920.099555</v>
      </c>
      <c r="F269" s="21" t="n">
        <f aca="false">IFERROR(D269*E269,0)</f>
        <v>1072.7389028836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1072.7389028836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42920.099555</v>
      </c>
      <c r="F270" s="22" t="n">
        <f aca="false">IFERROR(D270*E270,0)</f>
        <v>30902.5973035619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30902.5973035619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16614.7132</v>
      </c>
      <c r="F271" s="21" t="n">
        <f aca="false">IFERROR(D271*E271,0)</f>
        <v>545.351146968279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545.351146968279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16614.7132</v>
      </c>
      <c r="F272" s="22" t="n">
        <f aca="false">IFERROR(D272*E272,0)</f>
        <v>1163.82103052052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1163.82103052052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16614.7132</v>
      </c>
      <c r="F273" s="21" t="n">
        <f aca="false">IFERROR(D273*E273,0)</f>
        <v>1244.4947909558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1244.4947909558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16614.7132</v>
      </c>
      <c r="F274" s="22" t="n">
        <f aca="false">IFERROR(D274*E274,0)</f>
        <v>316.963644336659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316.963644336659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16614.7132</v>
      </c>
      <c r="F275" s="21" t="n">
        <f aca="false">IFERROR(D275*E275,0)</f>
        <v>555.424512103362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555.424512103362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16614.7132</v>
      </c>
      <c r="F276" s="22" t="n">
        <f aca="false">IFERROR(D276*E276,0)</f>
        <v>410.750147318465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410.750147318465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16614.7132</v>
      </c>
      <c r="F277" s="21" t="n">
        <f aca="false">IFERROR(D277*E277,0)</f>
        <v>415.26579375833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415.26579375833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16614.7132</v>
      </c>
      <c r="F278" s="22" t="n">
        <f aca="false">IFERROR(D278*E278,0)</f>
        <v>11962.6421340386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11962.6421340386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151544.126264</v>
      </c>
      <c r="F287" s="21" t="n">
        <f aca="false">IFERROR(D287*E287,0)</f>
        <v>4974.19137360603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4974.19137360603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151544.126264</v>
      </c>
      <c r="F288" s="22" t="n">
        <f aca="false">IFERROR(D288*E288,0)</f>
        <v>10615.3045842465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10615.3045842465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151544.126264</v>
      </c>
      <c r="F289" s="21" t="n">
        <f aca="false">IFERROR(D289*E289,0)</f>
        <v>11351.1363973166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11351.1363973166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151544.126264</v>
      </c>
      <c r="F290" s="22" t="n">
        <f aca="false">IFERROR(D290*E290,0)</f>
        <v>2891.05071873599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2891.05071873599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151544.126264</v>
      </c>
      <c r="F291" s="21" t="n">
        <f aca="false">IFERROR(D291*E291,0)</f>
        <v>5066.07134165352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5066.07134165352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151544.126264</v>
      </c>
      <c r="F292" s="22" t="n">
        <f aca="false">IFERROR(D292*E292,0)</f>
        <v>3746.48490400581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3746.48490400581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151544.126264</v>
      </c>
      <c r="F293" s="21" t="n">
        <f aca="false">IFERROR(D293*E293,0)</f>
        <v>3787.67247588917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3787.67247588917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151544.126264</v>
      </c>
      <c r="F294" s="22" t="n">
        <f aca="false">IFERROR(D294*E294,0)</f>
        <v>109112.214468546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109112.214468546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43068.651577</v>
      </c>
      <c r="F295" s="21" t="n">
        <f aca="false">IFERROR(D295*E295,0)</f>
        <v>1413.65898123924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1413.65898123924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43068.651577</v>
      </c>
      <c r="F296" s="22" t="n">
        <f aca="false">IFERROR(D296*E296,0)</f>
        <v>3016.85631633253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3016.85631633253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43068.651577</v>
      </c>
      <c r="F297" s="21" t="n">
        <f aca="false">IFERROR(D297*E297,0)</f>
        <v>3225.97879938528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3225.97879938528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43068.651577</v>
      </c>
      <c r="F298" s="22" t="n">
        <f aca="false">IFERROR(D298*E298,0)</f>
        <v>821.633006611978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821.633006611978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43068.651577</v>
      </c>
      <c r="F299" s="21" t="n">
        <f aca="false">IFERROR(D299*E299,0)</f>
        <v>1439.77115350417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1439.77115350417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43068.651577</v>
      </c>
      <c r="F300" s="22" t="n">
        <f aca="false">IFERROR(D300*E300,0)</f>
        <v>1064.7463345958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1064.7463345958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43068.651577</v>
      </c>
      <c r="F301" s="21" t="n">
        <f aca="false">IFERROR(D301*E301,0)</f>
        <v>1076.45179112835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1076.45179112835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43068.651577</v>
      </c>
      <c r="F302" s="22" t="n">
        <f aca="false">IFERROR(D302*E302,0)</f>
        <v>31009.5551942027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31009.5551942027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37928.212964</v>
      </c>
      <c r="F303" s="21" t="n">
        <f aca="false">IFERROR(D303*E303,0)</f>
        <v>1244.93237971598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1244.93237971598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37928.212964</v>
      </c>
      <c r="F304" s="22" t="n">
        <f aca="false">IFERROR(D304*E304,0)</f>
        <v>2656.78085238115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2656.78085238115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37928.212964</v>
      </c>
      <c r="F305" s="21" t="n">
        <f aca="false">IFERROR(D305*E305,0)</f>
        <v>2840.94362001748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2840.94362001748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37928.212964</v>
      </c>
      <c r="F306" s="22" t="n">
        <f aca="false">IFERROR(D306*E306,0)</f>
        <v>723.567386299895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723.567386299895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37928.212964</v>
      </c>
      <c r="F307" s="21" t="n">
        <f aca="false">IFERROR(D307*E307,0)</f>
        <v>1267.92794596551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1267.92794596551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37928.212964</v>
      </c>
      <c r="F308" s="22" t="n">
        <f aca="false">IFERROR(D308*E308,0)</f>
        <v>937.664037588631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937.664037588631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37928.212964</v>
      </c>
      <c r="F309" s="21" t="n">
        <f aca="false">IFERROR(D309*E309,0)</f>
        <v>947.972394872904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947.972394872904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37928.212964</v>
      </c>
      <c r="F310" s="22" t="n">
        <f aca="false">IFERROR(D310*E310,0)</f>
        <v>27308.4243471584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27308.4243471584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31459.659211</v>
      </c>
      <c r="F383" s="21" t="n">
        <f aca="false">IFERROR(D383*E383,0)</f>
        <v>1032.61254211418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1032.61254211418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31459.659211</v>
      </c>
      <c r="F384" s="22" t="n">
        <f aca="false">IFERROR(D384*E384,0)</f>
        <v>2203.67409067106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2203.67409067106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31459.659211</v>
      </c>
      <c r="F385" s="21" t="n">
        <f aca="false">IFERROR(D385*E385,0)</f>
        <v>2356.42839825451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2356.42839825451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31459.659211</v>
      </c>
      <c r="F386" s="22" t="n">
        <f aca="false">IFERROR(D386*E386,0)</f>
        <v>600.164932916682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600.164932916682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31459.659211</v>
      </c>
      <c r="F387" s="21" t="n">
        <f aca="false">IFERROR(D387*E387,0)</f>
        <v>1051.68627696852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1051.68627696852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31459.659211</v>
      </c>
      <c r="F388" s="22" t="n">
        <f aca="false">IFERROR(D388*E388,0)</f>
        <v>777.747981560522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777.747981560522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31459.659211</v>
      </c>
      <c r="F389" s="21" t="n">
        <f aca="false">IFERROR(D389*E389,0)</f>
        <v>786.298276495225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786.298276495225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31459.659211</v>
      </c>
      <c r="F390" s="22" t="n">
        <f aca="false">IFERROR(D390*E390,0)</f>
        <v>22651.0467120193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22651.0467120193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108557.0133</v>
      </c>
      <c r="F415" s="21" t="n">
        <f aca="false">IFERROR(D415*E415,0)</f>
        <v>3563.2087657466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3563.2087657466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108557.0133</v>
      </c>
      <c r="F416" s="22" t="n">
        <f aca="false">IFERROR(D416*E416,0)</f>
        <v>7604.15985327006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7604.15985327006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108557.0133</v>
      </c>
      <c r="F417" s="21" t="n">
        <f aca="false">IFERROR(D417*E417,0)</f>
        <v>8131.26509903098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8131.26509903098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108557.0133</v>
      </c>
      <c r="F418" s="22" t="n">
        <f aca="false">IFERROR(D418*E418,0)</f>
        <v>2070.9732476075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2070.9732476075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108557.0133</v>
      </c>
      <c r="F419" s="21" t="n">
        <f aca="false">IFERROR(D419*E419,0)</f>
        <v>3629.02599772536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3629.02599772536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108557.0133</v>
      </c>
      <c r="F420" s="22" t="n">
        <f aca="false">IFERROR(D420*E420,0)</f>
        <v>2683.75437292698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2683.75437292698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108557.0133</v>
      </c>
      <c r="F421" s="21" t="n">
        <f aca="false">IFERROR(D421*E421,0)</f>
        <v>2713.25864933125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2713.25864933125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108557.0133</v>
      </c>
      <c r="F422" s="22" t="n">
        <f aca="false">IFERROR(D422*E422,0)</f>
        <v>78161.3673143613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78161.3673143613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115764.57981</v>
      </c>
      <c r="F423" s="21" t="n">
        <f aca="false">IFERROR(D423*E423,0)</f>
        <v>3799.78550443377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3799.78550443377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115764.57981</v>
      </c>
      <c r="F424" s="22" t="n">
        <f aca="false">IFERROR(D424*E424,0)</f>
        <v>8109.03269592697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8109.03269592697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115764.57981</v>
      </c>
      <c r="F425" s="21" t="n">
        <f aca="false">IFERROR(D425*E425,0)</f>
        <v>8671.13472357331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8671.13472357331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115764.57981</v>
      </c>
      <c r="F426" s="22" t="n">
        <f aca="false">IFERROR(D426*E426,0)</f>
        <v>2208.47405910562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2208.47405910562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115764.57981</v>
      </c>
      <c r="F427" s="21" t="n">
        <f aca="false">IFERROR(D427*E427,0)</f>
        <v>3869.97262521631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3869.97262521631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115764.57981</v>
      </c>
      <c r="F428" s="22" t="n">
        <f aca="false">IFERROR(D428*E428,0)</f>
        <v>2861.94035604646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2861.94035604646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115764.57981</v>
      </c>
      <c r="F429" s="21" t="n">
        <f aca="false">IFERROR(D429*E429,0)</f>
        <v>2893.40354812138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2893.40354812138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115764.57981</v>
      </c>
      <c r="F430" s="22" t="n">
        <f aca="false">IFERROR(D430*E430,0)</f>
        <v>83350.8362975762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83350.8362975762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40506.055852</v>
      </c>
      <c r="F447" s="21" t="n">
        <f aca="false">IFERROR(D447*E447,0)</f>
        <v>1263.49165042936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1263.49165042936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40506.055852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40506.055852</v>
      </c>
      <c r="F449" s="21" t="n">
        <f aca="false">IFERROR(D449*E449,0)</f>
        <v>1746.59139912294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1746.59139912294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40506.055852</v>
      </c>
      <c r="F450" s="22" t="n">
        <f aca="false">IFERROR(D450*E450,0)</f>
        <v>408.776710433028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408.776710433028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40506.055852</v>
      </c>
      <c r="F451" s="21" t="n">
        <f aca="false">IFERROR(D451*E451,0)</f>
        <v>1858.07595651376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1858.07595651376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40506.055852</v>
      </c>
      <c r="F452" s="22" t="n">
        <f aca="false">IFERROR(D452*E452,0)</f>
        <v>668.907344344954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668.907344344954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40506.055852</v>
      </c>
      <c r="F453" s="21" t="n">
        <f aca="false">IFERROR(D453*E453,0)</f>
        <v>891.876459126606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891.876459126606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40506.055852</v>
      </c>
      <c r="F454" s="22" t="n">
        <f aca="false">IFERROR(D454*E454,0)</f>
        <v>33668.3363320294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33668.3363320294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59799.9207</v>
      </c>
      <c r="F455" s="21" t="n">
        <f aca="false">IFERROR(D455*E455,0)</f>
        <v>1865.31862733945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1865.31862733945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59799.9207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59799.9207</v>
      </c>
      <c r="F457" s="21" t="n">
        <f aca="false">IFERROR(D457*E457,0)</f>
        <v>2578.52869073395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2578.52869073395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59799.9207</v>
      </c>
      <c r="F458" s="22" t="n">
        <f aca="false">IFERROR(D458*E458,0)</f>
        <v>603.485438256881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603.485438256881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59799.9207</v>
      </c>
      <c r="F459" s="21" t="n">
        <f aca="false">IFERROR(D459*E459,0)</f>
        <v>2743.11562844037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2743.11562844037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59799.9207</v>
      </c>
      <c r="F460" s="22" t="n">
        <f aca="false">IFERROR(D460*E460,0)</f>
        <v>987.521626238532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987.521626238532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59799.9207</v>
      </c>
      <c r="F461" s="21" t="n">
        <f aca="false">IFERROR(D461*E461,0)</f>
        <v>1316.69550165138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1316.69550165138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59799.9207</v>
      </c>
      <c r="F462" s="22" t="n">
        <f aca="false">IFERROR(D462*E462,0)</f>
        <v>49705.2551873395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49705.2551873395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50288.142152</v>
      </c>
      <c r="F463" s="21" t="n">
        <f aca="false">IFERROR(D463*E463,0)</f>
        <v>1644.2336406955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1644.2336406955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50288.142152</v>
      </c>
      <c r="F464" s="22" t="n">
        <f aca="false">IFERROR(D464*E464,0)</f>
        <v>3376.8186336688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3376.8186336688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50288.142152</v>
      </c>
      <c r="F465" s="21" t="n">
        <f aca="false">IFERROR(D465*E465,0)</f>
        <v>3666.08195934671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3666.08195934671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50288.142152</v>
      </c>
      <c r="F466" s="22" t="n">
        <f aca="false">IFERROR(D466*E466,0)</f>
        <v>939.669043293646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939.669043293646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50288.142152</v>
      </c>
      <c r="F467" s="21" t="n">
        <f aca="false">IFERROR(D467*E467,0)</f>
        <v>1639.24203887189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1639.24203887189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50288.142152</v>
      </c>
      <c r="F468" s="22" t="n">
        <f aca="false">IFERROR(D468*E468,0)</f>
        <v>1199.23233812111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1199.23233812111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50288.142152</v>
      </c>
      <c r="F469" s="21" t="n">
        <f aca="false">IFERROR(D469*E469,0)</f>
        <v>1199.48191821229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1199.48191821229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50288.142152</v>
      </c>
      <c r="F470" s="22" t="n">
        <f aca="false">IFERROR(D470*E470,0)</f>
        <v>36623.3825797901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36623.3825797901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11334.0318</v>
      </c>
      <c r="F471" s="21" t="n">
        <f aca="false">IFERROR(D471*E471,0)</f>
        <v>370.580331123475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370.580331123475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11334.0318</v>
      </c>
      <c r="F472" s="22" t="n">
        <f aca="false">IFERROR(D472*E472,0)</f>
        <v>761.073448709868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761.073448709868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11334.0318</v>
      </c>
      <c r="F473" s="21" t="n">
        <f aca="false">IFERROR(D473*E473,0)</f>
        <v>826.268136592702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826.268136592702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11334.0318</v>
      </c>
      <c r="F474" s="22" t="n">
        <f aca="false">IFERROR(D474*E474,0)</f>
        <v>211.784296703079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211.784296703079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11334.0318</v>
      </c>
      <c r="F475" s="21" t="n">
        <f aca="false">IFERROR(D475*E475,0)</f>
        <v>369.455314939129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369.455314939129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11334.0318</v>
      </c>
      <c r="F476" s="22" t="n">
        <f aca="false">IFERROR(D476*E476,0)</f>
        <v>270.285138289055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270.285138289055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11334.0318</v>
      </c>
      <c r="F477" s="21" t="n">
        <f aca="false">IFERROR(D477*E477,0)</f>
        <v>270.341389098272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270.341389098272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11334.0318</v>
      </c>
      <c r="F478" s="22" t="n">
        <f aca="false">IFERROR(D478*E478,0)</f>
        <v>8254.24374454442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8254.24374454442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162394.876084</v>
      </c>
      <c r="F487" s="21" t="n">
        <f aca="false">IFERROR(D487*E487,0)</f>
        <v>5309.70337951269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5309.70337951269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162394.876084</v>
      </c>
      <c r="F488" s="22" t="n">
        <f aca="false">IFERROR(D488*E488,0)</f>
        <v>10904.7186892542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10904.7186892542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162394.876084</v>
      </c>
      <c r="F489" s="21" t="n">
        <f aca="false">IFERROR(D489*E489,0)</f>
        <v>11838.833172687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11838.833172687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162394.876084</v>
      </c>
      <c r="F490" s="22" t="n">
        <f aca="false">IFERROR(D490*E490,0)</f>
        <v>3034.46163082351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3034.46163082351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162394.876084</v>
      </c>
      <c r="F491" s="21" t="n">
        <f aca="false">IFERROR(D491*E491,0)</f>
        <v>5293.58406142067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5293.58406142067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162394.876084</v>
      </c>
      <c r="F492" s="22" t="n">
        <f aca="false">IFERROR(D492*E492,0)</f>
        <v>3872.66617160876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3872.66617160876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162394.876084</v>
      </c>
      <c r="F493" s="21" t="n">
        <f aca="false">IFERROR(D493*E493,0)</f>
        <v>3873.47213751336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3873.47213751336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162394.876084</v>
      </c>
      <c r="F494" s="22" t="n">
        <f aca="false">IFERROR(D494*E494,0)</f>
        <v>118267.43684118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118267.43684118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43008.897386</v>
      </c>
      <c r="F495" s="21" t="n">
        <f aca="false">IFERROR(D495*E495,0)</f>
        <v>1406.22963794397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1406.22963794397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43008.897386</v>
      </c>
      <c r="F496" s="22" t="n">
        <f aca="false">IFERROR(D496*E496,0)</f>
        <v>2888.02170634212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2888.02170634212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43008.897386</v>
      </c>
      <c r="F497" s="21" t="n">
        <f aca="false">IFERROR(D497*E497,0)</f>
        <v>3135.41395746189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3135.41395746189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43008.897386</v>
      </c>
      <c r="F498" s="22" t="n">
        <f aca="false">IFERROR(D498*E498,0)</f>
        <v>803.651273050856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803.651273050856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43008.897386</v>
      </c>
      <c r="F499" s="21" t="n">
        <f aca="false">IFERROR(D499*E499,0)</f>
        <v>1401.9605740765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1401.9605740765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43008.897386</v>
      </c>
      <c r="F500" s="22" t="n">
        <f aca="false">IFERROR(D500*E500,0)</f>
        <v>1025.64259415919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1025.64259415919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43008.897386</v>
      </c>
      <c r="F501" s="21" t="n">
        <f aca="false">IFERROR(D501*E501,0)</f>
        <v>1025.85604735257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1025.85604735257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43008.897386</v>
      </c>
      <c r="F502" s="22" t="n">
        <f aca="false">IFERROR(D502*E502,0)</f>
        <v>31322.1215956129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31322.1215956129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52443.491479</v>
      </c>
      <c r="F503" s="21" t="n">
        <f aca="false">IFERROR(D503*E503,0)</f>
        <v>1714.70547996512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1714.70547996512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52443.491479</v>
      </c>
      <c r="F504" s="22" t="n">
        <f aca="false">IFERROR(D504*E504,0)</f>
        <v>3521.54905038374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3521.54905038374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52443.491479</v>
      </c>
      <c r="F505" s="21" t="n">
        <f aca="false">IFERROR(D505*E505,0)</f>
        <v>3823.21019963686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3823.21019963686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52443.491479</v>
      </c>
      <c r="F506" s="22" t="n">
        <f aca="false">IFERROR(D506*E506,0)</f>
        <v>979.943250162216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979.943250162216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52443.491479</v>
      </c>
      <c r="F507" s="21" t="n">
        <f aca="false">IFERROR(D507*E507,0)</f>
        <v>1709.49993813159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1709.49993813159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52443.491479</v>
      </c>
      <c r="F508" s="22" t="n">
        <f aca="false">IFERROR(D508*E508,0)</f>
        <v>1250.63142550583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1250.63142550583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52443.491479</v>
      </c>
      <c r="F509" s="21" t="n">
        <f aca="false">IFERROR(D509*E509,0)</f>
        <v>1250.89170259751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1250.89170259751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52443.491479</v>
      </c>
      <c r="F510" s="22" t="n">
        <f aca="false">IFERROR(D510*E510,0)</f>
        <v>38193.0604326171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38193.0604326171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91132.389</v>
      </c>
      <c r="F551" s="21" t="n">
        <f aca="false">IFERROR(D551*E551,0)</f>
        <v>2979.6873246547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2979.6873246547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91132.389</v>
      </c>
      <c r="F552" s="22" t="n">
        <f aca="false">IFERROR(D552*E552,0)</f>
        <v>6119.48535254676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6119.48535254676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91132.389</v>
      </c>
      <c r="F553" s="21" t="n">
        <f aca="false">IFERROR(D553*E553,0)</f>
        <v>6643.68960410639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6643.68960410639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91132.389</v>
      </c>
      <c r="F554" s="22" t="n">
        <f aca="false">IFERROR(D554*E554,0)</f>
        <v>1702.87230985503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1702.87230985503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91132.389</v>
      </c>
      <c r="F555" s="21" t="n">
        <f aca="false">IFERROR(D555*E555,0)</f>
        <v>2970.64152221191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2970.64152221191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91132.389</v>
      </c>
      <c r="F556" s="22" t="n">
        <f aca="false">IFERROR(D556*E556,0)</f>
        <v>2173.25403688006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2173.25403688006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91132.389</v>
      </c>
      <c r="F557" s="21" t="n">
        <f aca="false">IFERROR(D557*E557,0)</f>
        <v>2173.7063270022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2173.7063270022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91132.389</v>
      </c>
      <c r="F558" s="22" t="n">
        <f aca="false">IFERROR(D558*E558,0)</f>
        <v>66369.052522743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66369.052522743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31056.004638</v>
      </c>
      <c r="F583" s="21" t="n">
        <f aca="false">IFERROR(D583*E583,0)</f>
        <v>1015.41487488346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1015.41487488346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31056.004638</v>
      </c>
      <c r="F584" s="22" t="n">
        <f aca="false">IFERROR(D584*E584,0)</f>
        <v>2085.39211553935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2085.39211553935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31056.004638</v>
      </c>
      <c r="F585" s="21" t="n">
        <f aca="false">IFERROR(D585*E585,0)</f>
        <v>2264.02991760219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2264.02991760219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31056.004638</v>
      </c>
      <c r="F586" s="22" t="n">
        <f aca="false">IFERROR(D586*E586,0)</f>
        <v>580.303127494876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580.303127494876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31056.004638</v>
      </c>
      <c r="F587" s="21" t="n">
        <f aca="false">IFERROR(D587*E587,0)</f>
        <v>1012.3322553483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1012.3322553483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31056.004638</v>
      </c>
      <c r="F588" s="22" t="n">
        <f aca="false">IFERROR(D588*E588,0)</f>
        <v>740.599343323474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740.599343323474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31056.004638</v>
      </c>
      <c r="F589" s="21" t="n">
        <f aca="false">IFERROR(D589*E589,0)</f>
        <v>740.753474300232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740.753474300232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31056.004638</v>
      </c>
      <c r="F590" s="22" t="n">
        <f aca="false">IFERROR(D590*E590,0)</f>
        <v>22617.1795295081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22617.1795295081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28841.437653</v>
      </c>
      <c r="F607" s="21" t="n">
        <f aca="false">IFERROR(D607*E607,0)</f>
        <v>943.006840295418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943.006840295418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28841.437653</v>
      </c>
      <c r="F608" s="22" t="n">
        <f aca="false">IFERROR(D608*E608,0)</f>
        <v>1936.68526854842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1936.68526854842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28841.437653</v>
      </c>
      <c r="F609" s="21" t="n">
        <f aca="false">IFERROR(D609*E609,0)</f>
        <v>2102.58462008187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2102.58462008187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28841.437653</v>
      </c>
      <c r="F610" s="22" t="n">
        <f aca="false">IFERROR(D610*E610,0)</f>
        <v>538.922397345514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538.922397345514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28841.437653</v>
      </c>
      <c r="F611" s="21" t="n">
        <f aca="false">IFERROR(D611*E611,0)</f>
        <v>940.144038715893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940.144038715893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28841.437653</v>
      </c>
      <c r="F612" s="22" t="n">
        <f aca="false">IFERROR(D612*E612,0)</f>
        <v>687.788079480796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687.788079480796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28841.437653</v>
      </c>
      <c r="F613" s="21" t="n">
        <f aca="false">IFERROR(D613*E613,0)</f>
        <v>687.931219559772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687.931219559772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28841.437653</v>
      </c>
      <c r="F614" s="22" t="n">
        <f aca="false">IFERROR(D614*E614,0)</f>
        <v>21004.3751889723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21004.3751889723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117118.356518</v>
      </c>
      <c r="F615" s="21" t="n">
        <f aca="false">IFERROR(D615*E615,0)</f>
        <v>3829.3310010898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3829.3310010898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117118.356518</v>
      </c>
      <c r="F616" s="22" t="n">
        <f aca="false">IFERROR(D616*E616,0)</f>
        <v>7864.42751134562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7864.42751134562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117118.356518</v>
      </c>
      <c r="F617" s="21" t="n">
        <f aca="false">IFERROR(D617*E617,0)</f>
        <v>8538.10611338919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8538.10611338919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117118.356518</v>
      </c>
      <c r="F618" s="22" t="n">
        <f aca="false">IFERROR(D618*E618,0)</f>
        <v>2188.4382542658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2188.4382542658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117118.356518</v>
      </c>
      <c r="F619" s="21" t="n">
        <f aca="false">IFERROR(D619*E619,0)</f>
        <v>3817.70583108042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3817.70583108042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117118.356518</v>
      </c>
      <c r="F620" s="22" t="n">
        <f aca="false">IFERROR(D620*E620,0)</f>
        <v>2792.94709475356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2792.94709475356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117118.356518</v>
      </c>
      <c r="F621" s="21" t="n">
        <f aca="false">IFERROR(D621*E621,0)</f>
        <v>2793.52835325403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2793.52835325403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117118.356518</v>
      </c>
      <c r="F622" s="22" t="n">
        <f aca="false">IFERROR(D622*E622,0)</f>
        <v>85293.8723588216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85293.8723588216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125897.894012</v>
      </c>
      <c r="F623" s="21" t="n">
        <f aca="false">IFERROR(D623*E623,0)</f>
        <v>4116.38894913945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4116.38894913945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125897.894012</v>
      </c>
      <c r="F624" s="22" t="n">
        <f aca="false">IFERROR(D624*E624,0)</f>
        <v>8453.96819700314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8453.96819700314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125897.894012</v>
      </c>
      <c r="F625" s="21" t="n">
        <f aca="false">IFERROR(D625*E625,0)</f>
        <v>9178.14773435175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9178.14773435175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125897.894012</v>
      </c>
      <c r="F626" s="22" t="n">
        <f aca="false">IFERROR(D626*E626,0)</f>
        <v>2352.4900415164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2352.4900415164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125897.894012</v>
      </c>
      <c r="F627" s="21" t="n">
        <f aca="false">IFERROR(D627*E627,0)</f>
        <v>4103.89232209288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4103.89232209288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125897.894012</v>
      </c>
      <c r="F628" s="22" t="n">
        <f aca="false">IFERROR(D628*E628,0)</f>
        <v>3002.31464793792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3002.31464793792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125897.894012</v>
      </c>
      <c r="F629" s="21" t="n">
        <f aca="false">IFERROR(D629*E629,0)</f>
        <v>3002.93947929025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3002.93947929025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125897.894012</v>
      </c>
      <c r="F630" s="22" t="n">
        <f aca="false">IFERROR(D630*E630,0)</f>
        <v>91687.7526406682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91687.7526406682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6711</v>
      </c>
      <c r="C900" s="8" t="n">
        <v>30</v>
      </c>
      <c r="D900" s="9" t="n">
        <f aca="false">IFERROR(B900/SUMIFS($B$8:$B$907,$G$8:$G$907,G900),0)</f>
        <v>0.0337095583249198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13611</v>
      </c>
      <c r="C901" s="13" t="n">
        <v>0</v>
      </c>
      <c r="D901" s="14" t="n">
        <f aca="false">IFERROR(B901/SUMIFS($B$8:$B$907,$G$8:$G$907,G901),0)</f>
        <v>0.0683684694323473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14824</v>
      </c>
      <c r="C902" s="8" t="n">
        <v>45</v>
      </c>
      <c r="D902" s="9" t="n">
        <f aca="false">IFERROR(B902/SUMIFS($B$8:$B$907,$G$8:$G$907,G902),0)</f>
        <v>0.0744614055444212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3823</v>
      </c>
      <c r="C903" s="13" t="n">
        <v>10</v>
      </c>
      <c r="D903" s="14" t="n">
        <f aca="false">IFERROR(B903/SUMIFS($B$8:$B$907,$G$8:$G$907,G903),0)</f>
        <v>0.019203045965753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6701</v>
      </c>
      <c r="C904" s="8" t="n">
        <v>46</v>
      </c>
      <c r="D904" s="9" t="n">
        <f aca="false">IFERROR(B904/SUMIFS($B$8:$B$907,$G$8:$G$907,G904),0)</f>
        <v>0.033659328018967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4839</v>
      </c>
      <c r="C905" s="13" t="n">
        <v>17</v>
      </c>
      <c r="D905" s="14" t="n">
        <f aca="false">IFERROR(B905/SUMIFS($B$8:$B$907,$G$8:$G$907,G905),0)</f>
        <v>0.0243064450505568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4839</v>
      </c>
      <c r="C906" s="8" t="n">
        <v>23</v>
      </c>
      <c r="D906" s="9" t="n">
        <f aca="false">IFERROR(B906/SUMIFS($B$8:$B$907,$G$8:$G$907,G906),0)</f>
        <v>0.0243064450505568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143735</v>
      </c>
      <c r="C907" s="13" t="n">
        <v>881</v>
      </c>
      <c r="D907" s="14" t="n">
        <f aca="false">IFERROR(B907/SUMIFS($B$8:$B$907,$G$8:$G$907,G907),0)</f>
        <v>0.721985302612478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199083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0.0337095583249198</v>
      </c>
      <c r="E909" s="21" t="n">
        <f aca="false">SUMIFS(SETORES!$D:$D,SETORES!$A:$A,A909,SETORES!$F:$F,J909)</f>
        <v>45629.9949830294</v>
      </c>
      <c r="F909" s="21" t="n">
        <f aca="false">IFERROR(D909*E909,0)</f>
        <v>1538.16697724622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1538.16697724622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0.0683684694323473</v>
      </c>
      <c r="E910" s="22" t="n">
        <f aca="false">SUMIFS(SETORES!$D:$D,SETORES!$A:$A,A910,SETORES!$F:$F,J910)</f>
        <v>45629.9949830294</v>
      </c>
      <c r="F910" s="22" t="n">
        <f aca="false">IFERROR(D910*E910,0)</f>
        <v>3119.6529171954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3119.6529171954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0.0744614055444212</v>
      </c>
      <c r="E911" s="21" t="n">
        <f aca="false">SUMIFS(SETORES!$D:$D,SETORES!$A:$A,A911,SETORES!$F:$F,J911)</f>
        <v>45629.9949830294</v>
      </c>
      <c r="F911" s="21" t="n">
        <f aca="false">IFERROR(D911*E911,0)</f>
        <v>3397.67356142125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3397.67356142125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0.019203045965753</v>
      </c>
      <c r="E912" s="22" t="n">
        <f aca="false">SUMIFS(SETORES!$D:$D,SETORES!$A:$A,A912,SETORES!$F:$F,J912)</f>
        <v>45629.9949830294</v>
      </c>
      <c r="F912" s="22" t="n">
        <f aca="false">IFERROR(D912*E912,0)</f>
        <v>876.23489107619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876.23489107619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0.033659328018967</v>
      </c>
      <c r="E913" s="21" t="n">
        <f aca="false">SUMIFS(SETORES!$D:$D,SETORES!$A:$A,A913,SETORES!$F:$F,J913)</f>
        <v>45629.9949830294</v>
      </c>
      <c r="F913" s="21" t="n">
        <f aca="false">IFERROR(D913*E913,0)</f>
        <v>1535.8749686376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1535.8749686376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0.0243064450505568</v>
      </c>
      <c r="E914" s="22" t="n">
        <f aca="false">SUMIFS(SETORES!$D:$D,SETORES!$A:$A,A914,SETORES!$F:$F,J914)</f>
        <v>45629.9949830294</v>
      </c>
      <c r="F914" s="22" t="n">
        <f aca="false">IFERROR(D914*E914,0)</f>
        <v>1109.10296571219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1109.10296571219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0.0243064450505568</v>
      </c>
      <c r="E915" s="21" t="n">
        <f aca="false">SUMIFS(SETORES!$D:$D,SETORES!$A:$A,A915,SETORES!$F:$F,J915)</f>
        <v>45629.9949830294</v>
      </c>
      <c r="F915" s="21" t="n">
        <f aca="false">IFERROR(D915*E915,0)</f>
        <v>1109.10296571219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1109.10296571219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0.721985302612478</v>
      </c>
      <c r="E916" s="22" t="n">
        <f aca="false">SUMIFS(SETORES!$D:$D,SETORES!$A:$A,A916,SETORES!$F:$F,J916)</f>
        <v>45629.9949830294</v>
      </c>
      <c r="F916" s="22" t="n">
        <f aca="false">IFERROR(D916*E916,0)</f>
        <v>32944.1857360283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32944.1857360283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42238.7645115133</v>
      </c>
      <c r="F917" s="21" t="n">
        <f aca="false">IFERROR(D917*E917,0)</f>
        <v>1204.52750508118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1204.52750508118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42238.7645115133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42238.7645115133</v>
      </c>
      <c r="F919" s="21" t="n">
        <f aca="false">IFERROR(D919*E919,0)</f>
        <v>1806.79125762176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1806.79125762176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42238.7645115133</v>
      </c>
      <c r="F920" s="22" t="n">
        <f aca="false">IFERROR(D920*E920,0)</f>
        <v>401.509168360392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401.509168360392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42238.7645115133</v>
      </c>
      <c r="F921" s="21" t="n">
        <f aca="false">IFERROR(D921*E921,0)</f>
        <v>1846.9421744578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1846.9421744578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42238.7645115133</v>
      </c>
      <c r="F922" s="22" t="n">
        <f aca="false">IFERROR(D922*E922,0)</f>
        <v>682.565586212667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682.565586212667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42238.7645115133</v>
      </c>
      <c r="F923" s="21" t="n">
        <f aca="false">IFERROR(D923*E923,0)</f>
        <v>923.471087228902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923.471087228902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42238.7645115133</v>
      </c>
      <c r="F924" s="22" t="n">
        <f aca="false">IFERROR(D924*E924,0)</f>
        <v>35372.9577325505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35372.9577325505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68791.3849490881</v>
      </c>
      <c r="F925" s="21" t="n">
        <f aca="false">IFERROR(D925*E925,0)</f>
        <v>1961.73150995498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1961.73150995498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68791.3849490881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68791.3849490881</v>
      </c>
      <c r="F927" s="21" t="n">
        <f aca="false">IFERROR(D927*E927,0)</f>
        <v>2942.59726493247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2942.59726493247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68791.3849490881</v>
      </c>
      <c r="F928" s="22" t="n">
        <f aca="false">IFERROR(D928*E928,0)</f>
        <v>653.910503318328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653.910503318328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68791.3849490881</v>
      </c>
      <c r="F929" s="21" t="n">
        <f aca="false">IFERROR(D929*E929,0)</f>
        <v>3007.98831526431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3007.98831526431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68791.3849490881</v>
      </c>
      <c r="F930" s="22" t="n">
        <f aca="false">IFERROR(D930*E930,0)</f>
        <v>1111.64785564116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1111.64785564116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68791.3849490881</v>
      </c>
      <c r="F931" s="21" t="n">
        <f aca="false">IFERROR(D931*E931,0)</f>
        <v>1503.99415763215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1503.99415763215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68791.3849490881</v>
      </c>
      <c r="F932" s="22" t="n">
        <f aca="false">IFERROR(D932*E932,0)</f>
        <v>57609.5153423447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57609.5153423447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0.0337095583249198</v>
      </c>
      <c r="E933" s="21" t="n">
        <f aca="false">SUMIFS(SETORES!$D:$D,SETORES!$A:$A,A933,SETORES!$F:$F,J933)</f>
        <v>62667.566441612</v>
      </c>
      <c r="F933" s="21" t="n">
        <f aca="false">IFERROR(D933*E933,0)</f>
        <v>2112.49598604431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2112.49598604431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0.0683684694323473</v>
      </c>
      <c r="E934" s="22" t="n">
        <f aca="false">SUMIFS(SETORES!$D:$D,SETORES!$A:$A,A934,SETORES!$F:$F,J934)</f>
        <v>62667.566441612</v>
      </c>
      <c r="F934" s="22" t="n">
        <f aca="false">IFERROR(D934*E934,0)</f>
        <v>4284.48560066295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4284.48560066295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0.0744614055444212</v>
      </c>
      <c r="E935" s="21" t="n">
        <f aca="false">SUMIFS(SETORES!$D:$D,SETORES!$A:$A,A935,SETORES!$F:$F,J935)</f>
        <v>62667.566441612</v>
      </c>
      <c r="F935" s="21" t="n">
        <f aca="false">IFERROR(D935*E935,0)</f>
        <v>4666.31507929083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4666.31507929083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0.019203045965753</v>
      </c>
      <c r="E936" s="22" t="n">
        <f aca="false">SUMIFS(SETORES!$D:$D,SETORES!$A:$A,A936,SETORES!$F:$F,J936)</f>
        <v>62667.566441612</v>
      </c>
      <c r="F936" s="22" t="n">
        <f aca="false">IFERROR(D936*E936,0)</f>
        <v>1203.40815894015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1203.40815894015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0.033659328018967</v>
      </c>
      <c r="E937" s="21" t="n">
        <f aca="false">SUMIFS(SETORES!$D:$D,SETORES!$A:$A,A937,SETORES!$F:$F,J937)</f>
        <v>62667.566441612</v>
      </c>
      <c r="F937" s="21" t="n">
        <f aca="false">IFERROR(D937*E937,0)</f>
        <v>2109.34817500863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2109.34817500863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0.0243064450505568</v>
      </c>
      <c r="E938" s="22" t="n">
        <f aca="false">SUMIFS(SETORES!$D:$D,SETORES!$A:$A,A938,SETORES!$F:$F,J938)</f>
        <v>62667.566441612</v>
      </c>
      <c r="F938" s="22" t="n">
        <f aca="false">IFERROR(D938*E938,0)</f>
        <v>1523.22576016516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1523.22576016516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0.0243064450505568</v>
      </c>
      <c r="E939" s="21" t="n">
        <f aca="false">SUMIFS(SETORES!$D:$D,SETORES!$A:$A,A939,SETORES!$F:$F,J939)</f>
        <v>62667.566441612</v>
      </c>
      <c r="F939" s="21" t="n">
        <f aca="false">IFERROR(D939*E939,0)</f>
        <v>1523.22576016516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1523.22576016516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0.721985302612478</v>
      </c>
      <c r="E940" s="22" t="n">
        <f aca="false">SUMIFS(SETORES!$D:$D,SETORES!$A:$A,A940,SETORES!$F:$F,J940)</f>
        <v>62667.566441612</v>
      </c>
      <c r="F940" s="22" t="n">
        <f aca="false">IFERROR(D940*E940,0)</f>
        <v>45245.0619213349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45245.0619213349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0.0337095583249198</v>
      </c>
      <c r="E941" s="21" t="n">
        <f aca="false">SUMIFS(SETORES!$D:$D,SETORES!$A:$A,A941,SETORES!$F:$F,J941)</f>
        <v>27707.6170929277</v>
      </c>
      <c r="F941" s="21" t="n">
        <f aca="false">IFERROR(D941*E941,0)</f>
        <v>934.01153443859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934.01153443859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0.0683684694323473</v>
      </c>
      <c r="E942" s="22" t="n">
        <f aca="false">SUMIFS(SETORES!$D:$D,SETORES!$A:$A,A942,SETORES!$F:$F,J942)</f>
        <v>27707.6170929277</v>
      </c>
      <c r="F942" s="22" t="n">
        <f aca="false">IFERROR(D942*E942,0)</f>
        <v>1894.32737226101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1894.32737226101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0.0744614055444212</v>
      </c>
      <c r="E943" s="21" t="n">
        <f aca="false">SUMIFS(SETORES!$D:$D,SETORES!$A:$A,A943,SETORES!$F:$F,J943)</f>
        <v>27707.6170929277</v>
      </c>
      <c r="F943" s="21" t="n">
        <f aca="false">IFERROR(D943*E943,0)</f>
        <v>2063.14811302603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2063.14811302603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0.019203045965753</v>
      </c>
      <c r="E944" s="22" t="n">
        <f aca="false">SUMIFS(SETORES!$D:$D,SETORES!$A:$A,A944,SETORES!$F:$F,J944)</f>
        <v>27707.6170929277</v>
      </c>
      <c r="F944" s="22" t="n">
        <f aca="false">IFERROR(D944*E944,0)</f>
        <v>532.070644636974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532.070644636974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0.033659328018967</v>
      </c>
      <c r="E945" s="21" t="n">
        <f aca="false">SUMIFS(SETORES!$D:$D,SETORES!$A:$A,A945,SETORES!$F:$F,J945)</f>
        <v>27707.6170929277</v>
      </c>
      <c r="F945" s="21" t="n">
        <f aca="false">IFERROR(D945*E945,0)</f>
        <v>932.61977235479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932.61977235479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0.0243064450505568</v>
      </c>
      <c r="E946" s="22" t="n">
        <f aca="false">SUMIFS(SETORES!$D:$D,SETORES!$A:$A,A946,SETORES!$F:$F,J946)</f>
        <v>27707.6170929277</v>
      </c>
      <c r="F946" s="22" t="n">
        <f aca="false">IFERROR(D946*E946,0)</f>
        <v>673.473672351116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673.473672351116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0.0243064450505568</v>
      </c>
      <c r="E947" s="21" t="n">
        <f aca="false">SUMIFS(SETORES!$D:$D,SETORES!$A:$A,A947,SETORES!$F:$F,J947)</f>
        <v>27707.6170929277</v>
      </c>
      <c r="F947" s="21" t="n">
        <f aca="false">IFERROR(D947*E947,0)</f>
        <v>673.473672351116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673.473672351116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0.721985302612478</v>
      </c>
      <c r="E948" s="22" t="n">
        <f aca="false">SUMIFS(SETORES!$D:$D,SETORES!$A:$A,A948,SETORES!$F:$F,J948)</f>
        <v>27707.6170929277</v>
      </c>
      <c r="F948" s="22" t="n">
        <f aca="false">IFERROR(D948*E948,0)</f>
        <v>20004.4923115081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20004.4923115081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0.0337095583249198</v>
      </c>
      <c r="E949" s="21" t="n">
        <f aca="false">SUMIFS(SETORES!$D:$D,SETORES!$A:$A,A949,SETORES!$F:$F,J949)</f>
        <v>76728.6732880783</v>
      </c>
      <c r="F949" s="21" t="n">
        <f aca="false">IFERROR(D949*E949,0)</f>
        <v>2586.48968739819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2586.48968739819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0.0683684694323473</v>
      </c>
      <c r="E950" s="22" t="n">
        <f aca="false">SUMIFS(SETORES!$D:$D,SETORES!$A:$A,A950,SETORES!$F:$F,J950)</f>
        <v>76728.6732880783</v>
      </c>
      <c r="F950" s="22" t="n">
        <f aca="false">IFERROR(D950*E950,0)</f>
        <v>5245.82195428054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5245.82195428054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0.0744614055444212</v>
      </c>
      <c r="E951" s="21" t="n">
        <f aca="false">SUMIFS(SETORES!$D:$D,SETORES!$A:$A,A951,SETORES!$F:$F,J951)</f>
        <v>76728.6732880783</v>
      </c>
      <c r="F951" s="21" t="n">
        <f aca="false">IFERROR(D951*E951,0)</f>
        <v>5713.32485858899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5713.32485858899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0.019203045965753</v>
      </c>
      <c r="E952" s="22" t="n">
        <f aca="false">SUMIFS(SETORES!$D:$D,SETORES!$A:$A,A952,SETORES!$F:$F,J952)</f>
        <v>76728.6732880783</v>
      </c>
      <c r="F952" s="22" t="n">
        <f aca="false">IFERROR(D952*E952,0)</f>
        <v>1473.42424004221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1473.42424004221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0.033659328018967</v>
      </c>
      <c r="E953" s="21" t="n">
        <f aca="false">SUMIFS(SETORES!$D:$D,SETORES!$A:$A,A953,SETORES!$F:$F,J953)</f>
        <v>76728.6732880783</v>
      </c>
      <c r="F953" s="21" t="n">
        <f aca="false">IFERROR(D953*E953,0)</f>
        <v>2582.63558266357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2582.63558266357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0.0243064450505568</v>
      </c>
      <c r="E954" s="22" t="n">
        <f aca="false">SUMIFS(SETORES!$D:$D,SETORES!$A:$A,A954,SETORES!$F:$F,J954)</f>
        <v>76728.6732880783</v>
      </c>
      <c r="F954" s="22" t="n">
        <f aca="false">IFERROR(D954*E954,0)</f>
        <v>1865.0012810788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1865.0012810788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0.0243064450505568</v>
      </c>
      <c r="E955" s="21" t="n">
        <f aca="false">SUMIFS(SETORES!$D:$D,SETORES!$A:$A,A955,SETORES!$F:$F,J955)</f>
        <v>76728.6732880783</v>
      </c>
      <c r="F955" s="21" t="n">
        <f aca="false">IFERROR(D955*E955,0)</f>
        <v>1865.0012810788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1865.0012810788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0.721985302612478</v>
      </c>
      <c r="E956" s="22" t="n">
        <f aca="false">SUMIFS(SETORES!$D:$D,SETORES!$A:$A,A956,SETORES!$F:$F,J956)</f>
        <v>76728.6732880783</v>
      </c>
      <c r="F956" s="22" t="n">
        <f aca="false">IFERROR(D956*E956,0)</f>
        <v>55396.9744029472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55396.9744029472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0.0337095583249198</v>
      </c>
      <c r="E957" s="21" t="n">
        <f aca="false">SUMIFS(SETORES!$D:$D,SETORES!$A:$A,A957,SETORES!$F:$F,J957)</f>
        <v>178508.470982411</v>
      </c>
      <c r="F957" s="21" t="n">
        <f aca="false">IFERROR(D957*E957,0)</f>
        <v>6017.44171407383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6017.44171407383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0.0683684694323473</v>
      </c>
      <c r="E958" s="22" t="n">
        <f aca="false">SUMIFS(SETORES!$D:$D,SETORES!$A:$A,A958,SETORES!$F:$F,J958)</f>
        <v>178508.470982411</v>
      </c>
      <c r="F958" s="22" t="n">
        <f aca="false">IFERROR(D958*E958,0)</f>
        <v>12204.350941776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12204.350941776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0.0744614055444212</v>
      </c>
      <c r="E959" s="21" t="n">
        <f aca="false">SUMIFS(SETORES!$D:$D,SETORES!$A:$A,A959,SETORES!$F:$F,J959)</f>
        <v>178508.470982411</v>
      </c>
      <c r="F959" s="21" t="n">
        <f aca="false">IFERROR(D959*E959,0)</f>
        <v>13291.9916509358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13291.9916509358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0.019203045965753</v>
      </c>
      <c r="E960" s="22" t="n">
        <f aca="false">SUMIFS(SETORES!$D:$D,SETORES!$A:$A,A960,SETORES!$F:$F,J960)</f>
        <v>178508.470982411</v>
      </c>
      <c r="F960" s="22" t="n">
        <f aca="false">IFERROR(D960*E960,0)</f>
        <v>3427.90637355152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3427.90637355152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0.033659328018967</v>
      </c>
      <c r="E961" s="21" t="n">
        <f aca="false">SUMIFS(SETORES!$D:$D,SETORES!$A:$A,A961,SETORES!$F:$F,J961)</f>
        <v>178508.470982411</v>
      </c>
      <c r="F961" s="21" t="n">
        <f aca="false">IFERROR(D961*E961,0)</f>
        <v>6008.47517896122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6008.47517896122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0.0243064450505568</v>
      </c>
      <c r="E962" s="22" t="n">
        <f aca="false">SUMIFS(SETORES!$D:$D,SETORES!$A:$A,A962,SETORES!$F:$F,J962)</f>
        <v>178508.470982411</v>
      </c>
      <c r="F962" s="22" t="n">
        <f aca="false">IFERROR(D962*E962,0)</f>
        <v>4338.90634099288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4338.90634099288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0.0243064450505568</v>
      </c>
      <c r="E963" s="21" t="n">
        <f aca="false">SUMIFS(SETORES!$D:$D,SETORES!$A:$A,A963,SETORES!$F:$F,J963)</f>
        <v>178508.470982411</v>
      </c>
      <c r="F963" s="21" t="n">
        <f aca="false">IFERROR(D963*E963,0)</f>
        <v>4338.90634099288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4338.90634099288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0.721985302612478</v>
      </c>
      <c r="E964" s="22" t="n">
        <f aca="false">SUMIFS(SETORES!$D:$D,SETORES!$A:$A,A964,SETORES!$F:$F,J964)</f>
        <v>178508.470982411</v>
      </c>
      <c r="F964" s="22" t="n">
        <f aca="false">IFERROR(D964*E964,0)</f>
        <v>128880.492441127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128880.492441127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0.0337095583249198</v>
      </c>
      <c r="E965" s="21" t="n">
        <f aca="false">SUMIFS(SETORES!$D:$D,SETORES!$A:$A,A965,SETORES!$F:$F,J965)</f>
        <v>54614.4610931272</v>
      </c>
      <c r="F965" s="21" t="n">
        <f aca="false">IFERROR(D965*E965,0)</f>
        <v>1841.02936160283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1841.02936160283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0.0683684694323473</v>
      </c>
      <c r="E966" s="22" t="n">
        <f aca="false">SUMIFS(SETORES!$D:$D,SETORES!$A:$A,A966,SETORES!$F:$F,J966)</f>
        <v>54614.4610931272</v>
      </c>
      <c r="F966" s="22" t="n">
        <f aca="false">IFERROR(D966*E966,0)</f>
        <v>3733.90711380959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3733.90711380959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0.0744614055444212</v>
      </c>
      <c r="E967" s="21" t="n">
        <f aca="false">SUMIFS(SETORES!$D:$D,SETORES!$A:$A,A967,SETORES!$F:$F,J967)</f>
        <v>54614.4610931272</v>
      </c>
      <c r="F967" s="21" t="n">
        <f aca="false">IFERROR(D967*E967,0)</f>
        <v>4066.66953604536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4066.66953604536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0.019203045965753</v>
      </c>
      <c r="E968" s="22" t="n">
        <f aca="false">SUMIFS(SETORES!$D:$D,SETORES!$A:$A,A968,SETORES!$F:$F,J968)</f>
        <v>54614.4610931272</v>
      </c>
      <c r="F968" s="22" t="n">
        <f aca="false">IFERROR(D968*E968,0)</f>
        <v>1048.76400676615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1048.76400676615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0.033659328018967</v>
      </c>
      <c r="E969" s="21" t="n">
        <f aca="false">SUMIFS(SETORES!$D:$D,SETORES!$A:$A,A969,SETORES!$F:$F,J969)</f>
        <v>54614.4610931272</v>
      </c>
      <c r="F969" s="21" t="n">
        <f aca="false">IFERROR(D969*E969,0)</f>
        <v>1838.28606051268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1838.28606051268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0.0243064450505568</v>
      </c>
      <c r="E970" s="22" t="n">
        <f aca="false">SUMIFS(SETORES!$D:$D,SETORES!$A:$A,A970,SETORES!$F:$F,J970)</f>
        <v>54614.4610931272</v>
      </c>
      <c r="F970" s="22" t="n">
        <f aca="false">IFERROR(D970*E970,0)</f>
        <v>1327.48339752587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1327.48339752587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0.0243064450505568</v>
      </c>
      <c r="E971" s="21" t="n">
        <f aca="false">SUMIFS(SETORES!$D:$D,SETORES!$A:$A,A971,SETORES!$F:$F,J971)</f>
        <v>54614.4610931272</v>
      </c>
      <c r="F971" s="21" t="n">
        <f aca="false">IFERROR(D971*E971,0)</f>
        <v>1327.48339752587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1327.48339752587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0.721985302612478</v>
      </c>
      <c r="E972" s="22" t="n">
        <f aca="false">SUMIFS(SETORES!$D:$D,SETORES!$A:$A,A972,SETORES!$F:$F,J972)</f>
        <v>54614.4610931272</v>
      </c>
      <c r="F972" s="22" t="n">
        <f aca="false">IFERROR(D972*E972,0)</f>
        <v>39430.8382193389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39430.8382193389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0.0337095583249198</v>
      </c>
      <c r="E973" s="21" t="n">
        <f aca="false">SUMIFS(SETORES!$D:$D,SETORES!$A:$A,A973,SETORES!$F:$F,J973)</f>
        <v>53510.3780321174</v>
      </c>
      <c r="F973" s="21" t="n">
        <f aca="false">IFERROR(D973*E973,0)</f>
        <v>1803.81120926217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1803.81120926217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0.0683684694323473</v>
      </c>
      <c r="E974" s="22" t="n">
        <f aca="false">SUMIFS(SETORES!$D:$D,SETORES!$A:$A,A974,SETORES!$F:$F,J974)</f>
        <v>53510.3780321174</v>
      </c>
      <c r="F974" s="22" t="n">
        <f aca="false">IFERROR(D974*E974,0)</f>
        <v>3658.42264480217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3658.42264480217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0.0744614055444212</v>
      </c>
      <c r="E975" s="21" t="n">
        <f aca="false">SUMIFS(SETORES!$D:$D,SETORES!$A:$A,A975,SETORES!$F:$F,J975)</f>
        <v>53510.3780321174</v>
      </c>
      <c r="F975" s="21" t="n">
        <f aca="false">IFERROR(D975*E975,0)</f>
        <v>3984.45795948478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3984.45795948478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0.019203045965753</v>
      </c>
      <c r="E976" s="22" t="n">
        <f aca="false">SUMIFS(SETORES!$D:$D,SETORES!$A:$A,A976,SETORES!$F:$F,J976)</f>
        <v>53510.3780321174</v>
      </c>
      <c r="F976" s="22" t="n">
        <f aca="false">IFERROR(D976*E976,0)</f>
        <v>1027.56224899557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1027.56224899557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0.033659328018967</v>
      </c>
      <c r="E977" s="21" t="n">
        <f aca="false">SUMIFS(SETORES!$D:$D,SETORES!$A:$A,A977,SETORES!$F:$F,J977)</f>
        <v>53510.3780321174</v>
      </c>
      <c r="F977" s="21" t="n">
        <f aca="false">IFERROR(D977*E977,0)</f>
        <v>1801.12336660196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1801.12336660196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0.0243064450505568</v>
      </c>
      <c r="E978" s="22" t="n">
        <f aca="false">SUMIFS(SETORES!$D:$D,SETORES!$A:$A,A978,SETORES!$F:$F,J978)</f>
        <v>53510.3780321174</v>
      </c>
      <c r="F978" s="22" t="n">
        <f aca="false">IFERROR(D978*E978,0)</f>
        <v>1300.64706327218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1300.64706327218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0.0243064450505568</v>
      </c>
      <c r="E979" s="21" t="n">
        <f aca="false">SUMIFS(SETORES!$D:$D,SETORES!$A:$A,A979,SETORES!$F:$F,J979)</f>
        <v>53510.3780321174</v>
      </c>
      <c r="F979" s="21" t="n">
        <f aca="false">IFERROR(D979*E979,0)</f>
        <v>1300.64706327218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1300.64706327218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0.721985302612478</v>
      </c>
      <c r="E980" s="22" t="n">
        <f aca="false">SUMIFS(SETORES!$D:$D,SETORES!$A:$A,A980,SETORES!$F:$F,J980)</f>
        <v>53510.3780321174</v>
      </c>
      <c r="F980" s="22" t="n">
        <f aca="false">IFERROR(D980*E980,0)</f>
        <v>38633.7064764264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38633.7064764264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0.0337095583249198</v>
      </c>
      <c r="E981" s="21" t="n">
        <f aca="false">SUMIFS(SETORES!$D:$D,SETORES!$A:$A,A981,SETORES!$F:$F,J981)</f>
        <v>41165.3583325202</v>
      </c>
      <c r="F981" s="21" t="n">
        <f aca="false">IFERROR(D981*E981,0)</f>
        <v>1387.66604767631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1387.66604767631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0.0683684694323473</v>
      </c>
      <c r="E982" s="22" t="n">
        <f aca="false">SUMIFS(SETORES!$D:$D,SETORES!$A:$A,A982,SETORES!$F:$F,J982)</f>
        <v>41165.3583325202</v>
      </c>
      <c r="F982" s="22" t="n">
        <f aca="false">IFERROR(D982*E982,0)</f>
        <v>2814.41254282853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2814.41254282853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0.0744614055444212</v>
      </c>
      <c r="E983" s="21" t="n">
        <f aca="false">SUMIFS(SETORES!$D:$D,SETORES!$A:$A,A983,SETORES!$F:$F,J983)</f>
        <v>41165.3583325202</v>
      </c>
      <c r="F983" s="21" t="n">
        <f aca="false">IFERROR(D983*E983,0)</f>
        <v>3065.23044117921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3065.23044117921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0.019203045965753</v>
      </c>
      <c r="E984" s="22" t="n">
        <f aca="false">SUMIFS(SETORES!$D:$D,SETORES!$A:$A,A984,SETORES!$F:$F,J984)</f>
        <v>41165.3583325202</v>
      </c>
      <c r="F984" s="22" t="n">
        <f aca="false">IFERROR(D984*E984,0)</f>
        <v>790.500268256079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790.500268256079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0.033659328018967</v>
      </c>
      <c r="E985" s="21" t="n">
        <f aca="false">SUMIFS(SETORES!$D:$D,SETORES!$A:$A,A985,SETORES!$F:$F,J985)</f>
        <v>41165.3583325202</v>
      </c>
      <c r="F985" s="21" t="n">
        <f aca="false">IFERROR(D985*E985,0)</f>
        <v>1385.59829913261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1385.59829913261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0.0243064450505568</v>
      </c>
      <c r="E986" s="22" t="n">
        <f aca="false">SUMIFS(SETORES!$D:$D,SETORES!$A:$A,A986,SETORES!$F:$F,J986)</f>
        <v>41165.3583325202</v>
      </c>
      <c r="F986" s="22" t="n">
        <f aca="false">IFERROR(D986*E986,0)</f>
        <v>1000.58352029588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1000.58352029588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0.0243064450505568</v>
      </c>
      <c r="E987" s="21" t="n">
        <f aca="false">SUMIFS(SETORES!$D:$D,SETORES!$A:$A,A987,SETORES!$F:$F,J987)</f>
        <v>41165.3583325202</v>
      </c>
      <c r="F987" s="21" t="n">
        <f aca="false">IFERROR(D987*E987,0)</f>
        <v>1000.58352029588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1000.58352029588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0.721985302612478</v>
      </c>
      <c r="E988" s="22" t="n">
        <f aca="false">SUMIFS(SETORES!$D:$D,SETORES!$A:$A,A988,SETORES!$F:$F,J988)</f>
        <v>41165.3583325202</v>
      </c>
      <c r="F988" s="22" t="n">
        <f aca="false">IFERROR(D988*E988,0)</f>
        <v>29720.7836928557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29720.7836928557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0.0337095583249198</v>
      </c>
      <c r="E989" s="21" t="n">
        <f aca="false">SUMIFS(SETORES!$D:$D,SETORES!$A:$A,A989,SETORES!$F:$F,J989)</f>
        <v>19948.2874185855</v>
      </c>
      <c r="F989" s="21" t="n">
        <f aca="false">IFERROR(D989*E989,0)</f>
        <v>672.447958219072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672.447958219072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0.0683684694323473</v>
      </c>
      <c r="E990" s="22" t="n">
        <f aca="false">SUMIFS(SETORES!$D:$D,SETORES!$A:$A,A990,SETORES!$F:$F,J990)</f>
        <v>19948.2874185855</v>
      </c>
      <c r="F990" s="22" t="n">
        <f aca="false">IFERROR(D990*E990,0)</f>
        <v>1363.83387860524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1363.83387860524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0.0744614055444212</v>
      </c>
      <c r="E991" s="21" t="n">
        <f aca="false">SUMIFS(SETORES!$D:$D,SETORES!$A:$A,A991,SETORES!$F:$F,J991)</f>
        <v>19948.2874185855</v>
      </c>
      <c r="F991" s="21" t="n">
        <f aca="false">IFERROR(D991*E991,0)</f>
        <v>1485.37751939197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1485.37751939197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0.019203045965753</v>
      </c>
      <c r="E992" s="22" t="n">
        <f aca="false">SUMIFS(SETORES!$D:$D,SETORES!$A:$A,A992,SETORES!$F:$F,J992)</f>
        <v>19948.2874185855</v>
      </c>
      <c r="F992" s="22" t="n">
        <f aca="false">IFERROR(D992*E992,0)</f>
        <v>383.06788023715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383.06788023715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0.033659328018967</v>
      </c>
      <c r="E993" s="21" t="n">
        <f aca="false">SUMIFS(SETORES!$D:$D,SETORES!$A:$A,A993,SETORES!$F:$F,J993)</f>
        <v>19948.2874185855</v>
      </c>
      <c r="F993" s="21" t="n">
        <f aca="false">IFERROR(D993*E993,0)</f>
        <v>671.445949638802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671.445949638802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0.0243064450505568</v>
      </c>
      <c r="E994" s="22" t="n">
        <f aca="false">SUMIFS(SETORES!$D:$D,SETORES!$A:$A,A994,SETORES!$F:$F,J994)</f>
        <v>19948.2874185855</v>
      </c>
      <c r="F994" s="22" t="n">
        <f aca="false">IFERROR(D994*E994,0)</f>
        <v>484.871951992563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484.871951992563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0.0243064450505568</v>
      </c>
      <c r="E995" s="21" t="n">
        <f aca="false">SUMIFS(SETORES!$D:$D,SETORES!$A:$A,A995,SETORES!$F:$F,J995)</f>
        <v>19948.2874185855</v>
      </c>
      <c r="F995" s="21" t="n">
        <f aca="false">IFERROR(D995*E995,0)</f>
        <v>484.871951992563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484.871951992563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0.721985302612478</v>
      </c>
      <c r="E996" s="22" t="n">
        <f aca="false">SUMIFS(SETORES!$D:$D,SETORES!$A:$A,A996,SETORES!$F:$F,J996)</f>
        <v>19948.2874185855</v>
      </c>
      <c r="F996" s="22" t="n">
        <f aca="false">IFERROR(D996*E996,0)</f>
        <v>14402.3703285082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14402.3703285082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0.0337095583249198</v>
      </c>
      <c r="E997" s="21" t="n">
        <f aca="false">SUMIFS(SETORES!$D:$D,SETORES!$A:$A,A997,SETORES!$F:$F,J997)</f>
        <v>29069.1848371711</v>
      </c>
      <c r="F997" s="21" t="n">
        <f aca="false">IFERROR(D997*E997,0)</f>
        <v>979.909381726492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979.909381726492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0.0683684694323473</v>
      </c>
      <c r="E998" s="22" t="n">
        <f aca="false">SUMIFS(SETORES!$D:$D,SETORES!$A:$A,A998,SETORES!$F:$F,J998)</f>
        <v>29069.1848371711</v>
      </c>
      <c r="F998" s="22" t="n">
        <f aca="false">IFERROR(D998*E998,0)</f>
        <v>1987.41567496339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1987.41567496339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0.0744614055444212</v>
      </c>
      <c r="E999" s="21" t="n">
        <f aca="false">SUMIFS(SETORES!$D:$D,SETORES!$A:$A,A999,SETORES!$F:$F,J999)</f>
        <v>29069.1848371711</v>
      </c>
      <c r="F999" s="21" t="n">
        <f aca="false">IFERROR(D999*E999,0)</f>
        <v>2164.53236100633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2164.53236100633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0.019203045965753</v>
      </c>
      <c r="E1000" s="22" t="n">
        <f aca="false">SUMIFS(SETORES!$D:$D,SETORES!$A:$A,A1000,SETORES!$F:$F,J1000)</f>
        <v>29069.1848371711</v>
      </c>
      <c r="F1000" s="22" t="n">
        <f aca="false">IFERROR(D1000*E1000,0)</f>
        <v>558.216892615166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558.216892615166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0.033659328018967</v>
      </c>
      <c r="E1001" s="21" t="n">
        <f aca="false">SUMIFS(SETORES!$D:$D,SETORES!$A:$A,A1001,SETORES!$F:$F,J1001)</f>
        <v>29069.1848371711</v>
      </c>
      <c r="F1001" s="21" t="n">
        <f aca="false">IFERROR(D1001*E1001,0)</f>
        <v>978.449227678322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978.449227678322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0.0243064450505568</v>
      </c>
      <c r="E1002" s="22" t="n">
        <f aca="false">SUMIFS(SETORES!$D:$D,SETORES!$A:$A,A1002,SETORES!$F:$F,J1002)</f>
        <v>29069.1848371711</v>
      </c>
      <c r="F1002" s="22" t="n">
        <f aca="false">IFERROR(D1002*E1002,0)</f>
        <v>706.568543909178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706.568543909178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0.0243064450505568</v>
      </c>
      <c r="E1003" s="21" t="n">
        <f aca="false">SUMIFS(SETORES!$D:$D,SETORES!$A:$A,A1003,SETORES!$F:$F,J1003)</f>
        <v>29069.1848371711</v>
      </c>
      <c r="F1003" s="21" t="n">
        <f aca="false">IFERROR(D1003*E1003,0)</f>
        <v>706.568543909178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706.568543909178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0.721985302612478</v>
      </c>
      <c r="E1004" s="22" t="n">
        <f aca="false">SUMIFS(SETORES!$D:$D,SETORES!$A:$A,A1004,SETORES!$F:$F,J1004)</f>
        <v>29069.1848371711</v>
      </c>
      <c r="F1004" s="22" t="n">
        <f aca="false">IFERROR(D1004*E1004,0)</f>
        <v>20987.524211363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20987.524211363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0.0337095583249198</v>
      </c>
      <c r="E1005" s="21" t="n">
        <f aca="false">SUMIFS(SETORES!$D:$D,SETORES!$A:$A,A1005,SETORES!$F:$F,J1005)</f>
        <v>26587.41885</v>
      </c>
      <c r="F1005" s="21" t="n">
        <f aca="false">IFERROR(D1005*E1005,0)</f>
        <v>896.250146433146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896.250146433146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0.0683684694323473</v>
      </c>
      <c r="E1006" s="22" t="n">
        <f aca="false">SUMIFS(SETORES!$D:$D,SETORES!$A:$A,A1006,SETORES!$F:$F,J1006)</f>
        <v>26587.41885</v>
      </c>
      <c r="F1006" s="22" t="n">
        <f aca="false">IFERROR(D1006*E1006,0)</f>
        <v>1817.74113293124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1817.74113293124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0.0744614055444212</v>
      </c>
      <c r="E1007" s="21" t="n">
        <f aca="false">SUMIFS(SETORES!$D:$D,SETORES!$A:$A,A1007,SETORES!$F:$F,J1007)</f>
        <v>26587.41885</v>
      </c>
      <c r="F1007" s="21" t="n">
        <f aca="false">IFERROR(D1007*E1007,0)</f>
        <v>1979.73657736924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1979.73657736924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0.019203045965753</v>
      </c>
      <c r="E1008" s="22" t="n">
        <f aca="false">SUMIFS(SETORES!$D:$D,SETORES!$A:$A,A1008,SETORES!$F:$F,J1008)</f>
        <v>26587.41885</v>
      </c>
      <c r="F1008" s="22" t="n">
        <f aca="false">IFERROR(D1008*E1008,0)</f>
        <v>510.559426287277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510.559426287277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0.033659328018967</v>
      </c>
      <c r="E1009" s="21" t="n">
        <f aca="false">SUMIFS(SETORES!$D:$D,SETORES!$A:$A,A1009,SETORES!$F:$F,J1009)</f>
        <v>26587.41885</v>
      </c>
      <c r="F1009" s="21" t="n">
        <f aca="false">IFERROR(D1009*E1009,0)</f>
        <v>894.914652249815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894.914652249815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0.0243064450505568</v>
      </c>
      <c r="E1010" s="22" t="n">
        <f aca="false">SUMIFS(SETORES!$D:$D,SETORES!$A:$A,A1010,SETORES!$F:$F,J1010)</f>
        <v>26587.41885</v>
      </c>
      <c r="F1010" s="22" t="n">
        <f aca="false">IFERROR(D1010*E1010,0)</f>
        <v>646.245635313663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646.245635313663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0.0243064450505568</v>
      </c>
      <c r="E1011" s="21" t="n">
        <f aca="false">SUMIFS(SETORES!$D:$D,SETORES!$A:$A,A1011,SETORES!$F:$F,J1011)</f>
        <v>26587.41885</v>
      </c>
      <c r="F1011" s="21" t="n">
        <f aca="false">IFERROR(D1011*E1011,0)</f>
        <v>646.245635313663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646.245635313663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0.721985302612478</v>
      </c>
      <c r="E1012" s="22" t="n">
        <f aca="false">SUMIFS(SETORES!$D:$D,SETORES!$A:$A,A1012,SETORES!$F:$F,J1012)</f>
        <v>26587.41885</v>
      </c>
      <c r="F1012" s="22" t="n">
        <f aca="false">IFERROR(D1012*E1012,0)</f>
        <v>19195.725644102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19195.725644102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0.0337095583249198</v>
      </c>
      <c r="E1021" s="21" t="n">
        <f aca="false">SUMIFS(SETORES!$D:$D,SETORES!$A:$A,A1021,SETORES!$F:$F,J1021)</f>
        <v>77007.66593</v>
      </c>
      <c r="F1021" s="21" t="n">
        <f aca="false">IFERROR(D1021*E1021,0)</f>
        <v>2595.89440613327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2595.89440613327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0.0683684694323473</v>
      </c>
      <c r="E1022" s="22" t="n">
        <f aca="false">SUMIFS(SETORES!$D:$D,SETORES!$A:$A,A1022,SETORES!$F:$F,J1022)</f>
        <v>77007.66593</v>
      </c>
      <c r="F1022" s="22" t="n">
        <f aca="false">IFERROR(D1022*E1022,0)</f>
        <v>5264.89625419162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5264.89625419162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0.0744614055444212</v>
      </c>
      <c r="E1023" s="21" t="n">
        <f aca="false">SUMIFS(SETORES!$D:$D,SETORES!$A:$A,A1023,SETORES!$F:$F,J1023)</f>
        <v>77007.66593</v>
      </c>
      <c r="F1023" s="21" t="n">
        <f aca="false">IFERROR(D1023*E1023,0)</f>
        <v>5734.09904284304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5734.09904284304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0.019203045965753</v>
      </c>
      <c r="E1024" s="22" t="n">
        <f aca="false">SUMIFS(SETORES!$D:$D,SETORES!$A:$A,A1024,SETORES!$F:$F,J1024)</f>
        <v>77007.66593</v>
      </c>
      <c r="F1024" s="22" t="n">
        <f aca="false">IFERROR(D1024*E1024,0)</f>
        <v>1478.78174856914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1478.78174856914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0.033659328018967</v>
      </c>
      <c r="E1025" s="21" t="n">
        <f aca="false">SUMIFS(SETORES!$D:$D,SETORES!$A:$A,A1025,SETORES!$F:$F,J1025)</f>
        <v>77007.66593</v>
      </c>
      <c r="F1025" s="21" t="n">
        <f aca="false">IFERROR(D1025*E1025,0)</f>
        <v>2592.0262875129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2592.0262875129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0.0243064450505568</v>
      </c>
      <c r="E1026" s="22" t="n">
        <f aca="false">SUMIFS(SETORES!$D:$D,SETORES!$A:$A,A1026,SETORES!$F:$F,J1026)</f>
        <v>77007.66593</v>
      </c>
      <c r="F1026" s="22" t="n">
        <f aca="false">IFERROR(D1026*E1026,0)</f>
        <v>1871.78260039918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1871.78260039918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0.0243064450505568</v>
      </c>
      <c r="E1027" s="21" t="n">
        <f aca="false">SUMIFS(SETORES!$D:$D,SETORES!$A:$A,A1027,SETORES!$F:$F,J1027)</f>
        <v>77007.66593</v>
      </c>
      <c r="F1027" s="21" t="n">
        <f aca="false">IFERROR(D1027*E1027,0)</f>
        <v>1871.78260039918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1871.78260039918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0.721985302612478</v>
      </c>
      <c r="E1028" s="22" t="n">
        <f aca="false">SUMIFS(SETORES!$D:$D,SETORES!$A:$A,A1028,SETORES!$F:$F,J1028)</f>
        <v>77007.66593</v>
      </c>
      <c r="F1028" s="22" t="n">
        <f aca="false">IFERROR(D1028*E1028,0)</f>
        <v>55598.4029899517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55598.4029899517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0.0337095583249198</v>
      </c>
      <c r="E1029" s="21" t="n">
        <f aca="false">SUMIFS(SETORES!$D:$D,SETORES!$A:$A,A1029,SETORES!$F:$F,J1029)</f>
        <v>175276.64</v>
      </c>
      <c r="F1029" s="21" t="n">
        <f aca="false">IFERROR(D1029*E1029,0)</f>
        <v>5908.49811907596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5908.49811907596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0.0683684694323473</v>
      </c>
      <c r="E1030" s="22" t="n">
        <f aca="false">SUMIFS(SETORES!$D:$D,SETORES!$A:$A,A1030,SETORES!$F:$F,J1030)</f>
        <v>175276.64</v>
      </c>
      <c r="F1030" s="22" t="n">
        <f aca="false">IFERROR(D1030*E1030,0)</f>
        <v>11983.3956040445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11983.3956040445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0.0744614055444212</v>
      </c>
      <c r="E1031" s="21" t="n">
        <f aca="false">SUMIFS(SETORES!$D:$D,SETORES!$A:$A,A1031,SETORES!$F:$F,J1031)</f>
        <v>175276.64</v>
      </c>
      <c r="F1031" s="21" t="n">
        <f aca="false">IFERROR(D1031*E1031,0)</f>
        <v>13051.3449735035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13051.3449735035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0.019203045965753</v>
      </c>
      <c r="E1032" s="22" t="n">
        <f aca="false">SUMIFS(SETORES!$D:$D,SETORES!$A:$A,A1032,SETORES!$F:$F,J1032)</f>
        <v>175276.64</v>
      </c>
      <c r="F1032" s="22" t="n">
        <f aca="false">IFERROR(D1032*E1032,0)</f>
        <v>3365.84537464274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3365.84537464274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0.033659328018967</v>
      </c>
      <c r="E1033" s="21" t="n">
        <f aca="false">SUMIFS(SETORES!$D:$D,SETORES!$A:$A,A1033,SETORES!$F:$F,J1033)</f>
        <v>175276.64</v>
      </c>
      <c r="F1033" s="21" t="n">
        <f aca="false">IFERROR(D1033*E1033,0)</f>
        <v>5899.69391982239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5899.69391982239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0.0243064450505568</v>
      </c>
      <c r="E1034" s="22" t="n">
        <f aca="false">SUMIFS(SETORES!$D:$D,SETORES!$A:$A,A1034,SETORES!$F:$F,J1034)</f>
        <v>175276.64</v>
      </c>
      <c r="F1034" s="22" t="n">
        <f aca="false">IFERROR(D1034*E1034,0)</f>
        <v>4260.35201880623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4260.35201880623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0.0243064450505568</v>
      </c>
      <c r="E1035" s="21" t="n">
        <f aca="false">SUMIFS(SETORES!$D:$D,SETORES!$A:$A,A1035,SETORES!$F:$F,J1035)</f>
        <v>175276.64</v>
      </c>
      <c r="F1035" s="21" t="n">
        <f aca="false">IFERROR(D1035*E1035,0)</f>
        <v>4260.35201880623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4260.35201880623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0.721985302612478</v>
      </c>
      <c r="E1036" s="22" t="n">
        <f aca="false">SUMIFS(SETORES!$D:$D,SETORES!$A:$A,A1036,SETORES!$F:$F,J1036)</f>
        <v>175276.64</v>
      </c>
      <c r="F1036" s="22" t="n">
        <f aca="false">IFERROR(D1036*E1036,0)</f>
        <v>126547.157971298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126547.157971298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0.0337095583249198</v>
      </c>
      <c r="E1037" s="21" t="n">
        <f aca="false">SUMIFS(SETORES!$D:$D,SETORES!$A:$A,A1037,SETORES!$F:$F,J1037)</f>
        <v>133708.32</v>
      </c>
      <c r="F1037" s="21" t="n">
        <f aca="false">IFERROR(D1037*E1037,0)</f>
        <v>4507.24841156704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4507.24841156704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0.0683684694323473</v>
      </c>
      <c r="E1038" s="22" t="n">
        <f aca="false">SUMIFS(SETORES!$D:$D,SETORES!$A:$A,A1038,SETORES!$F:$F,J1038)</f>
        <v>133708.32</v>
      </c>
      <c r="F1038" s="22" t="n">
        <f aca="false">IFERROR(D1038*E1038,0)</f>
        <v>9141.43318877051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9141.43318877051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0.0744614055444212</v>
      </c>
      <c r="E1039" s="21" t="n">
        <f aca="false">SUMIFS(SETORES!$D:$D,SETORES!$A:$A,A1039,SETORES!$F:$F,J1039)</f>
        <v>133708.32</v>
      </c>
      <c r="F1039" s="21" t="n">
        <f aca="false">IFERROR(D1039*E1039,0)</f>
        <v>9956.10944018324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9956.10944018324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0.019203045965753</v>
      </c>
      <c r="E1040" s="22" t="n">
        <f aca="false">SUMIFS(SETORES!$D:$D,SETORES!$A:$A,A1040,SETORES!$F:$F,J1040)</f>
        <v>133708.32</v>
      </c>
      <c r="F1040" s="22" t="n">
        <f aca="false">IFERROR(D1040*E1040,0)</f>
        <v>2567.60701496361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2567.60701496361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0.033659328018967</v>
      </c>
      <c r="E1041" s="21" t="n">
        <f aca="false">SUMIFS(SETORES!$D:$D,SETORES!$A:$A,A1041,SETORES!$F:$F,J1041)</f>
        <v>133708.32</v>
      </c>
      <c r="F1041" s="21" t="n">
        <f aca="false">IFERROR(D1041*E1041,0)</f>
        <v>4500.532201745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4500.532201745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0.0243064450505568</v>
      </c>
      <c r="E1042" s="22" t="n">
        <f aca="false">SUMIFS(SETORES!$D:$D,SETORES!$A:$A,A1042,SETORES!$F:$F,J1042)</f>
        <v>133708.32</v>
      </c>
      <c r="F1042" s="22" t="n">
        <f aca="false">IFERROR(D1042*E1042,0)</f>
        <v>3249.97393288227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3249.97393288227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0.0243064450505568</v>
      </c>
      <c r="E1043" s="21" t="n">
        <f aca="false">SUMIFS(SETORES!$D:$D,SETORES!$A:$A,A1043,SETORES!$F:$F,J1043)</f>
        <v>133708.32</v>
      </c>
      <c r="F1043" s="21" t="n">
        <f aca="false">IFERROR(D1043*E1043,0)</f>
        <v>3249.97393288227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3249.97393288227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0.721985302612478</v>
      </c>
      <c r="E1044" s="22" t="n">
        <f aca="false">SUMIFS(SETORES!$D:$D,SETORES!$A:$A,A1044,SETORES!$F:$F,J1044)</f>
        <v>133708.32</v>
      </c>
      <c r="F1044" s="22" t="n">
        <f aca="false">IFERROR(D1044*E1044,0)</f>
        <v>96535.4418770061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96535.4418770061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0.0337095583249198</v>
      </c>
      <c r="E1045" s="21" t="n">
        <f aca="false">SUMIFS(SETORES!$D:$D,SETORES!$A:$A,A1045,SETORES!$F:$F,J1045)</f>
        <v>144953.80832</v>
      </c>
      <c r="F1045" s="21" t="n">
        <f aca="false">IFERROR(D1045*E1045,0)</f>
        <v>4886.32885598228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4886.32885598228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0.0683684694323473</v>
      </c>
      <c r="E1046" s="22" t="n">
        <f aca="false">SUMIFS(SETORES!$D:$D,SETORES!$A:$A,A1046,SETORES!$F:$F,J1046)</f>
        <v>144953.80832</v>
      </c>
      <c r="F1046" s="22" t="n">
        <f aca="false">IFERROR(D1046*E1046,0)</f>
        <v>9910.27001322825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9910.27001322825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0.0744614055444212</v>
      </c>
      <c r="E1047" s="21" t="n">
        <f aca="false">SUMIFS(SETORES!$D:$D,SETORES!$A:$A,A1047,SETORES!$F:$F,J1047)</f>
        <v>144953.80832</v>
      </c>
      <c r="F1047" s="21" t="n">
        <f aca="false">IFERROR(D1047*E1047,0)</f>
        <v>10793.4643065238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10793.4643065238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0.019203045965753</v>
      </c>
      <c r="E1048" s="22" t="n">
        <f aca="false">SUMIFS(SETORES!$D:$D,SETORES!$A:$A,A1048,SETORES!$F:$F,J1048)</f>
        <v>144953.80832</v>
      </c>
      <c r="F1048" s="22" t="n">
        <f aca="false">IFERROR(D1048*E1048,0)</f>
        <v>2783.55464407991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2783.55464407991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0.033659328018967</v>
      </c>
      <c r="E1049" s="21" t="n">
        <f aca="false">SUMIFS(SETORES!$D:$D,SETORES!$A:$A,A1049,SETORES!$F:$F,J1049)</f>
        <v>144953.80832</v>
      </c>
      <c r="F1049" s="21" t="n">
        <f aca="false">IFERROR(D1049*E1049,0)</f>
        <v>4879.04778184134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4879.04778184134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0.0243064450505568</v>
      </c>
      <c r="E1050" s="22" t="n">
        <f aca="false">SUMIFS(SETORES!$D:$D,SETORES!$A:$A,A1050,SETORES!$F:$F,J1050)</f>
        <v>144953.80832</v>
      </c>
      <c r="F1050" s="22" t="n">
        <f aca="false">IFERROR(D1050*E1050,0)</f>
        <v>3523.31177679902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3523.31177679902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0.0243064450505568</v>
      </c>
      <c r="E1051" s="21" t="n">
        <f aca="false">SUMIFS(SETORES!$D:$D,SETORES!$A:$A,A1051,SETORES!$F:$F,J1051)</f>
        <v>144953.80832</v>
      </c>
      <c r="F1051" s="21" t="n">
        <f aca="false">IFERROR(D1051*E1051,0)</f>
        <v>3523.31177679902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3523.31177679902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0.721985302612478</v>
      </c>
      <c r="E1052" s="22" t="n">
        <f aca="false">SUMIFS(SETORES!$D:$D,SETORES!$A:$A,A1052,SETORES!$F:$F,J1052)</f>
        <v>144953.80832</v>
      </c>
      <c r="F1052" s="22" t="n">
        <f aca="false">IFERROR(D1052*E1052,0)</f>
        <v>104654.519164746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104654.519164746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0.0337095583249198</v>
      </c>
      <c r="E1053" s="21" t="n">
        <f aca="false">SUMIFS(SETORES!$D:$D,SETORES!$A:$A,A1053,SETORES!$F:$F,J1053)</f>
        <v>33576.11708</v>
      </c>
      <c r="F1053" s="21" t="n">
        <f aca="false">IFERROR(D1053*E1053,0)</f>
        <v>1131.83607703259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1131.83607703259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0.0683684694323473</v>
      </c>
      <c r="E1054" s="22" t="n">
        <f aca="false">SUMIFS(SETORES!$D:$D,SETORES!$A:$A,A1054,SETORES!$F:$F,J1054)</f>
        <v>33576.11708</v>
      </c>
      <c r="F1054" s="22" t="n">
        <f aca="false">IFERROR(D1054*E1054,0)</f>
        <v>2295.5477342409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2295.5477342409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0.0744614055444212</v>
      </c>
      <c r="E1055" s="21" t="n">
        <f aca="false">SUMIFS(SETORES!$D:$D,SETORES!$A:$A,A1055,SETORES!$F:$F,J1055)</f>
        <v>33576.11708</v>
      </c>
      <c r="F1055" s="21" t="n">
        <f aca="false">IFERROR(D1055*E1055,0)</f>
        <v>2500.12487050085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2500.12487050085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0.019203045965753</v>
      </c>
      <c r="E1056" s="22" t="n">
        <f aca="false">SUMIFS(SETORES!$D:$D,SETORES!$A:$A,A1056,SETORES!$F:$F,J1056)</f>
        <v>33576.11708</v>
      </c>
      <c r="F1056" s="22" t="n">
        <f aca="false">IFERROR(D1056*E1056,0)</f>
        <v>644.763719638744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644.763719638744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0.033659328018967</v>
      </c>
      <c r="E1057" s="21" t="n">
        <f aca="false">SUMIFS(SETORES!$D:$D,SETORES!$A:$A,A1057,SETORES!$F:$F,J1057)</f>
        <v>33576.11708</v>
      </c>
      <c r="F1057" s="21" t="n">
        <f aca="false">IFERROR(D1057*E1057,0)</f>
        <v>1130.14953839896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1130.14953839896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0.0243064450505568</v>
      </c>
      <c r="E1058" s="22" t="n">
        <f aca="false">SUMIFS(SETORES!$D:$D,SETORES!$A:$A,A1058,SETORES!$F:$F,J1058)</f>
        <v>33576.11708</v>
      </c>
      <c r="F1058" s="22" t="n">
        <f aca="false">IFERROR(D1058*E1058,0)</f>
        <v>816.116044816082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816.116044816082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0.0243064450505568</v>
      </c>
      <c r="E1059" s="21" t="n">
        <f aca="false">SUMIFS(SETORES!$D:$D,SETORES!$A:$A,A1059,SETORES!$F:$F,J1059)</f>
        <v>33576.11708</v>
      </c>
      <c r="F1059" s="21" t="n">
        <f aca="false">IFERROR(D1059*E1059,0)</f>
        <v>816.116044816082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816.116044816082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0.721985302612478</v>
      </c>
      <c r="E1060" s="22" t="n">
        <f aca="false">SUMIFS(SETORES!$D:$D,SETORES!$A:$A,A1060,SETORES!$F:$F,J1060)</f>
        <v>33576.11708</v>
      </c>
      <c r="F1060" s="22" t="n">
        <f aca="false">IFERROR(D1060*E1060,0)</f>
        <v>24241.4630505558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24241.4630505558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0.0337095583249198</v>
      </c>
      <c r="E1061" s="21" t="n">
        <f aca="false">SUMIFS(SETORES!$D:$D,SETORES!$A:$A,A1061,SETORES!$F:$F,J1061)</f>
        <v>102382.15832</v>
      </c>
      <c r="F1061" s="21" t="n">
        <f aca="false">IFERROR(D1061*E1061,0)</f>
        <v>3451.25733731921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3451.25733731921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0.0683684694323473</v>
      </c>
      <c r="E1062" s="22" t="n">
        <f aca="false">SUMIFS(SETORES!$D:$D,SETORES!$A:$A,A1062,SETORES!$F:$F,J1062)</f>
        <v>102382.15832</v>
      </c>
      <c r="F1062" s="22" t="n">
        <f aca="false">IFERROR(D1062*E1062,0)</f>
        <v>6999.71146151866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6999.71146151866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0.0744614055444212</v>
      </c>
      <c r="E1063" s="21" t="n">
        <f aca="false">SUMIFS(SETORES!$D:$D,SETORES!$A:$A,A1063,SETORES!$F:$F,J1063)</f>
        <v>102382.15832</v>
      </c>
      <c r="F1063" s="21" t="n">
        <f aca="false">IFERROR(D1063*E1063,0)</f>
        <v>7623.51941117865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7623.51941117865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0.019203045965753</v>
      </c>
      <c r="E1064" s="22" t="n">
        <f aca="false">SUMIFS(SETORES!$D:$D,SETORES!$A:$A,A1064,SETORES!$F:$F,J1064)</f>
        <v>102382.15832</v>
      </c>
      <c r="F1064" s="22" t="n">
        <f aca="false">IFERROR(D1064*E1064,0)</f>
        <v>1966.04929229196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1966.04929229196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0.033659328018967</v>
      </c>
      <c r="E1065" s="21" t="n">
        <f aca="false">SUMIFS(SETORES!$D:$D,SETORES!$A:$A,A1065,SETORES!$F:$F,J1065)</f>
        <v>102382.15832</v>
      </c>
      <c r="F1065" s="21" t="n">
        <f aca="false">IFERROR(D1065*E1065,0)</f>
        <v>3446.11465018269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3446.11465018269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0.0243064450505568</v>
      </c>
      <c r="E1066" s="22" t="n">
        <f aca="false">SUMIFS(SETORES!$D:$D,SETORES!$A:$A,A1066,SETORES!$F:$F,J1066)</f>
        <v>102382.15832</v>
      </c>
      <c r="F1066" s="22" t="n">
        <f aca="false">IFERROR(D1066*E1066,0)</f>
        <v>2488.54630536249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2488.54630536249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0.0243064450505568</v>
      </c>
      <c r="E1067" s="21" t="n">
        <f aca="false">SUMIFS(SETORES!$D:$D,SETORES!$A:$A,A1067,SETORES!$F:$F,J1067)</f>
        <v>102382.15832</v>
      </c>
      <c r="F1067" s="21" t="n">
        <f aca="false">IFERROR(D1067*E1067,0)</f>
        <v>2488.54630536249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2488.54630536249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0.721985302612478</v>
      </c>
      <c r="E1068" s="22" t="n">
        <f aca="false">SUMIFS(SETORES!$D:$D,SETORES!$A:$A,A1068,SETORES!$F:$F,J1068)</f>
        <v>102382.15832</v>
      </c>
      <c r="F1068" s="22" t="n">
        <f aca="false">IFERROR(D1068*E1068,0)</f>
        <v>73918.4135567838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73918.4135567838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0.0337095583249198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4693.09315963472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4693.09315963472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0.0683684694323473</v>
      </c>
      <c r="E1070" s="22" t="n">
        <f aca="false">SUMIFS(SETORES!$D:$D,SETORES!$A:$A,A1070,SETORES!$F:$F,J1070)</f>
        <v>139221.437267108</v>
      </c>
      <c r="F1070" s="22" t="n">
        <f aca="false">IFERROR(D1070*E1070,0)</f>
        <v>9518.35657812371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9518.35657812371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0.0744614055444212</v>
      </c>
      <c r="E1071" s="21" t="n">
        <f aca="false">SUMIFS(SETORES!$D:$D,SETORES!$A:$A,A1071,SETORES!$F:$F,J1071)</f>
        <v>139221.437267108</v>
      </c>
      <c r="F1071" s="21" t="n">
        <f aca="false">IFERROR(D1071*E1071,0)</f>
        <v>10366.6239008233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10366.6239008233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0.019203045965753</v>
      </c>
      <c r="E1072" s="22" t="n">
        <f aca="false">SUMIFS(SETORES!$D:$D,SETORES!$A:$A,A1072,SETORES!$F:$F,J1072)</f>
        <v>139221.437267108</v>
      </c>
      <c r="F1072" s="22" t="n">
        <f aca="false">IFERROR(D1072*E1072,0)</f>
        <v>2673.47565925846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2673.47565925846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0.033659328018967</v>
      </c>
      <c r="E1073" s="21" t="n">
        <f aca="false">SUMIFS(SETORES!$D:$D,SETORES!$A:$A,A1073,SETORES!$F:$F,J1073)</f>
        <v>139221.437267108</v>
      </c>
      <c r="F1073" s="21" t="n">
        <f aca="false">IFERROR(D1073*E1073,0)</f>
        <v>4686.10002424561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4686.10002424561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0.0243064450505568</v>
      </c>
      <c r="E1074" s="22" t="n">
        <f aca="false">SUMIFS(SETORES!$D:$D,SETORES!$A:$A,A1074,SETORES!$F:$F,J1074)</f>
        <v>139221.437267108</v>
      </c>
      <c r="F1074" s="22" t="n">
        <f aca="false">IFERROR(D1074*E1074,0)</f>
        <v>3383.97821479249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3383.97821479249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0.0243064450505568</v>
      </c>
      <c r="E1075" s="21" t="n">
        <f aca="false">SUMIFS(SETORES!$D:$D,SETORES!$A:$A,A1075,SETORES!$F:$F,J1075)</f>
        <v>139221.437267108</v>
      </c>
      <c r="F1075" s="21" t="n">
        <f aca="false">IFERROR(D1075*E1075,0)</f>
        <v>3383.97821479249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3383.97821479249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0.721985302612478</v>
      </c>
      <c r="E1076" s="22" t="n">
        <f aca="false">SUMIFS(SETORES!$D:$D,SETORES!$A:$A,A1076,SETORES!$F:$F,J1076)</f>
        <v>139221.437267108</v>
      </c>
      <c r="F1076" s="22" t="n">
        <f aca="false">IFERROR(D1076*E1076,0)</f>
        <v>100515.831515437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100515.831515437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0.0337095583249198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1315.85888323888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1315.85888323888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0.0683684694323473</v>
      </c>
      <c r="E1078" s="22" t="n">
        <f aca="false">SUMIFS(SETORES!$D:$D,SETORES!$A:$A,A1078,SETORES!$F:$F,J1078)</f>
        <v>39035.1861200783</v>
      </c>
      <c r="F1078" s="22" t="n">
        <f aca="false">IFERROR(D1078*E1078,0)</f>
        <v>2668.77592903656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2668.77592903656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0.0744614055444212</v>
      </c>
      <c r="E1079" s="21" t="n">
        <f aca="false">SUMIFS(SETORES!$D:$D,SETORES!$A:$A,A1079,SETORES!$F:$F,J1079)</f>
        <v>39035.1861200783</v>
      </c>
      <c r="F1079" s="21" t="n">
        <f aca="false">IFERROR(D1079*E1079,0)</f>
        <v>2906.61482418911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2906.61482418911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0.019203045965753</v>
      </c>
      <c r="E1080" s="22" t="n">
        <f aca="false">SUMIFS(SETORES!$D:$D,SETORES!$A:$A,A1080,SETORES!$F:$F,J1080)</f>
        <v>39035.1861200783</v>
      </c>
      <c r="F1080" s="22" t="n">
        <f aca="false">IFERROR(D1080*E1080,0)</f>
        <v>749.594473345586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749.594473345586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0.033659328018967</v>
      </c>
      <c r="E1081" s="21" t="n">
        <f aca="false">SUMIFS(SETORES!$D:$D,SETORES!$A:$A,A1081,SETORES!$F:$F,J1081)</f>
        <v>39035.1861200783</v>
      </c>
      <c r="F1081" s="21" t="n">
        <f aca="false">IFERROR(D1081*E1081,0)</f>
        <v>1313.89813389714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1313.89813389714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0.0243064450505568</v>
      </c>
      <c r="E1082" s="22" t="n">
        <f aca="false">SUMIFS(SETORES!$D:$D,SETORES!$A:$A,A1082,SETORES!$F:$F,J1082)</f>
        <v>39035.1861200783</v>
      </c>
      <c r="F1082" s="22" t="n">
        <f aca="false">IFERROR(D1082*E1082,0)</f>
        <v>948.80660646594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948.80660646594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0.0243064450505568</v>
      </c>
      <c r="E1083" s="21" t="n">
        <f aca="false">SUMIFS(SETORES!$D:$D,SETORES!$A:$A,A1083,SETORES!$F:$F,J1083)</f>
        <v>39035.1861200783</v>
      </c>
      <c r="F1083" s="21" t="n">
        <f aca="false">IFERROR(D1083*E1083,0)</f>
        <v>948.80660646594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948.80660646594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0.721985302612478</v>
      </c>
      <c r="E1084" s="22" t="n">
        <f aca="false">SUMIFS(SETORES!$D:$D,SETORES!$A:$A,A1084,SETORES!$F:$F,J1084)</f>
        <v>39035.1861200783</v>
      </c>
      <c r="F1084" s="22" t="n">
        <f aca="false">IFERROR(D1084*E1084,0)</f>
        <v>28182.8306634391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28182.8306634391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0.0337095583249198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4550.23115991057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4550.23115991057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0.0683684694323473</v>
      </c>
      <c r="E1086" s="22" t="n">
        <f aca="false">SUMIFS(SETORES!$D:$D,SETORES!$A:$A,A1086,SETORES!$F:$F,J1086)</f>
        <v>134983.410819323</v>
      </c>
      <c r="F1086" s="22" t="n">
        <f aca="false">IFERROR(D1086*E1086,0)</f>
        <v>9228.60919647485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9228.60919647485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0.0744614055444212</v>
      </c>
      <c r="E1087" s="21" t="n">
        <f aca="false">SUMIFS(SETORES!$D:$D,SETORES!$A:$A,A1087,SETORES!$F:$F,J1087)</f>
        <v>134983.410819323</v>
      </c>
      <c r="F1087" s="21" t="n">
        <f aca="false">IFERROR(D1087*E1087,0)</f>
        <v>10051.0544947868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10051.0544947868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0.019203045965753</v>
      </c>
      <c r="E1088" s="22" t="n">
        <f aca="false">SUMIFS(SETORES!$D:$D,SETORES!$A:$A,A1088,SETORES!$F:$F,J1088)</f>
        <v>134983.410819323</v>
      </c>
      <c r="F1088" s="22" t="n">
        <f aca="false">IFERROR(D1088*E1088,0)</f>
        <v>2592.09264257757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2592.09264257757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0.033659328018967</v>
      </c>
      <c r="E1089" s="21" t="n">
        <f aca="false">SUMIFS(SETORES!$D:$D,SETORES!$A:$A,A1089,SETORES!$F:$F,J1089)</f>
        <v>134983.410819323</v>
      </c>
      <c r="F1089" s="21" t="n">
        <f aca="false">IFERROR(D1089*E1089,0)</f>
        <v>4543.45090188656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4543.45090188656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0.0243064450505568</v>
      </c>
      <c r="E1090" s="22" t="n">
        <f aca="false">SUMIFS(SETORES!$D:$D,SETORES!$A:$A,A1090,SETORES!$F:$F,J1090)</f>
        <v>134983.410819323</v>
      </c>
      <c r="F1090" s="22" t="n">
        <f aca="false">IFERROR(D1090*E1090,0)</f>
        <v>3280.96685781661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3280.96685781661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0.0243064450505568</v>
      </c>
      <c r="E1091" s="21" t="n">
        <f aca="false">SUMIFS(SETORES!$D:$D,SETORES!$A:$A,A1091,SETORES!$F:$F,J1091)</f>
        <v>134983.410819323</v>
      </c>
      <c r="F1091" s="21" t="n">
        <f aca="false">IFERROR(D1091*E1091,0)</f>
        <v>3280.96685781661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3280.96685781661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0.721985302612478</v>
      </c>
      <c r="E1092" s="22" t="n">
        <f aca="false">SUMIFS(SETORES!$D:$D,SETORES!$A:$A,A1092,SETORES!$F:$F,J1092)</f>
        <v>134983.410819323</v>
      </c>
      <c r="F1092" s="22" t="n">
        <f aca="false">IFERROR(D1092*E1092,0)</f>
        <v>97456.0387080533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97456.0387080533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0.0337095583249198</v>
      </c>
      <c r="E1093" s="21" t="n">
        <f aca="false">SUMIFS(SETORES!$D:$D,SETORES!$A:$A,A1093,SETORES!$F:$F,J1093)</f>
        <v>203574.04666504</v>
      </c>
      <c r="F1093" s="21" t="n">
        <f aca="false">IFERROR(D1093*E1093,0)</f>
        <v>6862.39119949512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6862.39119949512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0.0683684694323473</v>
      </c>
      <c r="E1094" s="22" t="n">
        <f aca="false">SUMIFS(SETORES!$D:$D,SETORES!$A:$A,A1094,SETORES!$F:$F,J1094)</f>
        <v>203574.04666504</v>
      </c>
      <c r="F1094" s="22" t="n">
        <f aca="false">IFERROR(D1094*E1094,0)</f>
        <v>13918.0459866381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13918.0459866381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0.0744614055444212</v>
      </c>
      <c r="E1095" s="21" t="n">
        <f aca="false">SUMIFS(SETORES!$D:$D,SETORES!$A:$A,A1095,SETORES!$F:$F,J1095)</f>
        <v>203574.04666504</v>
      </c>
      <c r="F1095" s="21" t="n">
        <f aca="false">IFERROR(D1095*E1095,0)</f>
        <v>15158.4096470445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15158.4096470445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0.019203045965753</v>
      </c>
      <c r="E1096" s="22" t="n">
        <f aca="false">SUMIFS(SETORES!$D:$D,SETORES!$A:$A,A1096,SETORES!$F:$F,J1096)</f>
        <v>203574.04666504</v>
      </c>
      <c r="F1096" s="22" t="n">
        <f aca="false">IFERROR(D1096*E1096,0)</f>
        <v>3909.24177554311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3909.24177554311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0.033659328018967</v>
      </c>
      <c r="E1097" s="21" t="n">
        <f aca="false">SUMIFS(SETORES!$D:$D,SETORES!$A:$A,A1097,SETORES!$F:$F,J1097)</f>
        <v>203574.04666504</v>
      </c>
      <c r="F1097" s="21" t="n">
        <f aca="false">IFERROR(D1097*E1097,0)</f>
        <v>6852.16561284709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6852.16561284709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0.0243064450505568</v>
      </c>
      <c r="E1098" s="22" t="n">
        <f aca="false">SUMIFS(SETORES!$D:$D,SETORES!$A:$A,A1098,SETORES!$F:$F,J1098)</f>
        <v>203574.04666504</v>
      </c>
      <c r="F1098" s="22" t="n">
        <f aca="false">IFERROR(D1098*E1098,0)</f>
        <v>4948.16137898329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4948.16137898329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0.0243064450505568</v>
      </c>
      <c r="E1099" s="21" t="n">
        <f aca="false">SUMIFS(SETORES!$D:$D,SETORES!$A:$A,A1099,SETORES!$F:$F,J1099)</f>
        <v>203574.04666504</v>
      </c>
      <c r="F1099" s="21" t="n">
        <f aca="false">IFERROR(D1099*E1099,0)</f>
        <v>4948.16137898329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4948.16137898329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0.721985302612478</v>
      </c>
      <c r="E1100" s="22" t="n">
        <f aca="false">SUMIFS(SETORES!$D:$D,SETORES!$A:$A,A1100,SETORES!$F:$F,J1100)</f>
        <v>203574.04666504</v>
      </c>
      <c r="F1100" s="22" t="n">
        <f aca="false">IFERROR(D1100*E1100,0)</f>
        <v>146977.469685506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146977.469685506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0.0337095583249198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0.0683684694323473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0.0744614055444212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0.019203045965753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0.033659328018967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0.0243064450505568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0.0243064450505568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0.721985302612478</v>
      </c>
      <c r="E1116" s="26" t="n">
        <f aca="false">SUMIFS(SETORES!$D:$D,SETORES!$A:$A,A1116,SETORES!$F:$F,J1116)</f>
        <v>75785.85947</v>
      </c>
      <c r="F1116" s="26" t="n">
        <f aca="false">IFERROR(D1116*E1116,0)</f>
        <v>54716.2766831947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54716.2766831947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0.0337095583249198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397.556198832925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397.556198832925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0.0683684694323473</v>
      </c>
      <c r="E1126" s="26" t="n">
        <f aca="false">SUMIFS(SETORES!$D:$D,SETORES!$A:$A,A1126,SETORES!$F:$F,J1126)</f>
        <v>11793.5748371711</v>
      </c>
      <c r="F1126" s="26" t="n">
        <f aca="false">IFERROR(D1126*E1126,0)</f>
        <v>806.308660753232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806.308660753232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0.0744614055444212</v>
      </c>
      <c r="E1127" s="26" t="n">
        <f aca="false">SUMIFS(SETORES!$D:$D,SETORES!$A:$A,A1127,SETORES!$F:$F,J1127)</f>
        <v>11793.5748371711</v>
      </c>
      <c r="F1127" s="26" t="n">
        <f aca="false">IFERROR(D1127*E1127,0)</f>
        <v>878.166158769077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878.166158769077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0.019203045965753</v>
      </c>
      <c r="E1128" s="26" t="n">
        <f aca="false">SUMIFS(SETORES!$D:$D,SETORES!$A:$A,A1128,SETORES!$F:$F,J1128)</f>
        <v>11793.5748371711</v>
      </c>
      <c r="F1128" s="26" t="n">
        <f aca="false">IFERROR(D1128*E1128,0)</f>
        <v>226.472559698744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226.472559698744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0.033659328018967</v>
      </c>
      <c r="E1129" s="26" t="n">
        <f aca="false">SUMIFS(SETORES!$D:$D,SETORES!$A:$A,A1129,SETORES!$F:$F,J1129)</f>
        <v>11793.5748371711</v>
      </c>
      <c r="F1129" s="26" t="n">
        <f aca="false">IFERROR(D1129*E1129,0)</f>
        <v>396.963803960576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396.963803960576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0.0243064450505568</v>
      </c>
      <c r="E1130" s="26" t="n">
        <f aca="false">SUMIFS(SETORES!$D:$D,SETORES!$A:$A,A1130,SETORES!$F:$F,J1130)</f>
        <v>11793.5748371711</v>
      </c>
      <c r="F1130" s="26" t="n">
        <f aca="false">IFERROR(D1130*E1130,0)</f>
        <v>286.659878729328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286.659878729328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0.0243064450505568</v>
      </c>
      <c r="E1131" s="26" t="n">
        <f aca="false">SUMIFS(SETORES!$D:$D,SETORES!$A:$A,A1131,SETORES!$F:$F,J1131)</f>
        <v>11793.5748371711</v>
      </c>
      <c r="F1131" s="26" t="n">
        <f aca="false">IFERROR(D1131*E1131,0)</f>
        <v>286.659878729328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286.659878729328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0.721985302612478</v>
      </c>
      <c r="E1132" s="26" t="n">
        <f aca="false">SUMIFS(SETORES!$D:$D,SETORES!$A:$A,A1132,SETORES!$F:$F,J1132)</f>
        <v>11793.5748371711</v>
      </c>
      <c r="F1132" s="26" t="n">
        <f aca="false">IFERROR(D1132*E1132,0)</f>
        <v>8514.78769769787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8514.78769769787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0.0337095583249198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506.880547628761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506.880547628761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0.0683684694323473</v>
      </c>
      <c r="E1134" s="26" t="n">
        <f aca="false">SUMIFS(SETORES!$D:$D,SETORES!$A:$A,A1134,SETORES!$F:$F,J1134)</f>
        <v>15036.7009482308</v>
      </c>
      <c r="F1134" s="26" t="n">
        <f aca="false">IFERROR(D1134*E1134,0)</f>
        <v>1028.03622914246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1028.03622914246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0.0744614055444212</v>
      </c>
      <c r="E1135" s="26" t="n">
        <f aca="false">SUMIFS(SETORES!$D:$D,SETORES!$A:$A,A1135,SETORES!$F:$F,J1135)</f>
        <v>15036.7009482308</v>
      </c>
      <c r="F1135" s="26" t="n">
        <f aca="false">IFERROR(D1135*E1135,0)</f>
        <v>1119.65388735639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1119.65388735639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0.019203045965753</v>
      </c>
      <c r="E1136" s="26" t="n">
        <f aca="false">SUMIFS(SETORES!$D:$D,SETORES!$A:$A,A1136,SETORES!$F:$F,J1136)</f>
        <v>15036.7009482308</v>
      </c>
      <c r="F1136" s="26" t="n">
        <f aca="false">IFERROR(D1136*E1136,0)</f>
        <v>288.750459482157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288.750459482157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0.033659328018967</v>
      </c>
      <c r="E1137" s="26" t="n">
        <f aca="false">SUMIFS(SETORES!$D:$D,SETORES!$A:$A,A1137,SETORES!$F:$F,J1137)</f>
        <v>15036.7009482308</v>
      </c>
      <c r="F1137" s="26" t="n">
        <f aca="false">IFERROR(D1137*E1137,0)</f>
        <v>506.125249539611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506.125249539611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0.0243064450505568</v>
      </c>
      <c r="E1138" s="26" t="n">
        <f aca="false">SUMIFS(SETORES!$D:$D,SETORES!$A:$A,A1138,SETORES!$F:$F,J1138)</f>
        <v>15036.7009482308</v>
      </c>
      <c r="F1138" s="26" t="n">
        <f aca="false">IFERROR(D1138*E1138,0)</f>
        <v>365.488745339827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365.488745339827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0.0243064450505568</v>
      </c>
      <c r="E1139" s="26" t="n">
        <f aca="false">SUMIFS(SETORES!$D:$D,SETORES!$A:$A,A1139,SETORES!$F:$F,J1139)</f>
        <v>15036.7009482308</v>
      </c>
      <c r="F1139" s="26" t="n">
        <f aca="false">IFERROR(D1139*E1139,0)</f>
        <v>365.488745339827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365.488745339827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0.721985302612478</v>
      </c>
      <c r="E1140" s="26" t="n">
        <f aca="false">SUMIFS(SETORES!$D:$D,SETORES!$A:$A,A1140,SETORES!$F:$F,J1140)</f>
        <v>15036.7009482308</v>
      </c>
      <c r="F1140" s="26" t="n">
        <f aca="false">IFERROR(D1140*E1140,0)</f>
        <v>10856.2770844017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10856.2770844017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0.0337095583249198</v>
      </c>
      <c r="E1141" s="26" t="n">
        <f aca="false">SUMIFS(SETORES!$D:$D,SETORES!$A:$A,A1141,SETORES!$F:$F,J1141)</f>
        <v>136026.67</v>
      </c>
      <c r="F1141" s="26" t="n">
        <f aca="false">IFERROR(D1141*E1141,0)</f>
        <v>4585.39896610961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4585.39896610961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0.0683684694323473</v>
      </c>
      <c r="E1142" s="26" t="n">
        <f aca="false">SUMIFS(SETORES!$D:$D,SETORES!$A:$A,A1142,SETORES!$F:$F,J1142)</f>
        <v>136026.67</v>
      </c>
      <c r="F1142" s="26" t="n">
        <f aca="false">IFERROR(D1142*E1142,0)</f>
        <v>9299.935229879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9299.935229879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0.0744614055444212</v>
      </c>
      <c r="E1143" s="26" t="n">
        <f aca="false">SUMIFS(SETORES!$D:$D,SETORES!$A:$A,A1143,SETORES!$F:$F,J1143)</f>
        <v>136026.67</v>
      </c>
      <c r="F1143" s="26" t="n">
        <f aca="false">IFERROR(D1143*E1143,0)</f>
        <v>10128.7370397272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10128.7370397272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0.019203045965753</v>
      </c>
      <c r="E1144" s="26" t="n">
        <f aca="false">SUMIFS(SETORES!$D:$D,SETORES!$A:$A,A1144,SETORES!$F:$F,J1144)</f>
        <v>136026.67</v>
      </c>
      <c r="F1144" s="26" t="n">
        <f aca="false">IFERROR(D1144*E1144,0)</f>
        <v>2612.12639657831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2612.12639657831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0.033659328018967</v>
      </c>
      <c r="E1145" s="26" t="n">
        <f aca="false">SUMIFS(SETORES!$D:$D,SETORES!$A:$A,A1145,SETORES!$F:$F,J1145)</f>
        <v>136026.67</v>
      </c>
      <c r="F1145" s="26" t="n">
        <f aca="false">IFERROR(D1145*E1145,0)</f>
        <v>4578.56630485777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4578.56630485777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0.0243064450505568</v>
      </c>
      <c r="E1146" s="26" t="n">
        <f aca="false">SUMIFS(SETORES!$D:$D,SETORES!$A:$A,A1146,SETORES!$F:$F,J1146)</f>
        <v>136026.67</v>
      </c>
      <c r="F1146" s="26" t="n">
        <f aca="false">IFERROR(D1146*E1146,0)</f>
        <v>3306.32477976522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3306.32477976522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0.0243064450505568</v>
      </c>
      <c r="E1147" s="26" t="n">
        <f aca="false">SUMIFS(SETORES!$D:$D,SETORES!$A:$A,A1147,SETORES!$F:$F,J1147)</f>
        <v>136026.67</v>
      </c>
      <c r="F1147" s="26" t="n">
        <f aca="false">IFERROR(D1147*E1147,0)</f>
        <v>3306.32477976522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3306.32477976522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0.721985302612478</v>
      </c>
      <c r="E1148" s="26" t="n">
        <f aca="false">SUMIFS(SETORES!$D:$D,SETORES!$A:$A,A1148,SETORES!$F:$F,J1148)</f>
        <v>136026.67</v>
      </c>
      <c r="F1148" s="26" t="n">
        <f aca="false">IFERROR(D1148*E1148,0)</f>
        <v>98209.2565033177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98209.2565033177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0.0337095583249198</v>
      </c>
      <c r="E1149" s="26" t="n">
        <f aca="false">SUMIFS(SETORES!$D:$D,SETORES!$A:$A,A1149,SETORES!$F:$F,J1149)</f>
        <v>17264.55</v>
      </c>
      <c r="F1149" s="26" t="n">
        <f aca="false">IFERROR(D1149*E1149,0)</f>
        <v>581.980355178493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581.980355178493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0.0683684694323473</v>
      </c>
      <c r="E1150" s="26" t="n">
        <f aca="false">SUMIFS(SETORES!$D:$D,SETORES!$A:$A,A1150,SETORES!$F:$F,J1150)</f>
        <v>17264.55</v>
      </c>
      <c r="F1150" s="26" t="n">
        <f aca="false">IFERROR(D1150*E1150,0)</f>
        <v>1180.35085893823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1180.35085893823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0.0744614055444212</v>
      </c>
      <c r="E1151" s="26" t="n">
        <f aca="false">SUMIFS(SETORES!$D:$D,SETORES!$A:$A,A1151,SETORES!$F:$F,J1151)</f>
        <v>17264.55</v>
      </c>
      <c r="F1151" s="26" t="n">
        <f aca="false">IFERROR(D1151*E1151,0)</f>
        <v>1285.54265909194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1285.54265909194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0.019203045965753</v>
      </c>
      <c r="E1152" s="26" t="n">
        <f aca="false">SUMIFS(SETORES!$D:$D,SETORES!$A:$A,A1152,SETORES!$F:$F,J1152)</f>
        <v>17264.55</v>
      </c>
      <c r="F1152" s="26" t="n">
        <f aca="false">IFERROR(D1152*E1152,0)</f>
        <v>331.531947228041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331.531947228041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0.033659328018967</v>
      </c>
      <c r="E1153" s="26" t="n">
        <f aca="false">SUMIFS(SETORES!$D:$D,SETORES!$A:$A,A1153,SETORES!$F:$F,J1153)</f>
        <v>17264.55</v>
      </c>
      <c r="F1153" s="26" t="n">
        <f aca="false">IFERROR(D1153*E1153,0)</f>
        <v>581.113151549856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581.113151549856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0.0243064450505568</v>
      </c>
      <c r="E1154" s="26" t="n">
        <f aca="false">SUMIFS(SETORES!$D:$D,SETORES!$A:$A,A1154,SETORES!$F:$F,J1154)</f>
        <v>17264.55</v>
      </c>
      <c r="F1154" s="26" t="n">
        <f aca="false">IFERROR(D1154*E1154,0)</f>
        <v>419.63983589759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419.63983589759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0.0243064450505568</v>
      </c>
      <c r="E1155" s="26" t="n">
        <f aca="false">SUMIFS(SETORES!$D:$D,SETORES!$A:$A,A1155,SETORES!$F:$F,J1155)</f>
        <v>17264.55</v>
      </c>
      <c r="F1155" s="26" t="n">
        <f aca="false">IFERROR(D1155*E1155,0)</f>
        <v>419.63983589759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419.63983589759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0.721985302612478</v>
      </c>
      <c r="E1156" s="26" t="n">
        <f aca="false">SUMIFS(SETORES!$D:$D,SETORES!$A:$A,A1156,SETORES!$F:$F,J1156)</f>
        <v>17264.55</v>
      </c>
      <c r="F1156" s="26" t="n">
        <f aca="false">IFERROR(D1156*E1156,0)</f>
        <v>12464.7513562183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12464.7513562183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0.0337095583249198</v>
      </c>
      <c r="E1157" s="26" t="n">
        <f aca="false">SUMIFS(SETORES!$D:$D,SETORES!$A:$A,A1157,SETORES!$F:$F,J1157)</f>
        <v>215608.64</v>
      </c>
      <c r="F1157" s="26" t="n">
        <f aca="false">IFERROR(D1157*E1157,0)</f>
        <v>7268.07202543663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7268.07202543663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0.0683684694323473</v>
      </c>
      <c r="E1158" s="26" t="n">
        <f aca="false">SUMIFS(SETORES!$D:$D,SETORES!$A:$A,A1158,SETORES!$F:$F,J1158)</f>
        <v>215608.64</v>
      </c>
      <c r="F1158" s="26" t="n">
        <f aca="false">IFERROR(D1158*E1158,0)</f>
        <v>14740.83271319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14740.83271319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0.0744614055444212</v>
      </c>
      <c r="E1159" s="26" t="n">
        <f aca="false">SUMIFS(SETORES!$D:$D,SETORES!$A:$A,A1159,SETORES!$F:$F,J1159)</f>
        <v>215608.64</v>
      </c>
      <c r="F1159" s="26" t="n">
        <f aca="false">IFERROR(D1159*E1159,0)</f>
        <v>16054.5223819211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16054.5223819211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0.019203045965753</v>
      </c>
      <c r="E1160" s="26" t="n">
        <f aca="false">SUMIFS(SETORES!$D:$D,SETORES!$A:$A,A1160,SETORES!$F:$F,J1160)</f>
        <v>215608.64</v>
      </c>
      <c r="F1160" s="26" t="n">
        <f aca="false">IFERROR(D1160*E1160,0)</f>
        <v>4140.34262453349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4140.34262453349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0.033659328018967</v>
      </c>
      <c r="E1161" s="26" t="n">
        <f aca="false">SUMIFS(SETORES!$D:$D,SETORES!$A:$A,A1161,SETORES!$F:$F,J1161)</f>
        <v>215608.64</v>
      </c>
      <c r="F1161" s="26" t="n">
        <f aca="false">IFERROR(D1161*E1161,0)</f>
        <v>7257.24193748336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7257.24193748336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0.0243064450505568</v>
      </c>
      <c r="E1162" s="26" t="n">
        <f aca="false">SUMIFS(SETORES!$D:$D,SETORES!$A:$A,A1162,SETORES!$F:$F,J1162)</f>
        <v>215608.64</v>
      </c>
      <c r="F1162" s="26" t="n">
        <f aca="false">IFERROR(D1162*E1162,0)</f>
        <v>5240.67956058528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5240.67956058528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0.0243064450505568</v>
      </c>
      <c r="E1163" s="26" t="n">
        <f aca="false">SUMIFS(SETORES!$D:$D,SETORES!$A:$A,A1163,SETORES!$F:$F,J1163)</f>
        <v>215608.64</v>
      </c>
      <c r="F1163" s="26" t="n">
        <f aca="false">IFERROR(D1163*E1163,0)</f>
        <v>5240.67956058528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5240.67956058528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0.721985302612478</v>
      </c>
      <c r="E1164" s="26" t="n">
        <f aca="false">SUMIFS(SETORES!$D:$D,SETORES!$A:$A,A1164,SETORES!$F:$F,J1164)</f>
        <v>215608.64</v>
      </c>
      <c r="F1164" s="26" t="n">
        <f aca="false">IFERROR(D1164*E1164,0)</f>
        <v>155666.269196265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155666.269196265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0.0337095583249198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2381.49644593275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2381.49644593275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0.0683684694323473</v>
      </c>
      <c r="E1166" s="26" t="n">
        <f aca="false">SUMIFS(SETORES!$D:$D,SETORES!$A:$A,A1166,SETORES!$F:$F,J1166)</f>
        <v>70647.5125831663</v>
      </c>
      <c r="F1166" s="26" t="n">
        <f aca="false">IFERROR(D1166*E1166,0)</f>
        <v>4830.06230451358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4830.06230451358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0.0744614055444212</v>
      </c>
      <c r="E1167" s="26" t="n">
        <f aca="false">SUMIFS(SETORES!$D:$D,SETORES!$A:$A,A1167,SETORES!$F:$F,J1167)</f>
        <v>70647.5125831663</v>
      </c>
      <c r="F1167" s="26" t="n">
        <f aca="false">IFERROR(D1167*E1167,0)</f>
        <v>5260.51308515975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5260.51308515975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0.019203045965753</v>
      </c>
      <c r="E1168" s="26" t="n">
        <f aca="false">SUMIFS(SETORES!$D:$D,SETORES!$A:$A,A1168,SETORES!$F:$F,J1168)</f>
        <v>70647.5125831663</v>
      </c>
      <c r="F1168" s="26" t="n">
        <f aca="false">IFERROR(D1168*E1168,0)</f>
        <v>1356.64743150065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1356.64743150065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0.033659328018967</v>
      </c>
      <c r="E1169" s="26" t="n">
        <f aca="false">SUMIFS(SETORES!$D:$D,SETORES!$A:$A,A1169,SETORES!$F:$F,J1169)</f>
        <v>70647.5125831663</v>
      </c>
      <c r="F1169" s="26" t="n">
        <f aca="false">IFERROR(D1169*E1169,0)</f>
        <v>2377.94779976089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2377.94779976089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0.0243064450505568</v>
      </c>
      <c r="E1170" s="26" t="n">
        <f aca="false">SUMIFS(SETORES!$D:$D,SETORES!$A:$A,A1170,SETORES!$F:$F,J1170)</f>
        <v>70647.5125831663</v>
      </c>
      <c r="F1170" s="26" t="n">
        <f aca="false">IFERROR(D1170*E1170,0)</f>
        <v>1717.18988256125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1717.18988256125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0.0243064450505568</v>
      </c>
      <c r="E1171" s="26" t="n">
        <f aca="false">SUMIFS(SETORES!$D:$D,SETORES!$A:$A,A1171,SETORES!$F:$F,J1171)</f>
        <v>70647.5125831663</v>
      </c>
      <c r="F1171" s="26" t="n">
        <f aca="false">IFERROR(D1171*E1171,0)</f>
        <v>1717.18988256125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1717.18988256125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0.721985302612478</v>
      </c>
      <c r="E1172" s="26" t="n">
        <f aca="false">SUMIFS(SETORES!$D:$D,SETORES!$A:$A,A1172,SETORES!$F:$F,J1172)</f>
        <v>70647.5125831663</v>
      </c>
      <c r="F1172" s="26" t="n">
        <f aca="false">IFERROR(D1172*E1172,0)</f>
        <v>51006.4657511762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51006.4657511762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0.0337095583249198</v>
      </c>
      <c r="E1173" s="26" t="n">
        <f aca="false">SUMIFS(SETORES!$D:$D,SETORES!$A:$A,A1173,SETORES!$F:$F,J1173)</f>
        <v>46692.3486096204</v>
      </c>
      <c r="F1173" s="26" t="n">
        <f aca="false">IFERROR(D1173*E1173,0)</f>
        <v>1573.97844878349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1573.97844878349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0.0683684694323473</v>
      </c>
      <c r="E1174" s="26" t="n">
        <f aca="false">SUMIFS(SETORES!$D:$D,SETORES!$A:$A,A1174,SETORES!$F:$F,J1174)</f>
        <v>46692.3486096204</v>
      </c>
      <c r="F1174" s="26" t="n">
        <f aca="false">IFERROR(D1174*E1174,0)</f>
        <v>3192.28440864134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3192.28440864134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0.0744614055444212</v>
      </c>
      <c r="E1175" s="26" t="n">
        <f aca="false">SUMIFS(SETORES!$D:$D,SETORES!$A:$A,A1175,SETORES!$F:$F,J1175)</f>
        <v>46692.3486096204</v>
      </c>
      <c r="F1175" s="26" t="n">
        <f aca="false">IFERROR(D1175*E1175,0)</f>
        <v>3476.77790564244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3476.77790564244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0.019203045965753</v>
      </c>
      <c r="E1176" s="26" t="n">
        <f aca="false">SUMIFS(SETORES!$D:$D,SETORES!$A:$A,A1176,SETORES!$F:$F,J1176)</f>
        <v>46692.3486096204</v>
      </c>
      <c r="F1176" s="26" t="n">
        <f aca="false">IFERROR(D1176*E1176,0)</f>
        <v>896.635316599503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896.635316599503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0.033659328018967</v>
      </c>
      <c r="E1177" s="26" t="n">
        <f aca="false">SUMIFS(SETORES!$D:$D,SETORES!$A:$A,A1177,SETORES!$F:$F,J1177)</f>
        <v>46692.3486096204</v>
      </c>
      <c r="F1177" s="26" t="n">
        <f aca="false">IFERROR(D1177*E1177,0)</f>
        <v>1571.63307782717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1571.63307782717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0.0243064450505568</v>
      </c>
      <c r="E1178" s="26" t="n">
        <f aca="false">SUMIFS(SETORES!$D:$D,SETORES!$A:$A,A1178,SETORES!$F:$F,J1178)</f>
        <v>46692.3486096204</v>
      </c>
      <c r="F1178" s="26" t="n">
        <f aca="false">IFERROR(D1178*E1178,0)</f>
        <v>1134.92500576118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1134.92500576118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0.0243064450505568</v>
      </c>
      <c r="E1179" s="26" t="n">
        <f aca="false">SUMIFS(SETORES!$D:$D,SETORES!$A:$A,A1179,SETORES!$F:$F,J1179)</f>
        <v>46692.3486096204</v>
      </c>
      <c r="F1179" s="26" t="n">
        <f aca="false">IFERROR(D1179*E1179,0)</f>
        <v>1134.92500576118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1134.92500576118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0.721985302612478</v>
      </c>
      <c r="E1180" s="26" t="n">
        <f aca="false">SUMIFS(SETORES!$D:$D,SETORES!$A:$A,A1180,SETORES!$F:$F,J1180)</f>
        <v>46692.3486096204</v>
      </c>
      <c r="F1180" s="26" t="n">
        <f aca="false">IFERROR(D1180*E1180,0)</f>
        <v>33711.1894406041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33711.1894406041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0.0337095583249198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1271.62285016534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1271.62285016534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0.0683684694323473</v>
      </c>
      <c r="E1182" s="26" t="n">
        <f aca="false">SUMIFS(SETORES!$D:$D,SETORES!$A:$A,A1182,SETORES!$F:$F,J1182)</f>
        <v>37722.9163879403</v>
      </c>
      <c r="F1182" s="26" t="n">
        <f aca="false">IFERROR(D1182*E1182,0)</f>
        <v>2579.05805596789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2579.05805596789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0.0744614055444212</v>
      </c>
      <c r="E1183" s="26" t="n">
        <f aca="false">SUMIFS(SETORES!$D:$D,SETORES!$A:$A,A1183,SETORES!$F:$F,J1183)</f>
        <v>37722.9163879403</v>
      </c>
      <c r="F1183" s="26" t="n">
        <f aca="false">IFERROR(D1183*E1183,0)</f>
        <v>2808.90137548071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2808.90137548071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0.019203045965753</v>
      </c>
      <c r="E1184" s="26" t="n">
        <f aca="false">SUMIFS(SETORES!$D:$D,SETORES!$A:$A,A1184,SETORES!$F:$F,J1184)</f>
        <v>37722.9163879403</v>
      </c>
      <c r="F1184" s="26" t="n">
        <f aca="false">IFERROR(D1184*E1184,0)</f>
        <v>724.394897359874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724.394897359874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0.033659328018967</v>
      </c>
      <c r="E1185" s="26" t="n">
        <f aca="false">SUMIFS(SETORES!$D:$D,SETORES!$A:$A,A1185,SETORES!$F:$F,J1185)</f>
        <v>37722.9163879403</v>
      </c>
      <c r="F1185" s="26" t="n">
        <f aca="false">IFERROR(D1185*E1185,0)</f>
        <v>1269.72801653375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1269.72801653375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0.0243064450505568</v>
      </c>
      <c r="E1186" s="26" t="n">
        <f aca="false">SUMIFS(SETORES!$D:$D,SETORES!$A:$A,A1186,SETORES!$F:$F,J1186)</f>
        <v>37722.9163879403</v>
      </c>
      <c r="F1186" s="26" t="n">
        <f aca="false">IFERROR(D1186*E1186,0)</f>
        <v>916.909994330219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916.909994330219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0.0243064450505568</v>
      </c>
      <c r="E1187" s="26" t="n">
        <f aca="false">SUMIFS(SETORES!$D:$D,SETORES!$A:$A,A1187,SETORES!$F:$F,J1187)</f>
        <v>37722.9163879403</v>
      </c>
      <c r="F1187" s="26" t="n">
        <f aca="false">IFERROR(D1187*E1187,0)</f>
        <v>916.909994330219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916.909994330219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0.721985302612478</v>
      </c>
      <c r="E1188" s="26" t="n">
        <f aca="false">SUMIFS(SETORES!$D:$D,SETORES!$A:$A,A1188,SETORES!$F:$F,J1188)</f>
        <v>37722.9163879403</v>
      </c>
      <c r="F1188" s="26" t="n">
        <f aca="false">IFERROR(D1188*E1188,0)</f>
        <v>27235.3912037723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27235.3912037723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7997.6016</v>
      </c>
      <c r="F1189" s="1" t="n">
        <f aca="false">IFERROR(D1189*E1189,0)</f>
        <v>262.508365510357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262.508365510357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7997.6016</v>
      </c>
      <c r="F1190" s="1" t="n">
        <f aca="false">IFERROR(D1190*E1190,0)</f>
        <v>560.212916332771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560.212916332771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7997.6016</v>
      </c>
      <c r="F1191" s="1" t="n">
        <f aca="false">IFERROR(D1191*E1191,0)</f>
        <v>599.04576212244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599.04576212244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7997.6016</v>
      </c>
      <c r="F1192" s="1" t="n">
        <f aca="false">IFERROR(D1192*E1192,0)</f>
        <v>152.572537279109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152.572537279109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7997.6016</v>
      </c>
      <c r="F1193" s="1" t="n">
        <f aca="false">IFERROR(D1193*E1193,0)</f>
        <v>267.357246147172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267.357246147172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7997.6016</v>
      </c>
      <c r="F1194" s="1" t="n">
        <f aca="false">IFERROR(D1194*E1194,0)</f>
        <v>197.717288035667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197.717288035667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7997.6016</v>
      </c>
      <c r="F1195" s="1" t="n">
        <f aca="false">IFERROR(D1195*E1195,0)</f>
        <v>199.890924183205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199.890924183205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7997.6016</v>
      </c>
      <c r="F1196" s="1" t="n">
        <f aca="false">IFERROR(D1196*E1196,0)</f>
        <v>5758.29656038928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5758.29656038928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9026.5944</v>
      </c>
      <c r="F1197" s="1" t="n">
        <f aca="false">IFERROR(D1197*E1197,0)</f>
        <v>298.580913391808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298.580913391808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9026.5944</v>
      </c>
      <c r="F1198" s="1" t="n">
        <f aca="false">IFERROR(D1198*E1198,0)</f>
        <v>621.622761193371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621.622761193371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9026.5944</v>
      </c>
      <c r="F1199" s="1" t="n">
        <f aca="false">IFERROR(D1199*E1199,0)</f>
        <v>669.015821612273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669.015821612273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9026.5944</v>
      </c>
      <c r="F1200" s="1" t="n">
        <f aca="false">IFERROR(D1200*E1200,0)</f>
        <v>171.597161086618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171.597161086618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9026.5944</v>
      </c>
      <c r="F1201" s="1" t="n">
        <f aca="false">IFERROR(D1201*E1201,0)</f>
        <v>298.071310591605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298.071310591605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9026.5944</v>
      </c>
      <c r="F1202" s="1" t="n">
        <f aca="false">IFERROR(D1202*E1202,0)</f>
        <v>220.009427105926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220.009427105926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9026.5944</v>
      </c>
      <c r="F1203" s="1" t="n">
        <f aca="false">IFERROR(D1203*E1203,0)</f>
        <v>222.140493361322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222.140493361322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9026.5944</v>
      </c>
      <c r="F1204" s="1" t="n">
        <f aca="false">IFERROR(D1204*E1204,0)</f>
        <v>6525.55651165708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6525.55651165708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7877.3345</v>
      </c>
      <c r="F1205" s="1" t="n">
        <f aca="false">IFERROR(D1205*E1205,0)</f>
        <v>257.55929389402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257.55929389402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7877.3345</v>
      </c>
      <c r="F1206" s="1" t="n">
        <f aca="false">IFERROR(D1206*E1206,0)</f>
        <v>528.95829483699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528.95829483699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7877.3345</v>
      </c>
      <c r="F1207" s="1" t="n">
        <f aca="false">IFERROR(D1207*E1207,0)</f>
        <v>574.269652096123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574.269652096123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7877.3345</v>
      </c>
      <c r="F1208" s="1" t="n">
        <f aca="false">IFERROR(D1208*E1208,0)</f>
        <v>147.193494461291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147.193494461291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7877.3345</v>
      </c>
      <c r="F1209" s="1" t="n">
        <f aca="false">IFERROR(D1209*E1209,0)</f>
        <v>256.777389540972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256.777389540972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7877.3345</v>
      </c>
      <c r="F1210" s="1" t="n">
        <f aca="false">IFERROR(D1210*E1210,0)</f>
        <v>187.852520819788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187.852520819788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7877.3345</v>
      </c>
      <c r="F1211" s="1" t="n">
        <f aca="false">IFERROR(D1211*E1211,0)</f>
        <v>187.891616037441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187.891616037441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7877.3345</v>
      </c>
      <c r="F1212" s="1" t="n">
        <f aca="false">IFERROR(D1212*E1212,0)</f>
        <v>5736.83223831337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5736.83223831337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0.0337095583249198</v>
      </c>
      <c r="E1213" s="1" t="n">
        <f aca="false">SUMIFS(SETORES!$D:$D,SETORES!$A:$A,A1213,SETORES!$F:$F,J1213)</f>
        <v>8490.16332201957</v>
      </c>
      <c r="F1213" s="1" t="n">
        <f aca="false">IFERROR(D1213*E1213,0)</f>
        <v>286.199655691713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286.199655691713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0.0683684694323473</v>
      </c>
      <c r="E1214" s="1" t="n">
        <f aca="false">SUMIFS(SETORES!$D:$D,SETORES!$A:$A,A1214,SETORES!$F:$F,J1214)</f>
        <v>8490.16332201957</v>
      </c>
      <c r="F1214" s="1" t="n">
        <f aca="false">IFERROR(D1214*E1214,0)</f>
        <v>580.459471557131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580.459471557131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0.0744614055444212</v>
      </c>
      <c r="E1215" s="1" t="n">
        <f aca="false">SUMIFS(SETORES!$D:$D,SETORES!$A:$A,A1215,SETORES!$F:$F,J1215)</f>
        <v>8490.16332201957</v>
      </c>
      <c r="F1215" s="1" t="n">
        <f aca="false">IFERROR(D1215*E1215,0)</f>
        <v>632.189494259269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632.189494259269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0.019203045965753</v>
      </c>
      <c r="E1216" s="1" t="n">
        <f aca="false">SUMIFS(SETORES!$D:$D,SETORES!$A:$A,A1216,SETORES!$F:$F,J1216)</f>
        <v>8490.16332201957</v>
      </c>
      <c r="F1216" s="1" t="n">
        <f aca="false">IFERROR(D1216*E1216,0)</f>
        <v>163.036996529492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163.036996529492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0.033659328018967</v>
      </c>
      <c r="E1217" s="1" t="n">
        <f aca="false">SUMIFS(SETORES!$D:$D,SETORES!$A:$A,A1217,SETORES!$F:$F,J1217)</f>
        <v>8490.16332201957</v>
      </c>
      <c r="F1217" s="1" t="n">
        <f aca="false">IFERROR(D1217*E1217,0)</f>
        <v>285.773192190459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285.773192190459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0.0243064450505568</v>
      </c>
      <c r="E1218" s="1" t="n">
        <f aca="false">SUMIFS(SETORES!$D:$D,SETORES!$A:$A,A1218,SETORES!$F:$F,J1218)</f>
        <v>8490.16332201957</v>
      </c>
      <c r="F1218" s="1" t="n">
        <f aca="false">IFERROR(D1218*E1218,0)</f>
        <v>206.365688256921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206.365688256921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0.0243064450505568</v>
      </c>
      <c r="E1219" s="1" t="n">
        <f aca="false">SUMIFS(SETORES!$D:$D,SETORES!$A:$A,A1219,SETORES!$F:$F,J1219)</f>
        <v>8490.16332201957</v>
      </c>
      <c r="F1219" s="1" t="n">
        <f aca="false">IFERROR(D1219*E1219,0)</f>
        <v>206.365688256921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206.365688256921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0.721985302612478</v>
      </c>
      <c r="E1220" s="1" t="n">
        <f aca="false">SUMIFS(SETORES!$D:$D,SETORES!$A:$A,A1220,SETORES!$F:$F,J1220)</f>
        <v>8490.16332201957</v>
      </c>
      <c r="F1220" s="1" t="n">
        <f aca="false">IFERROR(D1220*E1220,0)</f>
        <v>6129.77313527766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6129.77313527766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32084.587644</v>
      </c>
      <c r="E7" s="21" t="n">
        <f aca="false">IFERROR(D7/IF(B7="Clientes",SUMIFS(PARÂMETROS!$B$8:$B$907,PARÂMETROS!$G$8:$G$907,F7),SUMIFS(PARÂMETROS!$C$8:$C$907,PARÂMETROS!$G$8:$G$907,F7)),0)</f>
        <v>30.4696938689459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53650.4859</v>
      </c>
      <c r="E8" s="21" t="n">
        <f aca="false">IFERROR(D8/IF(B8="Clientes",SUMIFS(PARÂMETROS!$B$8:$B$907,PARÂMETROS!$G$8:$G$907,F8),SUMIFS(PARÂMETROS!$C$8:$C$907,PARÂMETROS!$G$8:$G$907,F8)),0)</f>
        <v>50.9501290598291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42920.099555</v>
      </c>
      <c r="E9" s="21" t="n">
        <f aca="false">IFERROR(D9/IF(B9="Clientes",SUMIFS(PARÂMETROS!$B$8:$B$907,PARÂMETROS!$G$8:$G$907,F9),SUMIFS(PARÂMETROS!$C$8:$C$907,PARÂMETROS!$G$8:$G$907,F9)),0)</f>
        <v>0.224328503321539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16614.7132</v>
      </c>
      <c r="E10" s="21" t="n">
        <f aca="false">IFERROR(D10/IF(B10="Clientes",SUMIFS(PARÂMETROS!$B$8:$B$907,PARÂMETROS!$G$8:$G$907,F10),SUMIFS(PARÂMETROS!$C$8:$C$907,PARÂMETROS!$G$8:$G$907,F10)),0)</f>
        <v>0.0868393546127834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151544.126264</v>
      </c>
      <c r="E12" s="21" t="n">
        <f aca="false">IFERROR(D12/IF(B12="Clientes",SUMIFS(PARÂMETROS!$B$8:$B$907,PARÂMETROS!$G$8:$G$907,F12),SUMIFS(PARÂMETROS!$C$8:$C$907,PARÂMETROS!$G$8:$G$907,F12)),0)</f>
        <v>0.792068690064654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43068.651577</v>
      </c>
      <c r="E13" s="21" t="n">
        <f aca="false">IFERROR(D13/IF(B13="Clientes",SUMIFS(PARÂMETROS!$B$8:$B$907,PARÂMETROS!$G$8:$G$907,F13),SUMIFS(PARÂMETROS!$C$8:$C$907,PARÂMETROS!$G$8:$G$907,F13)),0)</f>
        <v>0.22510493331835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37928.212964</v>
      </c>
      <c r="E14" s="21" t="n">
        <f aca="false">IFERROR(D14/IF(B14="Clientes",SUMIFS(PARÂMETROS!$B$8:$B$907,PARÂMETROS!$G$8:$G$907,F14),SUMIFS(PARÂMETROS!$C$8:$C$907,PARÂMETROS!$G$8:$G$907,F14)),0)</f>
        <v>0.198237640082163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31459.659211</v>
      </c>
      <c r="E24" s="21" t="n">
        <f aca="false">IFERROR(D24/IF(B24="Clientes",SUMIFS(PARÂMETROS!$B$8:$B$907,PARÂMETROS!$G$8:$G$907,F24),SUMIFS(PARÂMETROS!$C$8:$C$907,PARÂMETROS!$G$8:$G$907,F24)),0)</f>
        <v>0.164428748744296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108557.0133</v>
      </c>
      <c r="E28" s="21" t="n">
        <f aca="false">IFERROR(D28/IF(B28="Clientes",SUMIFS(PARÂMETROS!$B$8:$B$907,PARÂMETROS!$G$8:$G$907,F28),SUMIFS(PARÂMETROS!$C$8:$C$907,PARÂMETROS!$G$8:$G$907,F28)),0)</f>
        <v>0.56738993085137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115764.57981</v>
      </c>
      <c r="E29" s="21" t="n">
        <f aca="false">IFERROR(D29/IF(B29="Clientes",SUMIFS(PARÂMETROS!$B$8:$B$907,PARÂMETROS!$G$8:$G$907,F29),SUMIFS(PARÂMETROS!$C$8:$C$907,PARÂMETROS!$G$8:$G$907,F29)),0)</f>
        <v>0.605061386056333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38662.034356</v>
      </c>
      <c r="E43" s="21" t="n">
        <f aca="false">IFERROR(D43/IF(B43="Clientes",SUMIFS(PARÂMETROS!$B$8:$B$907,PARÂMETROS!$G$8:$G$907,F43),SUMIFS(PARÂMETROS!$C$8:$C$907,PARÂMETROS!$G$8:$G$907,F43)),0)</f>
        <v>36.856086135367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59601.5555</v>
      </c>
      <c r="E44" s="21" t="n">
        <f aca="false">IFERROR(D44/IF(B44="Clientes",SUMIFS(PARÂMETROS!$B$8:$B$907,PARÂMETROS!$G$8:$G$907,F44),SUMIFS(PARÂMETROS!$C$8:$C$907,PARÂMETROS!$G$8:$G$907,F44)),0)</f>
        <v>56.8174980934223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50412.16292</v>
      </c>
      <c r="E45" s="21" t="n">
        <f aca="false">IFERROR(D45/IF(B45="Clientes",SUMIFS(PARÂMETROS!$B$8:$B$907,PARÂMETROS!$G$8:$G$907,F45),SUMIFS(PARÂMETROS!$C$8:$C$907,PARÂMETROS!$G$8:$G$907,F45)),0)</f>
        <v>0.258732225022197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17484.4989</v>
      </c>
      <c r="E46" s="21" t="n">
        <f aca="false">IFERROR(D46/IF(B46="Clientes",SUMIFS(PARÂMETROS!$B$8:$B$907,PARÂMETROS!$G$8:$G$907,F46),SUMIFS(PARÂMETROS!$C$8:$C$907,PARÂMETROS!$G$8:$G$907,F46)),0)</f>
        <v>0.0897363461864168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177614.214106</v>
      </c>
      <c r="E48" s="21" t="n">
        <f aca="false">IFERROR(D48/IF(B48="Clientes",SUMIFS(PARÂMETROS!$B$8:$B$907,PARÂMETROS!$G$8:$G$907,F48),SUMIFS(PARÂMETROS!$C$8:$C$907,PARÂMETROS!$G$8:$G$907,F48)),0)</f>
        <v>0.911576059216908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44351.736051</v>
      </c>
      <c r="E49" s="21" t="n">
        <f aca="false">IFERROR(D49/IF(B49="Clientes",SUMIFS(PARÂMETROS!$B$8:$B$907,PARÂMETROS!$G$8:$G$907,F49),SUMIFS(PARÂMETROS!$C$8:$C$907,PARÂMETROS!$G$8:$G$907,F49)),0)</f>
        <v>0.227628070041007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35249.155043</v>
      </c>
      <c r="E60" s="21" t="n">
        <f aca="false">IFERROR(D60/IF(B60="Clientes",SUMIFS(PARÂMETROS!$B$8:$B$907,PARÂMETROS!$G$8:$G$907,F60),SUMIFS(PARÂMETROS!$C$8:$C$907,PARÂMETROS!$G$8:$G$907,F60)),0)</f>
        <v>0.180910553845917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125451.283886</v>
      </c>
      <c r="E64" s="21" t="n">
        <f aca="false">IFERROR(D64/IF(B64="Clientes",SUMIFS(PARÂMETROS!$B$8:$B$907,PARÂMETROS!$G$8:$G$907,F64),SUMIFS(PARÂMETROS!$C$8:$C$907,PARÂMETROS!$G$8:$G$907,F64)),0)</f>
        <v>0.643858305846245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143669.46804</v>
      </c>
      <c r="E65" s="21" t="n">
        <f aca="false">IFERROR(D65/G65,0)</f>
        <v>997.704639166667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40506.055852</v>
      </c>
      <c r="E79" s="21" t="n">
        <f aca="false">IFERROR(D79/IF(B79="Clientes",SUMIFS(PARÂMETROS!$B$8:$B$907,PARÂMETROS!$G$8:$G$907,F79),SUMIFS(PARÂMETROS!$C$8:$C$907,PARÂMETROS!$G$8:$G$907,F79)),0)</f>
        <v>37.1615191302752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59799.9207</v>
      </c>
      <c r="E80" s="21" t="n">
        <f aca="false">IFERROR(D80/IF(B80="Clientes",SUMIFS(PARÂMETROS!$B$8:$B$907,PARÂMETROS!$G$8:$G$907,F80),SUMIFS(PARÂMETROS!$C$8:$C$907,PARÂMETROS!$G$8:$G$907,F80)),0)</f>
        <v>54.8623125688073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50288.142152</v>
      </c>
      <c r="E81" s="21" t="n">
        <f aca="false">IFERROR(D81/IF(B81="Clientes",SUMIFS(PARÂMETROS!$B$8:$B$907,PARÂMETROS!$G$8:$G$907,F81),SUMIFS(PARÂMETROS!$C$8:$C$907,PARÂMETROS!$G$8:$G$907,F81)),0)</f>
        <v>0.249580091180251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11334.0318</v>
      </c>
      <c r="E82" s="21" t="n">
        <f aca="false">IFERROR(D82/IF(B82="Clientes",SUMIFS(PARÂMETROS!$B$8:$B$907,PARÂMETROS!$G$8:$G$907,F82),SUMIFS(PARÂMETROS!$C$8:$C$907,PARÂMETROS!$G$8:$G$907,F82)),0)</f>
        <v>0.0562508092172851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162394.876084</v>
      </c>
      <c r="E84" s="21" t="n">
        <f aca="false">IFERROR(D84/IF(B84="Clientes",SUMIFS(PARÂMETROS!$B$8:$B$907,PARÂMETROS!$G$8:$G$907,F84),SUMIFS(PARÂMETROS!$C$8:$C$907,PARÂMETROS!$G$8:$G$907,F84)),0)</f>
        <v>0.805965904601198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43008.897386</v>
      </c>
      <c r="E85" s="21" t="n">
        <f aca="false">IFERROR(D85/IF(B85="Clientes",SUMIFS(PARÂMETROS!$B$8:$B$907,PARÂMETROS!$G$8:$G$907,F85),SUMIFS(PARÂMETROS!$C$8:$C$907,PARÂMETROS!$G$8:$G$907,F85)),0)</f>
        <v>0.213453193373401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52443.491479</v>
      </c>
      <c r="E86" s="21" t="n">
        <f aca="false">IFERROR(D86/IF(B86="Clientes",SUMIFS(PARÂMETROS!$B$8:$B$907,PARÂMETROS!$G$8:$G$907,F86),SUMIFS(PARÂMETROS!$C$8:$C$907,PARÂMETROS!$G$8:$G$907,F86)),0)</f>
        <v>0.260277091676551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91132.389</v>
      </c>
      <c r="E92" s="21" t="n">
        <f aca="false">IFERROR(D92/IF(B92="Clientes",SUMIFS(PARÂMETROS!$B$8:$B$907,PARÂMETROS!$G$8:$G$907,F92),SUMIFS(PARÂMETROS!$C$8:$C$907,PARÂMETROS!$G$8:$G$907,F92)),0)</f>
        <v>0.45229012213945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31056.004638</v>
      </c>
      <c r="E96" s="21" t="n">
        <f aca="false">IFERROR(D96/IF(B96="Clientes",SUMIFS(PARÂMETROS!$B$8:$B$907,PARÂMETROS!$G$8:$G$907,F96),SUMIFS(PARÂMETROS!$C$8:$C$907,PARÂMETROS!$G$8:$G$907,F96)),0)</f>
        <v>0.154130976758267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28841.437653</v>
      </c>
      <c r="E99" s="21" t="n">
        <f aca="false">IFERROR(D99/IF(B99="Clientes",SUMIFS(PARÂMETROS!$B$8:$B$907,PARÂMETROS!$G$8:$G$907,F99),SUMIFS(PARÂMETROS!$C$8:$C$907,PARÂMETROS!$G$8:$G$907,F99)),0)</f>
        <v>0.143140078976232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117118.356518</v>
      </c>
      <c r="E100" s="21" t="n">
        <f aca="false">IFERROR(D100/IF(B100="Clientes",SUMIFS(PARÂMETROS!$B$8:$B$907,PARÂMETROS!$G$8:$G$907,F100),SUMIFS(PARÂMETROS!$C$8:$C$907,PARÂMETROS!$G$8:$G$907,F100)),0)</f>
        <v>0.581258500469004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125897.894012</v>
      </c>
      <c r="E101" s="21" t="n">
        <f aca="false">IFERROR(D101/G101,0)</f>
        <v>1701.32289205405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7997.6016</v>
      </c>
      <c r="E114" s="21" t="n">
        <f aca="false">IFERROR(D114/IF(B114="Clientes",SUMIFS(PARÂMETROS!$B$8:$B$907,PARÂMETROS!$G$8:$G$907,F114),SUMIFS(PARÂMETROS!$C$8:$C$907,PARÂMETROS!$G$8:$G$907,F114)),0)</f>
        <v>0.0418006951449612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9026.5944</v>
      </c>
      <c r="E115" s="21" t="n">
        <f aca="false">IFERROR(D115/IF(B115="Clientes",SUMIFS(PARÂMETROS!$B$8:$B$907,PARÂMETROS!$G$8:$G$907,F115),SUMIFS(PARÂMETROS!$C$8:$C$907,PARÂMETROS!$G$8:$G$907,F115)),0)</f>
        <v>0.0463275272912037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7877.3345</v>
      </c>
      <c r="E116" s="21" t="n">
        <f aca="false">IFERROR(D116/IF(B116="Clientes",SUMIFS(PARÂMETROS!$B$8:$B$907,PARÂMETROS!$G$8:$G$907,F116),SUMIFS(PARÂMETROS!$C$8:$C$907,PARÂMETROS!$G$8:$G$907,F116)),0)</f>
        <v>0.0390952176524014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22642.34</v>
      </c>
      <c r="E120" s="21" t="n">
        <f aca="false">IFERROR(D120/IF(B120="Clientes",SUMIFS(PARÂMETROS!$B$8:$B$907,PARÂMETROS!$G$8:$G$907,F120),SUMIFS(PARÂMETROS!$C$8:$C$907,PARÂMETROS!$G$8:$G$907,F120)),0)</f>
        <v>0.118343673396855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25216.07</v>
      </c>
      <c r="E121" s="21" t="n">
        <f aca="false">IFERROR(D121/IF(B121="Clientes",SUMIFS(PARÂMETROS!$B$8:$B$907,PARÂMETROS!$G$8:$G$907,F121),SUMIFS(PARÂMETROS!$C$8:$C$907,PARÂMETROS!$G$8:$G$907,F121)),0)</f>
        <v>0.12941737706769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23936.69</v>
      </c>
      <c r="E122" s="21" t="n">
        <f aca="false">IFERROR(D122/IF(B122="Clientes",SUMIFS(PARÂMETROS!$B$8:$B$907,PARÂMETROS!$G$8:$G$907,F122),SUMIFS(PARÂMETROS!$C$8:$C$907,PARÂMETROS!$G$8:$G$907,F122)),0)</f>
        <v>0.118797812309235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44156.93</v>
      </c>
      <c r="E123" s="1" t="n">
        <f aca="false">IFERROR(D123/IF(B123="Clientes",SUMIFS(PARÂMETROS!$B$8:$B$907,PARÂMETROS!$G$8:$G$907,F123),SUMIFS(PARÂMETROS!$C$8:$C$907,PARÂMETROS!$G$8:$G$907,F123)),0)</f>
        <v>0.230792987921203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54590.541</v>
      </c>
      <c r="E124" s="1" t="n">
        <f aca="false">IFERROR(D124/IF(B124="Clientes",SUMIFS(PARÂMETROS!$B$8:$B$907,PARÂMETROS!$G$8:$G$907,F124),SUMIFS(PARÂMETROS!$C$8:$C$907,PARÂMETROS!$G$8:$G$907,F124)),0)</f>
        <v>0.280177070769799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55273.685</v>
      </c>
      <c r="E125" s="1" t="n">
        <f aca="false">IFERROR(D125/IF(B125="Clientes",SUMIFS(PARÂMETROS!$B$8:$B$907,PARÂMETROS!$G$8:$G$907,F125),SUMIFS(PARÂMETROS!$C$8:$C$907,PARÂMETROS!$G$8:$G$907,F125)),0)</f>
        <v>0.274323344466999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0.2292008608622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199083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42238.7645115133</v>
      </c>
      <c r="E127" s="21" t="n">
        <f aca="false">IFERROR(D127/IF(B127="Clientes",SUMIFS(PARÂMETROS!$B$8:$B$907,PARÂMETROS!$G$8:$G$907,F127),SUMIFS(PARÂMETROS!$C$8:$C$907,PARÂMETROS!$G$8:$G$907,F127)),0)</f>
        <v>40.1509168360392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68791.3849490881</v>
      </c>
      <c r="E128" s="21" t="n">
        <f aca="false">IFERROR(D128/IF(B128="Clientes",SUMIFS(PARÂMETROS!$B$8:$B$907,PARÂMETROS!$G$8:$G$907,F128),SUMIFS(PARÂMETROS!$C$8:$C$907,PARÂMETROS!$G$8:$G$907,F128)),0)</f>
        <v>65.3910503318327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62667.566441612</v>
      </c>
      <c r="E129" s="21" t="n">
        <f aca="false">IFERROR(D129/IF(B129="Clientes",SUMIFS(PARÂMETROS!$B$8:$B$907,PARÂMETROS!$G$8:$G$907,F129),SUMIFS(PARÂMETROS!$C$8:$C$907,PARÂMETROS!$G$8:$G$907,F129)),0)</f>
        <v>0.314781103567919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199083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27707.6170929277</v>
      </c>
      <c r="E130" s="21" t="n">
        <f aca="false">IFERROR(D130/IF(B130="Clientes",SUMIFS(PARÂMETROS!$B$8:$B$907,PARÂMETROS!$G$8:$G$907,F130),SUMIFS(PARÂMETROS!$C$8:$C$907,PARÂMETROS!$G$8:$G$907,F130)),0)</f>
        <v>0.139176208380061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199083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0.385410473461211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199083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178508.470982411</v>
      </c>
      <c r="E132" s="21" t="n">
        <f aca="false">IFERROR(D132/IF(B132="Clientes",SUMIFS(PARÂMETROS!$B$8:$B$907,PARÂMETROS!$G$8:$G$907,F132),SUMIFS(PARÂMETROS!$C$8:$C$907,PARÂMETROS!$G$8:$G$907,F132)),0)</f>
        <v>0.896653511261187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199083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0.274330109015472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199083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0.26878426602029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199083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0.206774854369887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199083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0.100200858026981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199083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0.146015404816941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199083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0.133549418333057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199083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77007.66593</v>
      </c>
      <c r="E140" s="21" t="n">
        <f aca="false">IFERROR(D140/IF(B140="Clientes",SUMIFS(PARÂMETROS!$B$8:$B$907,PARÂMETROS!$G$8:$G$907,F140),SUMIFS(PARÂMETROS!$C$8:$C$907,PARÂMETROS!$G$8:$G$907,F140)),0)</f>
        <v>0.386811862037442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199083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0.880419925357766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199083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0.671620982203403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199083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144953.80832</v>
      </c>
      <c r="E143" s="21" t="n">
        <f aca="false">IFERROR(D143/IF(B143="Clientes",SUMIFS(PARÂMETROS!$B$8:$B$907,PARÂMETROS!$G$8:$G$907,F143),SUMIFS(PARÂMETROS!$C$8:$C$907,PARÂMETROS!$G$8:$G$907,F143)),0)</f>
        <v>0.728107414093619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199083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33576.11708</v>
      </c>
      <c r="E144" s="21" t="n">
        <f aca="false">IFERROR(D144/IF(B144="Clientes",SUMIFS(PARÂMETROS!$B$8:$B$907,PARÂMETROS!$G$8:$G$907,F144),SUMIFS(PARÂMETROS!$C$8:$C$907,PARÂMETROS!$G$8:$G$907,F144)),0)</f>
        <v>0.168653863363522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199083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0.514268713652095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199083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0.699313538911447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199083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0.196074934173577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199083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0.678025802400621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199083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203574.04666504</v>
      </c>
      <c r="E149" s="21" t="n">
        <f aca="false">IFERROR(D149/G149,0)</f>
        <v>1219.00626745533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46692.3486096204</v>
      </c>
      <c r="E151" s="21" t="n">
        <f aca="false">IFERROR(D151/IF(B151="Clientes",SUMIFS(PARÂMETROS!$B$8:$B$907,PARÂMETROS!$G$8:$G$907,F151),SUMIFS(PARÂMETROS!$C$8:$C$907,PARÂMETROS!$G$8:$G$907,F151)),0)</f>
        <v>0.234537095631573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199083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0.0867203628637302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199083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0.354864617185628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199083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0.189483363159789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199083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0.380674690807352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199083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0.0755298089150293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199083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1.08300879532657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199083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0.683266125183969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199083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0.0592394872348271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199083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8490.16332201957</v>
      </c>
      <c r="E162" s="21" t="n">
        <f aca="false">IFERROR(D162/IF(B162="Clientes",SUMIFS(PARÂMETROS!$B$8:$B$907,PARÂMETROS!$G$8:$G$907,F162),SUMIFS(PARÂMETROS!$C$8:$C$907,PARÂMETROS!$G$8:$G$907,F162)),0)</f>
        <v>0.0426463501254229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199083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28778.02</v>
      </c>
      <c r="E164" s="21" t="n">
        <f aca="false">IFERROR(D164/IF(B164="Clientes",SUMIFS(PARÂMETROS!$B$8:$B$907,PARÂMETROS!$G$8:$G$907,F164),SUMIFS(PARÂMETROS!$C$8:$C$907,PARÂMETROS!$G$8:$G$907,F164)),0)</f>
        <v>0.144552874931561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199083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54796.6777</v>
      </c>
      <c r="E165" s="1" t="n">
        <f aca="false">IFERROR(D165/IF(B165="Clientes",SUMIFS(PARÂMETROS!$B$8:$B$907,PARÂMETROS!$G$8:$G$907,F165),SUMIFS(PARÂMETROS!$C$8:$C$907,PARÂMETROS!$G$8:$G$907,F165)),0)</f>
        <v>0.275245388606762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199083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0.134181900564086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199083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594.42</v>
      </c>
      <c r="F12" s="45" t="n">
        <f aca="false">IFERROR(D12*E12,0)</f>
        <v>594.42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1486.04</v>
      </c>
      <c r="F24" s="45" t="n">
        <f aca="false">IFERROR(D24*E24,0)</f>
        <v>1486.04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24541.14</v>
      </c>
      <c r="F32" s="45" t="n">
        <f aca="false">IFERROR(D32*E32,0)</f>
        <v>24541.14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2759.89</v>
      </c>
      <c r="F77" s="45" t="n">
        <f aca="false">IFERROR(D77*E77,0)</f>
        <v>2759.89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/>
      <c r="E84" s="44"/>
      <c r="F84" s="45" t="n">
        <f aca="false">IFERROR(D84*E84,0)</f>
        <v>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51262.46</v>
      </c>
      <c r="F122" s="45" t="n">
        <f aca="false">IFERROR(D122*E122,0)</f>
        <v>51262.46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27643.78</v>
      </c>
      <c r="F184" s="45" t="n">
        <f aca="false">IFERROR(D184*E184,0)</f>
        <v>27643.78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53476.48</v>
      </c>
      <c r="F228" s="45" t="n">
        <f aca="false">IFERROR(D228*E228,0)</f>
        <v>53476.48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67564.23</v>
      </c>
      <c r="F253" s="45" t="n">
        <f aca="false">IFERROR(D253*E253,0)</f>
        <v>67564.23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5052.53</v>
      </c>
      <c r="F330" s="45" t="n">
        <f aca="false">IFERROR(D330*E330,0)</f>
        <v>5052.53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51361.01</v>
      </c>
      <c r="F338" s="45" t="n">
        <f aca="false">IFERROR(D338*E338,0)</f>
        <v>51361.01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12181.37</v>
      </c>
      <c r="F375" s="45" t="n">
        <f aca="false">IFERROR(D375*E375,0)</f>
        <v>12181.37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87546.25</v>
      </c>
      <c r="F384" s="45" t="n">
        <f aca="false">IFERROR(D384*E384,0)</f>
        <v>87546.25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5</v>
      </c>
      <c r="E463" s="44" t="n">
        <v>50</v>
      </c>
      <c r="F463" s="45" t="n">
        <f aca="false">IFERROR(D463*E463,0)</f>
        <v>250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3045.33</v>
      </c>
      <c r="F487" s="45" t="n">
        <f aca="false">IFERROR(D487*E487,0)</f>
        <v>3045.33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27228.02</v>
      </c>
      <c r="F493" s="45" t="n">
        <f aca="false">IFERROR(D493*E493,0)</f>
        <v>27228.02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32877.51</v>
      </c>
      <c r="F556" s="45" t="n">
        <f aca="false">IFERROR(D556*E556,0)</f>
        <v>32877.51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1172.47</v>
      </c>
      <c r="F681" s="45" t="n">
        <f aca="false">IFERROR(D681*E681,0)</f>
        <v>1172.47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1758.71</v>
      </c>
      <c r="F692" s="54" t="n">
        <f aca="false">IFERROR(D692*E692,0)</f>
        <v>1758.71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/>
      <c r="E714" s="53"/>
      <c r="F714" s="54" t="n">
        <f aca="false">IFERROR(D714*E714,0)</f>
        <v>0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/>
      <c r="E720" s="44"/>
      <c r="F720" s="45" t="n">
        <f aca="false">IFERROR(D720*E720,0)</f>
        <v>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/>
      <c r="E749" s="53"/>
      <c r="F749" s="54" t="n">
        <f aca="false">IFERROR(D749*E749,0)</f>
        <v>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41923.12</v>
      </c>
      <c r="F784" s="45" t="n">
        <f aca="false">IFERROR(D784*E784,0)</f>
        <v>41923.12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22898.39</v>
      </c>
      <c r="F839" s="54" t="n">
        <f aca="false">D839*E839</f>
        <v>22898.39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46421.18</v>
      </c>
      <c r="F879" s="54" t="n">
        <f aca="false">IFERROR(E879,0)</f>
        <v>46421.18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64125.19</v>
      </c>
      <c r="F903" s="45" t="n">
        <f aca="false">IFERROR(E903,0)</f>
        <v>64125.19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3517.41</v>
      </c>
      <c r="F976" s="45" t="n">
        <f aca="false">IFERROR(D976*E976,0)</f>
        <v>3517.41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44285.09</v>
      </c>
      <c r="F984" s="45" t="n">
        <f aca="false">IFERROR(D984*E984,0)</f>
        <v>44285.09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11364.04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73782.12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5</v>
      </c>
      <c r="E1104" s="44" t="n">
        <v>50</v>
      </c>
      <c r="F1104" s="45" t="n">
        <f aca="false">IFERROR(D1104*E1104,0)</f>
        <v>250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3246.86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24574.1</v>
      </c>
      <c r="F1134" s="45" t="n">
        <f aca="false">IFERROR(E1134,0)</f>
        <v>24574.1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1</v>
      </c>
      <c r="E1177" s="53" t="n">
        <v>50</v>
      </c>
      <c r="F1177" s="54" t="n">
        <f aca="false">IFERROR(D1177*E1177,0)</f>
        <v>50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31910.79</v>
      </c>
      <c r="F1193" s="54" t="n">
        <f aca="false">IFERROR(E1193,0)</f>
        <v>31910.79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73</v>
      </c>
      <c r="F1244" s="54" t="n">
        <f aca="false">IFERROR(D1244*E1244,0)</f>
        <v>73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1</v>
      </c>
      <c r="E1266" s="53" t="n">
        <v>50</v>
      </c>
      <c r="F1266" s="54" t="n">
        <f aca="false">IFERROR(D1266*E1266,0)</f>
        <v>50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1317.38</v>
      </c>
      <c r="F1309" s="54" t="n">
        <f aca="false">IFERROR(D1309*E1309,0)</f>
        <v>1317.38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2634.74</v>
      </c>
      <c r="F1316" s="45" t="n">
        <f aca="false">IFERROR(D1316*E1316,0)</f>
        <v>2634.74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2730.28</v>
      </c>
      <c r="F1364" s="54" t="n">
        <f aca="false">IFERROR(D1364*E1364,0)</f>
        <v>2730.28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/>
      <c r="E1372" s="53"/>
      <c r="F1372" s="54" t="n">
        <f aca="false">IFERROR(D1372*E1372,0)</f>
        <v>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49977.13</v>
      </c>
      <c r="F1400" s="45" t="n">
        <f aca="false">IFERROR(D1400*E1400,0)</f>
        <v>49977.13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24026.63</v>
      </c>
      <c r="F1447" s="54" t="n">
        <f aca="false">D1447*E1447</f>
        <v>24026.63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45929.89</v>
      </c>
      <c r="F1480" s="45" t="n">
        <f aca="false">IFERROR(E1480,0)</f>
        <v>45929.89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3293.43</v>
      </c>
      <c r="F1568" s="54" t="n">
        <f aca="false">IFERROR(D1568*E1568,0)</f>
        <v>3293.43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44981.82</v>
      </c>
      <c r="F1573" s="45" t="n">
        <f aca="false">IFERROR(D1573*E1573,0)</f>
        <v>44981.82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13803.72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79699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5</v>
      </c>
      <c r="E1674" s="53" t="n">
        <v>50</v>
      </c>
      <c r="F1674" s="54" t="n">
        <f aca="false">IFERROR(D1674*E1674,0)</f>
        <v>250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3943.92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27734.93</v>
      </c>
      <c r="F1704" s="45" t="n">
        <f aca="false">IFERROR(E1704,0)</f>
        <v>27734.93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28758.44</v>
      </c>
      <c r="F1757" s="54" t="n">
        <f aca="false">IFERROR(E1757,0)</f>
        <v>28758.44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65</v>
      </c>
      <c r="F1801" s="64" t="n">
        <f aca="false">IFERROR(D1801*E1801,0)</f>
        <v>65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1252.55</v>
      </c>
      <c r="F1863" s="45" t="n">
        <f aca="false">IFERROR(D1863*E1863,0)</f>
        <v>1252.55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2505.1</v>
      </c>
      <c r="F1873" s="54" t="n">
        <f aca="false">IFERROR(D1873*E1873,0)</f>
        <v>2505.1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/>
      <c r="E1896" s="53"/>
      <c r="F1896" s="54" t="n">
        <f aca="false">IFERROR(D1896*E1896,0)</f>
        <v>0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3864.03</v>
      </c>
      <c r="F1926" s="45" t="n">
        <f aca="false">IFERROR(D1926*E1926,0)</f>
        <v>3864.03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/>
      <c r="E1934" s="44"/>
      <c r="F1934" s="45" t="n">
        <f aca="false">IFERROR(D1934*E1934,0)</f>
        <v>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39370.83</v>
      </c>
      <c r="F1963" s="45" t="n">
        <f aca="false">IFERROR(D1963*E1963,0)</f>
        <v>39370.83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21485.9</v>
      </c>
      <c r="F2025" s="54" t="n">
        <f aca="false">D2025*E2025</f>
        <v>21485.9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40620.57</v>
      </c>
      <c r="F2062" s="54" t="n">
        <f aca="false">IFERROR(E2062,0)</f>
        <v>40620.57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3131.38</v>
      </c>
      <c r="F2166" s="45" t="n">
        <f aca="false">IFERROR(D2166*E2166,0)</f>
        <v>3131.38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37715.89</v>
      </c>
      <c r="F2174" s="54" t="n">
        <f aca="false">IFERROR(D2174*E2174,0)</f>
        <v>37715.89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9918.16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55474.69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380</v>
      </c>
      <c r="F2278" s="54" t="n">
        <f aca="false">IFERROR(D2278*E2278,0)</f>
        <v>380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5</v>
      </c>
      <c r="E2283" s="44" t="n">
        <v>50</v>
      </c>
      <c r="F2283" s="45" t="n">
        <f aca="false">IFERROR(D2283*E2283,0)</f>
        <v>250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3306.05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24665.46</v>
      </c>
      <c r="F2319" s="45" t="n">
        <f aca="false">IFERROR(E2319,0)</f>
        <v>24665.46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163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285</v>
      </c>
      <c r="F2357" s="54" t="n">
        <f aca="false">IFERROR(D2357*E2357,0)</f>
        <v>285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23772.63</v>
      </c>
      <c r="F2384" s="45" t="n">
        <f aca="false">IFERROR(E2384,0)</f>
        <v>23772.63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190</v>
      </c>
      <c r="F2435" s="54" t="n">
        <f aca="false">IFERROR(D2435*E2435,0)</f>
        <v>190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9</v>
      </c>
      <c r="E2622" s="37" t="n">
        <v>50</v>
      </c>
      <c r="F2622" s="37" t="n">
        <f aca="false">IFERROR(D2622*E2622,0)</f>
        <v>450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10</v>
      </c>
      <c r="E2623" s="37" t="n">
        <v>50</v>
      </c>
      <c r="F2623" s="37" t="n">
        <f aca="false">IFERROR(D2623*E2623,0)</f>
        <v>500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11</v>
      </c>
      <c r="E2624" s="37" t="n">
        <v>50</v>
      </c>
      <c r="F2624" s="37" t="n">
        <f aca="false">IFERROR(D2624*E2624,0)</f>
        <v>550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  <row r="2661" customFormat="false" ht="14.25" hidden="false" customHeight="true" outlineLevel="0" collapsed="false">
      <c r="A2661" s="1" t="s">
        <v>38</v>
      </c>
      <c r="B2661" s="36" t="s">
        <v>157</v>
      </c>
      <c r="C2661" s="36" t="s">
        <v>174</v>
      </c>
      <c r="D2661" s="36" t="n">
        <v>1</v>
      </c>
      <c r="E2661" s="37" t="n">
        <v>65</v>
      </c>
      <c r="F2661" s="37" t="n">
        <f aca="false">IFERROR(D2661*E2661,0)</f>
        <v>65</v>
      </c>
      <c r="G2661" s="36" t="str">
        <f aca="false">INDEX(SETORES!$B:$B,MATCH(A2661,SETORES!$A:$A,0))</f>
        <v>Clientes</v>
      </c>
      <c r="H2661" s="36" t="s">
        <v>11</v>
      </c>
    </row>
    <row r="2662" customFormat="false" ht="14.25" hidden="false" customHeight="true" outlineLevel="0" collapsed="false">
      <c r="A2662" s="1" t="s">
        <v>86</v>
      </c>
      <c r="B2662" s="36" t="s">
        <v>155</v>
      </c>
      <c r="C2662" s="36" t="s">
        <v>168</v>
      </c>
      <c r="D2662" s="36" t="n">
        <v>11</v>
      </c>
      <c r="E2662" s="37" t="n">
        <v>124.491481481482</v>
      </c>
      <c r="F2662" s="37" t="n">
        <f aca="false">IFERROR(D2662*E2662,0)</f>
        <v>1369.4062962963</v>
      </c>
      <c r="G2662" s="36" t="str">
        <f aca="false">INDEX(SETORES!$B:$B,MATCH(A2662,SETORES!$A:$A,0))</f>
        <v>Clientes</v>
      </c>
      <c r="H2662" s="36" t="s">
        <v>88</v>
      </c>
    </row>
    <row r="2663" customFormat="false" ht="14.25" hidden="false" customHeight="true" outlineLevel="0" collapsed="false">
      <c r="A2663" s="1" t="s">
        <v>86</v>
      </c>
      <c r="B2663" s="36" t="s">
        <v>155</v>
      </c>
      <c r="C2663" s="36" t="s">
        <v>162</v>
      </c>
      <c r="D2663" s="36" t="n">
        <v>11</v>
      </c>
      <c r="E2663" s="37" t="n">
        <v>0.342924528301887</v>
      </c>
      <c r="F2663" s="37" t="n">
        <f aca="false">IFERROR(D2663*E2663,0)</f>
        <v>3.77216981132076</v>
      </c>
      <c r="G2663" s="36" t="str">
        <f aca="false">INDEX(SETORES!$B:$B,MATCH(A2663,SETORES!$A:$A,0))</f>
        <v>Clientes</v>
      </c>
      <c r="H2663" s="36" t="s">
        <v>88</v>
      </c>
    </row>
    <row r="2664" customFormat="false" ht="14.25" hidden="false" customHeight="true" outlineLevel="0" collapsed="false">
      <c r="A2664" s="1" t="s">
        <v>54</v>
      </c>
      <c r="B2664" s="36" t="s">
        <v>155</v>
      </c>
      <c r="C2664" s="36" t="s">
        <v>163</v>
      </c>
      <c r="D2664" s="36" t="n">
        <v>10</v>
      </c>
      <c r="E2664" s="37" t="n">
        <v>30</v>
      </c>
      <c r="F2664" s="37" t="n">
        <f aca="false">IFERROR(D2664*E2664,0)</f>
        <v>300</v>
      </c>
      <c r="G2664" s="36" t="str">
        <f aca="false">INDEX(SETORES!$B:$B,MATCH(A2664,SETORES!$A:$A,0))</f>
        <v>Clientes</v>
      </c>
      <c r="H2664" s="36" t="s">
        <v>20</v>
      </c>
    </row>
    <row r="2665" customFormat="false" ht="14.25" hidden="false" customHeight="true" outlineLevel="0" collapsed="false">
      <c r="A2665" s="1" t="s">
        <v>54</v>
      </c>
      <c r="B2665" s="36" t="s">
        <v>155</v>
      </c>
      <c r="C2665" s="36" t="s">
        <v>163</v>
      </c>
      <c r="D2665" s="36" t="n">
        <v>9</v>
      </c>
      <c r="E2665" s="37" t="n">
        <v>30</v>
      </c>
      <c r="F2665" s="37" t="n">
        <f aca="false">IFERROR(D2665*E2665,0)</f>
        <v>270</v>
      </c>
      <c r="G2665" s="36" t="str">
        <f aca="false">INDEX(SETORES!$B:$B,MATCH(A2665,SETORES!$A:$A,0))</f>
        <v>Clientes</v>
      </c>
      <c r="H2665" s="36" t="s">
        <v>11</v>
      </c>
    </row>
    <row r="2666" customFormat="false" ht="14.25" hidden="false" customHeight="true" outlineLevel="0" collapsed="false">
      <c r="A2666" s="1" t="s">
        <v>54</v>
      </c>
      <c r="B2666" s="36" t="s">
        <v>155</v>
      </c>
      <c r="C2666" s="36" t="s">
        <v>163</v>
      </c>
      <c r="D2666" s="36" t="n">
        <v>10</v>
      </c>
      <c r="E2666" s="37" t="n">
        <v>30</v>
      </c>
      <c r="F2666" s="37" t="n">
        <f aca="false">IFERROR(D2666*E2666,0)</f>
        <v>300</v>
      </c>
      <c r="G2666" s="36" t="str">
        <f aca="false">INDEX(SETORES!$B:$B,MATCH(A2666,SETORES!$A:$A,0))</f>
        <v>Clientes</v>
      </c>
      <c r="H2666" s="36" t="s">
        <v>21</v>
      </c>
    </row>
    <row r="2667" customFormat="false" ht="14.25" hidden="false" customHeight="true" outlineLevel="0" collapsed="false">
      <c r="A2667" s="1" t="s">
        <v>54</v>
      </c>
      <c r="B2667" s="36" t="s">
        <v>155</v>
      </c>
      <c r="C2667" s="36" t="s">
        <v>163</v>
      </c>
      <c r="D2667" s="36" t="n">
        <v>11</v>
      </c>
      <c r="E2667" s="37" t="n">
        <v>30</v>
      </c>
      <c r="F2667" s="37" t="n">
        <f aca="false">IFERROR(D2667*E2667,0)</f>
        <v>330</v>
      </c>
      <c r="G2667" s="36" t="str">
        <f aca="false">INDEX(SETORES!$B:$B,MATCH(A2667,SETORES!$A:$A,0))</f>
        <v>Clientes</v>
      </c>
      <c r="H2667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78750.1264581268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133941.076458127</v>
      </c>
      <c r="F4" s="11" t="n">
        <f aca="false">IFERROR(B4/B$12,0)</f>
        <v>0.0318812484900264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155804.497328848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155804.497328848</v>
      </c>
      <c r="F5" s="16" t="n">
        <f aca="false">IFERROR(B5/B$12,0)</f>
        <v>0.0630759862696327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177412.9423158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181980.9323158</v>
      </c>
      <c r="F6" s="11" t="n">
        <f aca="false">IFERROR(B6/B$12,0)</f>
        <v>0.0718239621154669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45552.7433755559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49256.3633755559</v>
      </c>
      <c r="F7" s="16" t="n">
        <f aca="false">IFERROR(B7/B$12,0)</f>
        <v>0.0184415999856293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83935.8018029449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135041.161802945</v>
      </c>
      <c r="F8" s="11" t="n">
        <f aca="false">IFERROR(B8/B$12,0)</f>
        <v>0.0339806204109674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56545.5153203723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73081.9853203723</v>
      </c>
      <c r="F9" s="16" t="n">
        <f aca="false">IFERROR(B9/B$12,0)</f>
        <v>0.0228919203816636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59549.905880208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64552.045880208</v>
      </c>
      <c r="F10" s="11" t="n">
        <f aca="false">IFERROR(B10/B$12,0)</f>
        <v>0.024108219660245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1812556.45224035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421185.539173333</v>
      </c>
      <c r="E11" s="22" t="n">
        <f aca="false">B11+C11+D11</f>
        <v>2233741.99141368</v>
      </c>
      <c r="F11" s="16" t="n">
        <f aca="false">IFERROR(B11/B$12,0)</f>
        <v>0.733796442686369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2470107.9847222</v>
      </c>
      <c r="C12" s="34" t="n">
        <f aca="false">SUM(C4:C11)</f>
        <v>0</v>
      </c>
      <c r="D12" s="34" t="n">
        <f aca="false">SUM(D4:D11)</f>
        <v>557292.069173333</v>
      </c>
      <c r="E12" s="34" t="n">
        <f aca="false">SUM(E4:E11)</f>
        <v>3027400.05389554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67283.1510922041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113739.031092204</v>
      </c>
      <c r="F14" s="11" t="n">
        <f aca="false">IFERROR(B14/B$22,0)</f>
        <v>0.0316718577140803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136304.421879103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136304.421879103</v>
      </c>
      <c r="F15" s="16" t="n">
        <f aca="false">IFERROR(B15/B$22,0)</f>
        <v>0.0641618917288657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154134.686702526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159768.296702526</v>
      </c>
      <c r="F16" s="11" t="n">
        <f aca="false">IFERROR(B16/B$22,0)</f>
        <v>0.0725550421881529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39312.5469455522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43024.7069455522</v>
      </c>
      <c r="F17" s="16" t="n">
        <f aca="false">IFERROR(B17/B$22,0)</f>
        <v>0.0185053965669853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73058.0644720512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128827.194472051</v>
      </c>
      <c r="F18" s="11" t="n">
        <f aca="false">IFERROR(B18/B$22,0)</f>
        <v>0.0343902535072114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49142.4470110172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65679.6070110172</v>
      </c>
      <c r="F19" s="16" t="n">
        <f aca="false">IFERROR(B19/B$22,0)</f>
        <v>0.0231325757517175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52530.2200037923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82244.2900037923</v>
      </c>
      <c r="F20" s="11" t="n">
        <f aca="false">IFERROR(B20/B$22,0)</f>
        <v>0.0247272850132938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1552617.30358265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426046.519466667</v>
      </c>
      <c r="E21" s="22" t="n">
        <f aca="false">B21+C21+D21</f>
        <v>1978663.82304932</v>
      </c>
      <c r="F21" s="16" t="n">
        <f aca="false">IFERROR(B21/B$22,0)</f>
        <v>0.730855697529693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2124382.84168889</v>
      </c>
      <c r="C22" s="34" t="n">
        <f aca="false">SUM(C14:C21)</f>
        <v>0</v>
      </c>
      <c r="D22" s="34" t="n">
        <f aca="false">SUM(D14:D21)</f>
        <v>583868.529466667</v>
      </c>
      <c r="E22" s="34" t="n">
        <f aca="false">SUM(E14:E21)</f>
        <v>2708251.37115556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80184.2602535893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137024.300253589</v>
      </c>
      <c r="F24" s="11" t="n">
        <f aca="false">IFERROR(B24/B$32,0)</f>
        <v>0.0316455073783265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144824.1311049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144824.1311049</v>
      </c>
      <c r="F25" s="16" t="n">
        <f aca="false">IFERROR(B25/B$32,0)</f>
        <v>0.0571562685113712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176909.167657186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176909.167657186</v>
      </c>
      <c r="F26" s="11" t="n">
        <f aca="false">IFERROR(B26/B$32,0)</f>
        <v>0.0698189439259494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45046.7256257772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45046.7256257772</v>
      </c>
      <c r="F27" s="16" t="n">
        <f aca="false">IFERROR(B27/B$32,0)</f>
        <v>0.0177781335595245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84519.2592515468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153442.919251547</v>
      </c>
      <c r="F28" s="11" t="n">
        <f aca="false">IFERROR(B28/B$32,0)</f>
        <v>0.0333563573922949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56550.0810352227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70750.1410352227</v>
      </c>
      <c r="F29" s="16" t="n">
        <f aca="false">IFERROR(B29/B$32,0)</f>
        <v>0.0223180459729314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60333.2690381997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68644.2090381997</v>
      </c>
      <c r="F30" s="11" t="n">
        <f aca="false">IFERROR(B30/B$32,0)</f>
        <v>0.0238111183475243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1885460.71369287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419353.61856</v>
      </c>
      <c r="E31" s="22" t="n">
        <f aca="false">B31+C31+D31</f>
        <v>2304814.33225287</v>
      </c>
      <c r="F31" s="16" t="n">
        <f aca="false">IFERROR(B31/B$32,0)</f>
        <v>0.744115624912078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2533827.60765929</v>
      </c>
      <c r="C32" s="34" t="n">
        <f aca="false">SUM(C24:C31)</f>
        <v>0</v>
      </c>
      <c r="D32" s="34" t="n">
        <f aca="false">SUM(D24:D31)</f>
        <v>567628.31856</v>
      </c>
      <c r="E32" s="34" t="n">
        <f aca="false">SUM(E24:E31)</f>
        <v>3101455.92621929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88144.9263972116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143412.832397212</v>
      </c>
      <c r="F33" s="11" t="n">
        <f aca="false">IFERROR(B33/B$32,0)</f>
        <v>0.0347872626104341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161290.741652967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161290.741652967</v>
      </c>
      <c r="F34" s="1" t="n">
        <f aca="false">IFERROR(B34/B$32,0)</f>
        <v>0.0636549784071398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194910.171491636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194910.171491636</v>
      </c>
      <c r="F35" s="11" t="n">
        <f aca="false">IFERROR(B35/B$32,0)</f>
        <v>0.0769232172316929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49794.7377691392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56500.3277691392</v>
      </c>
      <c r="F36" s="16" t="n">
        <f aca="false">IFERROR(B36/B$32,0)</f>
        <v>0.0196519832756653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92623.4305307661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167967.075730766</v>
      </c>
      <c r="F37" s="11" t="n">
        <f aca="false">IFERROR(B37/B$32,0)</f>
        <v>0.0365547483383569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62226.6064385932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76245.2248385932</v>
      </c>
      <c r="F38" s="16" t="n">
        <f aca="false">IFERROR(B38/B$32,0)</f>
        <v>0.0245583425843549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66017.0630965814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85742.8218965814</v>
      </c>
      <c r="F39" s="11" t="n">
        <f aca="false">IFERROR(B39/B$32,0)</f>
        <v>0.0260542836051767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2011102.71856818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577504.7704</v>
      </c>
      <c r="E40" s="22" t="n">
        <f aca="false">B40+C40+D40</f>
        <v>2588607.48896818</v>
      </c>
      <c r="F40" s="16" t="n">
        <f aca="false">IFERROR(B40/B$32,0)</f>
        <v>0.793701478541394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2726110.39594507</v>
      </c>
      <c r="C41" s="34" t="n">
        <f aca="false">SUM(C33:C40)</f>
        <v>0</v>
      </c>
      <c r="D41" s="34" t="n">
        <f aca="false">SUM(D33:D40)</f>
        <v>748566.2888</v>
      </c>
      <c r="E41" s="34" t="n">
        <f aca="false">SUM(E33:E40)</f>
        <v>3474676.68474507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18</v>
      </c>
      <c r="C6" s="72" t="n">
        <v>39</v>
      </c>
      <c r="D6" s="72" t="n">
        <v>33</v>
      </c>
      <c r="E6" s="72" t="n">
        <v>2</v>
      </c>
      <c r="F6" s="72" t="s">
        <v>275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276</v>
      </c>
      <c r="B7" s="72" t="s">
        <v>18</v>
      </c>
      <c r="C7" s="72" t="n">
        <v>9</v>
      </c>
      <c r="D7" s="72" t="n">
        <v>9</v>
      </c>
      <c r="E7" s="72" t="n">
        <v>0</v>
      </c>
      <c r="F7" s="72" t="s">
        <v>277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278</v>
      </c>
      <c r="B8" s="72" t="s">
        <v>18</v>
      </c>
      <c r="C8" s="72" t="n">
        <v>7</v>
      </c>
      <c r="D8" s="72" t="n">
        <v>6</v>
      </c>
      <c r="E8" s="72" t="n">
        <v>1</v>
      </c>
      <c r="F8" s="72" t="s">
        <v>277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279</v>
      </c>
      <c r="B9" s="72" t="s">
        <v>18</v>
      </c>
      <c r="C9" s="72" t="n">
        <v>11</v>
      </c>
      <c r="D9" s="72" t="n">
        <v>8</v>
      </c>
      <c r="E9" s="72" t="n">
        <v>1</v>
      </c>
      <c r="F9" s="72" t="s">
        <v>280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279</v>
      </c>
      <c r="B10" s="72" t="s">
        <v>17</v>
      </c>
      <c r="C10" s="72" t="n">
        <v>2</v>
      </c>
      <c r="D10" s="72" t="n">
        <v>1</v>
      </c>
      <c r="E10" s="72" t="n">
        <v>1</v>
      </c>
      <c r="F10" s="72" t="s">
        <v>277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281</v>
      </c>
      <c r="B11" s="72" t="s">
        <v>18</v>
      </c>
      <c r="C11" s="72" t="n">
        <v>18</v>
      </c>
      <c r="D11" s="72" t="n">
        <v>14</v>
      </c>
      <c r="E11" s="72" t="n">
        <v>2</v>
      </c>
      <c r="F11" s="72" t="s">
        <v>280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281</v>
      </c>
      <c r="B12" s="72" t="s">
        <v>13</v>
      </c>
      <c r="C12" s="72" t="n">
        <v>2</v>
      </c>
      <c r="D12" s="72" t="n">
        <v>1</v>
      </c>
      <c r="E12" s="72" t="n">
        <v>1</v>
      </c>
      <c r="F12" s="72" t="s">
        <v>277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281</v>
      </c>
      <c r="B13" s="72" t="s">
        <v>16</v>
      </c>
      <c r="C13" s="72" t="n">
        <v>5</v>
      </c>
      <c r="D13" s="72" t="n">
        <v>5</v>
      </c>
      <c r="E13" s="72" t="n">
        <v>0</v>
      </c>
      <c r="F13" s="72" t="s">
        <v>277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282</v>
      </c>
      <c r="B14" s="72" t="s">
        <v>10</v>
      </c>
      <c r="C14" s="72" t="n">
        <v>8</v>
      </c>
      <c r="D14" s="72" t="n">
        <v>7</v>
      </c>
      <c r="E14" s="72" t="n">
        <v>0</v>
      </c>
      <c r="F14" s="72" t="s">
        <v>283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282</v>
      </c>
      <c r="B15" s="72" t="s">
        <v>12</v>
      </c>
      <c r="C15" s="72" t="n">
        <v>2</v>
      </c>
      <c r="D15" s="72" t="n">
        <v>1</v>
      </c>
      <c r="E15" s="72" t="n">
        <v>0</v>
      </c>
      <c r="F15" s="72" t="s">
        <v>283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282</v>
      </c>
      <c r="B16" s="72" t="s">
        <v>15</v>
      </c>
      <c r="C16" s="72" t="n">
        <v>11</v>
      </c>
      <c r="D16" s="72" t="n">
        <v>9</v>
      </c>
      <c r="E16" s="72" t="n">
        <v>1</v>
      </c>
      <c r="F16" s="72" t="s">
        <v>284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285</v>
      </c>
      <c r="B17" s="72" t="s">
        <v>14</v>
      </c>
      <c r="C17" s="72" t="n">
        <v>1</v>
      </c>
      <c r="D17" s="72" t="n">
        <v>0</v>
      </c>
      <c r="E17" s="72" t="n">
        <v>0</v>
      </c>
      <c r="F17" s="72" t="s">
        <v>283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286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287</v>
      </c>
      <c r="E20" s="71" t="s">
        <v>269</v>
      </c>
      <c r="F20" s="71" t="s">
        <v>152</v>
      </c>
      <c r="G20" s="71" t="s">
        <v>288</v>
      </c>
      <c r="H20" s="71" t="s">
        <v>289</v>
      </c>
      <c r="I20" s="71" t="s">
        <v>290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18</v>
      </c>
      <c r="C21" s="72" t="s">
        <v>291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187084.07</v>
      </c>
      <c r="I21" s="72" t="s">
        <v>292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18</v>
      </c>
      <c r="C22" s="72" t="s">
        <v>291</v>
      </c>
      <c r="D22" s="72" t="s">
        <v>293</v>
      </c>
      <c r="E22" s="72" t="s">
        <v>274</v>
      </c>
      <c r="F22" s="72" t="n">
        <v>1</v>
      </c>
      <c r="G22" s="73" t="n">
        <v>1236.86</v>
      </c>
      <c r="H22" s="73" t="n">
        <v>0</v>
      </c>
      <c r="I22" s="72" t="s">
        <v>294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18</v>
      </c>
      <c r="C23" s="72" t="s">
        <v>291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295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18</v>
      </c>
      <c r="C24" s="72" t="s">
        <v>291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295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18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295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18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296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18</v>
      </c>
      <c r="C27" s="72" t="s">
        <v>297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295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18</v>
      </c>
      <c r="C28" s="72" t="s">
        <v>297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295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18</v>
      </c>
      <c r="C29" s="72" t="s">
        <v>298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296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18</v>
      </c>
      <c r="C30" s="72" t="s">
        <v>298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296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18</v>
      </c>
      <c r="C31" s="72" t="s">
        <v>299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295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18</v>
      </c>
      <c r="C32" s="72" t="s">
        <v>300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301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18</v>
      </c>
      <c r="C33" s="72" t="s">
        <v>291</v>
      </c>
      <c r="D33" s="72" t="s">
        <v>241</v>
      </c>
      <c r="E33" s="72" t="s">
        <v>276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302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18</v>
      </c>
      <c r="C34" s="72" t="s">
        <v>291</v>
      </c>
      <c r="D34" s="72" t="s">
        <v>293</v>
      </c>
      <c r="E34" s="72" t="s">
        <v>276</v>
      </c>
      <c r="F34" s="72" t="n">
        <v>1</v>
      </c>
      <c r="G34" s="73" t="n">
        <v>285.43</v>
      </c>
      <c r="H34" s="73" t="n">
        <v>285.43</v>
      </c>
      <c r="I34" s="72" t="s">
        <v>303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18</v>
      </c>
      <c r="C35" s="72" t="s">
        <v>291</v>
      </c>
      <c r="D35" s="72" t="s">
        <v>166</v>
      </c>
      <c r="E35" s="72" t="s">
        <v>276</v>
      </c>
      <c r="F35" s="72" t="n">
        <v>9</v>
      </c>
      <c r="G35" s="73" t="n">
        <v>28.31</v>
      </c>
      <c r="H35" s="73" t="n">
        <f aca="false">F35*G35</f>
        <v>254.79</v>
      </c>
      <c r="I35" s="72" t="s">
        <v>295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18</v>
      </c>
      <c r="C36" s="72" t="s">
        <v>291</v>
      </c>
      <c r="D36" s="72" t="s">
        <v>165</v>
      </c>
      <c r="E36" s="72" t="s">
        <v>276</v>
      </c>
      <c r="F36" s="72" t="n">
        <v>9</v>
      </c>
      <c r="G36" s="73" t="n">
        <v>47.79</v>
      </c>
      <c r="H36" s="73" t="n">
        <f aca="false">F36*G36</f>
        <v>430.11</v>
      </c>
      <c r="I36" s="72" t="s">
        <v>295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18</v>
      </c>
      <c r="C37" s="72" t="s">
        <v>44</v>
      </c>
      <c r="D37" s="72" t="s">
        <v>167</v>
      </c>
      <c r="E37" s="72" t="s">
        <v>276</v>
      </c>
      <c r="F37" s="72" t="n">
        <v>9</v>
      </c>
      <c r="G37" s="73" t="n">
        <v>64.54</v>
      </c>
      <c r="H37" s="73" t="n">
        <f aca="false">F37*G37</f>
        <v>580.86</v>
      </c>
      <c r="I37" s="72" t="s">
        <v>295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18</v>
      </c>
      <c r="C38" s="72" t="s">
        <v>44</v>
      </c>
      <c r="D38" s="72" t="s">
        <v>240</v>
      </c>
      <c r="E38" s="72" t="s">
        <v>276</v>
      </c>
      <c r="F38" s="72" t="n">
        <v>1</v>
      </c>
      <c r="G38" s="73" t="n">
        <v>32.79</v>
      </c>
      <c r="H38" s="73" t="n">
        <v>32.79</v>
      </c>
      <c r="I38" s="72" t="s">
        <v>303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18</v>
      </c>
      <c r="C39" s="72" t="s">
        <v>297</v>
      </c>
      <c r="D39" s="72" t="s">
        <v>170</v>
      </c>
      <c r="E39" s="72" t="s">
        <v>276</v>
      </c>
      <c r="F39" s="72" t="n">
        <v>9</v>
      </c>
      <c r="G39" s="73" t="n">
        <v>10.05</v>
      </c>
      <c r="H39" s="73" t="n">
        <f aca="false">F39*G39</f>
        <v>90.45</v>
      </c>
      <c r="I39" s="72" t="s">
        <v>295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18</v>
      </c>
      <c r="C40" s="72" t="s">
        <v>297</v>
      </c>
      <c r="D40" s="72" t="s">
        <v>173</v>
      </c>
      <c r="E40" s="72" t="s">
        <v>276</v>
      </c>
      <c r="F40" s="72" t="n">
        <v>9</v>
      </c>
      <c r="G40" s="73" t="n">
        <v>2.07</v>
      </c>
      <c r="H40" s="73" t="n">
        <f aca="false">F40*G40</f>
        <v>18.63</v>
      </c>
      <c r="I40" s="72" t="s">
        <v>295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18</v>
      </c>
      <c r="C41" s="72" t="s">
        <v>298</v>
      </c>
      <c r="D41" s="72" t="s">
        <v>194</v>
      </c>
      <c r="E41" s="72" t="s">
        <v>276</v>
      </c>
      <c r="F41" s="72" t="n">
        <v>1</v>
      </c>
      <c r="G41" s="73" t="n">
        <v>176.42</v>
      </c>
      <c r="H41" s="73" t="n">
        <v>176.42</v>
      </c>
      <c r="I41" s="72" t="s">
        <v>303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18</v>
      </c>
      <c r="C42" s="72" t="s">
        <v>298</v>
      </c>
      <c r="D42" s="72" t="s">
        <v>198</v>
      </c>
      <c r="E42" s="72" t="s">
        <v>276</v>
      </c>
      <c r="F42" s="72" t="n">
        <v>1</v>
      </c>
      <c r="G42" s="73" t="n">
        <v>265.55</v>
      </c>
      <c r="H42" s="73" t="n">
        <v>265.55</v>
      </c>
      <c r="I42" s="72" t="s">
        <v>303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18</v>
      </c>
      <c r="C43" s="72" t="s">
        <v>299</v>
      </c>
      <c r="D43" s="72" t="s">
        <v>192</v>
      </c>
      <c r="E43" s="72" t="s">
        <v>276</v>
      </c>
      <c r="F43" s="72" t="n">
        <v>9</v>
      </c>
      <c r="G43" s="73" t="n">
        <v>30</v>
      </c>
      <c r="H43" s="73" t="n">
        <f aca="false">F43*G43</f>
        <v>270</v>
      </c>
      <c r="I43" s="72" t="s">
        <v>295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18</v>
      </c>
      <c r="C44" s="72" t="s">
        <v>291</v>
      </c>
      <c r="D44" s="72" t="s">
        <v>241</v>
      </c>
      <c r="E44" s="72" t="s">
        <v>278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304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18</v>
      </c>
      <c r="C45" s="72" t="s">
        <v>291</v>
      </c>
      <c r="D45" s="72" t="s">
        <v>293</v>
      </c>
      <c r="E45" s="72" t="s">
        <v>278</v>
      </c>
      <c r="F45" s="72" t="n">
        <v>1</v>
      </c>
      <c r="G45" s="73" t="n">
        <v>222</v>
      </c>
      <c r="H45" s="73" t="n">
        <v>222</v>
      </c>
      <c r="I45" s="72" t="s">
        <v>305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18</v>
      </c>
      <c r="C46" s="72" t="s">
        <v>291</v>
      </c>
      <c r="D46" s="72" t="s">
        <v>166</v>
      </c>
      <c r="E46" s="72" t="s">
        <v>278</v>
      </c>
      <c r="F46" s="72" t="n">
        <v>7</v>
      </c>
      <c r="G46" s="73" t="n">
        <v>28.31</v>
      </c>
      <c r="H46" s="73" t="n">
        <f aca="false">F46*G46</f>
        <v>198.17</v>
      </c>
      <c r="I46" s="72" t="s">
        <v>295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18</v>
      </c>
      <c r="C47" s="72" t="s">
        <v>291</v>
      </c>
      <c r="D47" s="72" t="s">
        <v>165</v>
      </c>
      <c r="E47" s="72" t="s">
        <v>278</v>
      </c>
      <c r="F47" s="72" t="n">
        <v>7</v>
      </c>
      <c r="G47" s="73" t="n">
        <v>47.79</v>
      </c>
      <c r="H47" s="73" t="n">
        <f aca="false">F47*G47</f>
        <v>334.53</v>
      </c>
      <c r="I47" s="72" t="s">
        <v>295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18</v>
      </c>
      <c r="C48" s="72" t="s">
        <v>44</v>
      </c>
      <c r="D48" s="72" t="s">
        <v>167</v>
      </c>
      <c r="E48" s="72" t="s">
        <v>278</v>
      </c>
      <c r="F48" s="72" t="n">
        <v>7</v>
      </c>
      <c r="G48" s="73" t="n">
        <v>64.54</v>
      </c>
      <c r="H48" s="73" t="n">
        <f aca="false">F48*G48</f>
        <v>451.78</v>
      </c>
      <c r="I48" s="72" t="s">
        <v>295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18</v>
      </c>
      <c r="C49" s="72" t="s">
        <v>44</v>
      </c>
      <c r="D49" s="72" t="s">
        <v>240</v>
      </c>
      <c r="E49" s="72" t="s">
        <v>278</v>
      </c>
      <c r="F49" s="72" t="n">
        <v>1</v>
      </c>
      <c r="G49" s="73" t="n">
        <v>25.5</v>
      </c>
      <c r="H49" s="73" t="n">
        <v>25.5</v>
      </c>
      <c r="I49" s="72" t="s">
        <v>305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18</v>
      </c>
      <c r="C50" s="72" t="s">
        <v>297</v>
      </c>
      <c r="D50" s="72" t="s">
        <v>170</v>
      </c>
      <c r="E50" s="72" t="s">
        <v>278</v>
      </c>
      <c r="F50" s="72" t="n">
        <v>7</v>
      </c>
      <c r="G50" s="73" t="n">
        <v>10.05</v>
      </c>
      <c r="H50" s="73" t="n">
        <f aca="false">F50*G50</f>
        <v>70.35</v>
      </c>
      <c r="I50" s="72" t="s">
        <v>295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18</v>
      </c>
      <c r="C51" s="72" t="s">
        <v>297</v>
      </c>
      <c r="D51" s="72" t="s">
        <v>173</v>
      </c>
      <c r="E51" s="72" t="s">
        <v>278</v>
      </c>
      <c r="F51" s="72" t="n">
        <v>7</v>
      </c>
      <c r="G51" s="73" t="n">
        <v>2.07</v>
      </c>
      <c r="H51" s="73" t="n">
        <f aca="false">F51*G51</f>
        <v>14.49</v>
      </c>
      <c r="I51" s="72" t="s">
        <v>295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18</v>
      </c>
      <c r="C52" s="72" t="s">
        <v>298</v>
      </c>
      <c r="D52" s="72" t="s">
        <v>194</v>
      </c>
      <c r="E52" s="72" t="s">
        <v>278</v>
      </c>
      <c r="F52" s="72" t="n">
        <v>1</v>
      </c>
      <c r="G52" s="73" t="n">
        <v>137.22</v>
      </c>
      <c r="H52" s="73" t="n">
        <v>137.22</v>
      </c>
      <c r="I52" s="72" t="s">
        <v>305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18</v>
      </c>
      <c r="C53" s="72" t="s">
        <v>298</v>
      </c>
      <c r="D53" s="72" t="s">
        <v>198</v>
      </c>
      <c r="E53" s="72" t="s">
        <v>278</v>
      </c>
      <c r="F53" s="72" t="n">
        <v>1</v>
      </c>
      <c r="G53" s="73" t="n">
        <v>206.54</v>
      </c>
      <c r="H53" s="73" t="n">
        <v>206.54</v>
      </c>
      <c r="I53" s="72" t="s">
        <v>305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18</v>
      </c>
      <c r="C54" s="72" t="s">
        <v>299</v>
      </c>
      <c r="D54" s="72" t="s">
        <v>192</v>
      </c>
      <c r="E54" s="72" t="s">
        <v>278</v>
      </c>
      <c r="F54" s="72" t="n">
        <v>7</v>
      </c>
      <c r="G54" s="73" t="n">
        <v>30</v>
      </c>
      <c r="H54" s="73" t="n">
        <f aca="false">F54*G54</f>
        <v>210</v>
      </c>
      <c r="I54" s="72" t="s">
        <v>295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18</v>
      </c>
      <c r="C55" s="72" t="s">
        <v>300</v>
      </c>
      <c r="D55" s="72" t="s">
        <v>186</v>
      </c>
      <c r="E55" s="72" t="s">
        <v>278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306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18</v>
      </c>
      <c r="C56" s="72" t="s">
        <v>291</v>
      </c>
      <c r="D56" s="72" t="s">
        <v>241</v>
      </c>
      <c r="E56" s="72" t="s">
        <v>279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307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18</v>
      </c>
      <c r="C57" s="72" t="s">
        <v>291</v>
      </c>
      <c r="D57" s="72" t="s">
        <v>293</v>
      </c>
      <c r="E57" s="72" t="s">
        <v>279</v>
      </c>
      <c r="F57" s="72" t="n">
        <v>1</v>
      </c>
      <c r="G57" s="73" t="n">
        <v>348.86</v>
      </c>
      <c r="H57" s="73" t="n">
        <v>348.86</v>
      </c>
      <c r="I57" s="72" t="s">
        <v>308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18</v>
      </c>
      <c r="C58" s="72" t="s">
        <v>291</v>
      </c>
      <c r="D58" s="72" t="s">
        <v>166</v>
      </c>
      <c r="E58" s="72" t="s">
        <v>279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295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18</v>
      </c>
      <c r="C59" s="72" t="s">
        <v>291</v>
      </c>
      <c r="D59" s="72" t="s">
        <v>165</v>
      </c>
      <c r="E59" s="72" t="s">
        <v>279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295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18</v>
      </c>
      <c r="C60" s="72" t="s">
        <v>44</v>
      </c>
      <c r="D60" s="72" t="s">
        <v>167</v>
      </c>
      <c r="E60" s="72" t="s">
        <v>279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295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18</v>
      </c>
      <c r="C61" s="72" t="s">
        <v>44</v>
      </c>
      <c r="D61" s="72" t="s">
        <v>240</v>
      </c>
      <c r="E61" s="72" t="s">
        <v>279</v>
      </c>
      <c r="F61" s="72" t="n">
        <v>1</v>
      </c>
      <c r="G61" s="73" t="n">
        <v>40.07</v>
      </c>
      <c r="H61" s="73" t="n">
        <v>40.07</v>
      </c>
      <c r="I61" s="72" t="s">
        <v>308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18</v>
      </c>
      <c r="C62" s="72" t="s">
        <v>297</v>
      </c>
      <c r="D62" s="72" t="s">
        <v>170</v>
      </c>
      <c r="E62" s="72" t="s">
        <v>279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295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18</v>
      </c>
      <c r="C63" s="72" t="s">
        <v>297</v>
      </c>
      <c r="D63" s="72" t="s">
        <v>173</v>
      </c>
      <c r="E63" s="72" t="s">
        <v>279</v>
      </c>
      <c r="F63" s="72" t="n">
        <v>11</v>
      </c>
      <c r="G63" s="73" t="n">
        <v>2.07</v>
      </c>
      <c r="H63" s="73" t="n">
        <f aca="false">F63*G63</f>
        <v>22.77</v>
      </c>
      <c r="I63" s="72" t="s">
        <v>295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18</v>
      </c>
      <c r="C64" s="72" t="s">
        <v>298</v>
      </c>
      <c r="D64" s="72" t="s">
        <v>194</v>
      </c>
      <c r="E64" s="72" t="s">
        <v>279</v>
      </c>
      <c r="F64" s="72" t="n">
        <v>1</v>
      </c>
      <c r="G64" s="73" t="n">
        <v>215.62</v>
      </c>
      <c r="H64" s="73" t="n">
        <v>215.62</v>
      </c>
      <c r="I64" s="72" t="s">
        <v>308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18</v>
      </c>
      <c r="C65" s="72" t="s">
        <v>298</v>
      </c>
      <c r="D65" s="72" t="s">
        <v>198</v>
      </c>
      <c r="E65" s="72" t="s">
        <v>279</v>
      </c>
      <c r="F65" s="72" t="n">
        <v>1</v>
      </c>
      <c r="G65" s="73" t="n">
        <v>324.56</v>
      </c>
      <c r="H65" s="73" t="n">
        <v>324.56</v>
      </c>
      <c r="I65" s="72" t="s">
        <v>308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18</v>
      </c>
      <c r="C66" s="72" t="s">
        <v>299</v>
      </c>
      <c r="D66" s="72" t="s">
        <v>192</v>
      </c>
      <c r="E66" s="72" t="s">
        <v>279</v>
      </c>
      <c r="F66" s="72" t="n">
        <v>11</v>
      </c>
      <c r="G66" s="73" t="n">
        <v>30</v>
      </c>
      <c r="H66" s="73" t="n">
        <f aca="false">F66*G66</f>
        <v>330</v>
      </c>
      <c r="I66" s="72" t="s">
        <v>295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18</v>
      </c>
      <c r="C67" s="72" t="s">
        <v>300</v>
      </c>
      <c r="D67" s="72" t="s">
        <v>186</v>
      </c>
      <c r="E67" s="72" t="s">
        <v>279</v>
      </c>
      <c r="F67" s="72" t="n">
        <v>1</v>
      </c>
      <c r="G67" s="73" t="n">
        <v>0</v>
      </c>
      <c r="H67" s="73" t="n">
        <f aca="false">F67*G67</f>
        <v>0</v>
      </c>
      <c r="I67" s="72" t="s">
        <v>309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17</v>
      </c>
      <c r="C68" s="72" t="s">
        <v>291</v>
      </c>
      <c r="D68" s="72" t="s">
        <v>241</v>
      </c>
      <c r="E68" s="72" t="s">
        <v>279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310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17</v>
      </c>
      <c r="C69" s="72" t="s">
        <v>291</v>
      </c>
      <c r="D69" s="72" t="s">
        <v>166</v>
      </c>
      <c r="E69" s="72" t="s">
        <v>279</v>
      </c>
      <c r="F69" s="72" t="n">
        <v>2</v>
      </c>
      <c r="G69" s="73" t="n">
        <v>28.31</v>
      </c>
      <c r="H69" s="73" t="n">
        <f aca="false">F69*G69</f>
        <v>56.62</v>
      </c>
      <c r="I69" s="72" t="s">
        <v>295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17</v>
      </c>
      <c r="C70" s="72" t="s">
        <v>291</v>
      </c>
      <c r="D70" s="72" t="s">
        <v>165</v>
      </c>
      <c r="E70" s="72" t="s">
        <v>279</v>
      </c>
      <c r="F70" s="72" t="n">
        <v>2</v>
      </c>
      <c r="G70" s="73" t="n">
        <v>47.79</v>
      </c>
      <c r="H70" s="73" t="n">
        <f aca="false">F70*G70</f>
        <v>95.58</v>
      </c>
      <c r="I70" s="72" t="s">
        <v>295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17</v>
      </c>
      <c r="C71" s="72" t="s">
        <v>44</v>
      </c>
      <c r="D71" s="72" t="s">
        <v>167</v>
      </c>
      <c r="E71" s="72" t="s">
        <v>279</v>
      </c>
      <c r="F71" s="72" t="n">
        <v>2</v>
      </c>
      <c r="G71" s="73" t="n">
        <v>64.54</v>
      </c>
      <c r="H71" s="73" t="n">
        <f aca="false">F71*G71</f>
        <v>129.08</v>
      </c>
      <c r="I71" s="72" t="s">
        <v>295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17</v>
      </c>
      <c r="C72" s="72" t="s">
        <v>297</v>
      </c>
      <c r="D72" s="72" t="s">
        <v>170</v>
      </c>
      <c r="E72" s="72" t="s">
        <v>279</v>
      </c>
      <c r="F72" s="72" t="n">
        <v>2</v>
      </c>
      <c r="G72" s="73" t="n">
        <v>10.05</v>
      </c>
      <c r="H72" s="73" t="n">
        <f aca="false">F72*G72</f>
        <v>20.1</v>
      </c>
      <c r="I72" s="72" t="s">
        <v>295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17</v>
      </c>
      <c r="C73" s="72" t="s">
        <v>297</v>
      </c>
      <c r="D73" s="72" t="s">
        <v>173</v>
      </c>
      <c r="E73" s="72" t="s">
        <v>279</v>
      </c>
      <c r="F73" s="72" t="n">
        <v>2</v>
      </c>
      <c r="G73" s="73" t="n">
        <v>2.07</v>
      </c>
      <c r="H73" s="73" t="n">
        <f aca="false">F73*G73</f>
        <v>4.14</v>
      </c>
      <c r="I73" s="72" t="s">
        <v>295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17</v>
      </c>
      <c r="C74" s="72" t="s">
        <v>299</v>
      </c>
      <c r="D74" s="72" t="s">
        <v>192</v>
      </c>
      <c r="E74" s="72" t="s">
        <v>279</v>
      </c>
      <c r="F74" s="72" t="n">
        <v>2</v>
      </c>
      <c r="G74" s="73" t="n">
        <v>30</v>
      </c>
      <c r="H74" s="73" t="n">
        <f aca="false">F74*G74</f>
        <v>60</v>
      </c>
      <c r="I74" s="72" t="s">
        <v>295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17</v>
      </c>
      <c r="C75" s="72" t="s">
        <v>300</v>
      </c>
      <c r="D75" s="72" t="s">
        <v>186</v>
      </c>
      <c r="E75" s="72" t="s">
        <v>279</v>
      </c>
      <c r="F75" s="72" t="n">
        <v>1</v>
      </c>
      <c r="G75" s="73" t="n">
        <v>696.8</v>
      </c>
      <c r="H75" s="73" t="n">
        <f aca="false">F75*G75</f>
        <v>696.8</v>
      </c>
      <c r="I75" s="72" t="s">
        <v>306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18</v>
      </c>
      <c r="C76" s="72" t="s">
        <v>291</v>
      </c>
      <c r="D76" s="72" t="s">
        <v>241</v>
      </c>
      <c r="E76" s="72" t="s">
        <v>281</v>
      </c>
      <c r="F76" s="72" t="n">
        <v>1</v>
      </c>
      <c r="G76" s="73" t="n">
        <v>103432.58</v>
      </c>
      <c r="H76" s="73" t="n">
        <f aca="false">F76*G76</f>
        <v>103432.58</v>
      </c>
      <c r="I76" s="72" t="s">
        <v>311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18</v>
      </c>
      <c r="C77" s="72" t="s">
        <v>291</v>
      </c>
      <c r="D77" s="72" t="s">
        <v>293</v>
      </c>
      <c r="E77" s="72" t="s">
        <v>281</v>
      </c>
      <c r="F77" s="72" t="n">
        <v>1</v>
      </c>
      <c r="G77" s="73" t="n">
        <v>570.86</v>
      </c>
      <c r="H77" s="73" t="n">
        <v>0</v>
      </c>
      <c r="I77" s="72" t="s">
        <v>312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18</v>
      </c>
      <c r="C78" s="72" t="s">
        <v>291</v>
      </c>
      <c r="D78" s="72" t="s">
        <v>166</v>
      </c>
      <c r="E78" s="72" t="s">
        <v>281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295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18</v>
      </c>
      <c r="C79" s="72" t="s">
        <v>291</v>
      </c>
      <c r="D79" s="72" t="s">
        <v>165</v>
      </c>
      <c r="E79" s="72" t="s">
        <v>281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295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18</v>
      </c>
      <c r="C80" s="72" t="s">
        <v>44</v>
      </c>
      <c r="D80" s="72" t="s">
        <v>167</v>
      </c>
      <c r="E80" s="72" t="s">
        <v>281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295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18</v>
      </c>
      <c r="C81" s="72" t="s">
        <v>44</v>
      </c>
      <c r="D81" s="72" t="s">
        <v>240</v>
      </c>
      <c r="E81" s="72" t="s">
        <v>281</v>
      </c>
      <c r="F81" s="72" t="n">
        <v>1</v>
      </c>
      <c r="G81" s="73" t="n">
        <v>65.57</v>
      </c>
      <c r="H81" s="73" t="n">
        <v>65.57</v>
      </c>
      <c r="I81" s="72" t="s">
        <v>313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18</v>
      </c>
      <c r="C82" s="72" t="s">
        <v>297</v>
      </c>
      <c r="D82" s="72" t="s">
        <v>170</v>
      </c>
      <c r="E82" s="72" t="s">
        <v>281</v>
      </c>
      <c r="F82" s="72" t="n">
        <v>18</v>
      </c>
      <c r="G82" s="73" t="n">
        <v>10.05</v>
      </c>
      <c r="H82" s="73" t="n">
        <f aca="false">F82*G82</f>
        <v>180.9</v>
      </c>
      <c r="I82" s="72" t="s">
        <v>295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18</v>
      </c>
      <c r="C83" s="72" t="s">
        <v>297</v>
      </c>
      <c r="D83" s="72" t="s">
        <v>173</v>
      </c>
      <c r="E83" s="72" t="s">
        <v>281</v>
      </c>
      <c r="F83" s="72" t="n">
        <v>18</v>
      </c>
      <c r="G83" s="73" t="n">
        <v>2.07</v>
      </c>
      <c r="H83" s="73" t="n">
        <f aca="false">F83*G83</f>
        <v>37.26</v>
      </c>
      <c r="I83" s="72" t="s">
        <v>295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18</v>
      </c>
      <c r="C84" s="72" t="s">
        <v>298</v>
      </c>
      <c r="D84" s="72" t="s">
        <v>194</v>
      </c>
      <c r="E84" s="72" t="s">
        <v>281</v>
      </c>
      <c r="F84" s="72" t="n">
        <v>1</v>
      </c>
      <c r="G84" s="73" t="n">
        <v>352.84</v>
      </c>
      <c r="H84" s="73" t="n">
        <v>352.84</v>
      </c>
      <c r="I84" s="72" t="s">
        <v>313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18</v>
      </c>
      <c r="C85" s="72" t="s">
        <v>298</v>
      </c>
      <c r="D85" s="72" t="s">
        <v>198</v>
      </c>
      <c r="E85" s="72" t="s">
        <v>281</v>
      </c>
      <c r="F85" s="72" t="n">
        <v>1</v>
      </c>
      <c r="G85" s="73" t="n">
        <v>531.09</v>
      </c>
      <c r="H85" s="73" t="n">
        <v>531.09</v>
      </c>
      <c r="I85" s="72" t="s">
        <v>313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18</v>
      </c>
      <c r="C86" s="72" t="s">
        <v>299</v>
      </c>
      <c r="D86" s="72" t="s">
        <v>192</v>
      </c>
      <c r="E86" s="72" t="s">
        <v>281</v>
      </c>
      <c r="F86" s="72" t="n">
        <v>18</v>
      </c>
      <c r="G86" s="73" t="n">
        <v>30</v>
      </c>
      <c r="H86" s="73" t="n">
        <f aca="false">F86*G86</f>
        <v>540</v>
      </c>
      <c r="I86" s="72" t="s">
        <v>295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18</v>
      </c>
      <c r="C87" s="72" t="s">
        <v>300</v>
      </c>
      <c r="D87" s="72" t="s">
        <v>186</v>
      </c>
      <c r="E87" s="72" t="s">
        <v>281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314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13</v>
      </c>
      <c r="C88" s="72" t="s">
        <v>291</v>
      </c>
      <c r="D88" s="72" t="s">
        <v>241</v>
      </c>
      <c r="E88" s="72" t="s">
        <v>281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315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13</v>
      </c>
      <c r="C89" s="72" t="s">
        <v>291</v>
      </c>
      <c r="D89" s="72" t="s">
        <v>166</v>
      </c>
      <c r="E89" s="72" t="s">
        <v>281</v>
      </c>
      <c r="F89" s="72" t="n">
        <v>2</v>
      </c>
      <c r="G89" s="73" t="n">
        <v>28.31</v>
      </c>
      <c r="H89" s="73" t="n">
        <f aca="false">F89*G89</f>
        <v>56.62</v>
      </c>
      <c r="I89" s="72" t="s">
        <v>295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13</v>
      </c>
      <c r="C90" s="72" t="s">
        <v>291</v>
      </c>
      <c r="D90" s="72" t="s">
        <v>165</v>
      </c>
      <c r="E90" s="72" t="s">
        <v>281</v>
      </c>
      <c r="F90" s="72" t="n">
        <v>2</v>
      </c>
      <c r="G90" s="73" t="n">
        <v>47.79</v>
      </c>
      <c r="H90" s="73" t="n">
        <f aca="false">F90*G90</f>
        <v>95.58</v>
      </c>
      <c r="I90" s="72" t="s">
        <v>295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13</v>
      </c>
      <c r="C91" s="72" t="s">
        <v>44</v>
      </c>
      <c r="D91" s="72" t="s">
        <v>167</v>
      </c>
      <c r="E91" s="72" t="s">
        <v>281</v>
      </c>
      <c r="F91" s="72" t="n">
        <v>2</v>
      </c>
      <c r="G91" s="73" t="n">
        <v>64.54</v>
      </c>
      <c r="H91" s="73" t="n">
        <f aca="false">F91*G91</f>
        <v>129.08</v>
      </c>
      <c r="I91" s="72" t="s">
        <v>295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13</v>
      </c>
      <c r="C92" s="72" t="s">
        <v>297</v>
      </c>
      <c r="D92" s="72" t="s">
        <v>170</v>
      </c>
      <c r="E92" s="72" t="s">
        <v>281</v>
      </c>
      <c r="F92" s="72" t="n">
        <v>2</v>
      </c>
      <c r="G92" s="73" t="n">
        <v>10.05</v>
      </c>
      <c r="H92" s="73" t="n">
        <f aca="false">F92*G92</f>
        <v>20.1</v>
      </c>
      <c r="I92" s="72" t="s">
        <v>295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13</v>
      </c>
      <c r="C93" s="72" t="s">
        <v>297</v>
      </c>
      <c r="D93" s="72" t="s">
        <v>173</v>
      </c>
      <c r="E93" s="72" t="s">
        <v>281</v>
      </c>
      <c r="F93" s="72" t="n">
        <v>2</v>
      </c>
      <c r="G93" s="73" t="n">
        <v>2.07</v>
      </c>
      <c r="H93" s="73" t="n">
        <f aca="false">F93*G93</f>
        <v>4.14</v>
      </c>
      <c r="I93" s="72" t="s">
        <v>295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13</v>
      </c>
      <c r="C94" s="72" t="s">
        <v>299</v>
      </c>
      <c r="D94" s="72" t="s">
        <v>192</v>
      </c>
      <c r="E94" s="72" t="s">
        <v>281</v>
      </c>
      <c r="F94" s="72" t="n">
        <v>2</v>
      </c>
      <c r="G94" s="73" t="n">
        <v>30</v>
      </c>
      <c r="H94" s="73" t="n">
        <f aca="false">F94*G94</f>
        <v>60</v>
      </c>
      <c r="I94" s="72" t="s">
        <v>295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13</v>
      </c>
      <c r="C95" s="72" t="s">
        <v>300</v>
      </c>
      <c r="D95" s="72" t="s">
        <v>186</v>
      </c>
      <c r="E95" s="72" t="s">
        <v>281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306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16</v>
      </c>
      <c r="C96" s="72" t="s">
        <v>291</v>
      </c>
      <c r="D96" s="72" t="s">
        <v>241</v>
      </c>
      <c r="E96" s="72" t="s">
        <v>281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316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16</v>
      </c>
      <c r="C97" s="72" t="s">
        <v>291</v>
      </c>
      <c r="D97" s="72" t="s">
        <v>166</v>
      </c>
      <c r="E97" s="72" t="s">
        <v>281</v>
      </c>
      <c r="F97" s="72" t="n">
        <v>5</v>
      </c>
      <c r="G97" s="73" t="n">
        <v>28.31</v>
      </c>
      <c r="H97" s="73" t="n">
        <f aca="false">F97*G97</f>
        <v>141.55</v>
      </c>
      <c r="I97" s="72" t="s">
        <v>295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16</v>
      </c>
      <c r="C98" s="72" t="s">
        <v>291</v>
      </c>
      <c r="D98" s="72" t="s">
        <v>165</v>
      </c>
      <c r="E98" s="72" t="s">
        <v>281</v>
      </c>
      <c r="F98" s="72" t="n">
        <v>5</v>
      </c>
      <c r="G98" s="73" t="n">
        <v>47.79</v>
      </c>
      <c r="H98" s="73" t="n">
        <f aca="false">F98*G98</f>
        <v>238.95</v>
      </c>
      <c r="I98" s="72" t="s">
        <v>295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16</v>
      </c>
      <c r="C99" s="72" t="s">
        <v>44</v>
      </c>
      <c r="D99" s="72" t="s">
        <v>167</v>
      </c>
      <c r="E99" s="72" t="s">
        <v>281</v>
      </c>
      <c r="F99" s="72" t="n">
        <v>5</v>
      </c>
      <c r="G99" s="73" t="n">
        <v>64.54</v>
      </c>
      <c r="H99" s="73" t="n">
        <f aca="false">F99*G99</f>
        <v>322.7</v>
      </c>
      <c r="I99" s="72" t="s">
        <v>295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16</v>
      </c>
      <c r="C100" s="72" t="s">
        <v>297</v>
      </c>
      <c r="D100" s="72" t="s">
        <v>170</v>
      </c>
      <c r="E100" s="72" t="s">
        <v>281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295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16</v>
      </c>
      <c r="C101" s="72" t="s">
        <v>297</v>
      </c>
      <c r="D101" s="72" t="s">
        <v>173</v>
      </c>
      <c r="E101" s="72" t="s">
        <v>281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295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16</v>
      </c>
      <c r="C102" s="72" t="s">
        <v>298</v>
      </c>
      <c r="D102" s="72" t="s">
        <v>198</v>
      </c>
      <c r="E102" s="72" t="s">
        <v>281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317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16</v>
      </c>
      <c r="C103" s="72" t="s">
        <v>299</v>
      </c>
      <c r="D103" s="72" t="s">
        <v>192</v>
      </c>
      <c r="E103" s="72" t="s">
        <v>281</v>
      </c>
      <c r="F103" s="72" t="n">
        <v>5</v>
      </c>
      <c r="G103" s="73" t="n">
        <v>30</v>
      </c>
      <c r="H103" s="73" t="n">
        <f aca="false">F103*G103</f>
        <v>150</v>
      </c>
      <c r="I103" s="72" t="s">
        <v>295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16</v>
      </c>
      <c r="C104" s="72" t="s">
        <v>300</v>
      </c>
      <c r="D104" s="72" t="s">
        <v>186</v>
      </c>
      <c r="E104" s="72" t="s">
        <v>281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306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10</v>
      </c>
      <c r="C105" s="72" t="s">
        <v>291</v>
      </c>
      <c r="D105" s="72" t="s">
        <v>241</v>
      </c>
      <c r="E105" s="72" t="s">
        <v>282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318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10</v>
      </c>
      <c r="C106" s="72" t="s">
        <v>291</v>
      </c>
      <c r="D106" s="72" t="s">
        <v>166</v>
      </c>
      <c r="E106" s="72" t="s">
        <v>282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295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10</v>
      </c>
      <c r="C107" s="72" t="s">
        <v>291</v>
      </c>
      <c r="D107" s="72" t="s">
        <v>165</v>
      </c>
      <c r="E107" s="72" t="s">
        <v>282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295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10</v>
      </c>
      <c r="C108" s="72" t="s">
        <v>44</v>
      </c>
      <c r="D108" s="72" t="s">
        <v>167</v>
      </c>
      <c r="E108" s="72" t="s">
        <v>282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295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10</v>
      </c>
      <c r="C109" s="72" t="s">
        <v>44</v>
      </c>
      <c r="D109" s="72" t="s">
        <v>240</v>
      </c>
      <c r="E109" s="72" t="s">
        <v>282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319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10</v>
      </c>
      <c r="C110" s="72" t="s">
        <v>297</v>
      </c>
      <c r="D110" s="72" t="s">
        <v>170</v>
      </c>
      <c r="E110" s="72" t="s">
        <v>282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295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10</v>
      </c>
      <c r="C111" s="72" t="s">
        <v>297</v>
      </c>
      <c r="D111" s="72" t="s">
        <v>173</v>
      </c>
      <c r="E111" s="72" t="s">
        <v>282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295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10</v>
      </c>
      <c r="C112" s="72" t="s">
        <v>298</v>
      </c>
      <c r="D112" s="72" t="s">
        <v>194</v>
      </c>
      <c r="E112" s="72" t="s">
        <v>282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319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10</v>
      </c>
      <c r="C113" s="72" t="s">
        <v>298</v>
      </c>
      <c r="D113" s="72" t="s">
        <v>198</v>
      </c>
      <c r="E113" s="72" t="s">
        <v>282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319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10</v>
      </c>
      <c r="C114" s="72" t="s">
        <v>299</v>
      </c>
      <c r="D114" s="72" t="s">
        <v>192</v>
      </c>
      <c r="E114" s="72" t="s">
        <v>282</v>
      </c>
      <c r="F114" s="72" t="n">
        <v>8</v>
      </c>
      <c r="G114" s="73" t="n">
        <v>30</v>
      </c>
      <c r="H114" s="73" t="n">
        <f aca="false">F114*G114</f>
        <v>240</v>
      </c>
      <c r="I114" s="72" t="s">
        <v>295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15</v>
      </c>
      <c r="C115" s="72" t="s">
        <v>291</v>
      </c>
      <c r="D115" s="72" t="s">
        <v>241</v>
      </c>
      <c r="E115" s="72" t="s">
        <v>282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320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15</v>
      </c>
      <c r="C116" s="72" t="s">
        <v>291</v>
      </c>
      <c r="D116" s="72" t="s">
        <v>293</v>
      </c>
      <c r="E116" s="72" t="s">
        <v>282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308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15</v>
      </c>
      <c r="C117" s="72" t="s">
        <v>291</v>
      </c>
      <c r="D117" s="72" t="s">
        <v>166</v>
      </c>
      <c r="E117" s="72" t="s">
        <v>282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295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15</v>
      </c>
      <c r="C118" s="72" t="s">
        <v>291</v>
      </c>
      <c r="D118" s="72" t="s">
        <v>165</v>
      </c>
      <c r="E118" s="72" t="s">
        <v>282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295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15</v>
      </c>
      <c r="C119" s="72" t="s">
        <v>44</v>
      </c>
      <c r="D119" s="72" t="s">
        <v>167</v>
      </c>
      <c r="E119" s="72" t="s">
        <v>282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295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15</v>
      </c>
      <c r="C120" s="72" t="s">
        <v>44</v>
      </c>
      <c r="D120" s="72" t="s">
        <v>240</v>
      </c>
      <c r="E120" s="72" t="s">
        <v>282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308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15</v>
      </c>
      <c r="C121" s="72" t="s">
        <v>297</v>
      </c>
      <c r="D121" s="72" t="s">
        <v>170</v>
      </c>
      <c r="E121" s="72" t="s">
        <v>282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295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15</v>
      </c>
      <c r="C122" s="72" t="s">
        <v>297</v>
      </c>
      <c r="D122" s="72" t="s">
        <v>173</v>
      </c>
      <c r="E122" s="72" t="s">
        <v>282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295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15</v>
      </c>
      <c r="C123" s="72" t="s">
        <v>299</v>
      </c>
      <c r="D123" s="72" t="s">
        <v>192</v>
      </c>
      <c r="E123" s="72" t="s">
        <v>282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295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15</v>
      </c>
      <c r="C124" s="72" t="s">
        <v>300</v>
      </c>
      <c r="D124" s="72" t="s">
        <v>186</v>
      </c>
      <c r="E124" s="72" t="s">
        <v>282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306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14</v>
      </c>
      <c r="C125" s="72" t="s">
        <v>291</v>
      </c>
      <c r="D125" s="72" t="s">
        <v>241</v>
      </c>
      <c r="E125" s="72" t="s">
        <v>285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321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14</v>
      </c>
      <c r="C126" s="72" t="s">
        <v>291</v>
      </c>
      <c r="D126" s="72" t="s">
        <v>166</v>
      </c>
      <c r="E126" s="72" t="s">
        <v>285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295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14</v>
      </c>
      <c r="C127" s="72" t="s">
        <v>291</v>
      </c>
      <c r="D127" s="72" t="s">
        <v>165</v>
      </c>
      <c r="E127" s="72" t="s">
        <v>285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295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14</v>
      </c>
      <c r="C128" s="72" t="s">
        <v>44</v>
      </c>
      <c r="D128" s="72" t="s">
        <v>167</v>
      </c>
      <c r="E128" s="72" t="s">
        <v>285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295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14</v>
      </c>
      <c r="C129" s="72" t="s">
        <v>297</v>
      </c>
      <c r="D129" s="72" t="s">
        <v>170</v>
      </c>
      <c r="E129" s="72" t="s">
        <v>285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295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14</v>
      </c>
      <c r="C130" s="72" t="s">
        <v>297</v>
      </c>
      <c r="D130" s="72" t="s">
        <v>173</v>
      </c>
      <c r="E130" s="72" t="s">
        <v>285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295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14</v>
      </c>
      <c r="C131" s="72" t="s">
        <v>299</v>
      </c>
      <c r="D131" s="72" t="s">
        <v>192</v>
      </c>
      <c r="E131" s="72" t="s">
        <v>285</v>
      </c>
      <c r="F131" s="72" t="n">
        <v>1</v>
      </c>
      <c r="G131" s="73" t="n">
        <v>30</v>
      </c>
      <c r="H131" s="73" t="n">
        <f aca="false">F131*G131</f>
        <v>30</v>
      </c>
      <c r="I131" s="72" t="s">
        <v>295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18</v>
      </c>
      <c r="C132" s="72" t="s">
        <v>291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181921.8</v>
      </c>
      <c r="I132" s="72" t="s">
        <v>322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18</v>
      </c>
      <c r="C133" s="72" t="s">
        <v>291</v>
      </c>
      <c r="D133" s="72" t="s">
        <v>293</v>
      </c>
      <c r="E133" s="72" t="s">
        <v>274</v>
      </c>
      <c r="F133" s="72" t="n">
        <v>1</v>
      </c>
      <c r="G133" s="73" t="n">
        <v>2724.43</v>
      </c>
      <c r="H133" s="73" t="n">
        <v>0</v>
      </c>
      <c r="I133" s="72" t="s">
        <v>294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18</v>
      </c>
      <c r="C134" s="72" t="s">
        <v>291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295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18</v>
      </c>
      <c r="C135" s="72" t="s">
        <v>291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295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18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296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18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295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18</v>
      </c>
      <c r="C138" s="72" t="s">
        <v>297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295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18</v>
      </c>
      <c r="C139" s="72" t="s">
        <v>297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295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18</v>
      </c>
      <c r="C140" s="72" t="s">
        <v>298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296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18</v>
      </c>
      <c r="C141" s="72" t="s">
        <v>298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296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18</v>
      </c>
      <c r="C142" s="72" t="s">
        <v>298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296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18</v>
      </c>
      <c r="C143" s="72" t="s">
        <v>299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295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18</v>
      </c>
      <c r="C144" s="72" t="s">
        <v>323</v>
      </c>
      <c r="D144" s="72" t="s">
        <v>324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325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18</v>
      </c>
      <c r="C145" s="72" t="s">
        <v>300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326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18</v>
      </c>
      <c r="C146" s="72" t="s">
        <v>291</v>
      </c>
      <c r="D146" s="72" t="s">
        <v>241</v>
      </c>
      <c r="E146" s="72" t="s">
        <v>276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302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18</v>
      </c>
      <c r="C147" s="72" t="s">
        <v>291</v>
      </c>
      <c r="D147" s="72" t="s">
        <v>293</v>
      </c>
      <c r="E147" s="72" t="s">
        <v>276</v>
      </c>
      <c r="F147" s="72" t="n">
        <v>1</v>
      </c>
      <c r="G147" s="73" t="n">
        <v>628.71</v>
      </c>
      <c r="H147" s="73" t="n">
        <v>628.71</v>
      </c>
      <c r="I147" s="72" t="s">
        <v>303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18</v>
      </c>
      <c r="C148" s="72" t="s">
        <v>291</v>
      </c>
      <c r="D148" s="72" t="s">
        <v>166</v>
      </c>
      <c r="E148" s="72" t="s">
        <v>276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295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18</v>
      </c>
      <c r="C149" s="72" t="s">
        <v>291</v>
      </c>
      <c r="D149" s="72" t="s">
        <v>165</v>
      </c>
      <c r="E149" s="72" t="s">
        <v>276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295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18</v>
      </c>
      <c r="C150" s="72" t="s">
        <v>44</v>
      </c>
      <c r="D150" s="72" t="s">
        <v>240</v>
      </c>
      <c r="E150" s="72" t="s">
        <v>276</v>
      </c>
      <c r="F150" s="72" t="n">
        <v>1</v>
      </c>
      <c r="G150" s="73" t="n">
        <v>86.14</v>
      </c>
      <c r="H150" s="73" t="n">
        <v>86.14</v>
      </c>
      <c r="I150" s="72" t="s">
        <v>303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18</v>
      </c>
      <c r="C151" s="72" t="s">
        <v>44</v>
      </c>
      <c r="D151" s="72" t="s">
        <v>167</v>
      </c>
      <c r="E151" s="72" t="s">
        <v>276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295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18</v>
      </c>
      <c r="C152" s="72" t="s">
        <v>297</v>
      </c>
      <c r="D152" s="72" t="s">
        <v>170</v>
      </c>
      <c r="E152" s="72" t="s">
        <v>276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295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18</v>
      </c>
      <c r="C153" s="72" t="s">
        <v>297</v>
      </c>
      <c r="D153" s="72" t="s">
        <v>173</v>
      </c>
      <c r="E153" s="72" t="s">
        <v>276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295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18</v>
      </c>
      <c r="C154" s="72" t="s">
        <v>298</v>
      </c>
      <c r="D154" s="72" t="s">
        <v>194</v>
      </c>
      <c r="E154" s="72" t="s">
        <v>276</v>
      </c>
      <c r="F154" s="72" t="n">
        <v>1</v>
      </c>
      <c r="G154" s="73" t="n">
        <v>16.56</v>
      </c>
      <c r="H154" s="73" t="n">
        <v>16.56</v>
      </c>
      <c r="I154" s="72" t="s">
        <v>303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18</v>
      </c>
      <c r="C155" s="72" t="s">
        <v>298</v>
      </c>
      <c r="D155" s="72" t="s">
        <v>188</v>
      </c>
      <c r="E155" s="72" t="s">
        <v>276</v>
      </c>
      <c r="F155" s="72" t="n">
        <v>1</v>
      </c>
      <c r="G155" s="73" t="n">
        <v>-24.36</v>
      </c>
      <c r="H155" s="73" t="n">
        <v>-24.36</v>
      </c>
      <c r="I155" s="72" t="s">
        <v>303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18</v>
      </c>
      <c r="C156" s="72" t="s">
        <v>298</v>
      </c>
      <c r="D156" s="72" t="s">
        <v>198</v>
      </c>
      <c r="E156" s="72" t="s">
        <v>276</v>
      </c>
      <c r="F156" s="72" t="n">
        <v>1</v>
      </c>
      <c r="G156" s="73" t="n">
        <v>25.81</v>
      </c>
      <c r="H156" s="73" t="n">
        <v>25.81</v>
      </c>
      <c r="I156" s="72" t="s">
        <v>303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18</v>
      </c>
      <c r="C157" s="72" t="s">
        <v>299</v>
      </c>
      <c r="D157" s="72" t="s">
        <v>192</v>
      </c>
      <c r="E157" s="72" t="s">
        <v>276</v>
      </c>
      <c r="F157" s="72" t="n">
        <v>9</v>
      </c>
      <c r="G157" s="73" t="n">
        <v>30</v>
      </c>
      <c r="H157" s="73" t="n">
        <f aca="false">F157*G157</f>
        <v>270</v>
      </c>
      <c r="I157" s="72" t="s">
        <v>295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18</v>
      </c>
      <c r="C158" s="72" t="s">
        <v>291</v>
      </c>
      <c r="D158" s="72" t="s">
        <v>241</v>
      </c>
      <c r="E158" s="72" t="s">
        <v>278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304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18</v>
      </c>
      <c r="C159" s="72" t="s">
        <v>291</v>
      </c>
      <c r="D159" s="72" t="s">
        <v>327</v>
      </c>
      <c r="E159" s="72" t="s">
        <v>278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328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18</v>
      </c>
      <c r="C160" s="72" t="s">
        <v>291</v>
      </c>
      <c r="D160" s="72" t="s">
        <v>293</v>
      </c>
      <c r="E160" s="72" t="s">
        <v>278</v>
      </c>
      <c r="F160" s="72" t="n">
        <v>1</v>
      </c>
      <c r="G160" s="73" t="n">
        <v>489</v>
      </c>
      <c r="H160" s="73" t="n">
        <v>489</v>
      </c>
      <c r="I160" s="72" t="s">
        <v>305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18</v>
      </c>
      <c r="C161" s="72" t="s">
        <v>291</v>
      </c>
      <c r="D161" s="72" t="s">
        <v>166</v>
      </c>
      <c r="E161" s="72" t="s">
        <v>278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295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18</v>
      </c>
      <c r="C162" s="72" t="s">
        <v>291</v>
      </c>
      <c r="D162" s="72" t="s">
        <v>165</v>
      </c>
      <c r="E162" s="72" t="s">
        <v>278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295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18</v>
      </c>
      <c r="C163" s="72" t="s">
        <v>44</v>
      </c>
      <c r="D163" s="72" t="s">
        <v>240</v>
      </c>
      <c r="E163" s="72" t="s">
        <v>278</v>
      </c>
      <c r="F163" s="72" t="n">
        <v>1</v>
      </c>
      <c r="G163" s="73" t="n">
        <v>67</v>
      </c>
      <c r="H163" s="73" t="n">
        <v>67</v>
      </c>
      <c r="I163" s="72" t="s">
        <v>305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18</v>
      </c>
      <c r="C164" s="72" t="s">
        <v>44</v>
      </c>
      <c r="D164" s="72" t="s">
        <v>167</v>
      </c>
      <c r="E164" s="72" t="s">
        <v>278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295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18</v>
      </c>
      <c r="C165" s="72" t="s">
        <v>297</v>
      </c>
      <c r="D165" s="72" t="s">
        <v>170</v>
      </c>
      <c r="E165" s="72" t="s">
        <v>278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295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18</v>
      </c>
      <c r="C166" s="72" t="s">
        <v>297</v>
      </c>
      <c r="D166" s="72" t="s">
        <v>173</v>
      </c>
      <c r="E166" s="72" t="s">
        <v>278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295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18</v>
      </c>
      <c r="C167" s="72" t="s">
        <v>298</v>
      </c>
      <c r="D167" s="72" t="s">
        <v>194</v>
      </c>
      <c r="E167" s="72" t="s">
        <v>278</v>
      </c>
      <c r="F167" s="72" t="n">
        <v>1</v>
      </c>
      <c r="G167" s="73" t="n">
        <v>12.88</v>
      </c>
      <c r="H167" s="73" t="n">
        <v>12.88</v>
      </c>
      <c r="I167" s="72" t="s">
        <v>305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18</v>
      </c>
      <c r="C168" s="72" t="s">
        <v>298</v>
      </c>
      <c r="D168" s="72" t="s">
        <v>188</v>
      </c>
      <c r="E168" s="72" t="s">
        <v>278</v>
      </c>
      <c r="F168" s="72" t="n">
        <v>1</v>
      </c>
      <c r="G168" s="73" t="n">
        <v>-18.95</v>
      </c>
      <c r="H168" s="73" t="n">
        <v>-18.95</v>
      </c>
      <c r="I168" s="72" t="s">
        <v>305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18</v>
      </c>
      <c r="C169" s="72" t="s">
        <v>298</v>
      </c>
      <c r="D169" s="72" t="s">
        <v>198</v>
      </c>
      <c r="E169" s="72" t="s">
        <v>278</v>
      </c>
      <c r="F169" s="72" t="n">
        <v>1</v>
      </c>
      <c r="G169" s="73" t="n">
        <v>20.07</v>
      </c>
      <c r="H169" s="73" t="n">
        <v>20.07</v>
      </c>
      <c r="I169" s="72" t="s">
        <v>305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18</v>
      </c>
      <c r="C170" s="72" t="s">
        <v>299</v>
      </c>
      <c r="D170" s="72" t="s">
        <v>192</v>
      </c>
      <c r="E170" s="72" t="s">
        <v>278</v>
      </c>
      <c r="F170" s="72" t="n">
        <v>7</v>
      </c>
      <c r="G170" s="73" t="n">
        <v>30</v>
      </c>
      <c r="H170" s="73" t="n">
        <f aca="false">F170*G170</f>
        <v>210</v>
      </c>
      <c r="I170" s="72" t="s">
        <v>295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18</v>
      </c>
      <c r="C171" s="72" t="s">
        <v>323</v>
      </c>
      <c r="D171" s="72" t="s">
        <v>324</v>
      </c>
      <c r="E171" s="72" t="s">
        <v>278</v>
      </c>
      <c r="F171" s="72" t="n">
        <v>1</v>
      </c>
      <c r="G171" s="73" t="n">
        <v>50</v>
      </c>
      <c r="H171" s="73" t="n">
        <f aca="false">F171*G171</f>
        <v>50</v>
      </c>
      <c r="I171" s="72" t="s">
        <v>325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18</v>
      </c>
      <c r="C172" s="72" t="s">
        <v>300</v>
      </c>
      <c r="D172" s="72" t="s">
        <v>186</v>
      </c>
      <c r="E172" s="72" t="s">
        <v>278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306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18</v>
      </c>
      <c r="C173" s="72" t="s">
        <v>291</v>
      </c>
      <c r="D173" s="72" t="s">
        <v>241</v>
      </c>
      <c r="E173" s="72" t="s">
        <v>279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329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18</v>
      </c>
      <c r="C174" s="72" t="s">
        <v>291</v>
      </c>
      <c r="D174" s="72" t="s">
        <v>293</v>
      </c>
      <c r="E174" s="72" t="s">
        <v>279</v>
      </c>
      <c r="F174" s="72" t="n">
        <v>1</v>
      </c>
      <c r="G174" s="73" t="n">
        <v>768.43</v>
      </c>
      <c r="H174" s="73" t="n">
        <v>768.43</v>
      </c>
      <c r="I174" s="72" t="s">
        <v>308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18</v>
      </c>
      <c r="C175" s="72" t="s">
        <v>291</v>
      </c>
      <c r="D175" s="72" t="s">
        <v>166</v>
      </c>
      <c r="E175" s="72" t="s">
        <v>279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295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18</v>
      </c>
      <c r="C176" s="72" t="s">
        <v>291</v>
      </c>
      <c r="D176" s="72" t="s">
        <v>165</v>
      </c>
      <c r="E176" s="72" t="s">
        <v>279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295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18</v>
      </c>
      <c r="C177" s="72" t="s">
        <v>44</v>
      </c>
      <c r="D177" s="72" t="s">
        <v>240</v>
      </c>
      <c r="E177" s="72" t="s">
        <v>279</v>
      </c>
      <c r="F177" s="72" t="n">
        <v>1</v>
      </c>
      <c r="G177" s="73" t="n">
        <v>105.29</v>
      </c>
      <c r="H177" s="73" t="n">
        <v>105.29</v>
      </c>
      <c r="I177" s="72" t="s">
        <v>308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18</v>
      </c>
      <c r="C178" s="72" t="s">
        <v>44</v>
      </c>
      <c r="D178" s="72" t="s">
        <v>167</v>
      </c>
      <c r="E178" s="72" t="s">
        <v>279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295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18</v>
      </c>
      <c r="C179" s="72" t="s">
        <v>297</v>
      </c>
      <c r="D179" s="72" t="s">
        <v>170</v>
      </c>
      <c r="E179" s="72" t="s">
        <v>279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295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18</v>
      </c>
      <c r="C180" s="72" t="s">
        <v>297</v>
      </c>
      <c r="D180" s="72" t="s">
        <v>173</v>
      </c>
      <c r="E180" s="72" t="s">
        <v>279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295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18</v>
      </c>
      <c r="C181" s="72" t="s">
        <v>298</v>
      </c>
      <c r="D181" s="72" t="s">
        <v>194</v>
      </c>
      <c r="E181" s="72" t="s">
        <v>279</v>
      </c>
      <c r="F181" s="72" t="n">
        <v>1</v>
      </c>
      <c r="G181" s="73" t="n">
        <v>20.25</v>
      </c>
      <c r="H181" s="73" t="n">
        <v>20.25</v>
      </c>
      <c r="I181" s="72" t="s">
        <v>308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18</v>
      </c>
      <c r="C182" s="72" t="s">
        <v>298</v>
      </c>
      <c r="D182" s="72" t="s">
        <v>188</v>
      </c>
      <c r="E182" s="72" t="s">
        <v>279</v>
      </c>
      <c r="F182" s="72" t="n">
        <v>1</v>
      </c>
      <c r="G182" s="73" t="n">
        <v>-29.77</v>
      </c>
      <c r="H182" s="73" t="n">
        <v>-29.77</v>
      </c>
      <c r="I182" s="72" t="s">
        <v>308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18</v>
      </c>
      <c r="C183" s="72" t="s">
        <v>298</v>
      </c>
      <c r="D183" s="72" t="s">
        <v>198</v>
      </c>
      <c r="E183" s="72" t="s">
        <v>279</v>
      </c>
      <c r="F183" s="72" t="n">
        <v>1</v>
      </c>
      <c r="G183" s="73" t="n">
        <v>31.55</v>
      </c>
      <c r="H183" s="73" t="n">
        <v>31.55</v>
      </c>
      <c r="I183" s="72" t="s">
        <v>308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18</v>
      </c>
      <c r="C184" s="72" t="s">
        <v>299</v>
      </c>
      <c r="D184" s="72" t="s">
        <v>192</v>
      </c>
      <c r="E184" s="72" t="s">
        <v>279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295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18</v>
      </c>
      <c r="C185" s="72" t="s">
        <v>323</v>
      </c>
      <c r="D185" s="72" t="s">
        <v>324</v>
      </c>
      <c r="E185" s="72" t="s">
        <v>279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325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18</v>
      </c>
      <c r="C186" s="72" t="s">
        <v>300</v>
      </c>
      <c r="D186" s="72" t="s">
        <v>186</v>
      </c>
      <c r="E186" s="72" t="s">
        <v>279</v>
      </c>
      <c r="F186" s="72" t="n">
        <v>1</v>
      </c>
      <c r="G186" s="73" t="n">
        <v>0</v>
      </c>
      <c r="H186" s="73" t="n">
        <f aca="false">F186*G186</f>
        <v>0</v>
      </c>
      <c r="I186" s="72" t="s">
        <v>330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17</v>
      </c>
      <c r="C187" s="72" t="s">
        <v>291</v>
      </c>
      <c r="D187" s="72" t="s">
        <v>241</v>
      </c>
      <c r="E187" s="72" t="s">
        <v>279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331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17</v>
      </c>
      <c r="C188" s="72" t="s">
        <v>291</v>
      </c>
      <c r="D188" s="72" t="s">
        <v>327</v>
      </c>
      <c r="E188" s="72" t="s">
        <v>279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328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17</v>
      </c>
      <c r="C189" s="72" t="s">
        <v>291</v>
      </c>
      <c r="D189" s="72" t="s">
        <v>166</v>
      </c>
      <c r="E189" s="72" t="s">
        <v>279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295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17</v>
      </c>
      <c r="C190" s="72" t="s">
        <v>291</v>
      </c>
      <c r="D190" s="72" t="s">
        <v>165</v>
      </c>
      <c r="E190" s="72" t="s">
        <v>279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295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17</v>
      </c>
      <c r="C191" s="72" t="s">
        <v>44</v>
      </c>
      <c r="D191" s="72" t="s">
        <v>167</v>
      </c>
      <c r="E191" s="72" t="s">
        <v>279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295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17</v>
      </c>
      <c r="C192" s="72" t="s">
        <v>297</v>
      </c>
      <c r="D192" s="72" t="s">
        <v>170</v>
      </c>
      <c r="E192" s="72" t="s">
        <v>279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295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17</v>
      </c>
      <c r="C193" s="72" t="s">
        <v>297</v>
      </c>
      <c r="D193" s="72" t="s">
        <v>173</v>
      </c>
      <c r="E193" s="72" t="s">
        <v>279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295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17</v>
      </c>
      <c r="C194" s="72" t="s">
        <v>298</v>
      </c>
      <c r="D194" s="72" t="s">
        <v>332</v>
      </c>
      <c r="E194" s="72" t="s">
        <v>279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333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17</v>
      </c>
      <c r="C195" s="72" t="s">
        <v>299</v>
      </c>
      <c r="D195" s="72" t="s">
        <v>192</v>
      </c>
      <c r="E195" s="72" t="s">
        <v>279</v>
      </c>
      <c r="F195" s="72" t="n">
        <v>2</v>
      </c>
      <c r="G195" s="73" t="n">
        <v>30</v>
      </c>
      <c r="H195" s="73" t="n">
        <f aca="false">F195*G195</f>
        <v>60</v>
      </c>
      <c r="I195" s="72" t="s">
        <v>295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17</v>
      </c>
      <c r="C196" s="72" t="s">
        <v>323</v>
      </c>
      <c r="D196" s="72" t="s">
        <v>334</v>
      </c>
      <c r="E196" s="72" t="s">
        <v>279</v>
      </c>
      <c r="F196" s="72" t="n">
        <v>1</v>
      </c>
      <c r="G196" s="73" t="n">
        <v>50</v>
      </c>
      <c r="H196" s="73" t="n">
        <f aca="false">F196*G196</f>
        <v>50</v>
      </c>
      <c r="I196" s="72" t="s">
        <v>325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17</v>
      </c>
      <c r="C197" s="72" t="s">
        <v>300</v>
      </c>
      <c r="D197" s="72" t="s">
        <v>186</v>
      </c>
      <c r="E197" s="72" t="s">
        <v>279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306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18</v>
      </c>
      <c r="C198" s="72" t="s">
        <v>291</v>
      </c>
      <c r="D198" s="72" t="s">
        <v>241</v>
      </c>
      <c r="E198" s="72" t="s">
        <v>281</v>
      </c>
      <c r="F198" s="72" t="n">
        <v>1</v>
      </c>
      <c r="G198" s="73" t="n">
        <v>117229.51</v>
      </c>
      <c r="H198" s="73" t="n">
        <f aca="false">F198*G198</f>
        <v>117229.51</v>
      </c>
      <c r="I198" s="72" t="s">
        <v>335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18</v>
      </c>
      <c r="C199" s="72" t="s">
        <v>291</v>
      </c>
      <c r="D199" s="72" t="s">
        <v>327</v>
      </c>
      <c r="E199" s="72" t="s">
        <v>281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328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18</v>
      </c>
      <c r="C200" s="72" t="s">
        <v>291</v>
      </c>
      <c r="D200" s="72" t="s">
        <v>293</v>
      </c>
      <c r="E200" s="72" t="s">
        <v>281</v>
      </c>
      <c r="F200" s="72" t="n">
        <v>1</v>
      </c>
      <c r="G200" s="73" t="n">
        <v>1257.43</v>
      </c>
      <c r="H200" s="73" t="n">
        <v>0</v>
      </c>
      <c r="I200" s="72" t="s">
        <v>312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18</v>
      </c>
      <c r="C201" s="72" t="s">
        <v>291</v>
      </c>
      <c r="D201" s="72" t="s">
        <v>166</v>
      </c>
      <c r="E201" s="72" t="s">
        <v>281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295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18</v>
      </c>
      <c r="C202" s="72" t="s">
        <v>291</v>
      </c>
      <c r="D202" s="72" t="s">
        <v>165</v>
      </c>
      <c r="E202" s="72" t="s">
        <v>281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295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18</v>
      </c>
      <c r="C203" s="72" t="s">
        <v>44</v>
      </c>
      <c r="D203" s="72" t="s">
        <v>240</v>
      </c>
      <c r="E203" s="72" t="s">
        <v>281</v>
      </c>
      <c r="F203" s="72" t="n">
        <v>1</v>
      </c>
      <c r="G203" s="73" t="n">
        <v>172.29</v>
      </c>
      <c r="H203" s="73" t="n">
        <v>172.29</v>
      </c>
      <c r="I203" s="72" t="s">
        <v>313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18</v>
      </c>
      <c r="C204" s="72" t="s">
        <v>44</v>
      </c>
      <c r="D204" s="72" t="s">
        <v>167</v>
      </c>
      <c r="E204" s="72" t="s">
        <v>281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295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18</v>
      </c>
      <c r="C205" s="72" t="s">
        <v>297</v>
      </c>
      <c r="D205" s="72" t="s">
        <v>170</v>
      </c>
      <c r="E205" s="72" t="s">
        <v>281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295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18</v>
      </c>
      <c r="C206" s="72" t="s">
        <v>297</v>
      </c>
      <c r="D206" s="72" t="s">
        <v>173</v>
      </c>
      <c r="E206" s="72" t="s">
        <v>281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295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18</v>
      </c>
      <c r="C207" s="72" t="s">
        <v>298</v>
      </c>
      <c r="D207" s="72" t="s">
        <v>194</v>
      </c>
      <c r="E207" s="72" t="s">
        <v>281</v>
      </c>
      <c r="F207" s="72" t="n">
        <v>1</v>
      </c>
      <c r="G207" s="73" t="n">
        <v>33.13</v>
      </c>
      <c r="H207" s="73" t="n">
        <v>33.13</v>
      </c>
      <c r="I207" s="72" t="s">
        <v>313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18</v>
      </c>
      <c r="C208" s="72" t="s">
        <v>298</v>
      </c>
      <c r="D208" s="72" t="s">
        <v>188</v>
      </c>
      <c r="E208" s="72" t="s">
        <v>281</v>
      </c>
      <c r="F208" s="72" t="n">
        <v>1</v>
      </c>
      <c r="G208" s="73" t="n">
        <v>-48.72</v>
      </c>
      <c r="H208" s="73" t="n">
        <v>-48.72</v>
      </c>
      <c r="I208" s="72" t="s">
        <v>313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18</v>
      </c>
      <c r="C209" s="72" t="s">
        <v>298</v>
      </c>
      <c r="D209" s="72" t="s">
        <v>198</v>
      </c>
      <c r="E209" s="72" t="s">
        <v>281</v>
      </c>
      <c r="F209" s="72" t="n">
        <v>1</v>
      </c>
      <c r="G209" s="73" t="n">
        <v>51.62</v>
      </c>
      <c r="H209" s="73" t="n">
        <v>51.62</v>
      </c>
      <c r="I209" s="72" t="s">
        <v>313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18</v>
      </c>
      <c r="C210" s="72" t="s">
        <v>299</v>
      </c>
      <c r="D210" s="72" t="s">
        <v>192</v>
      </c>
      <c r="E210" s="72" t="s">
        <v>281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295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18</v>
      </c>
      <c r="C211" s="72" t="s">
        <v>323</v>
      </c>
      <c r="D211" s="72" t="s">
        <v>324</v>
      </c>
      <c r="E211" s="72" t="s">
        <v>281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325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18</v>
      </c>
      <c r="C212" s="72" t="s">
        <v>300</v>
      </c>
      <c r="D212" s="72" t="s">
        <v>186</v>
      </c>
      <c r="E212" s="72" t="s">
        <v>281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336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13</v>
      </c>
      <c r="C213" s="72" t="s">
        <v>291</v>
      </c>
      <c r="D213" s="72" t="s">
        <v>241</v>
      </c>
      <c r="E213" s="72" t="s">
        <v>281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315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13</v>
      </c>
      <c r="C214" s="72" t="s">
        <v>291</v>
      </c>
      <c r="D214" s="72" t="s">
        <v>327</v>
      </c>
      <c r="E214" s="72" t="s">
        <v>281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328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13</v>
      </c>
      <c r="C215" s="72" t="s">
        <v>291</v>
      </c>
      <c r="D215" s="72" t="s">
        <v>166</v>
      </c>
      <c r="E215" s="72" t="s">
        <v>281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295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13</v>
      </c>
      <c r="C216" s="72" t="s">
        <v>291</v>
      </c>
      <c r="D216" s="72" t="s">
        <v>165</v>
      </c>
      <c r="E216" s="72" t="s">
        <v>281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295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13</v>
      </c>
      <c r="C217" s="72" t="s">
        <v>44</v>
      </c>
      <c r="D217" s="72" t="s">
        <v>167</v>
      </c>
      <c r="E217" s="72" t="s">
        <v>281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295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13</v>
      </c>
      <c r="C218" s="72" t="s">
        <v>297</v>
      </c>
      <c r="D218" s="72" t="s">
        <v>170</v>
      </c>
      <c r="E218" s="72" t="s">
        <v>281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295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13</v>
      </c>
      <c r="C219" s="72" t="s">
        <v>297</v>
      </c>
      <c r="D219" s="72" t="s">
        <v>173</v>
      </c>
      <c r="E219" s="72" t="s">
        <v>281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295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13</v>
      </c>
      <c r="C220" s="72" t="s">
        <v>299</v>
      </c>
      <c r="D220" s="72" t="s">
        <v>192</v>
      </c>
      <c r="E220" s="72" t="s">
        <v>281</v>
      </c>
      <c r="F220" s="72" t="n">
        <v>2</v>
      </c>
      <c r="G220" s="73" t="n">
        <v>30</v>
      </c>
      <c r="H220" s="73" t="n">
        <f aca="false">F220*G220</f>
        <v>60</v>
      </c>
      <c r="I220" s="72" t="s">
        <v>295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13</v>
      </c>
      <c r="C221" s="72" t="s">
        <v>300</v>
      </c>
      <c r="D221" s="72" t="s">
        <v>186</v>
      </c>
      <c r="E221" s="72" t="s">
        <v>281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306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16</v>
      </c>
      <c r="C222" s="72" t="s">
        <v>291</v>
      </c>
      <c r="D222" s="72" t="s">
        <v>241</v>
      </c>
      <c r="E222" s="72" t="s">
        <v>281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337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16</v>
      </c>
      <c r="C223" s="72" t="s">
        <v>291</v>
      </c>
      <c r="D223" s="72" t="s">
        <v>166</v>
      </c>
      <c r="E223" s="72" t="s">
        <v>281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295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16</v>
      </c>
      <c r="C224" s="72" t="s">
        <v>291</v>
      </c>
      <c r="D224" s="72" t="s">
        <v>165</v>
      </c>
      <c r="E224" s="72" t="s">
        <v>281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295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16</v>
      </c>
      <c r="C225" s="72" t="s">
        <v>44</v>
      </c>
      <c r="D225" s="72" t="s">
        <v>167</v>
      </c>
      <c r="E225" s="72" t="s">
        <v>281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295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16</v>
      </c>
      <c r="C226" s="72" t="s">
        <v>297</v>
      </c>
      <c r="D226" s="72" t="s">
        <v>170</v>
      </c>
      <c r="E226" s="72" t="s">
        <v>281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295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16</v>
      </c>
      <c r="C227" s="72" t="s">
        <v>297</v>
      </c>
      <c r="D227" s="72" t="s">
        <v>173</v>
      </c>
      <c r="E227" s="72" t="s">
        <v>281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295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16</v>
      </c>
      <c r="C228" s="72" t="s">
        <v>299</v>
      </c>
      <c r="D228" s="72" t="s">
        <v>192</v>
      </c>
      <c r="E228" s="72" t="s">
        <v>281</v>
      </c>
      <c r="F228" s="72" t="n">
        <v>5</v>
      </c>
      <c r="G228" s="73" t="n">
        <v>30</v>
      </c>
      <c r="H228" s="73" t="n">
        <f aca="false">F228*G228</f>
        <v>150</v>
      </c>
      <c r="I228" s="72" t="s">
        <v>295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16</v>
      </c>
      <c r="C229" s="72" t="s">
        <v>300</v>
      </c>
      <c r="D229" s="72" t="s">
        <v>186</v>
      </c>
      <c r="E229" s="72" t="s">
        <v>281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306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10</v>
      </c>
      <c r="C230" s="72" t="s">
        <v>291</v>
      </c>
      <c r="D230" s="72" t="s">
        <v>241</v>
      </c>
      <c r="E230" s="72" t="s">
        <v>282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338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10</v>
      </c>
      <c r="C231" s="72" t="s">
        <v>291</v>
      </c>
      <c r="D231" s="72" t="s">
        <v>166</v>
      </c>
      <c r="E231" s="72" t="s">
        <v>282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295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10</v>
      </c>
      <c r="C232" s="72" t="s">
        <v>291</v>
      </c>
      <c r="D232" s="72" t="s">
        <v>165</v>
      </c>
      <c r="E232" s="72" t="s">
        <v>282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295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10</v>
      </c>
      <c r="C233" s="72" t="s">
        <v>44</v>
      </c>
      <c r="D233" s="72" t="s">
        <v>167</v>
      </c>
      <c r="E233" s="72" t="s">
        <v>282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295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10</v>
      </c>
      <c r="C234" s="72" t="s">
        <v>297</v>
      </c>
      <c r="D234" s="72" t="s">
        <v>170</v>
      </c>
      <c r="E234" s="72" t="s">
        <v>282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295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10</v>
      </c>
      <c r="C235" s="72" t="s">
        <v>297</v>
      </c>
      <c r="D235" s="72" t="s">
        <v>173</v>
      </c>
      <c r="E235" s="72" t="s">
        <v>282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295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10</v>
      </c>
      <c r="C236" s="72" t="s">
        <v>298</v>
      </c>
      <c r="D236" s="72" t="s">
        <v>194</v>
      </c>
      <c r="E236" s="72" t="s">
        <v>282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319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10</v>
      </c>
      <c r="C237" s="72" t="s">
        <v>298</v>
      </c>
      <c r="D237" s="72" t="s">
        <v>198</v>
      </c>
      <c r="E237" s="72" t="s">
        <v>282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319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10</v>
      </c>
      <c r="C238" s="72" t="s">
        <v>299</v>
      </c>
      <c r="D238" s="72" t="s">
        <v>192</v>
      </c>
      <c r="E238" s="72" t="s">
        <v>282</v>
      </c>
      <c r="F238" s="72" t="n">
        <v>8</v>
      </c>
      <c r="G238" s="73" t="n">
        <v>30</v>
      </c>
      <c r="H238" s="73" t="n">
        <f aca="false">F238*G238</f>
        <v>240</v>
      </c>
      <c r="I238" s="72" t="s">
        <v>295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15</v>
      </c>
      <c r="C239" s="72" t="s">
        <v>291</v>
      </c>
      <c r="D239" s="72" t="s">
        <v>241</v>
      </c>
      <c r="E239" s="72" t="s">
        <v>282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339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15</v>
      </c>
      <c r="C240" s="72" t="s">
        <v>291</v>
      </c>
      <c r="D240" s="72" t="s">
        <v>327</v>
      </c>
      <c r="E240" s="72" t="s">
        <v>282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328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15</v>
      </c>
      <c r="C241" s="72" t="s">
        <v>291</v>
      </c>
      <c r="D241" s="72" t="s">
        <v>293</v>
      </c>
      <c r="E241" s="72" t="s">
        <v>282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308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15</v>
      </c>
      <c r="C242" s="72" t="s">
        <v>291</v>
      </c>
      <c r="D242" s="72" t="s">
        <v>166</v>
      </c>
      <c r="E242" s="72" t="s">
        <v>282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295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15</v>
      </c>
      <c r="C243" s="72" t="s">
        <v>291</v>
      </c>
      <c r="D243" s="72" t="s">
        <v>165</v>
      </c>
      <c r="E243" s="72" t="s">
        <v>282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295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15</v>
      </c>
      <c r="C244" s="72" t="s">
        <v>44</v>
      </c>
      <c r="D244" s="72" t="s">
        <v>167</v>
      </c>
      <c r="E244" s="72" t="s">
        <v>282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295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15</v>
      </c>
      <c r="C245" s="72" t="s">
        <v>297</v>
      </c>
      <c r="D245" s="72" t="s">
        <v>170</v>
      </c>
      <c r="E245" s="72" t="s">
        <v>282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295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15</v>
      </c>
      <c r="C246" s="72" t="s">
        <v>297</v>
      </c>
      <c r="D246" s="72" t="s">
        <v>173</v>
      </c>
      <c r="E246" s="72" t="s">
        <v>282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295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15</v>
      </c>
      <c r="C247" s="72" t="s">
        <v>298</v>
      </c>
      <c r="D247" s="72" t="s">
        <v>332</v>
      </c>
      <c r="E247" s="72" t="s">
        <v>282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308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15</v>
      </c>
      <c r="C248" s="72" t="s">
        <v>299</v>
      </c>
      <c r="D248" s="72" t="s">
        <v>192</v>
      </c>
      <c r="E248" s="72" t="s">
        <v>282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295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15</v>
      </c>
      <c r="C249" s="72" t="s">
        <v>323</v>
      </c>
      <c r="D249" s="72" t="s">
        <v>340</v>
      </c>
      <c r="E249" s="72" t="s">
        <v>282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325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15</v>
      </c>
      <c r="C250" s="72" t="s">
        <v>300</v>
      </c>
      <c r="D250" s="72" t="s">
        <v>186</v>
      </c>
      <c r="E250" s="72" t="s">
        <v>282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306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14</v>
      </c>
      <c r="C251" s="72" t="s">
        <v>291</v>
      </c>
      <c r="D251" s="72" t="s">
        <v>241</v>
      </c>
      <c r="E251" s="72" t="s">
        <v>285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321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14</v>
      </c>
      <c r="C252" s="72" t="s">
        <v>291</v>
      </c>
      <c r="D252" s="72" t="s">
        <v>166</v>
      </c>
      <c r="E252" s="72" t="s">
        <v>285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295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14</v>
      </c>
      <c r="C253" s="72" t="s">
        <v>291</v>
      </c>
      <c r="D253" s="72" t="s">
        <v>165</v>
      </c>
      <c r="E253" s="72" t="s">
        <v>285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295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14</v>
      </c>
      <c r="C254" s="72" t="s">
        <v>44</v>
      </c>
      <c r="D254" s="72" t="s">
        <v>167</v>
      </c>
      <c r="E254" s="72" t="s">
        <v>285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295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14</v>
      </c>
      <c r="C255" s="72" t="s">
        <v>297</v>
      </c>
      <c r="D255" s="72" t="s">
        <v>170</v>
      </c>
      <c r="E255" s="72" t="s">
        <v>285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295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14</v>
      </c>
      <c r="C256" s="72" t="s">
        <v>297</v>
      </c>
      <c r="D256" s="72" t="s">
        <v>173</v>
      </c>
      <c r="E256" s="72" t="s">
        <v>285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295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14</v>
      </c>
      <c r="C257" s="72" t="s">
        <v>299</v>
      </c>
      <c r="D257" s="72" t="s">
        <v>192</v>
      </c>
      <c r="E257" s="72" t="s">
        <v>285</v>
      </c>
      <c r="F257" s="72" t="n">
        <v>1</v>
      </c>
      <c r="G257" s="73" t="n">
        <v>30</v>
      </c>
      <c r="H257" s="73" t="n">
        <f aca="false">F257*G257</f>
        <v>30</v>
      </c>
      <c r="I257" s="72" t="s">
        <v>295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18</v>
      </c>
      <c r="C258" s="72" t="s">
        <v>291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198704</v>
      </c>
      <c r="I258" s="72" t="s">
        <v>341</v>
      </c>
    </row>
    <row r="259" customFormat="false" ht="14.25" hidden="false" customHeight="true" outlineLevel="0" collapsed="false">
      <c r="A259" s="72" t="s">
        <v>21</v>
      </c>
      <c r="B259" s="72" t="s">
        <v>18</v>
      </c>
      <c r="C259" s="72" t="s">
        <v>291</v>
      </c>
      <c r="D259" s="72" t="s">
        <v>293</v>
      </c>
      <c r="E259" s="72" t="s">
        <v>274</v>
      </c>
      <c r="F259" s="72" t="n">
        <v>1</v>
      </c>
      <c r="G259" s="73" t="n">
        <v>3360.29</v>
      </c>
      <c r="H259" s="73" t="n">
        <v>0</v>
      </c>
      <c r="I259" s="72" t="s">
        <v>342</v>
      </c>
    </row>
    <row r="260" customFormat="false" ht="14.25" hidden="false" customHeight="true" outlineLevel="0" collapsed="false">
      <c r="A260" s="72" t="s">
        <v>21</v>
      </c>
      <c r="B260" s="72" t="s">
        <v>18</v>
      </c>
      <c r="C260" s="72" t="s">
        <v>291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343</v>
      </c>
    </row>
    <row r="261" customFormat="false" ht="14.25" hidden="false" customHeight="true" outlineLevel="0" collapsed="false">
      <c r="A261" s="72" t="s">
        <v>21</v>
      </c>
      <c r="B261" s="72" t="s">
        <v>18</v>
      </c>
      <c r="C261" s="72" t="s">
        <v>291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343</v>
      </c>
    </row>
    <row r="262" customFormat="false" ht="14.25" hidden="false" customHeight="true" outlineLevel="0" collapsed="false">
      <c r="A262" s="72" t="s">
        <v>21</v>
      </c>
      <c r="B262" s="72" t="s">
        <v>18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343</v>
      </c>
    </row>
    <row r="263" customFormat="false" ht="14.25" hidden="false" customHeight="true" outlineLevel="0" collapsed="false">
      <c r="A263" s="72" t="s">
        <v>21</v>
      </c>
      <c r="B263" s="72" t="s">
        <v>18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344</v>
      </c>
    </row>
    <row r="264" customFormat="false" ht="14.25" hidden="false" customHeight="true" outlineLevel="0" collapsed="false">
      <c r="A264" s="72" t="s">
        <v>21</v>
      </c>
      <c r="B264" s="72" t="s">
        <v>18</v>
      </c>
      <c r="C264" s="72" t="s">
        <v>298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344</v>
      </c>
    </row>
    <row r="265" customFormat="false" ht="14.25" hidden="false" customHeight="true" outlineLevel="0" collapsed="false">
      <c r="A265" s="72" t="s">
        <v>21</v>
      </c>
      <c r="B265" s="72" t="s">
        <v>18</v>
      </c>
      <c r="C265" s="72" t="s">
        <v>298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344</v>
      </c>
    </row>
    <row r="266" customFormat="false" ht="14.25" hidden="false" customHeight="true" outlineLevel="0" collapsed="false">
      <c r="A266" s="72" t="s">
        <v>21</v>
      </c>
      <c r="B266" s="72" t="s">
        <v>18</v>
      </c>
      <c r="C266" s="72" t="s">
        <v>299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343</v>
      </c>
    </row>
    <row r="267" customFormat="false" ht="15" hidden="false" customHeight="true" outlineLevel="0" collapsed="false">
      <c r="A267" s="72" t="s">
        <v>21</v>
      </c>
      <c r="B267" s="72" t="s">
        <v>18</v>
      </c>
      <c r="C267" s="72" t="s">
        <v>297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343</v>
      </c>
    </row>
    <row r="268" customFormat="false" ht="14.25" hidden="false" customHeight="true" outlineLevel="0" collapsed="false">
      <c r="A268" s="72" t="s">
        <v>21</v>
      </c>
      <c r="B268" s="72" t="s">
        <v>18</v>
      </c>
      <c r="C268" s="72" t="s">
        <v>297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343</v>
      </c>
    </row>
    <row r="269" customFormat="false" ht="14.25" hidden="false" customHeight="true" outlineLevel="0" collapsed="false">
      <c r="A269" s="72" t="s">
        <v>21</v>
      </c>
      <c r="B269" s="72" t="s">
        <v>18</v>
      </c>
      <c r="C269" s="72" t="s">
        <v>300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345</v>
      </c>
    </row>
    <row r="270" customFormat="false" ht="14.25" hidden="false" customHeight="true" outlineLevel="0" collapsed="false">
      <c r="A270" s="72" t="s">
        <v>21</v>
      </c>
      <c r="B270" s="72" t="s">
        <v>18</v>
      </c>
      <c r="C270" s="72" t="s">
        <v>291</v>
      </c>
      <c r="D270" s="72" t="s">
        <v>327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346</v>
      </c>
    </row>
    <row r="271" customFormat="false" ht="14.25" hidden="false" customHeight="true" outlineLevel="0" collapsed="false">
      <c r="A271" s="72" t="s">
        <v>21</v>
      </c>
      <c r="B271" s="72" t="s">
        <v>18</v>
      </c>
      <c r="C271" s="72" t="s">
        <v>291</v>
      </c>
      <c r="D271" s="72" t="s">
        <v>241</v>
      </c>
      <c r="E271" s="72" t="s">
        <v>276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347</v>
      </c>
    </row>
    <row r="272" customFormat="false" ht="14.25" hidden="false" customHeight="true" outlineLevel="0" collapsed="false">
      <c r="A272" s="72" t="s">
        <v>21</v>
      </c>
      <c r="B272" s="72" t="s">
        <v>18</v>
      </c>
      <c r="C272" s="72" t="s">
        <v>291</v>
      </c>
      <c r="D272" s="72" t="s">
        <v>293</v>
      </c>
      <c r="E272" s="72" t="s">
        <v>276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348</v>
      </c>
    </row>
    <row r="273" customFormat="false" ht="14.25" hidden="false" customHeight="true" outlineLevel="0" collapsed="false">
      <c r="A273" s="72" t="s">
        <v>21</v>
      </c>
      <c r="B273" s="72" t="s">
        <v>18</v>
      </c>
      <c r="C273" s="72" t="s">
        <v>291</v>
      </c>
      <c r="D273" s="72" t="s">
        <v>166</v>
      </c>
      <c r="E273" s="72" t="s">
        <v>276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343</v>
      </c>
    </row>
    <row r="274" customFormat="false" ht="14.25" hidden="false" customHeight="true" outlineLevel="0" collapsed="false">
      <c r="A274" s="72" t="s">
        <v>21</v>
      </c>
      <c r="B274" s="72" t="s">
        <v>18</v>
      </c>
      <c r="C274" s="72" t="s">
        <v>291</v>
      </c>
      <c r="D274" s="72" t="s">
        <v>165</v>
      </c>
      <c r="E274" s="72" t="s">
        <v>276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343</v>
      </c>
    </row>
    <row r="275" customFormat="false" ht="14.25" hidden="false" customHeight="true" outlineLevel="0" collapsed="false">
      <c r="A275" s="72" t="s">
        <v>21</v>
      </c>
      <c r="B275" s="72" t="s">
        <v>18</v>
      </c>
      <c r="C275" s="72" t="s">
        <v>44</v>
      </c>
      <c r="D275" s="72" t="s">
        <v>167</v>
      </c>
      <c r="E275" s="72" t="s">
        <v>276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343</v>
      </c>
    </row>
    <row r="276" customFormat="false" ht="14.25" hidden="false" customHeight="true" outlineLevel="0" collapsed="false">
      <c r="A276" s="72" t="s">
        <v>21</v>
      </c>
      <c r="B276" s="72" t="s">
        <v>18</v>
      </c>
      <c r="C276" s="72" t="s">
        <v>44</v>
      </c>
      <c r="D276" s="72" t="s">
        <v>240</v>
      </c>
      <c r="E276" s="72" t="s">
        <v>276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348</v>
      </c>
    </row>
    <row r="277" customFormat="false" ht="14.25" hidden="false" customHeight="true" outlineLevel="0" collapsed="false">
      <c r="A277" s="72" t="s">
        <v>21</v>
      </c>
      <c r="B277" s="72" t="s">
        <v>18</v>
      </c>
      <c r="C277" s="72" t="s">
        <v>298</v>
      </c>
      <c r="D277" s="72" t="s">
        <v>194</v>
      </c>
      <c r="E277" s="72" t="s">
        <v>276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348</v>
      </c>
    </row>
    <row r="278" customFormat="false" ht="15" hidden="false" customHeight="true" outlineLevel="0" collapsed="false">
      <c r="A278" s="72" t="s">
        <v>21</v>
      </c>
      <c r="B278" s="72" t="s">
        <v>18</v>
      </c>
      <c r="C278" s="72" t="s">
        <v>298</v>
      </c>
      <c r="D278" s="72" t="s">
        <v>198</v>
      </c>
      <c r="E278" s="72" t="s">
        <v>276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348</v>
      </c>
    </row>
    <row r="279" customFormat="false" ht="14.25" hidden="false" customHeight="true" outlineLevel="0" collapsed="false">
      <c r="A279" s="72" t="s">
        <v>21</v>
      </c>
      <c r="B279" s="72" t="s">
        <v>18</v>
      </c>
      <c r="C279" s="72" t="s">
        <v>299</v>
      </c>
      <c r="D279" s="72" t="s">
        <v>192</v>
      </c>
      <c r="E279" s="72" t="s">
        <v>276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343</v>
      </c>
    </row>
    <row r="280" customFormat="false" ht="14.25" hidden="false" customHeight="true" outlineLevel="0" collapsed="false">
      <c r="A280" s="72" t="s">
        <v>21</v>
      </c>
      <c r="B280" s="72" t="s">
        <v>18</v>
      </c>
      <c r="C280" s="72" t="s">
        <v>297</v>
      </c>
      <c r="D280" s="72" t="s">
        <v>170</v>
      </c>
      <c r="E280" s="72" t="s">
        <v>276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343</v>
      </c>
    </row>
    <row r="281" customFormat="false" ht="14.25" hidden="false" customHeight="true" outlineLevel="0" collapsed="false">
      <c r="A281" s="72" t="s">
        <v>21</v>
      </c>
      <c r="B281" s="72" t="s">
        <v>18</v>
      </c>
      <c r="C281" s="72" t="s">
        <v>297</v>
      </c>
      <c r="D281" s="72" t="s">
        <v>173</v>
      </c>
      <c r="E281" s="72" t="s">
        <v>276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343</v>
      </c>
    </row>
    <row r="282" customFormat="false" ht="14.25" hidden="false" customHeight="true" outlineLevel="0" collapsed="false">
      <c r="A282" s="72" t="s">
        <v>21</v>
      </c>
      <c r="B282" s="72" t="s">
        <v>18</v>
      </c>
      <c r="C282" s="72" t="s">
        <v>291</v>
      </c>
      <c r="D282" s="72" t="s">
        <v>241</v>
      </c>
      <c r="E282" s="72" t="s">
        <v>278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349</v>
      </c>
    </row>
    <row r="283" customFormat="false" ht="14.25" hidden="false" customHeight="true" outlineLevel="0" collapsed="false">
      <c r="A283" s="72" t="s">
        <v>21</v>
      </c>
      <c r="B283" s="72" t="s">
        <v>18</v>
      </c>
      <c r="C283" s="72" t="s">
        <v>291</v>
      </c>
      <c r="D283" s="72" t="s">
        <v>293</v>
      </c>
      <c r="E283" s="72" t="s">
        <v>278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350</v>
      </c>
    </row>
    <row r="284" customFormat="false" ht="14.25" hidden="false" customHeight="true" outlineLevel="0" collapsed="false">
      <c r="A284" s="72" t="s">
        <v>21</v>
      </c>
      <c r="B284" s="72" t="s">
        <v>18</v>
      </c>
      <c r="C284" s="72" t="s">
        <v>291</v>
      </c>
      <c r="D284" s="72" t="s">
        <v>166</v>
      </c>
      <c r="E284" s="72" t="s">
        <v>278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343</v>
      </c>
    </row>
    <row r="285" customFormat="false" ht="14.25" hidden="false" customHeight="true" outlineLevel="0" collapsed="false">
      <c r="A285" s="72" t="s">
        <v>21</v>
      </c>
      <c r="B285" s="72" t="s">
        <v>18</v>
      </c>
      <c r="C285" s="72" t="s">
        <v>291</v>
      </c>
      <c r="D285" s="72" t="s">
        <v>165</v>
      </c>
      <c r="E285" s="72" t="s">
        <v>278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343</v>
      </c>
    </row>
    <row r="286" customFormat="false" ht="14.25" hidden="false" customHeight="true" outlineLevel="0" collapsed="false">
      <c r="A286" s="72" t="s">
        <v>21</v>
      </c>
      <c r="B286" s="72" t="s">
        <v>18</v>
      </c>
      <c r="C286" s="72" t="s">
        <v>44</v>
      </c>
      <c r="D286" s="72" t="s">
        <v>167</v>
      </c>
      <c r="E286" s="72" t="s">
        <v>278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343</v>
      </c>
    </row>
    <row r="287" customFormat="false" ht="14.25" hidden="false" customHeight="true" outlineLevel="0" collapsed="false">
      <c r="A287" s="72" t="s">
        <v>21</v>
      </c>
      <c r="B287" s="72" t="s">
        <v>18</v>
      </c>
      <c r="C287" s="72" t="s">
        <v>44</v>
      </c>
      <c r="D287" s="72" t="s">
        <v>240</v>
      </c>
      <c r="E287" s="72" t="s">
        <v>278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350</v>
      </c>
    </row>
    <row r="288" customFormat="false" ht="14.25" hidden="false" customHeight="true" outlineLevel="0" collapsed="false">
      <c r="A288" s="72" t="s">
        <v>21</v>
      </c>
      <c r="B288" s="72" t="s">
        <v>18</v>
      </c>
      <c r="C288" s="72" t="s">
        <v>298</v>
      </c>
      <c r="D288" s="72" t="s">
        <v>194</v>
      </c>
      <c r="E288" s="72" t="s">
        <v>278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350</v>
      </c>
    </row>
    <row r="289" customFormat="false" ht="14.25" hidden="false" customHeight="true" outlineLevel="0" collapsed="false">
      <c r="A289" s="72" t="s">
        <v>21</v>
      </c>
      <c r="B289" s="72" t="s">
        <v>18</v>
      </c>
      <c r="C289" s="72" t="s">
        <v>298</v>
      </c>
      <c r="D289" s="72" t="s">
        <v>198</v>
      </c>
      <c r="E289" s="72" t="s">
        <v>278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350</v>
      </c>
    </row>
    <row r="290" customFormat="false" ht="14.25" hidden="false" customHeight="true" outlineLevel="0" collapsed="false">
      <c r="A290" s="72" t="s">
        <v>21</v>
      </c>
      <c r="B290" s="72" t="s">
        <v>18</v>
      </c>
      <c r="C290" s="72" t="s">
        <v>299</v>
      </c>
      <c r="D290" s="72" t="s">
        <v>192</v>
      </c>
      <c r="E290" s="72" t="s">
        <v>278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343</v>
      </c>
    </row>
    <row r="291" customFormat="false" ht="14.25" hidden="false" customHeight="true" outlineLevel="0" collapsed="false">
      <c r="A291" s="72" t="s">
        <v>21</v>
      </c>
      <c r="B291" s="72" t="s">
        <v>18</v>
      </c>
      <c r="C291" s="72" t="s">
        <v>297</v>
      </c>
      <c r="D291" s="72" t="s">
        <v>170</v>
      </c>
      <c r="E291" s="72" t="s">
        <v>278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343</v>
      </c>
    </row>
    <row r="292" customFormat="false" ht="14.25" hidden="false" customHeight="true" outlineLevel="0" collapsed="false">
      <c r="A292" s="72" t="s">
        <v>21</v>
      </c>
      <c r="B292" s="72" t="s">
        <v>18</v>
      </c>
      <c r="C292" s="72" t="s">
        <v>297</v>
      </c>
      <c r="D292" s="72" t="s">
        <v>173</v>
      </c>
      <c r="E292" s="72" t="s">
        <v>278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343</v>
      </c>
    </row>
    <row r="293" customFormat="false" ht="14.25" hidden="false" customHeight="true" outlineLevel="0" collapsed="false">
      <c r="A293" s="72" t="s">
        <v>21</v>
      </c>
      <c r="B293" s="72" t="s">
        <v>18</v>
      </c>
      <c r="C293" s="72" t="s">
        <v>300</v>
      </c>
      <c r="D293" s="72" t="s">
        <v>186</v>
      </c>
      <c r="E293" s="72" t="s">
        <v>278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306</v>
      </c>
    </row>
    <row r="294" customFormat="false" ht="14.25" hidden="false" customHeight="true" outlineLevel="0" collapsed="false">
      <c r="A294" s="72" t="s">
        <v>21</v>
      </c>
      <c r="B294" s="72" t="s">
        <v>18</v>
      </c>
      <c r="C294" s="72" t="s">
        <v>291</v>
      </c>
      <c r="D294" s="72" t="s">
        <v>241</v>
      </c>
      <c r="E294" s="72" t="s">
        <v>279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351</v>
      </c>
    </row>
    <row r="295" customFormat="false" ht="15" hidden="false" customHeight="true" outlineLevel="0" collapsed="false">
      <c r="A295" s="72" t="s">
        <v>21</v>
      </c>
      <c r="B295" s="72" t="s">
        <v>18</v>
      </c>
      <c r="C295" s="72" t="s">
        <v>291</v>
      </c>
      <c r="D295" s="72" t="s">
        <v>293</v>
      </c>
      <c r="E295" s="72" t="s">
        <v>279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352</v>
      </c>
    </row>
    <row r="296" customFormat="false" ht="14.25" hidden="false" customHeight="true" outlineLevel="0" collapsed="false">
      <c r="A296" s="72" t="s">
        <v>21</v>
      </c>
      <c r="B296" s="72" t="s">
        <v>18</v>
      </c>
      <c r="C296" s="72" t="s">
        <v>291</v>
      </c>
      <c r="D296" s="72" t="s">
        <v>166</v>
      </c>
      <c r="E296" s="72" t="s">
        <v>279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343</v>
      </c>
    </row>
    <row r="297" customFormat="false" ht="14.25" hidden="false" customHeight="true" outlineLevel="0" collapsed="false">
      <c r="A297" s="72" t="s">
        <v>21</v>
      </c>
      <c r="B297" s="72" t="s">
        <v>18</v>
      </c>
      <c r="C297" s="72" t="s">
        <v>291</v>
      </c>
      <c r="D297" s="72" t="s">
        <v>165</v>
      </c>
      <c r="E297" s="72" t="s">
        <v>279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343</v>
      </c>
    </row>
    <row r="298" customFormat="false" ht="14.25" hidden="false" customHeight="true" outlineLevel="0" collapsed="false">
      <c r="A298" s="72" t="s">
        <v>21</v>
      </c>
      <c r="B298" s="72" t="s">
        <v>18</v>
      </c>
      <c r="C298" s="72" t="s">
        <v>44</v>
      </c>
      <c r="D298" s="72" t="s">
        <v>167</v>
      </c>
      <c r="E298" s="72" t="s">
        <v>279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343</v>
      </c>
    </row>
    <row r="299" customFormat="false" ht="14.25" hidden="false" customHeight="true" outlineLevel="0" collapsed="false">
      <c r="A299" s="72" t="s">
        <v>21</v>
      </c>
      <c r="B299" s="72" t="s">
        <v>18</v>
      </c>
      <c r="C299" s="72" t="s">
        <v>44</v>
      </c>
      <c r="D299" s="72" t="s">
        <v>240</v>
      </c>
      <c r="E299" s="72" t="s">
        <v>279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352</v>
      </c>
    </row>
    <row r="300" customFormat="false" ht="14.25" hidden="false" customHeight="true" outlineLevel="0" collapsed="false">
      <c r="A300" s="72" t="s">
        <v>21</v>
      </c>
      <c r="B300" s="72" t="s">
        <v>18</v>
      </c>
      <c r="C300" s="72" t="s">
        <v>298</v>
      </c>
      <c r="D300" s="72" t="s">
        <v>194</v>
      </c>
      <c r="E300" s="72" t="s">
        <v>279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352</v>
      </c>
    </row>
    <row r="301" customFormat="false" ht="14.25" hidden="false" customHeight="true" outlineLevel="0" collapsed="false">
      <c r="A301" s="72" t="s">
        <v>21</v>
      </c>
      <c r="B301" s="72" t="s">
        <v>18</v>
      </c>
      <c r="C301" s="72" t="s">
        <v>298</v>
      </c>
      <c r="D301" s="72" t="s">
        <v>198</v>
      </c>
      <c r="E301" s="72" t="s">
        <v>279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352</v>
      </c>
    </row>
    <row r="302" customFormat="false" ht="14.25" hidden="false" customHeight="true" outlineLevel="0" collapsed="false">
      <c r="A302" s="72" t="s">
        <v>21</v>
      </c>
      <c r="B302" s="72" t="s">
        <v>18</v>
      </c>
      <c r="C302" s="72" t="s">
        <v>299</v>
      </c>
      <c r="D302" s="72" t="s">
        <v>192</v>
      </c>
      <c r="E302" s="72" t="s">
        <v>279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343</v>
      </c>
    </row>
    <row r="303" customFormat="false" ht="14.25" hidden="false" customHeight="true" outlineLevel="0" collapsed="false">
      <c r="A303" s="72" t="s">
        <v>21</v>
      </c>
      <c r="B303" s="72" t="s">
        <v>18</v>
      </c>
      <c r="C303" s="72" t="s">
        <v>297</v>
      </c>
      <c r="D303" s="72" t="s">
        <v>170</v>
      </c>
      <c r="E303" s="72" t="s">
        <v>279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343</v>
      </c>
    </row>
    <row r="304" customFormat="false" ht="14.25" hidden="false" customHeight="true" outlineLevel="0" collapsed="false">
      <c r="A304" s="72" t="s">
        <v>21</v>
      </c>
      <c r="B304" s="72" t="s">
        <v>18</v>
      </c>
      <c r="C304" s="72" t="s">
        <v>297</v>
      </c>
      <c r="D304" s="72" t="s">
        <v>173</v>
      </c>
      <c r="E304" s="72" t="s">
        <v>279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343</v>
      </c>
    </row>
    <row r="305" customFormat="false" ht="14.25" hidden="false" customHeight="true" outlineLevel="0" collapsed="false">
      <c r="A305" s="72" t="s">
        <v>21</v>
      </c>
      <c r="B305" s="72" t="s">
        <v>18</v>
      </c>
      <c r="C305" s="72" t="s">
        <v>291</v>
      </c>
      <c r="D305" s="72" t="s">
        <v>327</v>
      </c>
      <c r="E305" s="72" t="s">
        <v>279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346</v>
      </c>
    </row>
    <row r="306" customFormat="false" ht="14.25" hidden="false" customHeight="true" outlineLevel="0" collapsed="false">
      <c r="A306" s="72" t="s">
        <v>21</v>
      </c>
      <c r="B306" s="72" t="s">
        <v>18</v>
      </c>
      <c r="C306" s="72" t="s">
        <v>291</v>
      </c>
      <c r="D306" s="72" t="s">
        <v>241</v>
      </c>
      <c r="E306" s="72" t="s">
        <v>281</v>
      </c>
      <c r="F306" s="72" t="n">
        <v>1</v>
      </c>
      <c r="G306" s="73" t="n">
        <v>89221.09</v>
      </c>
      <c r="H306" s="73" t="n">
        <f aca="false">G306*F306</f>
        <v>89221.09</v>
      </c>
      <c r="I306" s="72" t="s">
        <v>353</v>
      </c>
    </row>
    <row r="307" customFormat="false" ht="14.25" hidden="false" customHeight="true" outlineLevel="0" collapsed="false">
      <c r="A307" s="72" t="s">
        <v>21</v>
      </c>
      <c r="B307" s="1" t="s">
        <v>18</v>
      </c>
      <c r="C307" s="1" t="s">
        <v>291</v>
      </c>
      <c r="D307" s="1" t="s">
        <v>293</v>
      </c>
      <c r="E307" s="1" t="s">
        <v>281</v>
      </c>
      <c r="F307" s="1" t="n">
        <v>0</v>
      </c>
      <c r="G307" s="1" t="n">
        <v>0</v>
      </c>
      <c r="H307" s="73" t="n">
        <f aca="false">G307*F307</f>
        <v>0</v>
      </c>
      <c r="I307" s="72" t="s">
        <v>354</v>
      </c>
    </row>
    <row r="308" customFormat="false" ht="14.25" hidden="false" customHeight="true" outlineLevel="0" collapsed="false">
      <c r="A308" s="72" t="s">
        <v>21</v>
      </c>
      <c r="B308" s="72" t="s">
        <v>18</v>
      </c>
      <c r="C308" s="72" t="s">
        <v>291</v>
      </c>
      <c r="D308" s="72" t="s">
        <v>166</v>
      </c>
      <c r="E308" s="72" t="s">
        <v>281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343</v>
      </c>
    </row>
    <row r="309" customFormat="false" ht="14.25" hidden="false" customHeight="true" outlineLevel="0" collapsed="false">
      <c r="A309" s="72" t="s">
        <v>21</v>
      </c>
      <c r="B309" s="1" t="s">
        <v>18</v>
      </c>
      <c r="C309" s="1" t="s">
        <v>291</v>
      </c>
      <c r="D309" s="1" t="s">
        <v>165</v>
      </c>
      <c r="E309" s="1" t="s">
        <v>281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343</v>
      </c>
    </row>
    <row r="310" customFormat="false" ht="14.25" hidden="false" customHeight="true" outlineLevel="0" collapsed="false">
      <c r="A310" s="72" t="s">
        <v>21</v>
      </c>
      <c r="B310" s="72" t="s">
        <v>18</v>
      </c>
      <c r="C310" s="72" t="s">
        <v>44</v>
      </c>
      <c r="D310" s="72" t="s">
        <v>167</v>
      </c>
      <c r="E310" s="72" t="s">
        <v>281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343</v>
      </c>
    </row>
    <row r="311" customFormat="false" ht="14.25" hidden="false" customHeight="true" outlineLevel="0" collapsed="false">
      <c r="A311" s="72" t="s">
        <v>21</v>
      </c>
      <c r="B311" s="72" t="s">
        <v>18</v>
      </c>
      <c r="C311" s="72" t="s">
        <v>44</v>
      </c>
      <c r="D311" s="72" t="s">
        <v>240</v>
      </c>
      <c r="E311" s="72" t="s">
        <v>281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355</v>
      </c>
    </row>
    <row r="312" customFormat="false" ht="14.25" hidden="false" customHeight="true" outlineLevel="0" collapsed="false">
      <c r="A312" s="72" t="s">
        <v>21</v>
      </c>
      <c r="B312" s="72" t="s">
        <v>18</v>
      </c>
      <c r="C312" s="72" t="s">
        <v>298</v>
      </c>
      <c r="D312" s="72" t="s">
        <v>194</v>
      </c>
      <c r="E312" s="72" t="s">
        <v>281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355</v>
      </c>
    </row>
    <row r="313" customFormat="false" ht="14.25" hidden="false" customHeight="true" outlineLevel="0" collapsed="false">
      <c r="A313" s="72" t="s">
        <v>21</v>
      </c>
      <c r="B313" s="72" t="s">
        <v>18</v>
      </c>
      <c r="C313" s="72" t="s">
        <v>298</v>
      </c>
      <c r="D313" s="72" t="s">
        <v>198</v>
      </c>
      <c r="E313" s="72" t="s">
        <v>281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355</v>
      </c>
    </row>
    <row r="314" customFormat="false" ht="14.25" hidden="false" customHeight="true" outlineLevel="0" collapsed="false">
      <c r="A314" s="72" t="s">
        <v>21</v>
      </c>
      <c r="B314" s="72" t="s">
        <v>18</v>
      </c>
      <c r="C314" s="72" t="s">
        <v>299</v>
      </c>
      <c r="D314" s="72" t="s">
        <v>192</v>
      </c>
      <c r="E314" s="72" t="s">
        <v>281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343</v>
      </c>
    </row>
    <row r="315" customFormat="false" ht="14.25" hidden="false" customHeight="true" outlineLevel="0" collapsed="false">
      <c r="A315" s="72" t="s">
        <v>21</v>
      </c>
      <c r="B315" s="72" t="s">
        <v>18</v>
      </c>
      <c r="C315" s="72" t="s">
        <v>297</v>
      </c>
      <c r="D315" s="72" t="s">
        <v>170</v>
      </c>
      <c r="E315" s="72" t="s">
        <v>281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343</v>
      </c>
    </row>
    <row r="316" customFormat="false" ht="14.25" hidden="false" customHeight="true" outlineLevel="0" collapsed="false">
      <c r="A316" s="72" t="s">
        <v>21</v>
      </c>
      <c r="B316" s="72" t="s">
        <v>18</v>
      </c>
      <c r="C316" s="72" t="s">
        <v>297</v>
      </c>
      <c r="D316" s="72" t="s">
        <v>173</v>
      </c>
      <c r="E316" s="72" t="s">
        <v>281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343</v>
      </c>
    </row>
    <row r="317" customFormat="false" ht="14.25" hidden="false" customHeight="true" outlineLevel="0" collapsed="false">
      <c r="A317" s="72" t="s">
        <v>21</v>
      </c>
      <c r="B317" s="72" t="s">
        <v>18</v>
      </c>
      <c r="C317" s="72" t="s">
        <v>300</v>
      </c>
      <c r="D317" s="72" t="s">
        <v>186</v>
      </c>
      <c r="E317" s="72" t="s">
        <v>281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356</v>
      </c>
    </row>
    <row r="318" customFormat="false" ht="14.25" hidden="false" customHeight="true" outlineLevel="0" collapsed="false">
      <c r="A318" s="72" t="s">
        <v>21</v>
      </c>
      <c r="B318" s="72" t="s">
        <v>10</v>
      </c>
      <c r="C318" s="72" t="s">
        <v>291</v>
      </c>
      <c r="D318" s="72" t="s">
        <v>241</v>
      </c>
      <c r="E318" s="72" t="s">
        <v>282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357</v>
      </c>
    </row>
    <row r="319" customFormat="false" ht="14.25" hidden="false" customHeight="true" outlineLevel="0" collapsed="false">
      <c r="A319" s="72" t="s">
        <v>21</v>
      </c>
      <c r="B319" s="72" t="s">
        <v>10</v>
      </c>
      <c r="C319" s="72" t="s">
        <v>291</v>
      </c>
      <c r="D319" s="72" t="s">
        <v>166</v>
      </c>
      <c r="E319" s="72" t="s">
        <v>282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343</v>
      </c>
    </row>
    <row r="320" customFormat="false" ht="14.25" hidden="false" customHeight="true" outlineLevel="0" collapsed="false">
      <c r="A320" s="72" t="s">
        <v>21</v>
      </c>
      <c r="B320" s="72" t="s">
        <v>10</v>
      </c>
      <c r="C320" s="72" t="s">
        <v>291</v>
      </c>
      <c r="D320" s="72" t="s">
        <v>165</v>
      </c>
      <c r="E320" s="72" t="s">
        <v>282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343</v>
      </c>
    </row>
    <row r="321" customFormat="false" ht="14.25" hidden="false" customHeight="true" outlineLevel="0" collapsed="false">
      <c r="A321" s="72" t="s">
        <v>21</v>
      </c>
      <c r="B321" s="72" t="s">
        <v>10</v>
      </c>
      <c r="C321" s="72" t="s">
        <v>44</v>
      </c>
      <c r="D321" s="72" t="s">
        <v>167</v>
      </c>
      <c r="E321" s="72" t="s">
        <v>282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343</v>
      </c>
    </row>
    <row r="322" customFormat="false" ht="14.25" hidden="false" customHeight="true" outlineLevel="0" collapsed="false">
      <c r="A322" s="72" t="s">
        <v>21</v>
      </c>
      <c r="B322" s="72" t="s">
        <v>10</v>
      </c>
      <c r="C322" s="72" t="s">
        <v>44</v>
      </c>
      <c r="D322" s="72" t="s">
        <v>240</v>
      </c>
      <c r="E322" s="72" t="s">
        <v>282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358</v>
      </c>
    </row>
    <row r="323" customFormat="false" ht="14.25" hidden="false" customHeight="true" outlineLevel="0" collapsed="false">
      <c r="A323" s="72" t="s">
        <v>21</v>
      </c>
      <c r="B323" s="72" t="s">
        <v>10</v>
      </c>
      <c r="C323" s="72" t="s">
        <v>299</v>
      </c>
      <c r="D323" s="72" t="s">
        <v>192</v>
      </c>
      <c r="E323" s="72" t="s">
        <v>282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343</v>
      </c>
    </row>
    <row r="324" customFormat="false" ht="15" hidden="false" customHeight="true" outlineLevel="0" collapsed="false">
      <c r="A324" s="72" t="s">
        <v>21</v>
      </c>
      <c r="B324" s="72" t="s">
        <v>10</v>
      </c>
      <c r="C324" s="72" t="s">
        <v>297</v>
      </c>
      <c r="D324" s="72" t="s">
        <v>170</v>
      </c>
      <c r="E324" s="72" t="s">
        <v>282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343</v>
      </c>
    </row>
    <row r="325" customFormat="false" ht="14.25" hidden="false" customHeight="true" outlineLevel="0" collapsed="false">
      <c r="A325" s="72" t="s">
        <v>21</v>
      </c>
      <c r="B325" s="72" t="s">
        <v>10</v>
      </c>
      <c r="C325" s="72" t="s">
        <v>297</v>
      </c>
      <c r="D325" s="72" t="s">
        <v>173</v>
      </c>
      <c r="E325" s="72" t="s">
        <v>282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343</v>
      </c>
    </row>
    <row r="326" customFormat="false" ht="14.25" hidden="false" customHeight="true" outlineLevel="0" collapsed="false">
      <c r="A326" s="72" t="s">
        <v>21</v>
      </c>
      <c r="B326" s="72" t="s">
        <v>10</v>
      </c>
      <c r="C326" s="72" t="s">
        <v>300</v>
      </c>
      <c r="D326" s="72" t="s">
        <v>186</v>
      </c>
      <c r="E326" s="72" t="s">
        <v>282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306</v>
      </c>
    </row>
    <row r="327" customFormat="false" ht="14.25" hidden="false" customHeight="true" outlineLevel="0" collapsed="false">
      <c r="A327" s="72" t="s">
        <v>21</v>
      </c>
      <c r="B327" s="72" t="s">
        <v>10</v>
      </c>
      <c r="C327" s="72" t="s">
        <v>291</v>
      </c>
      <c r="D327" s="72" t="s">
        <v>327</v>
      </c>
      <c r="E327" s="72" t="s">
        <v>282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346</v>
      </c>
    </row>
    <row r="328" customFormat="false" ht="14.25" hidden="false" customHeight="true" outlineLevel="0" collapsed="false">
      <c r="A328" s="72" t="s">
        <v>21</v>
      </c>
      <c r="B328" s="72" t="s">
        <v>17</v>
      </c>
      <c r="C328" s="72" t="s">
        <v>291</v>
      </c>
      <c r="D328" s="72" t="s">
        <v>241</v>
      </c>
      <c r="E328" s="72" t="s">
        <v>279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359</v>
      </c>
    </row>
    <row r="329" customFormat="false" ht="14.25" hidden="false" customHeight="true" outlineLevel="0" collapsed="false">
      <c r="A329" s="72" t="s">
        <v>21</v>
      </c>
      <c r="B329" s="72" t="s">
        <v>17</v>
      </c>
      <c r="C329" s="72" t="s">
        <v>291</v>
      </c>
      <c r="D329" s="72" t="s">
        <v>166</v>
      </c>
      <c r="E329" s="72" t="s">
        <v>279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343</v>
      </c>
    </row>
    <row r="330" customFormat="false" ht="14.25" hidden="false" customHeight="true" outlineLevel="0" collapsed="false">
      <c r="A330" s="72" t="s">
        <v>21</v>
      </c>
      <c r="B330" s="72" t="s">
        <v>17</v>
      </c>
      <c r="C330" s="72" t="s">
        <v>291</v>
      </c>
      <c r="D330" s="72" t="s">
        <v>165</v>
      </c>
      <c r="E330" s="72" t="s">
        <v>279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343</v>
      </c>
    </row>
    <row r="331" customFormat="false" ht="14.25" hidden="false" customHeight="true" outlineLevel="0" collapsed="false">
      <c r="A331" s="72" t="s">
        <v>21</v>
      </c>
      <c r="B331" s="72" t="s">
        <v>17</v>
      </c>
      <c r="C331" s="72" t="s">
        <v>44</v>
      </c>
      <c r="D331" s="72" t="s">
        <v>167</v>
      </c>
      <c r="E331" s="72" t="s">
        <v>279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343</v>
      </c>
    </row>
    <row r="332" customFormat="false" ht="14.25" hidden="false" customHeight="true" outlineLevel="0" collapsed="false">
      <c r="A332" s="72" t="s">
        <v>21</v>
      </c>
      <c r="B332" s="72" t="s">
        <v>17</v>
      </c>
      <c r="C332" s="72" t="s">
        <v>299</v>
      </c>
      <c r="D332" s="72" t="s">
        <v>192</v>
      </c>
      <c r="E332" s="72" t="s">
        <v>279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343</v>
      </c>
    </row>
    <row r="333" customFormat="false" ht="14.25" hidden="false" customHeight="true" outlineLevel="0" collapsed="false">
      <c r="A333" s="72" t="s">
        <v>21</v>
      </c>
      <c r="B333" s="72" t="s">
        <v>17</v>
      </c>
      <c r="C333" s="72" t="s">
        <v>297</v>
      </c>
      <c r="D333" s="72" t="s">
        <v>170</v>
      </c>
      <c r="E333" s="72" t="s">
        <v>279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343</v>
      </c>
    </row>
    <row r="334" customFormat="false" ht="14.25" hidden="false" customHeight="true" outlineLevel="0" collapsed="false">
      <c r="A334" s="72" t="s">
        <v>21</v>
      </c>
      <c r="B334" s="72" t="s">
        <v>17</v>
      </c>
      <c r="C334" s="72" t="s">
        <v>297</v>
      </c>
      <c r="D334" s="72" t="s">
        <v>173</v>
      </c>
      <c r="E334" s="72" t="s">
        <v>279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343</v>
      </c>
    </row>
    <row r="335" customFormat="false" ht="14.25" hidden="false" customHeight="true" outlineLevel="0" collapsed="false">
      <c r="A335" s="72" t="s">
        <v>21</v>
      </c>
      <c r="B335" s="72" t="s">
        <v>17</v>
      </c>
      <c r="C335" s="72" t="s">
        <v>300</v>
      </c>
      <c r="D335" s="72" t="s">
        <v>186</v>
      </c>
      <c r="E335" s="72" t="s">
        <v>279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306</v>
      </c>
    </row>
    <row r="336" customFormat="false" ht="14.25" hidden="false" customHeight="true" outlineLevel="0" collapsed="false">
      <c r="A336" s="72" t="s">
        <v>21</v>
      </c>
      <c r="B336" s="72" t="s">
        <v>15</v>
      </c>
      <c r="C336" s="72" t="s">
        <v>291</v>
      </c>
      <c r="D336" s="72" t="s">
        <v>241</v>
      </c>
      <c r="E336" s="72" t="s">
        <v>282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360</v>
      </c>
    </row>
    <row r="337" customFormat="false" ht="14.25" hidden="false" customHeight="true" outlineLevel="0" collapsed="false">
      <c r="A337" s="72" t="s">
        <v>21</v>
      </c>
      <c r="B337" s="72" t="s">
        <v>15</v>
      </c>
      <c r="C337" s="72" t="s">
        <v>291</v>
      </c>
      <c r="D337" s="72" t="s">
        <v>293</v>
      </c>
      <c r="E337" s="72" t="s">
        <v>282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358</v>
      </c>
    </row>
    <row r="338" customFormat="false" ht="14.25" hidden="false" customHeight="true" outlineLevel="0" collapsed="false">
      <c r="A338" s="72" t="s">
        <v>21</v>
      </c>
      <c r="B338" s="72" t="s">
        <v>15</v>
      </c>
      <c r="C338" s="72" t="s">
        <v>291</v>
      </c>
      <c r="D338" s="72" t="s">
        <v>166</v>
      </c>
      <c r="E338" s="72" t="s">
        <v>282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343</v>
      </c>
    </row>
    <row r="339" customFormat="false" ht="14.25" hidden="false" customHeight="true" outlineLevel="0" collapsed="false">
      <c r="A339" s="72" t="s">
        <v>21</v>
      </c>
      <c r="B339" s="72" t="s">
        <v>15</v>
      </c>
      <c r="C339" s="72" t="s">
        <v>291</v>
      </c>
      <c r="D339" s="72" t="s">
        <v>165</v>
      </c>
      <c r="E339" s="72" t="s">
        <v>282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343</v>
      </c>
    </row>
    <row r="340" customFormat="false" ht="14.25" hidden="false" customHeight="true" outlineLevel="0" collapsed="false">
      <c r="A340" s="72" t="s">
        <v>21</v>
      </c>
      <c r="B340" s="72" t="s">
        <v>15</v>
      </c>
      <c r="C340" s="72" t="s">
        <v>44</v>
      </c>
      <c r="D340" s="72" t="s">
        <v>167</v>
      </c>
      <c r="E340" s="72" t="s">
        <v>282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343</v>
      </c>
    </row>
    <row r="341" customFormat="false" ht="14.25" hidden="false" customHeight="true" outlineLevel="0" collapsed="false">
      <c r="A341" s="72" t="s">
        <v>21</v>
      </c>
      <c r="B341" s="72" t="s">
        <v>15</v>
      </c>
      <c r="C341" s="72" t="s">
        <v>299</v>
      </c>
      <c r="D341" s="72" t="s">
        <v>192</v>
      </c>
      <c r="E341" s="72" t="s">
        <v>282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343</v>
      </c>
    </row>
    <row r="342" customFormat="false" ht="14.25" hidden="false" customHeight="true" outlineLevel="0" collapsed="false">
      <c r="A342" s="72" t="s">
        <v>21</v>
      </c>
      <c r="B342" s="72" t="s">
        <v>15</v>
      </c>
      <c r="C342" s="72" t="s">
        <v>297</v>
      </c>
      <c r="D342" s="72" t="s">
        <v>170</v>
      </c>
      <c r="E342" s="72" t="s">
        <v>282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343</v>
      </c>
    </row>
    <row r="343" customFormat="false" ht="14.25" hidden="false" customHeight="true" outlineLevel="0" collapsed="false">
      <c r="A343" s="72" t="s">
        <v>21</v>
      </c>
      <c r="B343" s="72" t="s">
        <v>15</v>
      </c>
      <c r="C343" s="72" t="s">
        <v>297</v>
      </c>
      <c r="D343" s="72" t="s">
        <v>173</v>
      </c>
      <c r="E343" s="72" t="s">
        <v>282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343</v>
      </c>
    </row>
    <row r="344" customFormat="false" ht="14.25" hidden="false" customHeight="true" outlineLevel="0" collapsed="false">
      <c r="A344" s="72" t="s">
        <v>21</v>
      </c>
      <c r="B344" s="72" t="s">
        <v>15</v>
      </c>
      <c r="C344" s="72" t="s">
        <v>300</v>
      </c>
      <c r="D344" s="72" t="s">
        <v>186</v>
      </c>
      <c r="E344" s="72" t="s">
        <v>282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306</v>
      </c>
    </row>
    <row r="345" customFormat="false" ht="14.25" hidden="false" customHeight="true" outlineLevel="0" collapsed="false">
      <c r="A345" s="72" t="s">
        <v>21</v>
      </c>
      <c r="B345" s="72" t="s">
        <v>15</v>
      </c>
      <c r="C345" s="72" t="s">
        <v>291</v>
      </c>
      <c r="D345" s="72" t="s">
        <v>327</v>
      </c>
      <c r="E345" s="72" t="s">
        <v>282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346</v>
      </c>
    </row>
    <row r="346" customFormat="false" ht="14.25" hidden="false" customHeight="true" outlineLevel="0" collapsed="false">
      <c r="A346" s="72" t="s">
        <v>21</v>
      </c>
      <c r="B346" s="72" t="s">
        <v>16</v>
      </c>
      <c r="C346" s="72" t="s">
        <v>291</v>
      </c>
      <c r="D346" s="72" t="s">
        <v>241</v>
      </c>
      <c r="E346" s="72" t="s">
        <v>281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361</v>
      </c>
    </row>
    <row r="347" customFormat="false" ht="14.25" hidden="false" customHeight="true" outlineLevel="0" collapsed="false">
      <c r="A347" s="72" t="s">
        <v>21</v>
      </c>
      <c r="B347" s="72" t="s">
        <v>16</v>
      </c>
      <c r="C347" s="72" t="s">
        <v>291</v>
      </c>
      <c r="D347" s="72" t="s">
        <v>166</v>
      </c>
      <c r="E347" s="72" t="s">
        <v>281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343</v>
      </c>
    </row>
    <row r="348" customFormat="false" ht="14.25" hidden="false" customHeight="true" outlineLevel="0" collapsed="false">
      <c r="A348" s="72" t="s">
        <v>21</v>
      </c>
      <c r="B348" s="72" t="s">
        <v>16</v>
      </c>
      <c r="C348" s="72" t="s">
        <v>291</v>
      </c>
      <c r="D348" s="72" t="s">
        <v>165</v>
      </c>
      <c r="E348" s="72" t="s">
        <v>281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343</v>
      </c>
    </row>
    <row r="349" customFormat="false" ht="15" hidden="false" customHeight="true" outlineLevel="0" collapsed="false">
      <c r="A349" s="72" t="s">
        <v>21</v>
      </c>
      <c r="B349" s="72" t="s">
        <v>16</v>
      </c>
      <c r="C349" s="72" t="s">
        <v>44</v>
      </c>
      <c r="D349" s="72" t="s">
        <v>167</v>
      </c>
      <c r="E349" s="72" t="s">
        <v>281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343</v>
      </c>
    </row>
    <row r="350" customFormat="false" ht="14.25" hidden="false" customHeight="true" outlineLevel="0" collapsed="false">
      <c r="A350" s="72" t="s">
        <v>21</v>
      </c>
      <c r="B350" s="72" t="s">
        <v>16</v>
      </c>
      <c r="C350" s="72" t="s">
        <v>299</v>
      </c>
      <c r="D350" s="72" t="s">
        <v>192</v>
      </c>
      <c r="E350" s="72" t="s">
        <v>281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343</v>
      </c>
    </row>
    <row r="351" customFormat="false" ht="14.25" hidden="false" customHeight="true" outlineLevel="0" collapsed="false">
      <c r="A351" s="72" t="s">
        <v>21</v>
      </c>
      <c r="B351" s="72" t="s">
        <v>16</v>
      </c>
      <c r="C351" s="72" t="s">
        <v>297</v>
      </c>
      <c r="D351" s="72" t="s">
        <v>170</v>
      </c>
      <c r="E351" s="72" t="s">
        <v>281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343</v>
      </c>
    </row>
    <row r="352" customFormat="false" ht="14.25" hidden="false" customHeight="true" outlineLevel="0" collapsed="false">
      <c r="A352" s="72" t="s">
        <v>21</v>
      </c>
      <c r="B352" s="72" t="s">
        <v>16</v>
      </c>
      <c r="C352" s="72" t="s">
        <v>297</v>
      </c>
      <c r="D352" s="72" t="s">
        <v>173</v>
      </c>
      <c r="E352" s="72" t="s">
        <v>281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343</v>
      </c>
    </row>
    <row r="353" customFormat="false" ht="14.25" hidden="false" customHeight="true" outlineLevel="0" collapsed="false">
      <c r="A353" s="72" t="s">
        <v>21</v>
      </c>
      <c r="B353" s="72" t="s">
        <v>16</v>
      </c>
      <c r="C353" s="72" t="s">
        <v>300</v>
      </c>
      <c r="D353" s="72" t="s">
        <v>186</v>
      </c>
      <c r="E353" s="72" t="s">
        <v>281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306</v>
      </c>
    </row>
    <row r="354" customFormat="false" ht="14.25" hidden="false" customHeight="true" outlineLevel="0" collapsed="false">
      <c r="A354" s="1" t="s">
        <v>20</v>
      </c>
      <c r="B354" s="1" t="s">
        <v>18</v>
      </c>
      <c r="C354" s="1" t="s">
        <v>291</v>
      </c>
      <c r="D354" s="1" t="s">
        <v>362</v>
      </c>
      <c r="E354" s="1" t="s">
        <v>281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363</v>
      </c>
    </row>
    <row r="355" customFormat="false" ht="15" hidden="false" customHeight="true" outlineLevel="0" collapsed="false">
      <c r="A355" s="1" t="s">
        <v>20</v>
      </c>
      <c r="B355" s="1" t="s">
        <v>18</v>
      </c>
      <c r="C355" s="1" t="s">
        <v>300</v>
      </c>
      <c r="D355" s="1" t="s">
        <v>364</v>
      </c>
      <c r="E355" s="1" t="s">
        <v>281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365</v>
      </c>
    </row>
    <row r="356" customFormat="false" ht="14.25" hidden="false" customHeight="true" outlineLevel="0" collapsed="false">
      <c r="A356" s="1" t="s">
        <v>11</v>
      </c>
      <c r="B356" s="1" t="s">
        <v>18</v>
      </c>
      <c r="C356" s="1" t="s">
        <v>291</v>
      </c>
      <c r="D356" s="1" t="s">
        <v>362</v>
      </c>
      <c r="E356" s="1" t="s">
        <v>281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363</v>
      </c>
    </row>
    <row r="357" customFormat="false" ht="14.25" hidden="false" customHeight="true" outlineLevel="0" collapsed="false">
      <c r="A357" s="1" t="s">
        <v>11</v>
      </c>
      <c r="B357" s="1" t="s">
        <v>18</v>
      </c>
      <c r="C357" s="1" t="s">
        <v>300</v>
      </c>
      <c r="D357" s="1" t="s">
        <v>364</v>
      </c>
      <c r="E357" s="1" t="s">
        <v>281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365</v>
      </c>
    </row>
    <row r="358" customFormat="false" ht="14.25" hidden="false" customHeight="true" outlineLevel="0" collapsed="false">
      <c r="A358" s="1" t="s">
        <v>21</v>
      </c>
      <c r="B358" s="1" t="s">
        <v>18</v>
      </c>
      <c r="C358" s="1" t="s">
        <v>291</v>
      </c>
      <c r="D358" s="1" t="s">
        <v>362</v>
      </c>
      <c r="E358" s="1" t="s">
        <v>281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363</v>
      </c>
    </row>
    <row r="359" customFormat="false" ht="14.25" hidden="false" customHeight="true" outlineLevel="0" collapsed="false">
      <c r="A359" s="1" t="s">
        <v>21</v>
      </c>
      <c r="B359" s="1" t="s">
        <v>18</v>
      </c>
      <c r="C359" s="1" t="s">
        <v>300</v>
      </c>
      <c r="D359" s="1" t="s">
        <v>364</v>
      </c>
      <c r="E359" s="1" t="s">
        <v>281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365</v>
      </c>
    </row>
    <row r="360" customFormat="false" ht="14.25" hidden="false" customHeight="true" outlineLevel="0" collapsed="false">
      <c r="A360" s="1" t="s">
        <v>20</v>
      </c>
      <c r="B360" s="1" t="s">
        <v>18</v>
      </c>
      <c r="C360" s="1" t="s">
        <v>291</v>
      </c>
      <c r="D360" s="1" t="s">
        <v>366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363</v>
      </c>
    </row>
    <row r="361" customFormat="false" ht="14.25" hidden="false" customHeight="true" outlineLevel="0" collapsed="false">
      <c r="A361" s="1" t="s">
        <v>20</v>
      </c>
      <c r="B361" s="1" t="s">
        <v>18</v>
      </c>
      <c r="C361" s="1" t="s">
        <v>300</v>
      </c>
      <c r="D361" s="1" t="s">
        <v>367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365</v>
      </c>
    </row>
    <row r="362" customFormat="false" ht="14.25" hidden="false" customHeight="true" outlineLevel="0" collapsed="false">
      <c r="A362" s="1" t="s">
        <v>11</v>
      </c>
      <c r="B362" s="1" t="s">
        <v>18</v>
      </c>
      <c r="C362" s="1" t="s">
        <v>291</v>
      </c>
      <c r="D362" s="1" t="s">
        <v>366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363</v>
      </c>
    </row>
    <row r="363" customFormat="false" ht="14.25" hidden="false" customHeight="true" outlineLevel="0" collapsed="false">
      <c r="A363" s="1" t="s">
        <v>11</v>
      </c>
      <c r="B363" s="1" t="s">
        <v>18</v>
      </c>
      <c r="C363" s="1" t="s">
        <v>300</v>
      </c>
      <c r="D363" s="1" t="s">
        <v>367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365</v>
      </c>
    </row>
    <row r="364" customFormat="false" ht="14.25" hidden="false" customHeight="true" outlineLevel="0" collapsed="false">
      <c r="A364" s="1" t="s">
        <v>21</v>
      </c>
      <c r="B364" s="1" t="s">
        <v>18</v>
      </c>
      <c r="C364" s="1" t="s">
        <v>291</v>
      </c>
      <c r="D364" s="1" t="s">
        <v>366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363</v>
      </c>
    </row>
    <row r="365" customFormat="false" ht="14.25" hidden="false" customHeight="true" outlineLevel="0" collapsed="false">
      <c r="A365" s="1" t="s">
        <v>21</v>
      </c>
      <c r="B365" s="1" t="s">
        <v>18</v>
      </c>
      <c r="C365" s="1" t="s">
        <v>300</v>
      </c>
      <c r="D365" s="1" t="s">
        <v>367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365</v>
      </c>
    </row>
    <row r="366" customFormat="false" ht="14.25" hidden="false" customHeight="true" outlineLevel="0" collapsed="false">
      <c r="A366" s="1" t="s">
        <v>20</v>
      </c>
      <c r="B366" s="1" t="s">
        <v>18</v>
      </c>
      <c r="C366" s="1" t="s">
        <v>291</v>
      </c>
      <c r="D366" s="1" t="s">
        <v>368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363</v>
      </c>
    </row>
    <row r="367" customFormat="false" ht="14.25" hidden="false" customHeight="true" outlineLevel="0" collapsed="false">
      <c r="A367" s="1" t="s">
        <v>20</v>
      </c>
      <c r="B367" s="1" t="s">
        <v>18</v>
      </c>
      <c r="C367" s="1" t="s">
        <v>300</v>
      </c>
      <c r="D367" s="1" t="s">
        <v>369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365</v>
      </c>
    </row>
    <row r="368" customFormat="false" ht="14.25" hidden="false" customHeight="true" outlineLevel="0" collapsed="false">
      <c r="A368" s="1" t="s">
        <v>11</v>
      </c>
      <c r="B368" s="1" t="s">
        <v>18</v>
      </c>
      <c r="C368" s="1" t="s">
        <v>291</v>
      </c>
      <c r="D368" s="1" t="s">
        <v>368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363</v>
      </c>
    </row>
    <row r="369" customFormat="false" ht="14.25" hidden="false" customHeight="true" outlineLevel="0" collapsed="false">
      <c r="A369" s="1" t="s">
        <v>11</v>
      </c>
      <c r="B369" s="1" t="s">
        <v>18</v>
      </c>
      <c r="C369" s="1" t="s">
        <v>300</v>
      </c>
      <c r="D369" s="1" t="s">
        <v>369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365</v>
      </c>
    </row>
    <row r="370" customFormat="false" ht="14.25" hidden="false" customHeight="true" outlineLevel="0" collapsed="false">
      <c r="A370" s="1" t="s">
        <v>21</v>
      </c>
      <c r="B370" s="1" t="s">
        <v>18</v>
      </c>
      <c r="C370" s="1" t="s">
        <v>291</v>
      </c>
      <c r="D370" s="1" t="s">
        <v>368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363</v>
      </c>
    </row>
    <row r="371" customFormat="false" ht="14.25" hidden="false" customHeight="true" outlineLevel="0" collapsed="false">
      <c r="A371" s="1" t="s">
        <v>21</v>
      </c>
      <c r="B371" s="1" t="s">
        <v>18</v>
      </c>
      <c r="C371" s="1" t="s">
        <v>300</v>
      </c>
      <c r="D371" s="1" t="s">
        <v>369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365</v>
      </c>
    </row>
    <row r="372" customFormat="false" ht="14.25" hidden="false" customHeight="true" outlineLevel="0" collapsed="false">
      <c r="A372" s="1" t="s">
        <v>20</v>
      </c>
      <c r="B372" s="1" t="s">
        <v>18</v>
      </c>
      <c r="C372" s="1" t="s">
        <v>291</v>
      </c>
      <c r="D372" s="1" t="s">
        <v>370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363</v>
      </c>
    </row>
    <row r="373" customFormat="false" ht="14.25" hidden="false" customHeight="true" outlineLevel="0" collapsed="false">
      <c r="A373" s="1" t="s">
        <v>20</v>
      </c>
      <c r="B373" s="1" t="s">
        <v>18</v>
      </c>
      <c r="C373" s="1" t="s">
        <v>300</v>
      </c>
      <c r="D373" s="1" t="s">
        <v>371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372</v>
      </c>
    </row>
    <row r="374" customFormat="false" ht="14.25" hidden="false" customHeight="true" outlineLevel="0" collapsed="false">
      <c r="A374" s="1" t="s">
        <v>11</v>
      </c>
      <c r="B374" s="1" t="s">
        <v>18</v>
      </c>
      <c r="C374" s="1" t="s">
        <v>291</v>
      </c>
      <c r="D374" s="1" t="s">
        <v>370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363</v>
      </c>
    </row>
    <row r="375" customFormat="false" ht="14.25" hidden="false" customHeight="true" outlineLevel="0" collapsed="false">
      <c r="A375" s="1" t="s">
        <v>11</v>
      </c>
      <c r="B375" s="1" t="s">
        <v>18</v>
      </c>
      <c r="C375" s="1" t="s">
        <v>300</v>
      </c>
      <c r="D375" s="1" t="s">
        <v>371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372</v>
      </c>
    </row>
    <row r="376" customFormat="false" ht="14.25" hidden="false" customHeight="true" outlineLevel="0" collapsed="false">
      <c r="A376" s="1" t="s">
        <v>21</v>
      </c>
      <c r="B376" s="1" t="s">
        <v>18</v>
      </c>
      <c r="C376" s="1" t="s">
        <v>291</v>
      </c>
      <c r="D376" s="1" t="s">
        <v>370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363</v>
      </c>
    </row>
    <row r="377" customFormat="false" ht="14.25" hidden="false" customHeight="true" outlineLevel="0" collapsed="false">
      <c r="A377" s="1" t="s">
        <v>21</v>
      </c>
      <c r="B377" s="1" t="s">
        <v>18</v>
      </c>
      <c r="C377" s="1" t="s">
        <v>300</v>
      </c>
      <c r="D377" s="1" t="s">
        <v>371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372</v>
      </c>
    </row>
    <row r="378" customFormat="false" ht="14.25" hidden="false" customHeight="true" outlineLevel="0" collapsed="false">
      <c r="A378" s="1" t="s">
        <v>20</v>
      </c>
      <c r="B378" s="1" t="s">
        <v>18</v>
      </c>
      <c r="C378" s="1" t="s">
        <v>291</v>
      </c>
      <c r="D378" s="1" t="s">
        <v>373</v>
      </c>
      <c r="E378" s="1" t="s">
        <v>279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363</v>
      </c>
    </row>
    <row r="379" customFormat="false" ht="14.25" hidden="false" customHeight="true" outlineLevel="0" collapsed="false">
      <c r="A379" s="1" t="s">
        <v>20</v>
      </c>
      <c r="B379" s="1" t="s">
        <v>18</v>
      </c>
      <c r="C379" s="1" t="s">
        <v>300</v>
      </c>
      <c r="D379" s="1" t="s">
        <v>374</v>
      </c>
      <c r="E379" s="1" t="s">
        <v>279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365</v>
      </c>
    </row>
    <row r="380" customFormat="false" ht="14.25" hidden="false" customHeight="true" outlineLevel="0" collapsed="false">
      <c r="A380" s="1" t="s">
        <v>11</v>
      </c>
      <c r="B380" s="1" t="s">
        <v>18</v>
      </c>
      <c r="C380" s="1" t="s">
        <v>291</v>
      </c>
      <c r="D380" s="1" t="s">
        <v>373</v>
      </c>
      <c r="E380" s="1" t="s">
        <v>279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363</v>
      </c>
    </row>
    <row r="381" customFormat="false" ht="14.25" hidden="false" customHeight="true" outlineLevel="0" collapsed="false">
      <c r="A381" s="1" t="s">
        <v>11</v>
      </c>
      <c r="B381" s="1" t="s">
        <v>18</v>
      </c>
      <c r="C381" s="1" t="s">
        <v>300</v>
      </c>
      <c r="D381" s="1" t="s">
        <v>374</v>
      </c>
      <c r="E381" s="1" t="s">
        <v>279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365</v>
      </c>
    </row>
    <row r="382" customFormat="false" ht="14.25" hidden="false" customHeight="true" outlineLevel="0" collapsed="false">
      <c r="A382" s="1" t="s">
        <v>21</v>
      </c>
      <c r="B382" s="1" t="s">
        <v>18</v>
      </c>
      <c r="C382" s="1" t="s">
        <v>291</v>
      </c>
      <c r="D382" s="1" t="s">
        <v>373</v>
      </c>
      <c r="E382" s="1" t="s">
        <v>279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363</v>
      </c>
    </row>
    <row r="383" customFormat="false" ht="15" hidden="false" customHeight="true" outlineLevel="0" collapsed="false">
      <c r="A383" s="1" t="s">
        <v>21</v>
      </c>
      <c r="B383" s="1" t="s">
        <v>18</v>
      </c>
      <c r="C383" s="1" t="s">
        <v>300</v>
      </c>
      <c r="D383" s="1" t="s">
        <v>374</v>
      </c>
      <c r="E383" s="1" t="s">
        <v>279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365</v>
      </c>
    </row>
    <row r="384" customFormat="false" ht="14.25" hidden="false" customHeight="true" outlineLevel="0" collapsed="false">
      <c r="A384" s="1" t="s">
        <v>20</v>
      </c>
      <c r="B384" s="1" t="s">
        <v>10</v>
      </c>
      <c r="C384" s="1" t="s">
        <v>291</v>
      </c>
      <c r="D384" s="1" t="s">
        <v>375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376</v>
      </c>
    </row>
    <row r="385" customFormat="false" ht="14.25" hidden="false" customHeight="true" outlineLevel="0" collapsed="false">
      <c r="A385" s="1" t="s">
        <v>20</v>
      </c>
      <c r="B385" s="1" t="s">
        <v>10</v>
      </c>
      <c r="C385" s="1" t="s">
        <v>300</v>
      </c>
      <c r="D385" s="1" t="s">
        <v>377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372</v>
      </c>
    </row>
    <row r="386" customFormat="false" ht="14.25" hidden="false" customHeight="true" outlineLevel="0" collapsed="false">
      <c r="A386" s="1" t="s">
        <v>11</v>
      </c>
      <c r="B386" s="1" t="s">
        <v>10</v>
      </c>
      <c r="C386" s="1" t="s">
        <v>291</v>
      </c>
      <c r="D386" s="1" t="s">
        <v>375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376</v>
      </c>
    </row>
    <row r="387" customFormat="false" ht="14.25" hidden="false" customHeight="true" outlineLevel="0" collapsed="false">
      <c r="A387" s="1" t="s">
        <v>11</v>
      </c>
      <c r="B387" s="1" t="s">
        <v>10</v>
      </c>
      <c r="C387" s="1" t="s">
        <v>300</v>
      </c>
      <c r="D387" s="1" t="s">
        <v>377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372</v>
      </c>
    </row>
    <row r="388" customFormat="false" ht="14.25" hidden="false" customHeight="true" outlineLevel="0" collapsed="false">
      <c r="A388" s="1" t="s">
        <v>21</v>
      </c>
      <c r="B388" s="1" t="s">
        <v>10</v>
      </c>
      <c r="C388" s="1" t="s">
        <v>291</v>
      </c>
      <c r="D388" s="1" t="s">
        <v>375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376</v>
      </c>
    </row>
    <row r="389" customFormat="false" ht="14.25" hidden="false" customHeight="true" outlineLevel="0" collapsed="false">
      <c r="A389" s="1" t="s">
        <v>21</v>
      </c>
      <c r="B389" s="1" t="s">
        <v>10</v>
      </c>
      <c r="C389" s="1" t="s">
        <v>300</v>
      </c>
      <c r="D389" s="1" t="s">
        <v>377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372</v>
      </c>
    </row>
    <row r="390" customFormat="false" ht="14.25" hidden="false" customHeight="true" outlineLevel="0" collapsed="false">
      <c r="A390" s="1" t="s">
        <v>88</v>
      </c>
      <c r="B390" s="1" t="s">
        <v>18</v>
      </c>
      <c r="C390" s="1" t="s">
        <v>291</v>
      </c>
      <c r="D390" s="1" t="s">
        <v>241</v>
      </c>
      <c r="E390" s="1" t="s">
        <v>274</v>
      </c>
      <c r="F390" s="1" t="n">
        <v>1</v>
      </c>
      <c r="G390" s="1" t="n">
        <v>250091.04</v>
      </c>
      <c r="H390" s="1" t="n">
        <f aca="false">F390*G390</f>
        <v>250091.04</v>
      </c>
      <c r="I390" s="1" t="s">
        <v>378</v>
      </c>
    </row>
    <row r="391" customFormat="false" ht="14.25" hidden="false" customHeight="true" outlineLevel="0" collapsed="false">
      <c r="A391" s="1" t="s">
        <v>88</v>
      </c>
      <c r="B391" s="1" t="s">
        <v>18</v>
      </c>
      <c r="C391" s="1" t="s">
        <v>291</v>
      </c>
      <c r="D391" s="1" t="s">
        <v>366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379</v>
      </c>
    </row>
    <row r="392" customFormat="false" ht="14.25" hidden="false" customHeight="true" outlineLevel="0" collapsed="false">
      <c r="A392" s="1" t="s">
        <v>88</v>
      </c>
      <c r="B392" s="1" t="s">
        <v>18</v>
      </c>
      <c r="C392" s="1" t="s">
        <v>291</v>
      </c>
      <c r="D392" s="1" t="s">
        <v>368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379</v>
      </c>
    </row>
    <row r="393" customFormat="false" ht="14.25" hidden="false" customHeight="true" outlineLevel="0" collapsed="false">
      <c r="A393" s="1" t="s">
        <v>88</v>
      </c>
      <c r="B393" s="1" t="s">
        <v>18</v>
      </c>
      <c r="C393" s="1" t="s">
        <v>291</v>
      </c>
      <c r="D393" s="1" t="s">
        <v>370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379</v>
      </c>
    </row>
    <row r="394" customFormat="false" ht="14.25" hidden="false" customHeight="true" outlineLevel="0" collapsed="false">
      <c r="A394" s="1" t="s">
        <v>88</v>
      </c>
      <c r="B394" s="1" t="s">
        <v>18</v>
      </c>
      <c r="C394" s="1" t="s">
        <v>291</v>
      </c>
      <c r="D394" s="1" t="s">
        <v>293</v>
      </c>
      <c r="E394" s="1" t="s">
        <v>274</v>
      </c>
      <c r="F394" s="1" t="n">
        <v>0</v>
      </c>
      <c r="G394" s="1" t="n">
        <v>0</v>
      </c>
      <c r="H394" s="1" t="n">
        <f aca="false">F394*G394</f>
        <v>0</v>
      </c>
      <c r="I394" s="1" t="s">
        <v>380</v>
      </c>
    </row>
    <row r="395" customFormat="false" ht="14.25" hidden="false" customHeight="true" outlineLevel="0" collapsed="false">
      <c r="A395" s="1" t="s">
        <v>88</v>
      </c>
      <c r="B395" s="1" t="s">
        <v>18</v>
      </c>
      <c r="C395" s="1" t="s">
        <v>291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381</v>
      </c>
    </row>
    <row r="396" customFormat="false" ht="14.25" hidden="false" customHeight="true" outlineLevel="0" collapsed="false">
      <c r="A396" s="1" t="s">
        <v>88</v>
      </c>
      <c r="B396" s="1" t="s">
        <v>18</v>
      </c>
      <c r="C396" s="1" t="s">
        <v>291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381</v>
      </c>
    </row>
    <row r="397" customFormat="false" ht="14.25" hidden="false" customHeight="true" outlineLevel="0" collapsed="false">
      <c r="A397" s="1" t="s">
        <v>88</v>
      </c>
      <c r="B397" s="1" t="s">
        <v>18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381</v>
      </c>
    </row>
    <row r="398" customFormat="false" ht="14.25" hidden="false" customHeight="true" outlineLevel="0" collapsed="false">
      <c r="A398" s="1" t="s">
        <v>88</v>
      </c>
      <c r="B398" s="1" t="s">
        <v>18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382</v>
      </c>
    </row>
    <row r="399" customFormat="false" ht="14.25" hidden="false" customHeight="true" outlineLevel="0" collapsed="false">
      <c r="A399" s="1" t="s">
        <v>88</v>
      </c>
      <c r="B399" s="1" t="s">
        <v>18</v>
      </c>
      <c r="C399" s="1" t="s">
        <v>298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382</v>
      </c>
    </row>
    <row r="400" customFormat="false" ht="14.25" hidden="false" customHeight="true" outlineLevel="0" collapsed="false">
      <c r="A400" s="1" t="s">
        <v>88</v>
      </c>
      <c r="B400" s="1" t="s">
        <v>18</v>
      </c>
      <c r="C400" s="1" t="s">
        <v>298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382</v>
      </c>
    </row>
    <row r="401" customFormat="false" ht="14.25" hidden="false" customHeight="true" outlineLevel="0" collapsed="false">
      <c r="A401" s="1" t="s">
        <v>88</v>
      </c>
      <c r="B401" s="1" t="s">
        <v>18</v>
      </c>
      <c r="C401" s="1" t="s">
        <v>299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343</v>
      </c>
    </row>
    <row r="402" customFormat="false" ht="14.25" hidden="false" customHeight="true" outlineLevel="0" collapsed="false">
      <c r="A402" s="1" t="s">
        <v>88</v>
      </c>
      <c r="B402" s="1" t="s">
        <v>18</v>
      </c>
      <c r="C402" s="1" t="s">
        <v>297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343</v>
      </c>
    </row>
    <row r="403" customFormat="false" ht="14.25" hidden="false" customHeight="true" outlineLevel="0" collapsed="false">
      <c r="A403" s="1" t="s">
        <v>88</v>
      </c>
      <c r="B403" s="1" t="s">
        <v>18</v>
      </c>
      <c r="C403" s="1" t="s">
        <v>297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343</v>
      </c>
    </row>
    <row r="404" customFormat="false" ht="14.25" hidden="false" customHeight="true" outlineLevel="0" collapsed="false">
      <c r="A404" s="1" t="s">
        <v>88</v>
      </c>
      <c r="B404" s="1" t="s">
        <v>18</v>
      </c>
      <c r="C404" s="1" t="s">
        <v>300</v>
      </c>
      <c r="D404" s="1" t="s">
        <v>383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306</v>
      </c>
    </row>
    <row r="405" customFormat="false" ht="14.25" hidden="false" customHeight="true" outlineLevel="0" collapsed="false">
      <c r="A405" s="1" t="s">
        <v>88</v>
      </c>
      <c r="B405" s="1" t="s">
        <v>18</v>
      </c>
      <c r="C405" s="1" t="s">
        <v>300</v>
      </c>
      <c r="D405" s="1" t="s">
        <v>367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384</v>
      </c>
    </row>
    <row r="406" customFormat="false" ht="14.25" hidden="false" customHeight="true" outlineLevel="0" collapsed="false">
      <c r="A406" s="1" t="s">
        <v>88</v>
      </c>
      <c r="B406" s="1" t="s">
        <v>18</v>
      </c>
      <c r="C406" s="1" t="s">
        <v>300</v>
      </c>
      <c r="D406" s="1" t="s">
        <v>385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306</v>
      </c>
    </row>
    <row r="407" customFormat="false" ht="14.25" hidden="false" customHeight="true" outlineLevel="0" collapsed="false">
      <c r="A407" s="1" t="s">
        <v>88</v>
      </c>
      <c r="B407" s="1" t="s">
        <v>18</v>
      </c>
      <c r="C407" s="1" t="s">
        <v>300</v>
      </c>
      <c r="D407" s="1" t="s">
        <v>386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306</v>
      </c>
    </row>
    <row r="408" customFormat="false" ht="14.25" hidden="false" customHeight="true" outlineLevel="0" collapsed="false">
      <c r="A408" s="1" t="s">
        <v>88</v>
      </c>
      <c r="B408" s="1" t="s">
        <v>18</v>
      </c>
      <c r="C408" s="1" t="s">
        <v>300</v>
      </c>
      <c r="D408" s="1" t="s">
        <v>371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387</v>
      </c>
    </row>
    <row r="409" customFormat="false" ht="14.25" hidden="false" customHeight="true" outlineLevel="0" collapsed="false">
      <c r="A409" s="1" t="s">
        <v>88</v>
      </c>
      <c r="B409" s="1" t="s">
        <v>18</v>
      </c>
      <c r="C409" s="1" t="s">
        <v>291</v>
      </c>
      <c r="D409" s="1" t="s">
        <v>241</v>
      </c>
      <c r="E409" s="1" t="s">
        <v>276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388</v>
      </c>
    </row>
    <row r="410" customFormat="false" ht="14.25" hidden="false" customHeight="true" outlineLevel="0" collapsed="false">
      <c r="A410" s="1" t="s">
        <v>88</v>
      </c>
      <c r="B410" s="1" t="s">
        <v>18</v>
      </c>
      <c r="C410" s="1" t="s">
        <v>291</v>
      </c>
      <c r="D410" s="1" t="s">
        <v>293</v>
      </c>
      <c r="E410" s="1" t="s">
        <v>276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389</v>
      </c>
    </row>
    <row r="411" customFormat="false" ht="14.25" hidden="false" customHeight="true" outlineLevel="0" collapsed="false">
      <c r="A411" s="1" t="s">
        <v>88</v>
      </c>
      <c r="B411" s="1" t="s">
        <v>18</v>
      </c>
      <c r="C411" s="1" t="s">
        <v>291</v>
      </c>
      <c r="D411" s="1" t="s">
        <v>166</v>
      </c>
      <c r="E411" s="1" t="s">
        <v>276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390</v>
      </c>
    </row>
    <row r="412" customFormat="false" ht="14.25" hidden="false" customHeight="true" outlineLevel="0" collapsed="false">
      <c r="A412" s="1" t="s">
        <v>88</v>
      </c>
      <c r="B412" s="1" t="s">
        <v>18</v>
      </c>
      <c r="C412" s="1" t="s">
        <v>291</v>
      </c>
      <c r="D412" s="1" t="s">
        <v>165</v>
      </c>
      <c r="E412" s="1" t="s">
        <v>276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390</v>
      </c>
    </row>
    <row r="413" customFormat="false" ht="14.25" hidden="false" customHeight="true" outlineLevel="0" collapsed="false">
      <c r="A413" s="1" t="s">
        <v>88</v>
      </c>
      <c r="B413" s="1" t="s">
        <v>18</v>
      </c>
      <c r="C413" s="1" t="s">
        <v>44</v>
      </c>
      <c r="D413" s="1" t="s">
        <v>167</v>
      </c>
      <c r="E413" s="1" t="s">
        <v>276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390</v>
      </c>
    </row>
    <row r="414" customFormat="false" ht="14.25" hidden="false" customHeight="true" outlineLevel="0" collapsed="false">
      <c r="A414" s="1" t="s">
        <v>88</v>
      </c>
      <c r="B414" s="1" t="s">
        <v>18</v>
      </c>
      <c r="C414" s="1" t="s">
        <v>44</v>
      </c>
      <c r="D414" s="1" t="s">
        <v>240</v>
      </c>
      <c r="E414" s="1" t="s">
        <v>276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391</v>
      </c>
    </row>
    <row r="415" customFormat="false" ht="14.25" hidden="false" customHeight="true" outlineLevel="0" collapsed="false">
      <c r="A415" s="1" t="s">
        <v>88</v>
      </c>
      <c r="B415" s="1" t="s">
        <v>18</v>
      </c>
      <c r="C415" s="1" t="s">
        <v>298</v>
      </c>
      <c r="D415" s="1" t="s">
        <v>194</v>
      </c>
      <c r="E415" s="1" t="s">
        <v>276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391</v>
      </c>
    </row>
    <row r="416" customFormat="false" ht="14.25" hidden="false" customHeight="true" outlineLevel="0" collapsed="false">
      <c r="A416" s="1" t="s">
        <v>88</v>
      </c>
      <c r="B416" s="1" t="s">
        <v>18</v>
      </c>
      <c r="C416" s="1" t="s">
        <v>298</v>
      </c>
      <c r="D416" s="1" t="s">
        <v>198</v>
      </c>
      <c r="E416" s="1" t="s">
        <v>276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391</v>
      </c>
    </row>
    <row r="417" customFormat="false" ht="14.25" hidden="false" customHeight="true" outlineLevel="0" collapsed="false">
      <c r="A417" s="1" t="s">
        <v>88</v>
      </c>
      <c r="B417" s="1" t="s">
        <v>18</v>
      </c>
      <c r="C417" s="1" t="s">
        <v>299</v>
      </c>
      <c r="D417" s="1" t="s">
        <v>192</v>
      </c>
      <c r="E417" s="1" t="s">
        <v>276</v>
      </c>
      <c r="F417" s="1" t="n">
        <v>8</v>
      </c>
      <c r="G417" s="1" t="n">
        <v>30</v>
      </c>
      <c r="H417" s="1" t="n">
        <f aca="false">F417*G417</f>
        <v>240</v>
      </c>
      <c r="I417" s="1" t="s">
        <v>392</v>
      </c>
    </row>
    <row r="418" customFormat="false" ht="14.25" hidden="false" customHeight="true" outlineLevel="0" collapsed="false">
      <c r="A418" s="1" t="s">
        <v>88</v>
      </c>
      <c r="B418" s="1" t="s">
        <v>18</v>
      </c>
      <c r="C418" s="1" t="s">
        <v>297</v>
      </c>
      <c r="D418" s="1" t="s">
        <v>170</v>
      </c>
      <c r="E418" s="1" t="s">
        <v>276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392</v>
      </c>
    </row>
    <row r="419" customFormat="false" ht="14.25" hidden="false" customHeight="true" outlineLevel="0" collapsed="false">
      <c r="A419" s="1" t="s">
        <v>88</v>
      </c>
      <c r="B419" s="1" t="s">
        <v>18</v>
      </c>
      <c r="C419" s="1" t="s">
        <v>297</v>
      </c>
      <c r="D419" s="1" t="s">
        <v>173</v>
      </c>
      <c r="E419" s="1" t="s">
        <v>276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392</v>
      </c>
    </row>
    <row r="420" customFormat="false" ht="14.25" hidden="false" customHeight="true" outlineLevel="0" collapsed="false">
      <c r="A420" s="1" t="s">
        <v>88</v>
      </c>
      <c r="B420" s="1" t="s">
        <v>18</v>
      </c>
      <c r="C420" s="1" t="s">
        <v>291</v>
      </c>
      <c r="D420" s="1" t="s">
        <v>241</v>
      </c>
      <c r="E420" s="1" t="s">
        <v>278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393</v>
      </c>
    </row>
    <row r="421" customFormat="false" ht="14.25" hidden="false" customHeight="true" outlineLevel="0" collapsed="false">
      <c r="A421" s="1" t="s">
        <v>88</v>
      </c>
      <c r="B421" s="1" t="s">
        <v>18</v>
      </c>
      <c r="C421" s="1" t="s">
        <v>291</v>
      </c>
      <c r="D421" s="1" t="s">
        <v>293</v>
      </c>
      <c r="E421" s="1" t="s">
        <v>278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394</v>
      </c>
    </row>
    <row r="422" customFormat="false" ht="14.25" hidden="false" customHeight="true" outlineLevel="0" collapsed="false">
      <c r="A422" s="1" t="s">
        <v>88</v>
      </c>
      <c r="B422" s="1" t="s">
        <v>18</v>
      </c>
      <c r="C422" s="1" t="s">
        <v>291</v>
      </c>
      <c r="D422" s="1" t="s">
        <v>166</v>
      </c>
      <c r="E422" s="1" t="s">
        <v>278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395</v>
      </c>
    </row>
    <row r="423" customFormat="false" ht="14.25" hidden="false" customHeight="true" outlineLevel="0" collapsed="false">
      <c r="A423" s="1" t="s">
        <v>88</v>
      </c>
      <c r="B423" s="1" t="s">
        <v>18</v>
      </c>
      <c r="C423" s="1" t="s">
        <v>291</v>
      </c>
      <c r="D423" s="1" t="s">
        <v>165</v>
      </c>
      <c r="E423" s="1" t="s">
        <v>278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395</v>
      </c>
    </row>
    <row r="424" customFormat="false" ht="14.25" hidden="false" customHeight="true" outlineLevel="0" collapsed="false">
      <c r="A424" s="1" t="s">
        <v>88</v>
      </c>
      <c r="B424" s="1" t="s">
        <v>18</v>
      </c>
      <c r="C424" s="1" t="s">
        <v>44</v>
      </c>
      <c r="D424" s="1" t="s">
        <v>167</v>
      </c>
      <c r="E424" s="1" t="s">
        <v>278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395</v>
      </c>
    </row>
    <row r="425" customFormat="false" ht="14.25" hidden="false" customHeight="true" outlineLevel="0" collapsed="false">
      <c r="A425" s="1" t="s">
        <v>88</v>
      </c>
      <c r="B425" s="1" t="s">
        <v>18</v>
      </c>
      <c r="C425" s="1" t="s">
        <v>44</v>
      </c>
      <c r="D425" s="1" t="s">
        <v>240</v>
      </c>
      <c r="E425" s="1" t="s">
        <v>278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391</v>
      </c>
    </row>
    <row r="426" customFormat="false" ht="14.25" hidden="false" customHeight="true" outlineLevel="0" collapsed="false">
      <c r="A426" s="1" t="s">
        <v>88</v>
      </c>
      <c r="B426" s="1" t="s">
        <v>18</v>
      </c>
      <c r="C426" s="1" t="s">
        <v>298</v>
      </c>
      <c r="D426" s="1" t="s">
        <v>194</v>
      </c>
      <c r="E426" s="1" t="s">
        <v>278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391</v>
      </c>
    </row>
    <row r="427" customFormat="false" ht="14.25" hidden="false" customHeight="true" outlineLevel="0" collapsed="false">
      <c r="A427" s="1" t="s">
        <v>88</v>
      </c>
      <c r="B427" s="1" t="s">
        <v>18</v>
      </c>
      <c r="C427" s="1" t="s">
        <v>298</v>
      </c>
      <c r="D427" s="1" t="s">
        <v>198</v>
      </c>
      <c r="E427" s="1" t="s">
        <v>278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391</v>
      </c>
    </row>
    <row r="428" customFormat="false" ht="14.25" hidden="false" customHeight="true" outlineLevel="0" collapsed="false">
      <c r="A428" s="1" t="s">
        <v>88</v>
      </c>
      <c r="B428" s="1" t="s">
        <v>18</v>
      </c>
      <c r="C428" s="1" t="s">
        <v>299</v>
      </c>
      <c r="D428" s="1" t="s">
        <v>192</v>
      </c>
      <c r="E428" s="1" t="s">
        <v>278</v>
      </c>
      <c r="F428" s="1" t="n">
        <v>8</v>
      </c>
      <c r="G428" s="1" t="n">
        <v>30</v>
      </c>
      <c r="H428" s="1" t="n">
        <f aca="false">F428*G428</f>
        <v>240</v>
      </c>
      <c r="I428" s="1" t="s">
        <v>392</v>
      </c>
    </row>
    <row r="429" customFormat="false" ht="14.25" hidden="false" customHeight="true" outlineLevel="0" collapsed="false">
      <c r="A429" s="1" t="s">
        <v>88</v>
      </c>
      <c r="B429" s="1" t="s">
        <v>18</v>
      </c>
      <c r="C429" s="1" t="s">
        <v>297</v>
      </c>
      <c r="D429" s="1" t="s">
        <v>170</v>
      </c>
      <c r="E429" s="1" t="s">
        <v>278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392</v>
      </c>
    </row>
    <row r="430" customFormat="false" ht="14.25" hidden="false" customHeight="true" outlineLevel="0" collapsed="false">
      <c r="A430" s="1" t="s">
        <v>88</v>
      </c>
      <c r="B430" s="1" t="s">
        <v>18</v>
      </c>
      <c r="C430" s="1" t="s">
        <v>297</v>
      </c>
      <c r="D430" s="1" t="s">
        <v>173</v>
      </c>
      <c r="E430" s="1" t="s">
        <v>278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392</v>
      </c>
    </row>
    <row r="431" customFormat="false" ht="14.25" hidden="false" customHeight="true" outlineLevel="0" collapsed="false">
      <c r="A431" s="1" t="s">
        <v>88</v>
      </c>
      <c r="B431" s="1" t="s">
        <v>18</v>
      </c>
      <c r="C431" s="1" t="s">
        <v>300</v>
      </c>
      <c r="D431" s="1" t="s">
        <v>396</v>
      </c>
      <c r="E431" s="1" t="s">
        <v>278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306</v>
      </c>
    </row>
    <row r="432" customFormat="false" ht="14.25" hidden="false" customHeight="true" outlineLevel="0" collapsed="false">
      <c r="A432" s="1" t="s">
        <v>88</v>
      </c>
      <c r="B432" s="1" t="s">
        <v>18</v>
      </c>
      <c r="C432" s="1" t="s">
        <v>291</v>
      </c>
      <c r="D432" s="1" t="s">
        <v>241</v>
      </c>
      <c r="E432" s="1" t="s">
        <v>279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397</v>
      </c>
    </row>
    <row r="433" customFormat="false" ht="14.25" hidden="false" customHeight="true" outlineLevel="0" collapsed="false">
      <c r="A433" s="1" t="s">
        <v>88</v>
      </c>
      <c r="B433" s="1" t="s">
        <v>18</v>
      </c>
      <c r="C433" s="1" t="s">
        <v>291</v>
      </c>
      <c r="D433" s="1" t="s">
        <v>373</v>
      </c>
      <c r="E433" s="1" t="s">
        <v>279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398</v>
      </c>
    </row>
    <row r="434" customFormat="false" ht="14.25" hidden="false" customHeight="true" outlineLevel="0" collapsed="false">
      <c r="A434" s="1" t="s">
        <v>88</v>
      </c>
      <c r="B434" s="1" t="s">
        <v>18</v>
      </c>
      <c r="C434" s="1" t="s">
        <v>291</v>
      </c>
      <c r="D434" s="1" t="s">
        <v>293</v>
      </c>
      <c r="E434" s="1" t="s">
        <v>279</v>
      </c>
      <c r="F434" s="1" t="n">
        <v>1</v>
      </c>
      <c r="G434" s="1" t="n">
        <v>2112</v>
      </c>
      <c r="H434" s="1" t="n">
        <f aca="false">F434*G434</f>
        <v>2112</v>
      </c>
      <c r="I434" s="1" t="s">
        <v>399</v>
      </c>
    </row>
    <row r="435" customFormat="false" ht="14.25" hidden="false" customHeight="true" outlineLevel="0" collapsed="false">
      <c r="A435" s="1" t="s">
        <v>88</v>
      </c>
      <c r="B435" s="1" t="s">
        <v>18</v>
      </c>
      <c r="C435" s="1" t="s">
        <v>291</v>
      </c>
      <c r="D435" s="1" t="s">
        <v>166</v>
      </c>
      <c r="E435" s="1" t="s">
        <v>279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400</v>
      </c>
    </row>
    <row r="436" customFormat="false" ht="14.25" hidden="false" customHeight="true" outlineLevel="0" collapsed="false">
      <c r="A436" s="1" t="s">
        <v>88</v>
      </c>
      <c r="B436" s="1" t="s">
        <v>18</v>
      </c>
      <c r="C436" s="1" t="s">
        <v>291</v>
      </c>
      <c r="D436" s="1" t="s">
        <v>165</v>
      </c>
      <c r="E436" s="1" t="s">
        <v>279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400</v>
      </c>
    </row>
    <row r="437" customFormat="false" ht="14.25" hidden="false" customHeight="true" outlineLevel="0" collapsed="false">
      <c r="A437" s="1" t="s">
        <v>88</v>
      </c>
      <c r="B437" s="1" t="s">
        <v>18</v>
      </c>
      <c r="C437" s="1" t="s">
        <v>44</v>
      </c>
      <c r="D437" s="1" t="s">
        <v>167</v>
      </c>
      <c r="E437" s="1" t="s">
        <v>279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400</v>
      </c>
    </row>
    <row r="438" customFormat="false" ht="14.25" hidden="false" customHeight="true" outlineLevel="0" collapsed="false">
      <c r="A438" s="1" t="s">
        <v>88</v>
      </c>
      <c r="B438" s="1" t="s">
        <v>18</v>
      </c>
      <c r="C438" s="1" t="s">
        <v>44</v>
      </c>
      <c r="D438" s="1" t="s">
        <v>240</v>
      </c>
      <c r="E438" s="1" t="s">
        <v>279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401</v>
      </c>
    </row>
    <row r="439" customFormat="false" ht="14.25" hidden="false" customHeight="true" outlineLevel="0" collapsed="false">
      <c r="A439" s="1" t="s">
        <v>88</v>
      </c>
      <c r="B439" s="1" t="s">
        <v>18</v>
      </c>
      <c r="C439" s="1" t="s">
        <v>298</v>
      </c>
      <c r="D439" s="1" t="s">
        <v>194</v>
      </c>
      <c r="E439" s="1" t="s">
        <v>279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401</v>
      </c>
    </row>
    <row r="440" customFormat="false" ht="14.25" hidden="false" customHeight="true" outlineLevel="0" collapsed="false">
      <c r="A440" s="1" t="s">
        <v>88</v>
      </c>
      <c r="B440" s="1" t="s">
        <v>18</v>
      </c>
      <c r="C440" s="1" t="s">
        <v>298</v>
      </c>
      <c r="D440" s="1" t="s">
        <v>198</v>
      </c>
      <c r="E440" s="1" t="s">
        <v>279</v>
      </c>
      <c r="F440" s="1" t="n">
        <v>1</v>
      </c>
      <c r="G440" s="1" t="n">
        <v>9.7</v>
      </c>
      <c r="H440" s="1" t="n">
        <f aca="false">F440*G440</f>
        <v>9.7</v>
      </c>
      <c r="I440" s="1" t="s">
        <v>401</v>
      </c>
    </row>
    <row r="441" customFormat="false" ht="14.25" hidden="false" customHeight="true" outlineLevel="0" collapsed="false">
      <c r="A441" s="1" t="s">
        <v>88</v>
      </c>
      <c r="B441" s="1" t="s">
        <v>18</v>
      </c>
      <c r="C441" s="1" t="s">
        <v>299</v>
      </c>
      <c r="D441" s="1" t="s">
        <v>192</v>
      </c>
      <c r="E441" s="1" t="s">
        <v>279</v>
      </c>
      <c r="F441" s="1" t="n">
        <v>15</v>
      </c>
      <c r="G441" s="1" t="n">
        <v>30</v>
      </c>
      <c r="H441" s="1" t="n">
        <f aca="false">F441*G441</f>
        <v>450</v>
      </c>
      <c r="I441" s="1" t="s">
        <v>392</v>
      </c>
    </row>
    <row r="442" customFormat="false" ht="14.25" hidden="false" customHeight="true" outlineLevel="0" collapsed="false">
      <c r="A442" s="1" t="s">
        <v>88</v>
      </c>
      <c r="B442" s="1" t="s">
        <v>18</v>
      </c>
      <c r="C442" s="1" t="s">
        <v>297</v>
      </c>
      <c r="D442" s="1" t="s">
        <v>170</v>
      </c>
      <c r="E442" s="1" t="s">
        <v>279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392</v>
      </c>
    </row>
    <row r="443" customFormat="false" ht="14.25" hidden="false" customHeight="true" outlineLevel="0" collapsed="false">
      <c r="A443" s="1" t="s">
        <v>88</v>
      </c>
      <c r="B443" s="1" t="s">
        <v>18</v>
      </c>
      <c r="C443" s="1" t="s">
        <v>297</v>
      </c>
      <c r="D443" s="1" t="s">
        <v>173</v>
      </c>
      <c r="E443" s="1" t="s">
        <v>279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392</v>
      </c>
    </row>
    <row r="444" customFormat="false" ht="14.25" hidden="false" customHeight="true" outlineLevel="0" collapsed="false">
      <c r="A444" s="1" t="s">
        <v>88</v>
      </c>
      <c r="B444" s="1" t="s">
        <v>17</v>
      </c>
      <c r="C444" s="1" t="s">
        <v>291</v>
      </c>
      <c r="D444" s="1" t="s">
        <v>241</v>
      </c>
      <c r="E444" s="1" t="s">
        <v>279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402</v>
      </c>
    </row>
    <row r="445" customFormat="false" ht="14.25" hidden="false" customHeight="true" outlineLevel="0" collapsed="false">
      <c r="A445" s="1" t="s">
        <v>88</v>
      </c>
      <c r="B445" s="1" t="s">
        <v>17</v>
      </c>
      <c r="C445" s="1" t="s">
        <v>291</v>
      </c>
      <c r="D445" s="1" t="s">
        <v>166</v>
      </c>
      <c r="E445" s="1" t="s">
        <v>279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403</v>
      </c>
    </row>
    <row r="446" customFormat="false" ht="14.25" hidden="false" customHeight="true" outlineLevel="0" collapsed="false">
      <c r="A446" s="1" t="s">
        <v>88</v>
      </c>
      <c r="B446" s="1" t="s">
        <v>17</v>
      </c>
      <c r="C446" s="1" t="s">
        <v>291</v>
      </c>
      <c r="D446" s="1" t="s">
        <v>165</v>
      </c>
      <c r="E446" s="1" t="s">
        <v>279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404</v>
      </c>
    </row>
    <row r="447" customFormat="false" ht="14.25" hidden="false" customHeight="true" outlineLevel="0" collapsed="false">
      <c r="A447" s="1" t="s">
        <v>88</v>
      </c>
      <c r="B447" s="1" t="s">
        <v>17</v>
      </c>
      <c r="C447" s="1" t="s">
        <v>44</v>
      </c>
      <c r="D447" s="1" t="s">
        <v>167</v>
      </c>
      <c r="E447" s="1" t="s">
        <v>279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404</v>
      </c>
    </row>
    <row r="448" customFormat="false" ht="14.25" hidden="false" customHeight="true" outlineLevel="0" collapsed="false">
      <c r="A448" s="1" t="s">
        <v>88</v>
      </c>
      <c r="B448" s="1" t="s">
        <v>17</v>
      </c>
      <c r="C448" s="1" t="s">
        <v>44</v>
      </c>
      <c r="D448" s="1" t="s">
        <v>240</v>
      </c>
      <c r="E448" s="1" t="s">
        <v>279</v>
      </c>
      <c r="F448" s="1" t="n">
        <v>1</v>
      </c>
      <c r="G448" s="1" t="n">
        <v>361</v>
      </c>
      <c r="H448" s="1" t="n">
        <f aca="false">F448*G448</f>
        <v>361</v>
      </c>
      <c r="I448" s="1" t="s">
        <v>405</v>
      </c>
    </row>
    <row r="449" customFormat="false" ht="14.25" hidden="false" customHeight="true" outlineLevel="0" collapsed="false">
      <c r="A449" s="1" t="s">
        <v>88</v>
      </c>
      <c r="B449" s="1" t="s">
        <v>17</v>
      </c>
      <c r="C449" s="1" t="s">
        <v>298</v>
      </c>
      <c r="D449" s="1" t="s">
        <v>194</v>
      </c>
      <c r="E449" s="1" t="s">
        <v>279</v>
      </c>
      <c r="F449" s="1" t="n">
        <v>1</v>
      </c>
      <c r="G449" s="1" t="n">
        <v>150</v>
      </c>
      <c r="H449" s="1" t="n">
        <f aca="false">F449*G449</f>
        <v>150</v>
      </c>
      <c r="I449" s="1" t="s">
        <v>405</v>
      </c>
    </row>
    <row r="450" customFormat="false" ht="14.25" hidden="false" customHeight="true" outlineLevel="0" collapsed="false">
      <c r="A450" s="1" t="s">
        <v>88</v>
      </c>
      <c r="B450" s="1" t="s">
        <v>17</v>
      </c>
      <c r="C450" s="1" t="s">
        <v>299</v>
      </c>
      <c r="D450" s="1" t="s">
        <v>192</v>
      </c>
      <c r="E450" s="1" t="s">
        <v>279</v>
      </c>
      <c r="F450" s="1" t="n">
        <v>3</v>
      </c>
      <c r="G450" s="1" t="n">
        <v>30</v>
      </c>
      <c r="H450" s="1" t="n">
        <f aca="false">F450*G450</f>
        <v>90</v>
      </c>
      <c r="I450" s="1" t="s">
        <v>404</v>
      </c>
    </row>
    <row r="451" customFormat="false" ht="14.25" hidden="false" customHeight="true" outlineLevel="0" collapsed="false">
      <c r="A451" s="1" t="s">
        <v>88</v>
      </c>
      <c r="B451" s="1" t="s">
        <v>17</v>
      </c>
      <c r="C451" s="1" t="s">
        <v>297</v>
      </c>
      <c r="D451" s="1" t="s">
        <v>170</v>
      </c>
      <c r="E451" s="1" t="s">
        <v>279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404</v>
      </c>
    </row>
    <row r="452" customFormat="false" ht="14.25" hidden="false" customHeight="true" outlineLevel="0" collapsed="false">
      <c r="A452" s="1" t="s">
        <v>88</v>
      </c>
      <c r="B452" s="1" t="s">
        <v>17</v>
      </c>
      <c r="C452" s="1" t="s">
        <v>297</v>
      </c>
      <c r="D452" s="1" t="s">
        <v>173</v>
      </c>
      <c r="E452" s="1" t="s">
        <v>279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404</v>
      </c>
    </row>
    <row r="453" customFormat="false" ht="14.25" hidden="false" customHeight="true" outlineLevel="0" collapsed="false">
      <c r="A453" s="1" t="s">
        <v>88</v>
      </c>
      <c r="B453" s="1" t="s">
        <v>18</v>
      </c>
      <c r="C453" s="1" t="s">
        <v>291</v>
      </c>
      <c r="D453" s="1" t="s">
        <v>241</v>
      </c>
      <c r="E453" s="1" t="s">
        <v>281</v>
      </c>
      <c r="F453" s="1" t="n">
        <v>1</v>
      </c>
      <c r="G453" s="1" t="n">
        <v>97917.66</v>
      </c>
      <c r="H453" s="1" t="n">
        <f aca="false">F453*G453</f>
        <v>97917.66</v>
      </c>
      <c r="I453" s="1" t="s">
        <v>406</v>
      </c>
    </row>
    <row r="454" customFormat="false" ht="14.25" hidden="false" customHeight="true" outlineLevel="0" collapsed="false">
      <c r="A454" s="1" t="s">
        <v>88</v>
      </c>
      <c r="B454" s="1" t="s">
        <v>18</v>
      </c>
      <c r="C454" s="1" t="s">
        <v>291</v>
      </c>
      <c r="D454" s="1" t="s">
        <v>362</v>
      </c>
      <c r="E454" s="1" t="s">
        <v>281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379</v>
      </c>
    </row>
    <row r="455" customFormat="false" ht="14.25" hidden="false" customHeight="true" outlineLevel="0" collapsed="false">
      <c r="A455" s="1" t="s">
        <v>88</v>
      </c>
      <c r="B455" s="1" t="s">
        <v>18</v>
      </c>
      <c r="C455" s="1" t="s">
        <v>291</v>
      </c>
      <c r="D455" s="1" t="s">
        <v>293</v>
      </c>
      <c r="E455" s="1" t="s">
        <v>281</v>
      </c>
      <c r="F455" s="1" t="n">
        <v>0</v>
      </c>
      <c r="G455" s="1" t="n">
        <v>0</v>
      </c>
      <c r="H455" s="1" t="n">
        <f aca="false">F455*G455</f>
        <v>0</v>
      </c>
      <c r="I455" s="1" t="s">
        <v>407</v>
      </c>
    </row>
    <row r="456" customFormat="false" ht="14.25" hidden="false" customHeight="true" outlineLevel="0" collapsed="false">
      <c r="A456" s="1" t="s">
        <v>88</v>
      </c>
      <c r="B456" s="1" t="s">
        <v>18</v>
      </c>
      <c r="C456" s="1" t="s">
        <v>291</v>
      </c>
      <c r="D456" s="1" t="s">
        <v>166</v>
      </c>
      <c r="E456" s="1" t="s">
        <v>281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408</v>
      </c>
    </row>
    <row r="457" customFormat="false" ht="14.25" hidden="false" customHeight="true" outlineLevel="0" collapsed="false">
      <c r="A457" s="1" t="s">
        <v>88</v>
      </c>
      <c r="B457" s="1" t="s">
        <v>18</v>
      </c>
      <c r="C457" s="1" t="s">
        <v>291</v>
      </c>
      <c r="D457" s="1" t="s">
        <v>165</v>
      </c>
      <c r="E457" s="1" t="s">
        <v>281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409</v>
      </c>
    </row>
    <row r="458" customFormat="false" ht="14.25" hidden="false" customHeight="true" outlineLevel="0" collapsed="false">
      <c r="A458" s="1" t="s">
        <v>88</v>
      </c>
      <c r="B458" s="1" t="s">
        <v>18</v>
      </c>
      <c r="C458" s="1" t="s">
        <v>44</v>
      </c>
      <c r="D458" s="1" t="s">
        <v>167</v>
      </c>
      <c r="E458" s="1" t="s">
        <v>281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409</v>
      </c>
    </row>
    <row r="459" customFormat="false" ht="14.25" hidden="false" customHeight="true" outlineLevel="0" collapsed="false">
      <c r="A459" s="1" t="s">
        <v>88</v>
      </c>
      <c r="B459" s="1" t="s">
        <v>18</v>
      </c>
      <c r="C459" s="1" t="s">
        <v>44</v>
      </c>
      <c r="D459" s="1" t="s">
        <v>240</v>
      </c>
      <c r="E459" s="1" t="s">
        <v>281</v>
      </c>
      <c r="F459" s="1" t="n">
        <v>1</v>
      </c>
      <c r="G459" s="1" t="n">
        <v>20</v>
      </c>
      <c r="H459" s="1" t="n">
        <f aca="false">F459*G459</f>
        <v>20</v>
      </c>
      <c r="I459" s="1" t="s">
        <v>410</v>
      </c>
    </row>
    <row r="460" customFormat="false" ht="14.25" hidden="false" customHeight="true" outlineLevel="0" collapsed="false">
      <c r="A460" s="1" t="s">
        <v>88</v>
      </c>
      <c r="B460" s="1" t="s">
        <v>18</v>
      </c>
      <c r="C460" s="1" t="s">
        <v>298</v>
      </c>
      <c r="D460" s="1" t="s">
        <v>194</v>
      </c>
      <c r="E460" s="1" t="s">
        <v>281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410</v>
      </c>
    </row>
    <row r="461" customFormat="false" ht="14.25" hidden="false" customHeight="true" outlineLevel="0" collapsed="false">
      <c r="A461" s="1" t="s">
        <v>88</v>
      </c>
      <c r="B461" s="1" t="s">
        <v>18</v>
      </c>
      <c r="C461" s="1" t="s">
        <v>298</v>
      </c>
      <c r="D461" s="1" t="s">
        <v>198</v>
      </c>
      <c r="E461" s="1" t="s">
        <v>281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410</v>
      </c>
    </row>
    <row r="462" customFormat="false" ht="14.25" hidden="false" customHeight="true" outlineLevel="0" collapsed="false">
      <c r="A462" s="1" t="s">
        <v>88</v>
      </c>
      <c r="B462" s="1" t="s">
        <v>18</v>
      </c>
      <c r="C462" s="1" t="s">
        <v>299</v>
      </c>
      <c r="D462" s="1" t="s">
        <v>192</v>
      </c>
      <c r="E462" s="1" t="s">
        <v>281</v>
      </c>
      <c r="F462" s="1" t="n">
        <v>22</v>
      </c>
      <c r="G462" s="1" t="n">
        <v>30</v>
      </c>
      <c r="H462" s="1" t="n">
        <f aca="false">F462*G462</f>
        <v>660</v>
      </c>
      <c r="I462" s="1" t="s">
        <v>409</v>
      </c>
    </row>
    <row r="463" customFormat="false" ht="14.25" hidden="false" customHeight="true" outlineLevel="0" collapsed="false">
      <c r="A463" s="1" t="s">
        <v>88</v>
      </c>
      <c r="B463" s="1" t="s">
        <v>18</v>
      </c>
      <c r="C463" s="1" t="s">
        <v>297</v>
      </c>
      <c r="D463" s="1" t="s">
        <v>170</v>
      </c>
      <c r="E463" s="1" t="s">
        <v>281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409</v>
      </c>
    </row>
    <row r="464" customFormat="false" ht="14.25" hidden="false" customHeight="true" outlineLevel="0" collapsed="false">
      <c r="A464" s="1" t="s">
        <v>88</v>
      </c>
      <c r="B464" s="1" t="s">
        <v>18</v>
      </c>
      <c r="C464" s="1" t="s">
        <v>297</v>
      </c>
      <c r="D464" s="1" t="s">
        <v>173</v>
      </c>
      <c r="E464" s="1" t="s">
        <v>281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409</v>
      </c>
    </row>
    <row r="465" customFormat="false" ht="14.25" hidden="false" customHeight="true" outlineLevel="0" collapsed="false">
      <c r="A465" s="1" t="s">
        <v>88</v>
      </c>
      <c r="B465" s="1" t="s">
        <v>18</v>
      </c>
      <c r="C465" s="1" t="s">
        <v>300</v>
      </c>
      <c r="D465" s="1" t="s">
        <v>411</v>
      </c>
      <c r="E465" s="1" t="s">
        <v>281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306</v>
      </c>
    </row>
    <row r="466" customFormat="false" ht="14.25" hidden="false" customHeight="true" outlineLevel="0" collapsed="false">
      <c r="A466" s="1" t="s">
        <v>88</v>
      </c>
      <c r="B466" s="1" t="s">
        <v>16</v>
      </c>
      <c r="C466" s="1" t="s">
        <v>291</v>
      </c>
      <c r="D466" s="1" t="s">
        <v>241</v>
      </c>
      <c r="E466" s="1" t="s">
        <v>281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405</v>
      </c>
    </row>
    <row r="467" customFormat="false" ht="14.25" hidden="false" customHeight="true" outlineLevel="0" collapsed="false">
      <c r="A467" s="1" t="s">
        <v>88</v>
      </c>
      <c r="B467" s="1" t="s">
        <v>16</v>
      </c>
      <c r="C467" s="1" t="s">
        <v>291</v>
      </c>
      <c r="D467" s="1" t="s">
        <v>166</v>
      </c>
      <c r="E467" s="1" t="s">
        <v>281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412</v>
      </c>
    </row>
    <row r="468" customFormat="false" ht="14.25" hidden="false" customHeight="true" outlineLevel="0" collapsed="false">
      <c r="A468" s="1" t="s">
        <v>88</v>
      </c>
      <c r="B468" s="1" t="s">
        <v>16</v>
      </c>
      <c r="C468" s="1" t="s">
        <v>291</v>
      </c>
      <c r="D468" s="1" t="s">
        <v>165</v>
      </c>
      <c r="E468" s="1" t="s">
        <v>281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409</v>
      </c>
    </row>
    <row r="469" customFormat="false" ht="14.25" hidden="false" customHeight="true" outlineLevel="0" collapsed="false">
      <c r="A469" s="1" t="s">
        <v>88</v>
      </c>
      <c r="B469" s="1" t="s">
        <v>16</v>
      </c>
      <c r="C469" s="1" t="s">
        <v>44</v>
      </c>
      <c r="D469" s="1" t="s">
        <v>167</v>
      </c>
      <c r="E469" s="1" t="s">
        <v>281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409</v>
      </c>
    </row>
    <row r="470" customFormat="false" ht="14.25" hidden="false" customHeight="true" outlineLevel="0" collapsed="false">
      <c r="A470" s="1" t="s">
        <v>88</v>
      </c>
      <c r="B470" s="1" t="s">
        <v>16</v>
      </c>
      <c r="C470" s="1" t="s">
        <v>44</v>
      </c>
      <c r="D470" s="1" t="s">
        <v>240</v>
      </c>
      <c r="E470" s="1" t="s">
        <v>281</v>
      </c>
      <c r="F470" s="1" t="n">
        <v>1</v>
      </c>
      <c r="G470" s="1" t="n">
        <v>400</v>
      </c>
      <c r="H470" s="1" t="n">
        <f aca="false">F470*G470</f>
        <v>400</v>
      </c>
      <c r="I470" s="1" t="s">
        <v>405</v>
      </c>
    </row>
    <row r="471" customFormat="false" ht="14.25" hidden="false" customHeight="true" outlineLevel="0" collapsed="false">
      <c r="A471" s="1" t="s">
        <v>88</v>
      </c>
      <c r="B471" s="1" t="s">
        <v>16</v>
      </c>
      <c r="C471" s="1" t="s">
        <v>299</v>
      </c>
      <c r="D471" s="1" t="s">
        <v>192</v>
      </c>
      <c r="E471" s="1" t="s">
        <v>281</v>
      </c>
      <c r="F471" s="1" t="n">
        <v>4</v>
      </c>
      <c r="G471" s="1" t="n">
        <v>30</v>
      </c>
      <c r="H471" s="1" t="n">
        <f aca="false">F471*G471</f>
        <v>120</v>
      </c>
      <c r="I471" s="1" t="s">
        <v>409</v>
      </c>
    </row>
    <row r="472" customFormat="false" ht="14.25" hidden="false" customHeight="true" outlineLevel="0" collapsed="false">
      <c r="A472" s="1" t="s">
        <v>88</v>
      </c>
      <c r="B472" s="1" t="s">
        <v>16</v>
      </c>
      <c r="C472" s="1" t="s">
        <v>297</v>
      </c>
      <c r="D472" s="1" t="s">
        <v>170</v>
      </c>
      <c r="E472" s="1" t="s">
        <v>281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409</v>
      </c>
    </row>
    <row r="473" customFormat="false" ht="14.25" hidden="false" customHeight="true" outlineLevel="0" collapsed="false">
      <c r="A473" s="1" t="s">
        <v>88</v>
      </c>
      <c r="B473" s="1" t="s">
        <v>16</v>
      </c>
      <c r="C473" s="1" t="s">
        <v>297</v>
      </c>
      <c r="D473" s="1" t="s">
        <v>173</v>
      </c>
      <c r="E473" s="1" t="s">
        <v>281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409</v>
      </c>
    </row>
    <row r="474" customFormat="false" ht="14.25" hidden="false" customHeight="true" outlineLevel="0" collapsed="false">
      <c r="A474" s="1" t="s">
        <v>88</v>
      </c>
      <c r="B474" s="1" t="s">
        <v>10</v>
      </c>
      <c r="C474" s="1" t="s">
        <v>291</v>
      </c>
      <c r="D474" s="1" t="s">
        <v>241</v>
      </c>
      <c r="E474" s="1" t="s">
        <v>282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413</v>
      </c>
    </row>
    <row r="475" customFormat="false" ht="14.25" hidden="false" customHeight="true" outlineLevel="0" collapsed="false">
      <c r="A475" s="1" t="s">
        <v>88</v>
      </c>
      <c r="B475" s="1" t="s">
        <v>10</v>
      </c>
      <c r="C475" s="1" t="s">
        <v>291</v>
      </c>
      <c r="D475" s="1" t="s">
        <v>166</v>
      </c>
      <c r="E475" s="1" t="s">
        <v>282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412</v>
      </c>
    </row>
    <row r="476" customFormat="false" ht="14.25" hidden="false" customHeight="true" outlineLevel="0" collapsed="false">
      <c r="A476" s="1" t="s">
        <v>88</v>
      </c>
      <c r="B476" s="1" t="s">
        <v>10</v>
      </c>
      <c r="C476" s="1" t="s">
        <v>291</v>
      </c>
      <c r="D476" s="1" t="s">
        <v>165</v>
      </c>
      <c r="E476" s="1" t="s">
        <v>282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409</v>
      </c>
    </row>
    <row r="477" customFormat="false" ht="14.25" hidden="false" customHeight="true" outlineLevel="0" collapsed="false">
      <c r="A477" s="1" t="s">
        <v>88</v>
      </c>
      <c r="B477" s="1" t="s">
        <v>10</v>
      </c>
      <c r="C477" s="1" t="s">
        <v>44</v>
      </c>
      <c r="D477" s="1" t="s">
        <v>167</v>
      </c>
      <c r="E477" s="1" t="s">
        <v>282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409</v>
      </c>
    </row>
    <row r="478" customFormat="false" ht="14.25" hidden="false" customHeight="true" outlineLevel="0" collapsed="false">
      <c r="A478" s="1" t="s">
        <v>88</v>
      </c>
      <c r="B478" s="1" t="s">
        <v>10</v>
      </c>
      <c r="C478" s="1" t="s">
        <v>44</v>
      </c>
      <c r="D478" s="1" t="s">
        <v>240</v>
      </c>
      <c r="E478" s="1" t="s">
        <v>282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405</v>
      </c>
    </row>
    <row r="479" customFormat="false" ht="14.25" hidden="false" customHeight="true" outlineLevel="0" collapsed="false">
      <c r="A479" s="1" t="s">
        <v>88</v>
      </c>
      <c r="B479" s="1" t="s">
        <v>10</v>
      </c>
      <c r="C479" s="1" t="s">
        <v>299</v>
      </c>
      <c r="D479" s="1" t="s">
        <v>192</v>
      </c>
      <c r="E479" s="1" t="s">
        <v>282</v>
      </c>
      <c r="F479" s="1" t="n">
        <v>10</v>
      </c>
      <c r="G479" s="1" t="n">
        <v>30</v>
      </c>
      <c r="H479" s="1" t="n">
        <f aca="false">F479*G479</f>
        <v>300</v>
      </c>
      <c r="I479" s="1" t="s">
        <v>409</v>
      </c>
    </row>
    <row r="480" customFormat="false" ht="14.25" hidden="false" customHeight="true" outlineLevel="0" collapsed="false">
      <c r="A480" s="1" t="s">
        <v>88</v>
      </c>
      <c r="B480" s="1" t="s">
        <v>10</v>
      </c>
      <c r="C480" s="1" t="s">
        <v>297</v>
      </c>
      <c r="D480" s="1" t="s">
        <v>170</v>
      </c>
      <c r="E480" s="1" t="s">
        <v>282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409</v>
      </c>
    </row>
    <row r="481" customFormat="false" ht="14.25" hidden="false" customHeight="true" outlineLevel="0" collapsed="false">
      <c r="A481" s="1" t="s">
        <v>88</v>
      </c>
      <c r="B481" s="1" t="s">
        <v>10</v>
      </c>
      <c r="C481" s="1" t="s">
        <v>297</v>
      </c>
      <c r="D481" s="1" t="s">
        <v>173</v>
      </c>
      <c r="E481" s="1" t="s">
        <v>282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409</v>
      </c>
    </row>
    <row r="482" customFormat="false" ht="14.25" hidden="false" customHeight="true" outlineLevel="0" collapsed="false">
      <c r="A482" s="1" t="s">
        <v>88</v>
      </c>
      <c r="B482" s="1" t="s">
        <v>10</v>
      </c>
      <c r="C482" s="1" t="s">
        <v>291</v>
      </c>
      <c r="D482" s="1" t="s">
        <v>375</v>
      </c>
      <c r="E482" s="1" t="s">
        <v>282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414</v>
      </c>
    </row>
    <row r="483" customFormat="false" ht="14.25" hidden="false" customHeight="true" outlineLevel="0" collapsed="false">
      <c r="A483" s="1" t="s">
        <v>88</v>
      </c>
      <c r="B483" s="1" t="s">
        <v>10</v>
      </c>
      <c r="C483" s="1" t="s">
        <v>300</v>
      </c>
      <c r="D483" s="1" t="s">
        <v>377</v>
      </c>
      <c r="E483" s="1" t="s">
        <v>282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415</v>
      </c>
    </row>
    <row r="484" customFormat="false" ht="14.25" hidden="false" customHeight="true" outlineLevel="0" collapsed="false">
      <c r="A484" s="1" t="s">
        <v>88</v>
      </c>
      <c r="B484" s="1" t="s">
        <v>15</v>
      </c>
      <c r="C484" s="1" t="s">
        <v>291</v>
      </c>
      <c r="D484" s="1" t="s">
        <v>241</v>
      </c>
      <c r="E484" s="1" t="s">
        <v>282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416</v>
      </c>
    </row>
    <row r="485" customFormat="false" ht="14.25" hidden="false" customHeight="true" outlineLevel="0" collapsed="false">
      <c r="A485" s="1" t="s">
        <v>88</v>
      </c>
      <c r="B485" s="1" t="s">
        <v>15</v>
      </c>
      <c r="C485" s="1" t="s">
        <v>291</v>
      </c>
      <c r="D485" s="1" t="s">
        <v>293</v>
      </c>
      <c r="E485" s="1" t="s">
        <v>282</v>
      </c>
      <c r="F485" s="1" t="n">
        <v>1</v>
      </c>
      <c r="G485" s="1" t="n">
        <v>2896</v>
      </c>
      <c r="H485" s="1" t="n">
        <f aca="false">F485*G485</f>
        <v>2896</v>
      </c>
      <c r="I485" s="1" t="s">
        <v>417</v>
      </c>
    </row>
    <row r="486" customFormat="false" ht="14.25" hidden="false" customHeight="true" outlineLevel="0" collapsed="false">
      <c r="A486" s="1" t="s">
        <v>88</v>
      </c>
      <c r="B486" s="1" t="s">
        <v>15</v>
      </c>
      <c r="C486" s="1" t="s">
        <v>291</v>
      </c>
      <c r="D486" s="1" t="s">
        <v>166</v>
      </c>
      <c r="E486" s="1" t="s">
        <v>282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412</v>
      </c>
    </row>
    <row r="487" customFormat="false" ht="14.25" hidden="false" customHeight="true" outlineLevel="0" collapsed="false">
      <c r="A487" s="1" t="s">
        <v>88</v>
      </c>
      <c r="B487" s="1" t="s">
        <v>15</v>
      </c>
      <c r="C487" s="1" t="s">
        <v>291</v>
      </c>
      <c r="D487" s="1" t="s">
        <v>165</v>
      </c>
      <c r="E487" s="1" t="s">
        <v>282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409</v>
      </c>
    </row>
    <row r="488" customFormat="false" ht="14.25" hidden="false" customHeight="true" outlineLevel="0" collapsed="false">
      <c r="A488" s="1" t="s">
        <v>88</v>
      </c>
      <c r="B488" s="1" t="s">
        <v>15</v>
      </c>
      <c r="C488" s="1" t="s">
        <v>44</v>
      </c>
      <c r="D488" s="1" t="s">
        <v>167</v>
      </c>
      <c r="E488" s="1" t="s">
        <v>282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409</v>
      </c>
    </row>
    <row r="489" customFormat="false" ht="14.25" hidden="false" customHeight="true" outlineLevel="0" collapsed="false">
      <c r="A489" s="1" t="s">
        <v>88</v>
      </c>
      <c r="B489" s="1" t="s">
        <v>15</v>
      </c>
      <c r="C489" s="1" t="s">
        <v>44</v>
      </c>
      <c r="D489" s="1" t="s">
        <v>240</v>
      </c>
      <c r="E489" s="1" t="s">
        <v>282</v>
      </c>
      <c r="F489" s="1" t="n">
        <v>1</v>
      </c>
      <c r="G489" s="1" t="n">
        <v>600</v>
      </c>
      <c r="H489" s="1" t="n">
        <f aca="false">F489*G489</f>
        <v>600</v>
      </c>
      <c r="I489" s="1" t="s">
        <v>405</v>
      </c>
    </row>
    <row r="490" customFormat="false" ht="14.25" hidden="false" customHeight="true" outlineLevel="0" collapsed="false">
      <c r="A490" s="1" t="s">
        <v>88</v>
      </c>
      <c r="B490" s="1" t="s">
        <v>15</v>
      </c>
      <c r="C490" s="1" t="s">
        <v>298</v>
      </c>
      <c r="D490" s="1" t="s">
        <v>194</v>
      </c>
      <c r="E490" s="1" t="s">
        <v>282</v>
      </c>
      <c r="F490" s="1" t="n">
        <v>1</v>
      </c>
      <c r="G490" s="1" t="n">
        <v>300</v>
      </c>
      <c r="H490" s="1" t="n">
        <f aca="false">F490*G490</f>
        <v>300</v>
      </c>
      <c r="I490" s="1" t="s">
        <v>405</v>
      </c>
    </row>
    <row r="491" customFormat="false" ht="14.25" hidden="false" customHeight="true" outlineLevel="0" collapsed="false">
      <c r="A491" s="1" t="s">
        <v>88</v>
      </c>
      <c r="B491" s="1" t="s">
        <v>15</v>
      </c>
      <c r="C491" s="1" t="s">
        <v>299</v>
      </c>
      <c r="D491" s="1" t="s">
        <v>192</v>
      </c>
      <c r="E491" s="1" t="s">
        <v>282</v>
      </c>
      <c r="F491" s="1" t="n">
        <v>12</v>
      </c>
      <c r="G491" s="1" t="n">
        <v>30</v>
      </c>
      <c r="H491" s="1" t="n">
        <f aca="false">F491*G491</f>
        <v>360</v>
      </c>
      <c r="I491" s="1" t="s">
        <v>409</v>
      </c>
    </row>
    <row r="492" customFormat="false" ht="14.25" hidden="false" customHeight="true" outlineLevel="0" collapsed="false">
      <c r="A492" s="1" t="s">
        <v>88</v>
      </c>
      <c r="B492" s="1" t="s">
        <v>15</v>
      </c>
      <c r="C492" s="1" t="s">
        <v>297</v>
      </c>
      <c r="D492" s="1" t="s">
        <v>170</v>
      </c>
      <c r="E492" s="1" t="s">
        <v>282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409</v>
      </c>
    </row>
    <row r="493" customFormat="false" ht="14.25" hidden="false" customHeight="true" outlineLevel="0" collapsed="false">
      <c r="A493" s="1" t="s">
        <v>88</v>
      </c>
      <c r="B493" s="1" t="s">
        <v>15</v>
      </c>
      <c r="C493" s="1" t="s">
        <v>297</v>
      </c>
      <c r="D493" s="1" t="s">
        <v>173</v>
      </c>
      <c r="E493" s="1" t="s">
        <v>282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409</v>
      </c>
    </row>
    <row r="494" customFormat="false" ht="14.25" hidden="false" customHeight="true" outlineLevel="0" collapsed="false">
      <c r="A494" s="1" t="s">
        <v>88</v>
      </c>
      <c r="B494" s="1" t="s">
        <v>15</v>
      </c>
      <c r="C494" s="1" t="s">
        <v>300</v>
      </c>
      <c r="D494" s="1" t="s">
        <v>418</v>
      </c>
      <c r="E494" s="1" t="s">
        <v>282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306</v>
      </c>
    </row>
    <row r="495" customFormat="false" ht="14.25" hidden="false" customHeight="true" outlineLevel="0" collapsed="false">
      <c r="A495" s="1" t="s">
        <v>88</v>
      </c>
      <c r="B495" s="1" t="s">
        <v>15</v>
      </c>
      <c r="C495" s="1" t="s">
        <v>300</v>
      </c>
      <c r="D495" s="1" t="s">
        <v>419</v>
      </c>
      <c r="E495" s="1" t="s">
        <v>282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306</v>
      </c>
    </row>
    <row r="496" customFormat="false" ht="14.25" hidden="false" customHeight="true" outlineLevel="0" collapsed="false">
      <c r="A496" s="1" t="s">
        <v>88</v>
      </c>
      <c r="B496" s="1" t="s">
        <v>15</v>
      </c>
      <c r="C496" s="1" t="s">
        <v>300</v>
      </c>
      <c r="D496" s="1" t="s">
        <v>420</v>
      </c>
      <c r="E496" s="1" t="s">
        <v>282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421</v>
      </c>
    </row>
    <row r="497" customFormat="false" ht="14.25" hidden="false" customHeight="true" outlineLevel="0" collapsed="false">
      <c r="A497" s="1" t="s">
        <v>88</v>
      </c>
      <c r="B497" s="1" t="s">
        <v>18</v>
      </c>
      <c r="C497" s="1" t="s">
        <v>291</v>
      </c>
      <c r="D497" s="1" t="s">
        <v>327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422</v>
      </c>
    </row>
    <row r="498" customFormat="false" ht="14.25" hidden="false" customHeight="true" outlineLevel="0" collapsed="false">
      <c r="A498" s="1" t="s">
        <v>88</v>
      </c>
      <c r="B498" s="1" t="s">
        <v>10</v>
      </c>
      <c r="C498" s="1" t="s">
        <v>291</v>
      </c>
      <c r="D498" s="1" t="s">
        <v>327</v>
      </c>
      <c r="E498" s="1" t="s">
        <v>282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423</v>
      </c>
    </row>
    <row r="499" customFormat="false" ht="14.25" hidden="false" customHeight="true" outlineLevel="0" collapsed="false">
      <c r="A499" s="1" t="s">
        <v>88</v>
      </c>
      <c r="B499" s="1" t="s">
        <v>15</v>
      </c>
      <c r="C499" s="1" t="s">
        <v>291</v>
      </c>
      <c r="D499" s="1" t="s">
        <v>327</v>
      </c>
      <c r="E499" s="1" t="s">
        <v>282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424</v>
      </c>
    </row>
    <row r="500" customFormat="false" ht="14.25" hidden="false" customHeight="true" outlineLevel="0" collapsed="false">
      <c r="A500" s="1" t="s">
        <v>88</v>
      </c>
      <c r="B500" s="1" t="s">
        <v>17</v>
      </c>
      <c r="C500" s="1" t="s">
        <v>291</v>
      </c>
      <c r="D500" s="1" t="s">
        <v>327</v>
      </c>
      <c r="E500" s="1" t="s">
        <v>279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425</v>
      </c>
    </row>
    <row r="501" customFormat="false" ht="14.25" hidden="false" customHeight="true" outlineLevel="0" collapsed="false">
      <c r="A501" s="1" t="s">
        <v>88</v>
      </c>
      <c r="B501" s="1" t="s">
        <v>14</v>
      </c>
      <c r="C501" s="1" t="s">
        <v>291</v>
      </c>
      <c r="D501" s="1" t="s">
        <v>327</v>
      </c>
      <c r="E501" s="1" t="s">
        <v>285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426</v>
      </c>
    </row>
    <row r="502" customFormat="false" ht="14.25" hidden="false" customHeight="true" outlineLevel="0" collapsed="false">
      <c r="A502" s="74" t="s">
        <v>427</v>
      </c>
      <c r="B502" s="75"/>
      <c r="C502" s="75"/>
      <c r="D502" s="75"/>
      <c r="E502" s="75"/>
      <c r="F502" s="75"/>
      <c r="G502" s="76"/>
      <c r="H502" s="77" t="n">
        <f aca="false">SUM(H21:H501)</f>
        <v>2433970.166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428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429</v>
      </c>
      <c r="E505" s="71" t="s">
        <v>430</v>
      </c>
      <c r="F505" s="71" t="s">
        <v>431</v>
      </c>
      <c r="G505" s="71" t="s">
        <v>432</v>
      </c>
      <c r="H505" s="71" t="s">
        <v>433</v>
      </c>
      <c r="I505" s="71" t="s">
        <v>434</v>
      </c>
      <c r="J505" s="71" t="s">
        <v>435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436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276</v>
      </c>
      <c r="C507" s="72" t="s">
        <v>436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278</v>
      </c>
      <c r="C508" s="72" t="s">
        <v>436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279</v>
      </c>
      <c r="C509" s="72" t="s">
        <v>436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281</v>
      </c>
      <c r="C510" s="72" t="s">
        <v>436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282</v>
      </c>
      <c r="C511" s="72" t="s">
        <v>436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285</v>
      </c>
      <c r="C512" s="72" t="s">
        <v>436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436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276</v>
      </c>
      <c r="C514" s="72" t="s">
        <v>436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278</v>
      </c>
      <c r="C515" s="72" t="s">
        <v>436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279</v>
      </c>
      <c r="C516" s="72" t="s">
        <v>436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281</v>
      </c>
      <c r="C517" s="72" t="s">
        <v>436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282</v>
      </c>
      <c r="C518" s="72" t="s">
        <v>436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285</v>
      </c>
      <c r="C519" s="72" t="s">
        <v>436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436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276</v>
      </c>
      <c r="C521" s="72" t="s">
        <v>436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278</v>
      </c>
      <c r="C522" s="72" t="s">
        <v>436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279</v>
      </c>
      <c r="C523" s="72" t="s">
        <v>436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281</v>
      </c>
      <c r="C524" s="72" t="s">
        <v>436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282</v>
      </c>
      <c r="C525" s="72" t="s">
        <v>436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285</v>
      </c>
      <c r="C526" s="72" t="s">
        <v>436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436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276</v>
      </c>
      <c r="C528" s="72" t="s">
        <v>436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278</v>
      </c>
      <c r="C529" s="72" t="s">
        <v>436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279</v>
      </c>
      <c r="C530" s="72" t="s">
        <v>436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281</v>
      </c>
      <c r="C531" s="72" t="s">
        <v>436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282</v>
      </c>
      <c r="C532" s="72" t="s">
        <v>436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285</v>
      </c>
      <c r="C533" s="72" t="s">
        <v>436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18</v>
      </c>
      <c r="C897" s="1" t="s">
        <v>300</v>
      </c>
      <c r="D897" s="1" t="s">
        <v>369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437</v>
      </c>
    </row>
    <row r="898" customFormat="false" ht="14.25" hidden="false" customHeight="true" outlineLevel="0" collapsed="false">
      <c r="A898" s="1" t="s">
        <v>88</v>
      </c>
      <c r="B898" s="1" t="s">
        <v>18</v>
      </c>
      <c r="C898" s="1" t="s">
        <v>300</v>
      </c>
      <c r="D898" s="1" t="s">
        <v>364</v>
      </c>
      <c r="E898" s="1" t="s">
        <v>281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438</v>
      </c>
    </row>
    <row r="899" customFormat="false" ht="14.25" hidden="false" customHeight="true" outlineLevel="0" collapsed="false">
      <c r="A899" s="1" t="s">
        <v>88</v>
      </c>
      <c r="B899" s="1" t="s">
        <v>18</v>
      </c>
      <c r="C899" s="1" t="s">
        <v>300</v>
      </c>
      <c r="D899" s="1" t="s">
        <v>374</v>
      </c>
      <c r="E899" s="1" t="s">
        <v>279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439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440</v>
      </c>
    </row>
    <row r="2" customFormat="false" ht="15" hidden="false" customHeight="true" outlineLevel="0" collapsed="false">
      <c r="A2" s="80" t="s">
        <v>441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442</v>
      </c>
      <c r="H4" s="81" t="s">
        <v>443</v>
      </c>
    </row>
    <row r="5" customFormat="false" ht="15" hidden="false" customHeight="true" outlineLevel="0" collapsed="false">
      <c r="A5" s="1" t="s">
        <v>444</v>
      </c>
      <c r="B5" s="1" t="s">
        <v>445</v>
      </c>
      <c r="C5" s="1" t="s">
        <v>86</v>
      </c>
      <c r="D5" s="1" t="s">
        <v>12</v>
      </c>
      <c r="E5" s="82" t="n">
        <v>13402</v>
      </c>
      <c r="F5" s="26" t="n">
        <v>0.213162125376571</v>
      </c>
      <c r="G5" s="26" t="n">
        <v>2856.7988042968</v>
      </c>
      <c r="H5" s="1" t="s">
        <v>446</v>
      </c>
    </row>
    <row r="6" customFormat="false" ht="15" hidden="false" customHeight="true" outlineLevel="0" collapsed="false">
      <c r="A6" s="1" t="s">
        <v>444</v>
      </c>
      <c r="B6" s="1" t="s">
        <v>447</v>
      </c>
      <c r="C6" s="1" t="s">
        <v>448</v>
      </c>
      <c r="D6" s="1" t="s">
        <v>18</v>
      </c>
      <c r="E6" s="82" t="n">
        <v>1</v>
      </c>
      <c r="F6" s="26" t="n">
        <v>1391.04</v>
      </c>
      <c r="G6" s="26" t="n">
        <v>1391.04</v>
      </c>
      <c r="H6" s="1" t="s">
        <v>449</v>
      </c>
    </row>
    <row r="7" customFormat="false" ht="15" hidden="false" customHeight="true" outlineLevel="0" collapsed="false">
      <c r="A7" s="1" t="s">
        <v>444</v>
      </c>
      <c r="B7" s="1" t="s">
        <v>447</v>
      </c>
      <c r="C7" s="1" t="s">
        <v>450</v>
      </c>
      <c r="D7" s="1" t="s">
        <v>18</v>
      </c>
      <c r="E7" s="82" t="n">
        <v>1</v>
      </c>
      <c r="F7" s="26" t="n">
        <v>6752.06</v>
      </c>
      <c r="G7" s="26" t="n">
        <v>6752.06</v>
      </c>
      <c r="H7" s="1" t="s">
        <v>449</v>
      </c>
    </row>
    <row r="8" customFormat="false" ht="15" hidden="false" customHeight="true" outlineLevel="0" collapsed="false">
      <c r="A8" s="1" t="s">
        <v>444</v>
      </c>
      <c r="B8" s="1" t="s">
        <v>447</v>
      </c>
      <c r="C8" s="1" t="s">
        <v>448</v>
      </c>
      <c r="D8" s="1" t="s">
        <v>10</v>
      </c>
      <c r="E8" s="82" t="n">
        <v>0</v>
      </c>
      <c r="F8" s="26" t="n">
        <v>0</v>
      </c>
      <c r="G8" s="26" t="n">
        <v>0</v>
      </c>
      <c r="H8" s="1" t="s">
        <v>451</v>
      </c>
    </row>
    <row r="9" customFormat="false" ht="15" hidden="false" customHeight="true" outlineLevel="0" collapsed="false">
      <c r="A9" s="1" t="s">
        <v>444</v>
      </c>
      <c r="B9" s="1" t="s">
        <v>447</v>
      </c>
      <c r="C9" s="1" t="s">
        <v>450</v>
      </c>
      <c r="D9" s="1" t="s">
        <v>10</v>
      </c>
      <c r="E9" s="82" t="n">
        <v>1</v>
      </c>
      <c r="F9" s="26" t="n">
        <v>71.25</v>
      </c>
      <c r="G9" s="26" t="n">
        <v>71.25</v>
      </c>
      <c r="H9" s="1" t="s">
        <v>449</v>
      </c>
    </row>
    <row r="10" customFormat="false" ht="15" hidden="false" customHeight="true" outlineLevel="0" collapsed="false">
      <c r="A10" s="1" t="s">
        <v>444</v>
      </c>
      <c r="B10" s="1" t="s">
        <v>447</v>
      </c>
      <c r="C10" s="1" t="s">
        <v>448</v>
      </c>
      <c r="D10" s="1" t="s">
        <v>12</v>
      </c>
      <c r="E10" s="82" t="n">
        <v>0</v>
      </c>
      <c r="F10" s="26" t="n">
        <v>0</v>
      </c>
      <c r="G10" s="26" t="n">
        <v>0</v>
      </c>
      <c r="H10" s="1" t="s">
        <v>452</v>
      </c>
    </row>
    <row r="11" customFormat="false" ht="15" hidden="false" customHeight="true" outlineLevel="0" collapsed="false">
      <c r="A11" s="1" t="s">
        <v>444</v>
      </c>
      <c r="B11" s="1" t="s">
        <v>447</v>
      </c>
      <c r="C11" s="1" t="s">
        <v>453</v>
      </c>
      <c r="D11" s="1" t="s">
        <v>12</v>
      </c>
      <c r="E11" s="82" t="n">
        <v>0</v>
      </c>
      <c r="F11" s="26" t="n">
        <v>0</v>
      </c>
      <c r="G11" s="26" t="n">
        <v>0</v>
      </c>
      <c r="H11" s="1" t="s">
        <v>454</v>
      </c>
    </row>
    <row r="12" customFormat="false" ht="15" hidden="false" customHeight="true" outlineLevel="0" collapsed="false">
      <c r="A12" s="1" t="s">
        <v>444</v>
      </c>
      <c r="B12" s="1" t="s">
        <v>447</v>
      </c>
      <c r="C12" s="1" t="s">
        <v>448</v>
      </c>
      <c r="D12" s="1" t="s">
        <v>14</v>
      </c>
      <c r="E12" s="82" t="n">
        <v>0</v>
      </c>
      <c r="F12" s="26" t="n">
        <v>0</v>
      </c>
      <c r="G12" s="26" t="n">
        <v>0</v>
      </c>
      <c r="H12" s="1" t="s">
        <v>452</v>
      </c>
    </row>
    <row r="13" customFormat="false" ht="15" hidden="false" customHeight="true" outlineLevel="0" collapsed="false">
      <c r="A13" s="1" t="s">
        <v>444</v>
      </c>
      <c r="B13" s="1" t="s">
        <v>447</v>
      </c>
      <c r="C13" s="1" t="s">
        <v>450</v>
      </c>
      <c r="D13" s="1" t="s">
        <v>14</v>
      </c>
      <c r="E13" s="82" t="n">
        <v>1</v>
      </c>
      <c r="F13" s="26" t="n">
        <v>38.5</v>
      </c>
      <c r="G13" s="26" t="n">
        <v>38.5</v>
      </c>
      <c r="H13" s="1" t="s">
        <v>449</v>
      </c>
    </row>
    <row r="14" customFormat="false" ht="15" hidden="false" customHeight="true" outlineLevel="0" collapsed="false">
      <c r="A14" s="1" t="s">
        <v>444</v>
      </c>
      <c r="B14" s="1" t="s">
        <v>447</v>
      </c>
      <c r="C14" s="1" t="s">
        <v>448</v>
      </c>
      <c r="D14" s="1" t="s">
        <v>15</v>
      </c>
      <c r="E14" s="82" t="n">
        <v>0</v>
      </c>
      <c r="F14" s="26" t="n">
        <v>0</v>
      </c>
      <c r="G14" s="26" t="n">
        <v>0</v>
      </c>
      <c r="H14" s="1" t="s">
        <v>451</v>
      </c>
    </row>
    <row r="15" customFormat="false" ht="15" hidden="false" customHeight="true" outlineLevel="0" collapsed="false">
      <c r="A15" s="1" t="s">
        <v>444</v>
      </c>
      <c r="B15" s="1" t="s">
        <v>447</v>
      </c>
      <c r="C15" s="1" t="s">
        <v>450</v>
      </c>
      <c r="D15" s="1" t="s">
        <v>15</v>
      </c>
      <c r="E15" s="82" t="n">
        <v>0</v>
      </c>
      <c r="F15" s="26" t="n">
        <v>0</v>
      </c>
      <c r="G15" s="26" t="n">
        <v>0</v>
      </c>
      <c r="H15" s="1" t="s">
        <v>455</v>
      </c>
    </row>
    <row r="16" customFormat="false" ht="15" hidden="false" customHeight="true" outlineLevel="0" collapsed="false">
      <c r="A16" s="1" t="s">
        <v>444</v>
      </c>
      <c r="B16" s="1" t="s">
        <v>447</v>
      </c>
      <c r="C16" s="1" t="s">
        <v>448</v>
      </c>
      <c r="D16" s="1" t="s">
        <v>13</v>
      </c>
      <c r="E16" s="82" t="n">
        <v>0</v>
      </c>
      <c r="F16" s="26" t="n">
        <v>0</v>
      </c>
      <c r="G16" s="26" t="n">
        <v>0</v>
      </c>
      <c r="H16" s="1" t="s">
        <v>456</v>
      </c>
    </row>
    <row r="17" customFormat="false" ht="15" hidden="false" customHeight="true" outlineLevel="0" collapsed="false">
      <c r="A17" s="1" t="s">
        <v>444</v>
      </c>
      <c r="B17" s="1" t="s">
        <v>447</v>
      </c>
      <c r="C17" s="1" t="s">
        <v>450</v>
      </c>
      <c r="D17" s="1" t="s">
        <v>13</v>
      </c>
      <c r="E17" s="82" t="n">
        <v>1</v>
      </c>
      <c r="F17" s="26" t="n">
        <v>114</v>
      </c>
      <c r="G17" s="26" t="n">
        <v>114</v>
      </c>
      <c r="H17" s="1" t="s">
        <v>449</v>
      </c>
    </row>
    <row r="18" customFormat="false" ht="15" hidden="false" customHeight="true" outlineLevel="0" collapsed="false">
      <c r="A18" s="1" t="s">
        <v>444</v>
      </c>
      <c r="B18" s="1" t="s">
        <v>447</v>
      </c>
      <c r="C18" s="1" t="s">
        <v>448</v>
      </c>
      <c r="D18" s="1" t="s">
        <v>16</v>
      </c>
      <c r="E18" s="82" t="n">
        <v>0</v>
      </c>
      <c r="F18" s="26" t="n">
        <v>0</v>
      </c>
      <c r="G18" s="26" t="n">
        <v>0</v>
      </c>
      <c r="H18" s="1" t="s">
        <v>452</v>
      </c>
    </row>
    <row r="19" customFormat="false" ht="15" hidden="false" customHeight="true" outlineLevel="0" collapsed="false">
      <c r="A19" s="1" t="s">
        <v>444</v>
      </c>
      <c r="B19" s="1" t="s">
        <v>457</v>
      </c>
      <c r="C19" s="1" t="s">
        <v>458</v>
      </c>
      <c r="D19" s="1" t="s">
        <v>18</v>
      </c>
      <c r="E19" s="82" t="n">
        <v>4995</v>
      </c>
      <c r="F19" s="26" t="n">
        <v>1.86</v>
      </c>
      <c r="G19" s="26" t="n">
        <v>9290.7</v>
      </c>
      <c r="H19" s="1" t="s">
        <v>459</v>
      </c>
    </row>
    <row r="20" customFormat="false" ht="15" hidden="false" customHeight="true" outlineLevel="0" collapsed="false">
      <c r="A20" s="1" t="s">
        <v>444</v>
      </c>
      <c r="B20" s="1" t="s">
        <v>457</v>
      </c>
      <c r="C20" s="1" t="s">
        <v>458</v>
      </c>
      <c r="D20" s="1" t="s">
        <v>10</v>
      </c>
      <c r="E20" s="82" t="n">
        <v>305</v>
      </c>
      <c r="F20" s="26" t="n">
        <v>1.86</v>
      </c>
      <c r="G20" s="26" t="n">
        <v>567.3</v>
      </c>
      <c r="H20" s="1" t="s">
        <v>459</v>
      </c>
    </row>
    <row r="21" customFormat="false" ht="15" hidden="false" customHeight="true" outlineLevel="0" collapsed="false">
      <c r="A21" s="1" t="s">
        <v>444</v>
      </c>
      <c r="B21" s="1" t="s">
        <v>457</v>
      </c>
      <c r="C21" s="1" t="s">
        <v>460</v>
      </c>
      <c r="D21" s="1" t="s">
        <v>10</v>
      </c>
      <c r="E21" s="82" t="n">
        <v>2</v>
      </c>
      <c r="F21" s="26" t="n">
        <v>383.56</v>
      </c>
      <c r="G21" s="26" t="n">
        <v>767.12</v>
      </c>
      <c r="H21" s="1" t="s">
        <v>461</v>
      </c>
    </row>
    <row r="22" customFormat="false" ht="15" hidden="false" customHeight="true" outlineLevel="0" collapsed="false">
      <c r="A22" s="1" t="s">
        <v>444</v>
      </c>
      <c r="B22" s="1" t="s">
        <v>457</v>
      </c>
      <c r="C22" s="1" t="s">
        <v>462</v>
      </c>
      <c r="D22" s="1" t="s">
        <v>10</v>
      </c>
      <c r="E22" s="82" t="n">
        <v>0</v>
      </c>
      <c r="F22" s="26" t="n">
        <v>0</v>
      </c>
      <c r="G22" s="26" t="n">
        <v>0</v>
      </c>
      <c r="H22" s="1" t="s">
        <v>463</v>
      </c>
    </row>
    <row r="23" customFormat="false" ht="15" hidden="false" customHeight="true" outlineLevel="0" collapsed="false">
      <c r="A23" s="1" t="s">
        <v>444</v>
      </c>
      <c r="B23" s="1" t="s">
        <v>457</v>
      </c>
      <c r="C23" s="1" t="s">
        <v>464</v>
      </c>
      <c r="D23" s="1" t="s">
        <v>10</v>
      </c>
      <c r="E23" s="82" t="n">
        <v>0</v>
      </c>
      <c r="F23" s="26" t="n">
        <v>0</v>
      </c>
      <c r="G23" s="26" t="n">
        <v>0</v>
      </c>
      <c r="H23" s="1" t="s">
        <v>465</v>
      </c>
    </row>
    <row r="24" customFormat="false" ht="15" hidden="false" customHeight="true" outlineLevel="0" collapsed="false">
      <c r="A24" s="1" t="s">
        <v>444</v>
      </c>
      <c r="B24" s="1" t="s">
        <v>457</v>
      </c>
      <c r="C24" s="1" t="s">
        <v>466</v>
      </c>
      <c r="D24" s="1" t="s">
        <v>10</v>
      </c>
      <c r="E24" s="82" t="n">
        <v>-1</v>
      </c>
      <c r="F24" s="26" t="n">
        <v>774.2</v>
      </c>
      <c r="G24" s="26" t="n">
        <v>-774.2</v>
      </c>
      <c r="H24" s="1" t="s">
        <v>467</v>
      </c>
    </row>
    <row r="25" customFormat="false" ht="15" hidden="false" customHeight="true" outlineLevel="0" collapsed="false">
      <c r="A25" s="1" t="s">
        <v>444</v>
      </c>
      <c r="B25" s="1" t="s">
        <v>457</v>
      </c>
      <c r="C25" s="1" t="s">
        <v>466</v>
      </c>
      <c r="D25" s="1" t="s">
        <v>10</v>
      </c>
      <c r="E25" s="82" t="n">
        <v>-1</v>
      </c>
      <c r="F25" s="26" t="n">
        <v>4167</v>
      </c>
      <c r="G25" s="26" t="n">
        <v>-4167</v>
      </c>
      <c r="H25" s="1" t="s">
        <v>468</v>
      </c>
    </row>
    <row r="26" customFormat="false" ht="15" hidden="false" customHeight="true" outlineLevel="0" collapsed="false">
      <c r="A26" s="1" t="s">
        <v>444</v>
      </c>
      <c r="B26" s="1" t="s">
        <v>457</v>
      </c>
      <c r="C26" s="1" t="s">
        <v>469</v>
      </c>
      <c r="D26" s="1" t="s">
        <v>10</v>
      </c>
      <c r="E26" s="82" t="n">
        <v>3</v>
      </c>
      <c r="F26" s="26" t="n">
        <v>0</v>
      </c>
      <c r="G26" s="26" t="n">
        <v>0</v>
      </c>
      <c r="H26" s="1" t="s">
        <v>470</v>
      </c>
    </row>
    <row r="27" customFormat="false" ht="15" hidden="false" customHeight="true" outlineLevel="0" collapsed="false">
      <c r="A27" s="1" t="s">
        <v>444</v>
      </c>
      <c r="B27" s="1" t="s">
        <v>457</v>
      </c>
      <c r="C27" s="1" t="s">
        <v>471</v>
      </c>
      <c r="D27" s="1" t="s">
        <v>10</v>
      </c>
      <c r="E27" s="82" t="n">
        <v>0</v>
      </c>
      <c r="F27" s="26" t="n">
        <v>0</v>
      </c>
      <c r="G27" s="26" t="n">
        <v>0</v>
      </c>
      <c r="H27" s="1" t="s">
        <v>470</v>
      </c>
    </row>
    <row r="28" customFormat="false" ht="15" hidden="false" customHeight="true" outlineLevel="0" collapsed="false">
      <c r="A28" s="1" t="s">
        <v>444</v>
      </c>
      <c r="B28" s="1" t="s">
        <v>457</v>
      </c>
      <c r="C28" s="1" t="s">
        <v>472</v>
      </c>
      <c r="D28" s="1" t="s">
        <v>10</v>
      </c>
      <c r="E28" s="82" t="n">
        <v>0</v>
      </c>
      <c r="F28" s="26" t="n">
        <v>0</v>
      </c>
      <c r="G28" s="26" t="n">
        <v>0</v>
      </c>
      <c r="H28" s="1" t="s">
        <v>470</v>
      </c>
    </row>
    <row r="29" customFormat="false" ht="15" hidden="false" customHeight="true" outlineLevel="0" collapsed="false">
      <c r="A29" s="1" t="s">
        <v>444</v>
      </c>
      <c r="B29" s="1" t="s">
        <v>457</v>
      </c>
      <c r="C29" s="1" t="s">
        <v>473</v>
      </c>
      <c r="D29" s="1" t="s">
        <v>10</v>
      </c>
      <c r="E29" s="82" t="n">
        <v>5</v>
      </c>
      <c r="F29" s="26" t="n">
        <v>0</v>
      </c>
      <c r="G29" s="26" t="n">
        <v>0</v>
      </c>
      <c r="H29" s="1" t="s">
        <v>470</v>
      </c>
    </row>
    <row r="30" customFormat="false" ht="15" hidden="false" customHeight="true" outlineLevel="0" collapsed="false">
      <c r="A30" s="1" t="s">
        <v>444</v>
      </c>
      <c r="B30" s="1" t="s">
        <v>457</v>
      </c>
      <c r="C30" s="1" t="s">
        <v>474</v>
      </c>
      <c r="D30" s="1" t="s">
        <v>10</v>
      </c>
      <c r="E30" s="82" t="n">
        <v>0</v>
      </c>
      <c r="F30" s="26" t="n">
        <v>0</v>
      </c>
      <c r="G30" s="26" t="n">
        <v>0</v>
      </c>
      <c r="H30" s="1" t="s">
        <v>470</v>
      </c>
    </row>
    <row r="31" customFormat="false" ht="15" hidden="false" customHeight="true" outlineLevel="0" collapsed="false">
      <c r="A31" s="1" t="s">
        <v>444</v>
      </c>
      <c r="B31" s="1" t="s">
        <v>457</v>
      </c>
      <c r="C31" s="1" t="s">
        <v>475</v>
      </c>
      <c r="D31" s="1" t="s">
        <v>12</v>
      </c>
      <c r="E31" s="82" t="n">
        <v>1</v>
      </c>
      <c r="F31" s="26" t="n">
        <v>33.5</v>
      </c>
      <c r="G31" s="26" t="n">
        <v>33.5</v>
      </c>
      <c r="H31" s="1" t="s">
        <v>476</v>
      </c>
    </row>
    <row r="32" customFormat="false" ht="15" hidden="false" customHeight="true" outlineLevel="0" collapsed="false">
      <c r="A32" s="1" t="s">
        <v>444</v>
      </c>
      <c r="B32" s="1" t="s">
        <v>457</v>
      </c>
      <c r="C32" s="1" t="s">
        <v>475</v>
      </c>
      <c r="D32" s="1" t="s">
        <v>12</v>
      </c>
      <c r="E32" s="82" t="n">
        <v>1</v>
      </c>
      <c r="F32" s="26" t="n">
        <v>22</v>
      </c>
      <c r="G32" s="26" t="n">
        <v>22</v>
      </c>
      <c r="H32" s="1" t="s">
        <v>477</v>
      </c>
    </row>
    <row r="33" customFormat="false" ht="15" hidden="false" customHeight="true" outlineLevel="0" collapsed="false">
      <c r="A33" s="1" t="s">
        <v>444</v>
      </c>
      <c r="B33" s="1" t="s">
        <v>457</v>
      </c>
      <c r="C33" s="1" t="s">
        <v>458</v>
      </c>
      <c r="D33" s="1" t="s">
        <v>12</v>
      </c>
      <c r="E33" s="82" t="n">
        <v>322</v>
      </c>
      <c r="F33" s="26" t="n">
        <v>1.86</v>
      </c>
      <c r="G33" s="26" t="n">
        <v>598.92</v>
      </c>
      <c r="H33" s="1" t="s">
        <v>459</v>
      </c>
    </row>
    <row r="34" customFormat="false" ht="15" hidden="false" customHeight="true" outlineLevel="0" collapsed="false">
      <c r="A34" s="1" t="s">
        <v>444</v>
      </c>
      <c r="B34" s="1" t="s">
        <v>457</v>
      </c>
      <c r="C34" s="1" t="s">
        <v>460</v>
      </c>
      <c r="D34" s="1" t="s">
        <v>12</v>
      </c>
      <c r="E34" s="82" t="n">
        <v>5</v>
      </c>
      <c r="F34" s="26" t="n">
        <v>383.56</v>
      </c>
      <c r="G34" s="26" t="n">
        <v>1917.8</v>
      </c>
      <c r="H34" s="1" t="s">
        <v>478</v>
      </c>
    </row>
    <row r="35" customFormat="false" ht="15" hidden="false" customHeight="true" outlineLevel="0" collapsed="false">
      <c r="A35" s="1" t="s">
        <v>444</v>
      </c>
      <c r="B35" s="1" t="s">
        <v>457</v>
      </c>
      <c r="C35" s="1" t="s">
        <v>462</v>
      </c>
      <c r="D35" s="1" t="s">
        <v>12</v>
      </c>
      <c r="E35" s="82" t="n">
        <v>1</v>
      </c>
      <c r="F35" s="26" t="n">
        <v>338.53</v>
      </c>
      <c r="G35" s="26" t="n">
        <v>338.53</v>
      </c>
      <c r="H35" s="1" t="s">
        <v>479</v>
      </c>
    </row>
    <row r="36" customFormat="false" ht="15" hidden="false" customHeight="true" outlineLevel="0" collapsed="false">
      <c r="A36" s="1" t="s">
        <v>444</v>
      </c>
      <c r="B36" s="1" t="s">
        <v>457</v>
      </c>
      <c r="C36" s="1" t="s">
        <v>464</v>
      </c>
      <c r="D36" s="1" t="s">
        <v>12</v>
      </c>
      <c r="E36" s="82" t="n">
        <v>1</v>
      </c>
      <c r="F36" s="26" t="n">
        <v>400.26</v>
      </c>
      <c r="G36" s="26" t="n">
        <v>400.26</v>
      </c>
      <c r="H36" s="1" t="s">
        <v>480</v>
      </c>
    </row>
    <row r="37" customFormat="false" ht="15" hidden="false" customHeight="true" outlineLevel="0" collapsed="false">
      <c r="A37" s="1" t="s">
        <v>444</v>
      </c>
      <c r="B37" s="1" t="s">
        <v>457</v>
      </c>
      <c r="C37" s="1" t="s">
        <v>466</v>
      </c>
      <c r="D37" s="1" t="s">
        <v>12</v>
      </c>
      <c r="E37" s="82" t="n">
        <v>1</v>
      </c>
      <c r="F37" s="26" t="n">
        <v>324</v>
      </c>
      <c r="G37" s="26" t="n">
        <v>324</v>
      </c>
      <c r="H37" s="1" t="s">
        <v>481</v>
      </c>
    </row>
    <row r="38" customFormat="false" ht="15" hidden="false" customHeight="true" outlineLevel="0" collapsed="false">
      <c r="A38" s="1" t="s">
        <v>444</v>
      </c>
      <c r="B38" s="1" t="s">
        <v>457</v>
      </c>
      <c r="C38" s="1" t="s">
        <v>466</v>
      </c>
      <c r="D38" s="1" t="s">
        <v>12</v>
      </c>
      <c r="E38" s="82" t="n">
        <v>64</v>
      </c>
      <c r="F38" s="26" t="n">
        <v>23.15</v>
      </c>
      <c r="G38" s="26" t="n">
        <v>1481.6</v>
      </c>
      <c r="H38" s="1" t="s">
        <v>482</v>
      </c>
    </row>
    <row r="39" customFormat="false" ht="15" hidden="false" customHeight="true" outlineLevel="0" collapsed="false">
      <c r="A39" s="1" t="s">
        <v>444</v>
      </c>
      <c r="B39" s="1" t="s">
        <v>457</v>
      </c>
      <c r="C39" s="1" t="s">
        <v>483</v>
      </c>
      <c r="D39" s="1" t="s">
        <v>12</v>
      </c>
      <c r="E39" s="82" t="n">
        <v>3</v>
      </c>
      <c r="F39" s="26" t="n">
        <v>0</v>
      </c>
      <c r="G39" s="26" t="n">
        <v>0</v>
      </c>
      <c r="H39" s="1" t="s">
        <v>470</v>
      </c>
    </row>
    <row r="40" customFormat="false" ht="15" hidden="false" customHeight="true" outlineLevel="0" collapsed="false">
      <c r="A40" s="1" t="s">
        <v>444</v>
      </c>
      <c r="B40" s="1" t="s">
        <v>457</v>
      </c>
      <c r="C40" s="1" t="s">
        <v>471</v>
      </c>
      <c r="D40" s="1" t="s">
        <v>12</v>
      </c>
      <c r="E40" s="82" t="n">
        <v>1</v>
      </c>
      <c r="F40" s="26" t="n">
        <v>0</v>
      </c>
      <c r="G40" s="26" t="n">
        <v>0</v>
      </c>
      <c r="H40" s="1" t="s">
        <v>470</v>
      </c>
    </row>
    <row r="41" customFormat="false" ht="15" hidden="false" customHeight="true" outlineLevel="0" collapsed="false">
      <c r="A41" s="1" t="s">
        <v>444</v>
      </c>
      <c r="B41" s="1" t="s">
        <v>457</v>
      </c>
      <c r="C41" s="1" t="s">
        <v>484</v>
      </c>
      <c r="D41" s="1" t="s">
        <v>12</v>
      </c>
      <c r="E41" s="82" t="n">
        <v>0</v>
      </c>
      <c r="F41" s="26" t="n">
        <v>0</v>
      </c>
      <c r="G41" s="26" t="n">
        <v>0</v>
      </c>
      <c r="H41" s="1" t="s">
        <v>470</v>
      </c>
    </row>
    <row r="42" customFormat="false" ht="15" hidden="false" customHeight="true" outlineLevel="0" collapsed="false">
      <c r="A42" s="1" t="s">
        <v>444</v>
      </c>
      <c r="B42" s="1" t="s">
        <v>457</v>
      </c>
      <c r="C42" s="1" t="s">
        <v>485</v>
      </c>
      <c r="D42" s="1" t="s">
        <v>12</v>
      </c>
      <c r="E42" s="82" t="n">
        <v>2</v>
      </c>
      <c r="F42" s="26" t="n">
        <v>0</v>
      </c>
      <c r="G42" s="26" t="n">
        <v>0</v>
      </c>
      <c r="H42" s="1" t="s">
        <v>470</v>
      </c>
    </row>
    <row r="43" customFormat="false" ht="15" hidden="false" customHeight="true" outlineLevel="0" collapsed="false">
      <c r="A43" s="1" t="s">
        <v>444</v>
      </c>
      <c r="B43" s="1" t="s">
        <v>457</v>
      </c>
      <c r="C43" s="1" t="s">
        <v>486</v>
      </c>
      <c r="D43" s="1" t="s">
        <v>12</v>
      </c>
      <c r="E43" s="82" t="n">
        <v>5</v>
      </c>
      <c r="F43" s="26" t="n">
        <v>0</v>
      </c>
      <c r="G43" s="26" t="n">
        <v>0</v>
      </c>
      <c r="H43" s="1" t="s">
        <v>470</v>
      </c>
    </row>
    <row r="44" customFormat="false" ht="15" hidden="false" customHeight="true" outlineLevel="0" collapsed="false">
      <c r="A44" s="1" t="s">
        <v>444</v>
      </c>
      <c r="B44" s="1" t="s">
        <v>457</v>
      </c>
      <c r="C44" s="1" t="s">
        <v>487</v>
      </c>
      <c r="D44" s="1" t="s">
        <v>12</v>
      </c>
      <c r="E44" s="82" t="n">
        <v>0</v>
      </c>
      <c r="F44" s="26" t="n">
        <v>0</v>
      </c>
      <c r="G44" s="26" t="n">
        <v>0</v>
      </c>
      <c r="H44" s="1" t="s">
        <v>470</v>
      </c>
    </row>
    <row r="45" customFormat="false" ht="15" hidden="false" customHeight="true" outlineLevel="0" collapsed="false">
      <c r="A45" s="1" t="s">
        <v>444</v>
      </c>
      <c r="B45" s="1" t="s">
        <v>457</v>
      </c>
      <c r="C45" s="1" t="s">
        <v>458</v>
      </c>
      <c r="D45" s="1" t="s">
        <v>14</v>
      </c>
      <c r="E45" s="82" t="n">
        <v>240</v>
      </c>
      <c r="F45" s="26" t="n">
        <v>1.86</v>
      </c>
      <c r="G45" s="26" t="n">
        <v>446.4</v>
      </c>
      <c r="H45" s="1" t="s">
        <v>459</v>
      </c>
    </row>
    <row r="46" customFormat="false" ht="15" hidden="false" customHeight="true" outlineLevel="0" collapsed="false">
      <c r="A46" s="1" t="s">
        <v>444</v>
      </c>
      <c r="B46" s="1" t="s">
        <v>457</v>
      </c>
      <c r="C46" s="1" t="s">
        <v>460</v>
      </c>
      <c r="D46" s="1" t="s">
        <v>14</v>
      </c>
      <c r="E46" s="82" t="n">
        <v>0</v>
      </c>
      <c r="F46" s="26" t="n">
        <v>0</v>
      </c>
      <c r="G46" s="26" t="n">
        <v>0</v>
      </c>
      <c r="H46" s="1" t="s">
        <v>461</v>
      </c>
    </row>
    <row r="47" customFormat="false" ht="15" hidden="false" customHeight="true" outlineLevel="0" collapsed="false">
      <c r="A47" s="1" t="s">
        <v>444</v>
      </c>
      <c r="B47" s="1" t="s">
        <v>457</v>
      </c>
      <c r="C47" s="1" t="s">
        <v>462</v>
      </c>
      <c r="D47" s="1" t="s">
        <v>14</v>
      </c>
      <c r="E47" s="82" t="n">
        <v>2</v>
      </c>
      <c r="F47" s="26" t="n">
        <v>338.53</v>
      </c>
      <c r="G47" s="26" t="n">
        <v>677.06</v>
      </c>
      <c r="H47" s="1" t="s">
        <v>461</v>
      </c>
    </row>
    <row r="48" customFormat="false" ht="15" hidden="false" customHeight="true" outlineLevel="0" collapsed="false">
      <c r="A48" s="1" t="s">
        <v>444</v>
      </c>
      <c r="B48" s="1" t="s">
        <v>457</v>
      </c>
      <c r="C48" s="1" t="s">
        <v>464</v>
      </c>
      <c r="D48" s="1" t="s">
        <v>14</v>
      </c>
      <c r="E48" s="82" t="n">
        <v>0</v>
      </c>
      <c r="F48" s="26" t="n">
        <v>0</v>
      </c>
      <c r="G48" s="26" t="n">
        <v>0</v>
      </c>
      <c r="H48" s="1" t="s">
        <v>488</v>
      </c>
    </row>
    <row r="49" customFormat="false" ht="15" hidden="false" customHeight="true" outlineLevel="0" collapsed="false">
      <c r="A49" s="1" t="s">
        <v>444</v>
      </c>
      <c r="B49" s="1" t="s">
        <v>457</v>
      </c>
      <c r="C49" s="1" t="s">
        <v>471</v>
      </c>
      <c r="D49" s="1" t="s">
        <v>14</v>
      </c>
      <c r="E49" s="82" t="n">
        <v>1</v>
      </c>
      <c r="F49" s="26" t="n">
        <v>0</v>
      </c>
      <c r="G49" s="26" t="n">
        <v>0</v>
      </c>
      <c r="H49" s="1" t="s">
        <v>470</v>
      </c>
    </row>
    <row r="50" customFormat="false" ht="15" hidden="false" customHeight="true" outlineLevel="0" collapsed="false">
      <c r="A50" s="1" t="s">
        <v>444</v>
      </c>
      <c r="B50" s="1" t="s">
        <v>457</v>
      </c>
      <c r="C50" s="1" t="s">
        <v>489</v>
      </c>
      <c r="D50" s="1" t="s">
        <v>14</v>
      </c>
      <c r="E50" s="82" t="n">
        <v>3</v>
      </c>
      <c r="F50" s="26" t="n">
        <v>0</v>
      </c>
      <c r="G50" s="26" t="n">
        <v>0</v>
      </c>
      <c r="H50" s="1" t="s">
        <v>470</v>
      </c>
    </row>
    <row r="51" customFormat="false" ht="15" hidden="false" customHeight="true" outlineLevel="0" collapsed="false">
      <c r="A51" s="1" t="s">
        <v>444</v>
      </c>
      <c r="B51" s="1" t="s">
        <v>457</v>
      </c>
      <c r="C51" s="1" t="s">
        <v>490</v>
      </c>
      <c r="D51" s="1" t="s">
        <v>14</v>
      </c>
      <c r="E51" s="82" t="n">
        <v>0</v>
      </c>
      <c r="F51" s="26" t="n">
        <v>0</v>
      </c>
      <c r="G51" s="26" t="n">
        <v>0</v>
      </c>
      <c r="H51" s="1" t="s">
        <v>470</v>
      </c>
    </row>
    <row r="52" customFormat="false" ht="15" hidden="false" customHeight="true" outlineLevel="0" collapsed="false">
      <c r="A52" s="1" t="s">
        <v>444</v>
      </c>
      <c r="B52" s="1" t="s">
        <v>457</v>
      </c>
      <c r="C52" s="1" t="s">
        <v>491</v>
      </c>
      <c r="D52" s="1" t="s">
        <v>14</v>
      </c>
      <c r="E52" s="82" t="n">
        <v>0</v>
      </c>
      <c r="F52" s="26" t="n">
        <v>0</v>
      </c>
      <c r="G52" s="26" t="n">
        <v>0</v>
      </c>
      <c r="H52" s="1" t="s">
        <v>470</v>
      </c>
    </row>
    <row r="53" customFormat="false" ht="15" hidden="false" customHeight="true" outlineLevel="0" collapsed="false">
      <c r="A53" s="1" t="s">
        <v>444</v>
      </c>
      <c r="B53" s="1" t="s">
        <v>457</v>
      </c>
      <c r="C53" s="1" t="s">
        <v>458</v>
      </c>
      <c r="D53" s="1" t="s">
        <v>15</v>
      </c>
      <c r="E53" s="82" t="n">
        <v>679</v>
      </c>
      <c r="F53" s="26" t="n">
        <v>1.86</v>
      </c>
      <c r="G53" s="26" t="n">
        <v>1262.94</v>
      </c>
      <c r="H53" s="1" t="s">
        <v>459</v>
      </c>
    </row>
    <row r="54" customFormat="false" ht="15" hidden="false" customHeight="true" outlineLevel="0" collapsed="false">
      <c r="A54" s="1" t="s">
        <v>444</v>
      </c>
      <c r="B54" s="1" t="s">
        <v>457</v>
      </c>
      <c r="C54" s="1" t="s">
        <v>460</v>
      </c>
      <c r="D54" s="1" t="s">
        <v>15</v>
      </c>
      <c r="E54" s="82" t="n">
        <v>4</v>
      </c>
      <c r="F54" s="26" t="n">
        <v>383.56</v>
      </c>
      <c r="G54" s="26" t="n">
        <v>1534.24</v>
      </c>
      <c r="H54" s="1" t="s">
        <v>492</v>
      </c>
    </row>
    <row r="55" customFormat="false" ht="15" hidden="false" customHeight="true" outlineLevel="0" collapsed="false">
      <c r="A55" s="1" t="s">
        <v>444</v>
      </c>
      <c r="B55" s="1" t="s">
        <v>457</v>
      </c>
      <c r="C55" s="1" t="s">
        <v>462</v>
      </c>
      <c r="D55" s="1" t="s">
        <v>15</v>
      </c>
      <c r="E55" s="82" t="n">
        <v>4</v>
      </c>
      <c r="F55" s="26" t="n">
        <v>338.53</v>
      </c>
      <c r="G55" s="26" t="n">
        <v>1354.12</v>
      </c>
      <c r="H55" s="1" t="s">
        <v>493</v>
      </c>
    </row>
    <row r="56" customFormat="false" ht="15" hidden="false" customHeight="true" outlineLevel="0" collapsed="false">
      <c r="A56" s="1" t="s">
        <v>444</v>
      </c>
      <c r="B56" s="1" t="s">
        <v>457</v>
      </c>
      <c r="C56" s="1" t="s">
        <v>464</v>
      </c>
      <c r="D56" s="1" t="s">
        <v>15</v>
      </c>
      <c r="E56" s="82" t="n">
        <v>2</v>
      </c>
      <c r="F56" s="26" t="n">
        <v>400.26</v>
      </c>
      <c r="G56" s="26" t="n">
        <v>800.52</v>
      </c>
      <c r="H56" s="1" t="s">
        <v>494</v>
      </c>
    </row>
    <row r="57" customFormat="false" ht="15" hidden="false" customHeight="true" outlineLevel="0" collapsed="false">
      <c r="A57" s="1" t="s">
        <v>444</v>
      </c>
      <c r="B57" s="1" t="s">
        <v>457</v>
      </c>
      <c r="C57" s="1" t="s">
        <v>466</v>
      </c>
      <c r="D57" s="1" t="s">
        <v>15</v>
      </c>
      <c r="E57" s="82" t="n">
        <v>1</v>
      </c>
      <c r="F57" s="26" t="n">
        <v>448</v>
      </c>
      <c r="G57" s="26" t="n">
        <v>448</v>
      </c>
      <c r="H57" s="1" t="s">
        <v>495</v>
      </c>
    </row>
    <row r="58" customFormat="false" ht="15" hidden="false" customHeight="true" outlineLevel="0" collapsed="false">
      <c r="A58" s="1" t="s">
        <v>444</v>
      </c>
      <c r="B58" s="1" t="s">
        <v>457</v>
      </c>
      <c r="C58" s="1" t="s">
        <v>466</v>
      </c>
      <c r="D58" s="1" t="s">
        <v>15</v>
      </c>
      <c r="E58" s="82" t="n">
        <v>116</v>
      </c>
      <c r="F58" s="26" t="n">
        <v>23.15</v>
      </c>
      <c r="G58" s="26" t="n">
        <v>2685.4</v>
      </c>
      <c r="H58" s="1" t="s">
        <v>496</v>
      </c>
    </row>
    <row r="59" customFormat="false" ht="15" hidden="false" customHeight="true" outlineLevel="0" collapsed="false">
      <c r="A59" s="1" t="s">
        <v>444</v>
      </c>
      <c r="B59" s="1" t="s">
        <v>457</v>
      </c>
      <c r="C59" s="1" t="s">
        <v>497</v>
      </c>
      <c r="D59" s="1" t="s">
        <v>15</v>
      </c>
      <c r="E59" s="82" t="n">
        <v>2</v>
      </c>
      <c r="F59" s="26" t="n">
        <v>0</v>
      </c>
      <c r="G59" s="26" t="n">
        <v>0</v>
      </c>
      <c r="H59" s="1" t="s">
        <v>470</v>
      </c>
    </row>
    <row r="60" customFormat="false" ht="15" hidden="false" customHeight="true" outlineLevel="0" collapsed="false">
      <c r="A60" s="1" t="s">
        <v>444</v>
      </c>
      <c r="B60" s="1" t="s">
        <v>457</v>
      </c>
      <c r="C60" s="1" t="s">
        <v>487</v>
      </c>
      <c r="D60" s="1" t="s">
        <v>15</v>
      </c>
      <c r="E60" s="82" t="n">
        <v>0</v>
      </c>
      <c r="F60" s="26" t="n">
        <v>0</v>
      </c>
      <c r="G60" s="26" t="n">
        <v>0</v>
      </c>
      <c r="H60" s="1" t="s">
        <v>470</v>
      </c>
    </row>
    <row r="61" customFormat="false" ht="15" hidden="false" customHeight="true" outlineLevel="0" collapsed="false">
      <c r="A61" s="1" t="s">
        <v>444</v>
      </c>
      <c r="B61" s="1" t="s">
        <v>457</v>
      </c>
      <c r="C61" s="1" t="s">
        <v>498</v>
      </c>
      <c r="D61" s="1" t="s">
        <v>15</v>
      </c>
      <c r="E61" s="82" t="n">
        <v>0</v>
      </c>
      <c r="F61" s="26" t="n">
        <v>0</v>
      </c>
      <c r="G61" s="26" t="n">
        <v>0</v>
      </c>
      <c r="H61" s="1" t="s">
        <v>470</v>
      </c>
    </row>
    <row r="62" customFormat="false" ht="15" hidden="false" customHeight="true" outlineLevel="0" collapsed="false">
      <c r="A62" s="1" t="s">
        <v>444</v>
      </c>
      <c r="B62" s="1" t="s">
        <v>457</v>
      </c>
      <c r="C62" s="1" t="s">
        <v>499</v>
      </c>
      <c r="D62" s="1" t="s">
        <v>15</v>
      </c>
      <c r="E62" s="82" t="n">
        <v>0</v>
      </c>
      <c r="F62" s="26" t="n">
        <v>0</v>
      </c>
      <c r="G62" s="26" t="n">
        <v>0</v>
      </c>
      <c r="H62" s="1" t="s">
        <v>470</v>
      </c>
    </row>
    <row r="63" customFormat="false" ht="15" hidden="false" customHeight="true" outlineLevel="0" collapsed="false">
      <c r="A63" s="1" t="s">
        <v>444</v>
      </c>
      <c r="B63" s="1" t="s">
        <v>457</v>
      </c>
      <c r="C63" s="1" t="s">
        <v>458</v>
      </c>
      <c r="D63" s="1" t="s">
        <v>13</v>
      </c>
      <c r="E63" s="82" t="n">
        <v>508</v>
      </c>
      <c r="F63" s="26" t="n">
        <v>1.86</v>
      </c>
      <c r="G63" s="26" t="n">
        <v>944.88</v>
      </c>
      <c r="H63" s="1" t="s">
        <v>459</v>
      </c>
    </row>
    <row r="64" customFormat="false" ht="15" hidden="false" customHeight="true" outlineLevel="0" collapsed="false">
      <c r="A64" s="1" t="s">
        <v>444</v>
      </c>
      <c r="B64" s="1" t="s">
        <v>457</v>
      </c>
      <c r="C64" s="1" t="s">
        <v>460</v>
      </c>
      <c r="D64" s="1" t="s">
        <v>13</v>
      </c>
      <c r="E64" s="82" t="n">
        <v>1</v>
      </c>
      <c r="F64" s="26" t="n">
        <v>383.56</v>
      </c>
      <c r="G64" s="26" t="n">
        <v>383.56</v>
      </c>
      <c r="H64" s="1" t="s">
        <v>500</v>
      </c>
    </row>
    <row r="65" customFormat="false" ht="15" hidden="false" customHeight="true" outlineLevel="0" collapsed="false">
      <c r="A65" s="1" t="s">
        <v>444</v>
      </c>
      <c r="B65" s="1" t="s">
        <v>457</v>
      </c>
      <c r="C65" s="1" t="s">
        <v>462</v>
      </c>
      <c r="D65" s="1" t="s">
        <v>13</v>
      </c>
      <c r="E65" s="82" t="n">
        <v>4</v>
      </c>
      <c r="F65" s="26" t="n">
        <v>338.53</v>
      </c>
      <c r="G65" s="26" t="n">
        <v>1354.12</v>
      </c>
      <c r="H65" s="1" t="s">
        <v>501</v>
      </c>
    </row>
    <row r="66" customFormat="false" ht="15" hidden="false" customHeight="true" outlineLevel="0" collapsed="false">
      <c r="A66" s="1" t="s">
        <v>444</v>
      </c>
      <c r="B66" s="1" t="s">
        <v>457</v>
      </c>
      <c r="C66" s="1" t="s">
        <v>464</v>
      </c>
      <c r="D66" s="1" t="s">
        <v>13</v>
      </c>
      <c r="E66" s="82" t="n">
        <v>1</v>
      </c>
      <c r="F66" s="26" t="n">
        <v>400.26</v>
      </c>
      <c r="G66" s="26" t="n">
        <v>400.26</v>
      </c>
      <c r="H66" s="1" t="s">
        <v>502</v>
      </c>
    </row>
    <row r="67" customFormat="false" ht="15" hidden="false" customHeight="true" outlineLevel="0" collapsed="false">
      <c r="A67" s="1" t="s">
        <v>444</v>
      </c>
      <c r="B67" s="1" t="s">
        <v>457</v>
      </c>
      <c r="C67" s="1" t="s">
        <v>503</v>
      </c>
      <c r="D67" s="1" t="s">
        <v>13</v>
      </c>
      <c r="E67" s="82" t="n">
        <v>1</v>
      </c>
      <c r="F67" s="26" t="n">
        <v>443</v>
      </c>
      <c r="G67" s="26" t="n">
        <v>443</v>
      </c>
      <c r="H67" s="1" t="s">
        <v>504</v>
      </c>
    </row>
    <row r="68" customFormat="false" ht="15" hidden="false" customHeight="true" outlineLevel="0" collapsed="false">
      <c r="A68" s="1" t="s">
        <v>444</v>
      </c>
      <c r="B68" s="1" t="s">
        <v>457</v>
      </c>
      <c r="C68" s="1" t="s">
        <v>503</v>
      </c>
      <c r="D68" s="1" t="s">
        <v>13</v>
      </c>
      <c r="E68" s="82" t="n">
        <v>182</v>
      </c>
      <c r="F68" s="26" t="n">
        <v>12.34</v>
      </c>
      <c r="G68" s="26" t="n">
        <v>2245.88</v>
      </c>
      <c r="H68" s="1" t="s">
        <v>482</v>
      </c>
    </row>
    <row r="69" customFormat="false" ht="15" hidden="false" customHeight="true" outlineLevel="0" collapsed="false">
      <c r="A69" s="1" t="s">
        <v>444</v>
      </c>
      <c r="B69" s="1" t="s">
        <v>457</v>
      </c>
      <c r="C69" s="1" t="s">
        <v>471</v>
      </c>
      <c r="D69" s="1" t="s">
        <v>13</v>
      </c>
      <c r="E69" s="82" t="n">
        <v>15</v>
      </c>
      <c r="F69" s="26" t="n">
        <v>0</v>
      </c>
      <c r="G69" s="26" t="n">
        <v>0</v>
      </c>
      <c r="H69" s="1" t="s">
        <v>470</v>
      </c>
    </row>
    <row r="70" customFormat="false" ht="15" hidden="false" customHeight="true" outlineLevel="0" collapsed="false">
      <c r="A70" s="1" t="s">
        <v>444</v>
      </c>
      <c r="B70" s="1" t="s">
        <v>457</v>
      </c>
      <c r="C70" s="1" t="s">
        <v>505</v>
      </c>
      <c r="D70" s="1" t="s">
        <v>13</v>
      </c>
      <c r="E70" s="82" t="n">
        <v>0</v>
      </c>
      <c r="F70" s="26" t="n">
        <v>0</v>
      </c>
      <c r="G70" s="26" t="n">
        <v>0</v>
      </c>
      <c r="H70" s="1" t="s">
        <v>470</v>
      </c>
    </row>
    <row r="71" customFormat="false" ht="15" hidden="false" customHeight="true" outlineLevel="0" collapsed="false">
      <c r="A71" s="1" t="s">
        <v>444</v>
      </c>
      <c r="B71" s="1" t="s">
        <v>457</v>
      </c>
      <c r="C71" s="1" t="s">
        <v>506</v>
      </c>
      <c r="D71" s="1" t="s">
        <v>13</v>
      </c>
      <c r="E71" s="82" t="n">
        <v>0</v>
      </c>
      <c r="F71" s="26" t="n">
        <v>0</v>
      </c>
      <c r="G71" s="26" t="n">
        <v>0</v>
      </c>
      <c r="H71" s="1" t="s">
        <v>470</v>
      </c>
    </row>
    <row r="72" customFormat="false" ht="15" hidden="false" customHeight="true" outlineLevel="0" collapsed="false">
      <c r="A72" s="1" t="s">
        <v>444</v>
      </c>
      <c r="B72" s="1" t="s">
        <v>457</v>
      </c>
      <c r="C72" s="1" t="s">
        <v>507</v>
      </c>
      <c r="D72" s="1" t="s">
        <v>13</v>
      </c>
      <c r="E72" s="82" t="n">
        <v>0</v>
      </c>
      <c r="F72" s="26" t="n">
        <v>0</v>
      </c>
      <c r="G72" s="26" t="n">
        <v>0</v>
      </c>
      <c r="H72" s="1" t="s">
        <v>470</v>
      </c>
    </row>
    <row r="73" customFormat="false" ht="15" hidden="false" customHeight="true" outlineLevel="0" collapsed="false">
      <c r="A73" s="1" t="s">
        <v>444</v>
      </c>
      <c r="B73" s="1" t="s">
        <v>457</v>
      </c>
      <c r="C73" s="1" t="s">
        <v>458</v>
      </c>
      <c r="D73" s="1" t="s">
        <v>16</v>
      </c>
      <c r="E73" s="82" t="n">
        <v>111</v>
      </c>
      <c r="F73" s="26" t="n">
        <v>1.86</v>
      </c>
      <c r="G73" s="26" t="n">
        <v>206.46</v>
      </c>
      <c r="H73" s="1" t="s">
        <v>459</v>
      </c>
    </row>
    <row r="74" customFormat="false" ht="15" hidden="false" customHeight="true" outlineLevel="0" collapsed="false">
      <c r="A74" s="1" t="s">
        <v>444</v>
      </c>
      <c r="B74" s="1" t="s">
        <v>457</v>
      </c>
      <c r="C74" s="1" t="s">
        <v>460</v>
      </c>
      <c r="D74" s="1" t="s">
        <v>16</v>
      </c>
      <c r="E74" s="82" t="n">
        <v>1</v>
      </c>
      <c r="F74" s="26" t="n">
        <v>383.56</v>
      </c>
      <c r="G74" s="26" t="n">
        <v>383.56</v>
      </c>
      <c r="H74" s="1" t="s">
        <v>508</v>
      </c>
    </row>
    <row r="75" customFormat="false" ht="15" hidden="false" customHeight="true" outlineLevel="0" collapsed="false">
      <c r="A75" s="1" t="s">
        <v>444</v>
      </c>
      <c r="B75" s="1" t="s">
        <v>457</v>
      </c>
      <c r="C75" s="1" t="s">
        <v>462</v>
      </c>
      <c r="D75" s="1" t="s">
        <v>16</v>
      </c>
      <c r="E75" s="82" t="n">
        <v>0</v>
      </c>
      <c r="F75" s="26" t="n">
        <v>0</v>
      </c>
      <c r="G75" s="26" t="n">
        <v>0</v>
      </c>
      <c r="H75" s="1" t="s">
        <v>509</v>
      </c>
    </row>
    <row r="76" customFormat="false" ht="15" hidden="false" customHeight="true" outlineLevel="0" collapsed="false">
      <c r="A76" s="1" t="s">
        <v>444</v>
      </c>
      <c r="B76" s="1" t="s">
        <v>457</v>
      </c>
      <c r="C76" s="1" t="s">
        <v>464</v>
      </c>
      <c r="D76" s="1" t="s">
        <v>16</v>
      </c>
      <c r="E76" s="82" t="n">
        <v>1</v>
      </c>
      <c r="F76" s="26" t="n">
        <v>400.26</v>
      </c>
      <c r="G76" s="26" t="n">
        <v>400.26</v>
      </c>
      <c r="H76" s="1" t="s">
        <v>461</v>
      </c>
    </row>
    <row r="77" customFormat="false" ht="15" hidden="false" customHeight="true" outlineLevel="0" collapsed="false">
      <c r="A77" s="1" t="s">
        <v>444</v>
      </c>
      <c r="B77" s="1" t="s">
        <v>457</v>
      </c>
      <c r="C77" s="1" t="s">
        <v>503</v>
      </c>
      <c r="D77" s="1" t="s">
        <v>16</v>
      </c>
      <c r="E77" s="82" t="n">
        <v>1</v>
      </c>
      <c r="F77" s="26" t="n">
        <v>867</v>
      </c>
      <c r="G77" s="26" t="n">
        <v>867</v>
      </c>
      <c r="H77" s="1" t="s">
        <v>510</v>
      </c>
    </row>
    <row r="78" customFormat="false" ht="15" hidden="false" customHeight="true" outlineLevel="0" collapsed="false">
      <c r="A78" s="1" t="s">
        <v>444</v>
      </c>
      <c r="B78" s="1" t="s">
        <v>457</v>
      </c>
      <c r="C78" s="1" t="s">
        <v>503</v>
      </c>
      <c r="D78" s="1" t="s">
        <v>16</v>
      </c>
      <c r="E78" s="82" t="n">
        <v>96</v>
      </c>
      <c r="F78" s="26" t="n">
        <v>12.34</v>
      </c>
      <c r="G78" s="26" t="n">
        <v>1184.64</v>
      </c>
      <c r="H78" s="1" t="s">
        <v>482</v>
      </c>
    </row>
    <row r="79" customFormat="false" ht="15" hidden="false" customHeight="true" outlineLevel="0" collapsed="false">
      <c r="A79" s="1" t="s">
        <v>444</v>
      </c>
      <c r="B79" s="1" t="s">
        <v>457</v>
      </c>
      <c r="C79" s="1" t="s">
        <v>471</v>
      </c>
      <c r="D79" s="1" t="s">
        <v>16</v>
      </c>
      <c r="E79" s="82" t="n">
        <v>1</v>
      </c>
      <c r="F79" s="26" t="n">
        <v>0</v>
      </c>
      <c r="G79" s="26" t="n">
        <v>0</v>
      </c>
      <c r="H79" s="1" t="s">
        <v>470</v>
      </c>
    </row>
    <row r="80" customFormat="false" ht="15" hidden="false" customHeight="true" outlineLevel="0" collapsed="false">
      <c r="A80" s="1" t="s">
        <v>444</v>
      </c>
      <c r="B80" s="1" t="s">
        <v>457</v>
      </c>
      <c r="C80" s="1" t="s">
        <v>511</v>
      </c>
      <c r="D80" s="1" t="s">
        <v>16</v>
      </c>
      <c r="E80" s="82" t="n">
        <v>2</v>
      </c>
      <c r="F80" s="26" t="n">
        <v>0</v>
      </c>
      <c r="G80" s="26" t="n">
        <v>0</v>
      </c>
      <c r="H80" s="1" t="s">
        <v>470</v>
      </c>
    </row>
    <row r="81" customFormat="false" ht="15" hidden="false" customHeight="true" outlineLevel="0" collapsed="false">
      <c r="A81" s="1" t="s">
        <v>444</v>
      </c>
      <c r="B81" s="1" t="s">
        <v>457</v>
      </c>
      <c r="C81" s="1" t="s">
        <v>475</v>
      </c>
      <c r="D81" s="1" t="s">
        <v>17</v>
      </c>
      <c r="E81" s="82" t="n">
        <v>1</v>
      </c>
      <c r="F81" s="26" t="n">
        <v>25.5</v>
      </c>
      <c r="G81" s="26" t="n">
        <v>25.5</v>
      </c>
      <c r="H81" s="1" t="s">
        <v>512</v>
      </c>
    </row>
    <row r="82" customFormat="false" ht="15" hidden="false" customHeight="true" outlineLevel="0" collapsed="false">
      <c r="A82" s="1" t="s">
        <v>444</v>
      </c>
      <c r="B82" s="1" t="s">
        <v>457</v>
      </c>
      <c r="C82" s="1" t="s">
        <v>458</v>
      </c>
      <c r="D82" s="1" t="s">
        <v>17</v>
      </c>
      <c r="E82" s="82" t="n">
        <v>285</v>
      </c>
      <c r="F82" s="26" t="n">
        <v>1.86</v>
      </c>
      <c r="G82" s="26" t="n">
        <v>530.1</v>
      </c>
      <c r="H82" s="1" t="s">
        <v>459</v>
      </c>
    </row>
    <row r="83" customFormat="false" ht="15" hidden="false" customHeight="true" outlineLevel="0" collapsed="false">
      <c r="A83" s="1" t="s">
        <v>444</v>
      </c>
      <c r="B83" s="1" t="s">
        <v>457</v>
      </c>
      <c r="C83" s="1" t="s">
        <v>460</v>
      </c>
      <c r="D83" s="1" t="s">
        <v>17</v>
      </c>
      <c r="E83" s="82" t="n">
        <v>1</v>
      </c>
      <c r="F83" s="26" t="n">
        <v>383.56</v>
      </c>
      <c r="G83" s="26" t="n">
        <v>383.56</v>
      </c>
      <c r="H83" s="1" t="s">
        <v>513</v>
      </c>
    </row>
    <row r="84" customFormat="false" ht="15" hidden="false" customHeight="true" outlineLevel="0" collapsed="false">
      <c r="A84" s="1" t="s">
        <v>444</v>
      </c>
      <c r="B84" s="1" t="s">
        <v>457</v>
      </c>
      <c r="C84" s="1" t="s">
        <v>462</v>
      </c>
      <c r="D84" s="1" t="s">
        <v>17</v>
      </c>
      <c r="E84" s="82" t="n">
        <v>2</v>
      </c>
      <c r="F84" s="26" t="n">
        <v>338.53</v>
      </c>
      <c r="G84" s="26" t="n">
        <v>677.06</v>
      </c>
      <c r="H84" s="1" t="s">
        <v>514</v>
      </c>
    </row>
    <row r="85" customFormat="false" ht="15" hidden="false" customHeight="true" outlineLevel="0" collapsed="false">
      <c r="A85" s="1" t="s">
        <v>444</v>
      </c>
      <c r="B85" s="1" t="s">
        <v>457</v>
      </c>
      <c r="C85" s="1" t="s">
        <v>464</v>
      </c>
      <c r="D85" s="1" t="s">
        <v>17</v>
      </c>
      <c r="E85" s="82" t="n">
        <v>2</v>
      </c>
      <c r="F85" s="26" t="n">
        <v>400.26</v>
      </c>
      <c r="G85" s="26" t="n">
        <v>800.52</v>
      </c>
      <c r="H85" s="1" t="s">
        <v>515</v>
      </c>
    </row>
    <row r="86" customFormat="false" ht="15" hidden="false" customHeight="true" outlineLevel="0" collapsed="false">
      <c r="A86" s="1" t="s">
        <v>444</v>
      </c>
      <c r="B86" s="1" t="s">
        <v>457</v>
      </c>
      <c r="C86" s="1" t="s">
        <v>471</v>
      </c>
      <c r="D86" s="1" t="s">
        <v>17</v>
      </c>
      <c r="E86" s="82" t="n">
        <v>4</v>
      </c>
      <c r="F86" s="26" t="n">
        <v>0</v>
      </c>
      <c r="G86" s="26" t="n">
        <v>0</v>
      </c>
      <c r="H86" s="1" t="s">
        <v>470</v>
      </c>
    </row>
    <row r="87" customFormat="false" ht="15" hidden="false" customHeight="true" outlineLevel="0" collapsed="false">
      <c r="A87" s="1" t="s">
        <v>444</v>
      </c>
      <c r="B87" s="1" t="s">
        <v>457</v>
      </c>
      <c r="C87" s="1" t="s">
        <v>516</v>
      </c>
      <c r="D87" s="1" t="s">
        <v>17</v>
      </c>
      <c r="E87" s="82" t="n">
        <v>0</v>
      </c>
      <c r="F87" s="26" t="n">
        <v>0</v>
      </c>
      <c r="G87" s="26" t="n">
        <v>0</v>
      </c>
      <c r="H87" s="1" t="s">
        <v>470</v>
      </c>
    </row>
    <row r="88" customFormat="false" ht="15" hidden="false" customHeight="true" outlineLevel="0" collapsed="false">
      <c r="A88" s="1" t="s">
        <v>444</v>
      </c>
      <c r="B88" s="1" t="s">
        <v>457</v>
      </c>
      <c r="C88" s="1" t="s">
        <v>517</v>
      </c>
      <c r="D88" s="1" t="s">
        <v>17</v>
      </c>
      <c r="E88" s="82" t="n">
        <v>-15</v>
      </c>
      <c r="F88" s="26" t="n">
        <v>0</v>
      </c>
      <c r="G88" s="26" t="n">
        <v>0</v>
      </c>
      <c r="H88" s="1" t="s">
        <v>470</v>
      </c>
    </row>
    <row r="89" customFormat="false" ht="15" hidden="false" customHeight="true" outlineLevel="0" collapsed="false">
      <c r="A89" s="1" t="s">
        <v>444</v>
      </c>
      <c r="B89" s="1" t="s">
        <v>457</v>
      </c>
      <c r="C89" s="1" t="s">
        <v>518</v>
      </c>
      <c r="D89" s="1" t="s">
        <v>17</v>
      </c>
      <c r="E89" s="82" t="n">
        <v>0</v>
      </c>
      <c r="F89" s="26" t="n">
        <v>0</v>
      </c>
      <c r="G89" s="26" t="n">
        <v>0</v>
      </c>
      <c r="H89" s="1" t="s">
        <v>470</v>
      </c>
    </row>
    <row r="90" customFormat="false" ht="15" hidden="false" customHeight="true" outlineLevel="0" collapsed="false">
      <c r="A90" s="1" t="s">
        <v>444</v>
      </c>
      <c r="B90" s="1" t="s">
        <v>457</v>
      </c>
      <c r="C90" s="1" t="s">
        <v>506</v>
      </c>
      <c r="D90" s="1" t="s">
        <v>17</v>
      </c>
      <c r="E90" s="82" t="n">
        <v>0</v>
      </c>
      <c r="F90" s="26" t="n">
        <v>0</v>
      </c>
      <c r="G90" s="26" t="n">
        <v>0</v>
      </c>
      <c r="H90" s="1" t="s">
        <v>470</v>
      </c>
    </row>
    <row r="91" customFormat="false" ht="15" hidden="false" customHeight="true" outlineLevel="0" collapsed="false">
      <c r="A91" s="1" t="s">
        <v>444</v>
      </c>
      <c r="B91" s="1" t="s">
        <v>143</v>
      </c>
      <c r="C91" s="1" t="s">
        <v>519</v>
      </c>
      <c r="D91" s="1" t="s">
        <v>10</v>
      </c>
      <c r="E91" s="82" t="n">
        <v>6280</v>
      </c>
      <c r="F91" s="26" t="n">
        <v>0.212371943123151</v>
      </c>
      <c r="G91" s="26" t="n">
        <v>1333.69580281339</v>
      </c>
      <c r="H91" s="1" t="s">
        <v>446</v>
      </c>
    </row>
    <row r="92" customFormat="false" ht="15" hidden="false" customHeight="true" outlineLevel="0" collapsed="false">
      <c r="A92" s="1" t="s">
        <v>444</v>
      </c>
      <c r="B92" s="1" t="s">
        <v>143</v>
      </c>
      <c r="C92" s="1" t="s">
        <v>519</v>
      </c>
      <c r="D92" s="1" t="s">
        <v>12</v>
      </c>
      <c r="E92" s="82" t="n">
        <v>13402</v>
      </c>
      <c r="F92" s="26" t="n">
        <v>0.212371943123151</v>
      </c>
      <c r="G92" s="26" t="n">
        <v>2846.20878173647</v>
      </c>
      <c r="H92" s="1" t="s">
        <v>446</v>
      </c>
    </row>
    <row r="93" customFormat="false" ht="15" hidden="false" customHeight="true" outlineLevel="0" collapsed="false">
      <c r="A93" s="1" t="s">
        <v>444</v>
      </c>
      <c r="B93" s="1" t="s">
        <v>143</v>
      </c>
      <c r="C93" s="1" t="s">
        <v>519</v>
      </c>
      <c r="D93" s="1" t="s">
        <v>14</v>
      </c>
      <c r="E93" s="82" t="n">
        <v>3650</v>
      </c>
      <c r="F93" s="26" t="n">
        <v>0.212371943123151</v>
      </c>
      <c r="G93" s="26" t="n">
        <v>775.157592399501</v>
      </c>
      <c r="H93" s="1" t="s">
        <v>446</v>
      </c>
    </row>
    <row r="94" customFormat="false" ht="15" hidden="false" customHeight="true" outlineLevel="0" collapsed="false">
      <c r="A94" s="1" t="s">
        <v>444</v>
      </c>
      <c r="B94" s="1" t="s">
        <v>143</v>
      </c>
      <c r="C94" s="1" t="s">
        <v>519</v>
      </c>
      <c r="D94" s="1" t="s">
        <v>15</v>
      </c>
      <c r="E94" s="82" t="n">
        <v>6396</v>
      </c>
      <c r="F94" s="26" t="n">
        <v>0.212371943123151</v>
      </c>
      <c r="G94" s="26" t="n">
        <v>1358.33094821567</v>
      </c>
      <c r="H94" s="1" t="s">
        <v>446</v>
      </c>
    </row>
    <row r="95" customFormat="false" ht="15" hidden="false" customHeight="true" outlineLevel="0" collapsed="false">
      <c r="A95" s="1" t="s">
        <v>444</v>
      </c>
      <c r="B95" s="1" t="s">
        <v>143</v>
      </c>
      <c r="C95" s="1" t="s">
        <v>519</v>
      </c>
      <c r="D95" s="1" t="s">
        <v>13</v>
      </c>
      <c r="E95" s="82" t="n">
        <v>14331</v>
      </c>
      <c r="F95" s="26" t="n">
        <v>0.212371943123151</v>
      </c>
      <c r="G95" s="26" t="n">
        <v>3043.50231689788</v>
      </c>
      <c r="H95" s="1" t="s">
        <v>446</v>
      </c>
    </row>
    <row r="96" customFormat="false" ht="15" hidden="false" customHeight="true" outlineLevel="0" collapsed="false">
      <c r="A96" s="1" t="s">
        <v>444</v>
      </c>
      <c r="B96" s="1" t="s">
        <v>143</v>
      </c>
      <c r="C96" s="1" t="s">
        <v>519</v>
      </c>
      <c r="D96" s="1" t="s">
        <v>16</v>
      </c>
      <c r="E96" s="82" t="n">
        <v>4730</v>
      </c>
      <c r="F96" s="26" t="n">
        <v>0.212371943123151</v>
      </c>
      <c r="G96" s="26" t="n">
        <v>1004.5192909725</v>
      </c>
      <c r="H96" s="1" t="s">
        <v>446</v>
      </c>
    </row>
    <row r="97" customFormat="false" ht="15" hidden="false" customHeight="true" outlineLevel="0" collapsed="false">
      <c r="A97" s="1" t="s">
        <v>444</v>
      </c>
      <c r="B97" s="1" t="s">
        <v>143</v>
      </c>
      <c r="C97" s="1" t="s">
        <v>519</v>
      </c>
      <c r="D97" s="1" t="s">
        <v>17</v>
      </c>
      <c r="E97" s="82" t="n">
        <v>4782</v>
      </c>
      <c r="F97" s="26" t="n">
        <v>0.212371943123151</v>
      </c>
      <c r="G97" s="26" t="n">
        <v>1015.56263201491</v>
      </c>
      <c r="H97" s="1" t="s">
        <v>446</v>
      </c>
    </row>
    <row r="98" customFormat="false" ht="15" hidden="false" customHeight="true" outlineLevel="0" collapsed="false">
      <c r="A98" s="1" t="s">
        <v>444</v>
      </c>
      <c r="B98" s="1" t="s">
        <v>141</v>
      </c>
      <c r="C98" s="1" t="s">
        <v>520</v>
      </c>
      <c r="D98" s="1" t="s">
        <v>12</v>
      </c>
      <c r="E98" s="82" t="n">
        <v>13402</v>
      </c>
      <c r="F98" s="26" t="n">
        <v>0.0959225828032635</v>
      </c>
      <c r="G98" s="26" t="n">
        <v>1285.554455</v>
      </c>
      <c r="H98" s="1" t="s">
        <v>446</v>
      </c>
    </row>
    <row r="99" customFormat="false" ht="15" hidden="false" customHeight="true" outlineLevel="0" collapsed="false">
      <c r="A99" s="1" t="s">
        <v>444</v>
      </c>
      <c r="B99" s="1" t="s">
        <v>45</v>
      </c>
      <c r="C99" s="1" t="s">
        <v>521</v>
      </c>
      <c r="D99" s="1" t="s">
        <v>10</v>
      </c>
      <c r="E99" s="82" t="n">
        <v>1</v>
      </c>
      <c r="F99" s="26" t="n">
        <v>9145.68</v>
      </c>
      <c r="G99" s="26" t="n">
        <v>9145.68</v>
      </c>
      <c r="H99" s="1" t="s">
        <v>522</v>
      </c>
    </row>
    <row r="100" customFormat="false" ht="15" hidden="false" customHeight="true" outlineLevel="0" collapsed="false">
      <c r="A100" s="1" t="s">
        <v>444</v>
      </c>
      <c r="B100" s="1" t="s">
        <v>45</v>
      </c>
      <c r="C100" s="1" t="s">
        <v>521</v>
      </c>
      <c r="D100" s="1" t="s">
        <v>14</v>
      </c>
      <c r="E100" s="82" t="n">
        <v>1</v>
      </c>
      <c r="F100" s="26" t="n">
        <v>3372.11</v>
      </c>
      <c r="G100" s="26" t="n">
        <v>3372.11</v>
      </c>
      <c r="H100" s="1" t="s">
        <v>522</v>
      </c>
    </row>
    <row r="101" customFormat="false" ht="15" hidden="false" customHeight="true" outlineLevel="0" collapsed="false">
      <c r="A101" s="1" t="s">
        <v>444</v>
      </c>
      <c r="B101" s="1" t="s">
        <v>45</v>
      </c>
      <c r="C101" s="1" t="s">
        <v>521</v>
      </c>
      <c r="D101" s="1" t="s">
        <v>16</v>
      </c>
      <c r="E101" s="82" t="n">
        <v>1</v>
      </c>
      <c r="F101" s="26" t="n">
        <v>15695.77</v>
      </c>
      <c r="G101" s="26" t="n">
        <v>15695.77</v>
      </c>
      <c r="H101" s="1" t="s">
        <v>522</v>
      </c>
    </row>
    <row r="102" customFormat="false" ht="15" hidden="false" customHeight="true" outlineLevel="0" collapsed="false">
      <c r="A102" s="1" t="s">
        <v>444</v>
      </c>
      <c r="B102" s="1" t="s">
        <v>45</v>
      </c>
      <c r="C102" s="1" t="s">
        <v>523</v>
      </c>
      <c r="D102" s="1" t="s">
        <v>17</v>
      </c>
      <c r="E102" s="82" t="n">
        <v>0</v>
      </c>
      <c r="F102" s="26" t="n">
        <v>0</v>
      </c>
      <c r="G102" s="26" t="n">
        <v>0</v>
      </c>
      <c r="H102" s="1" t="s">
        <v>524</v>
      </c>
    </row>
    <row r="103" customFormat="false" ht="15" hidden="false" customHeight="true" outlineLevel="0" collapsed="false">
      <c r="A103" s="1" t="s">
        <v>444</v>
      </c>
      <c r="B103" s="1" t="s">
        <v>45</v>
      </c>
      <c r="C103" s="1" t="s">
        <v>525</v>
      </c>
      <c r="D103" s="1" t="s">
        <v>17</v>
      </c>
      <c r="E103" s="82" t="n">
        <v>1</v>
      </c>
      <c r="F103" s="26" t="n">
        <v>22320</v>
      </c>
      <c r="G103" s="26" t="n">
        <v>22320</v>
      </c>
      <c r="H103" s="1" t="s">
        <v>526</v>
      </c>
    </row>
    <row r="104" customFormat="false" ht="15" hidden="false" customHeight="true" outlineLevel="0" collapsed="false">
      <c r="A104" s="1" t="s">
        <v>444</v>
      </c>
      <c r="B104" s="1" t="s">
        <v>50</v>
      </c>
      <c r="C104" s="1" t="s">
        <v>527</v>
      </c>
      <c r="D104" s="1" t="s">
        <v>10</v>
      </c>
      <c r="E104" s="82" t="n">
        <v>1</v>
      </c>
      <c r="F104" s="26" t="n">
        <v>676.8</v>
      </c>
      <c r="G104" s="26" t="n">
        <v>676.8</v>
      </c>
      <c r="H104" s="1" t="s">
        <v>528</v>
      </c>
    </row>
    <row r="105" customFormat="false" ht="15" hidden="false" customHeight="true" outlineLevel="0" collapsed="false">
      <c r="A105" s="1" t="s">
        <v>444</v>
      </c>
      <c r="B105" s="1" t="s">
        <v>50</v>
      </c>
      <c r="C105" s="1" t="s">
        <v>527</v>
      </c>
      <c r="D105" s="1" t="s">
        <v>14</v>
      </c>
      <c r="E105" s="82" t="n">
        <v>1</v>
      </c>
      <c r="F105" s="26" t="n">
        <v>676.8</v>
      </c>
      <c r="G105" s="26" t="n">
        <v>676.8</v>
      </c>
      <c r="H105" s="1" t="s">
        <v>528</v>
      </c>
    </row>
    <row r="106" customFormat="false" ht="15" hidden="false" customHeight="true" outlineLevel="0" collapsed="false">
      <c r="A106" s="1" t="s">
        <v>444</v>
      </c>
      <c r="B106" s="1" t="s">
        <v>50</v>
      </c>
      <c r="C106" s="1" t="s">
        <v>527</v>
      </c>
      <c r="D106" s="1" t="s">
        <v>15</v>
      </c>
      <c r="E106" s="82" t="n">
        <v>1</v>
      </c>
      <c r="F106" s="26" t="n">
        <v>676.8</v>
      </c>
      <c r="G106" s="26" t="n">
        <v>676.8</v>
      </c>
      <c r="H106" s="1" t="s">
        <v>529</v>
      </c>
    </row>
    <row r="107" customFormat="false" ht="15" hidden="false" customHeight="true" outlineLevel="0" collapsed="false">
      <c r="A107" s="1" t="s">
        <v>444</v>
      </c>
      <c r="B107" s="1" t="s">
        <v>50</v>
      </c>
      <c r="C107" s="1" t="s">
        <v>527</v>
      </c>
      <c r="D107" s="1" t="s">
        <v>13</v>
      </c>
      <c r="E107" s="82" t="n">
        <v>1</v>
      </c>
      <c r="F107" s="26" t="n">
        <v>676.8</v>
      </c>
      <c r="G107" s="26" t="n">
        <v>676.8</v>
      </c>
      <c r="H107" s="1" t="s">
        <v>530</v>
      </c>
    </row>
    <row r="108" customFormat="false" ht="15" hidden="false" customHeight="true" outlineLevel="0" collapsed="false">
      <c r="A108" s="1" t="s">
        <v>444</v>
      </c>
      <c r="B108" s="1" t="s">
        <v>50</v>
      </c>
      <c r="C108" s="1" t="s">
        <v>527</v>
      </c>
      <c r="D108" s="1" t="s">
        <v>16</v>
      </c>
      <c r="E108" s="82" t="n">
        <v>1</v>
      </c>
      <c r="F108" s="26" t="n">
        <v>676.8</v>
      </c>
      <c r="G108" s="26" t="n">
        <v>676.8</v>
      </c>
      <c r="H108" s="1" t="s">
        <v>528</v>
      </c>
    </row>
    <row r="109" customFormat="false" ht="15" hidden="false" customHeight="true" outlineLevel="0" collapsed="false">
      <c r="A109" s="1" t="s">
        <v>444</v>
      </c>
      <c r="B109" s="1" t="s">
        <v>50</v>
      </c>
      <c r="C109" s="1" t="s">
        <v>527</v>
      </c>
      <c r="D109" s="1" t="s">
        <v>17</v>
      </c>
      <c r="E109" s="82" t="n">
        <v>1</v>
      </c>
      <c r="F109" s="26" t="n">
        <v>676.8</v>
      </c>
      <c r="G109" s="26" t="n">
        <v>676.8</v>
      </c>
      <c r="H109" s="1" t="s">
        <v>528</v>
      </c>
    </row>
    <row r="110" customFormat="false" ht="15" hidden="false" customHeight="true" outlineLevel="0" collapsed="false">
      <c r="A110" s="1" t="s">
        <v>444</v>
      </c>
      <c r="B110" s="1" t="s">
        <v>531</v>
      </c>
      <c r="C110" s="1" t="s">
        <v>532</v>
      </c>
      <c r="D110" s="1" t="s">
        <v>10</v>
      </c>
      <c r="E110" s="82" t="n">
        <v>0</v>
      </c>
      <c r="F110" s="26" t="n">
        <v>0</v>
      </c>
      <c r="G110" s="26" t="n">
        <v>0</v>
      </c>
      <c r="H110" s="1" t="s">
        <v>533</v>
      </c>
    </row>
    <row r="111" customFormat="false" ht="15" hidden="false" customHeight="true" outlineLevel="0" collapsed="false">
      <c r="A111" s="1" t="s">
        <v>444</v>
      </c>
      <c r="B111" s="1" t="s">
        <v>531</v>
      </c>
      <c r="C111" s="1" t="s">
        <v>534</v>
      </c>
      <c r="D111" s="1" t="s">
        <v>10</v>
      </c>
      <c r="E111" s="82" t="n">
        <v>0</v>
      </c>
      <c r="F111" s="26" t="n">
        <v>0</v>
      </c>
      <c r="G111" s="26" t="n">
        <v>0</v>
      </c>
      <c r="H111" s="1" t="s">
        <v>535</v>
      </c>
    </row>
    <row r="112" customFormat="false" ht="15" hidden="false" customHeight="true" outlineLevel="0" collapsed="false">
      <c r="A112" s="1" t="s">
        <v>444</v>
      </c>
      <c r="B112" s="1" t="s">
        <v>531</v>
      </c>
      <c r="C112" s="1" t="s">
        <v>536</v>
      </c>
      <c r="D112" s="1" t="s">
        <v>10</v>
      </c>
      <c r="E112" s="82" t="n">
        <v>10</v>
      </c>
      <c r="F112" s="26" t="n">
        <v>20</v>
      </c>
      <c r="G112" s="26" t="n">
        <v>200</v>
      </c>
      <c r="H112" s="1" t="s">
        <v>537</v>
      </c>
    </row>
    <row r="113" customFormat="false" ht="15" hidden="false" customHeight="true" outlineLevel="0" collapsed="false">
      <c r="A113" s="1" t="s">
        <v>444</v>
      </c>
      <c r="B113" s="1" t="s">
        <v>531</v>
      </c>
      <c r="C113" s="1" t="s">
        <v>538</v>
      </c>
      <c r="D113" s="1" t="s">
        <v>10</v>
      </c>
      <c r="E113" s="82" t="n">
        <v>1</v>
      </c>
      <c r="F113" s="26" t="n">
        <v>745.21</v>
      </c>
      <c r="G113" s="26" t="n">
        <v>745.21</v>
      </c>
      <c r="H113" s="1" t="s">
        <v>539</v>
      </c>
    </row>
    <row r="114" customFormat="false" ht="15" hidden="false" customHeight="true" outlineLevel="0" collapsed="false">
      <c r="A114" s="1" t="s">
        <v>444</v>
      </c>
      <c r="B114" s="1" t="s">
        <v>531</v>
      </c>
      <c r="C114" s="1" t="s">
        <v>540</v>
      </c>
      <c r="D114" s="1" t="s">
        <v>10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444</v>
      </c>
      <c r="B115" s="1" t="s">
        <v>531</v>
      </c>
      <c r="C115" s="1" t="s">
        <v>538</v>
      </c>
      <c r="D115" s="1" t="s">
        <v>12</v>
      </c>
      <c r="E115" s="82" t="n">
        <v>0</v>
      </c>
      <c r="F115" s="26" t="n">
        <v>0</v>
      </c>
      <c r="G115" s="26" t="n">
        <v>0</v>
      </c>
      <c r="H115" s="1" t="s">
        <v>539</v>
      </c>
    </row>
    <row r="116" customFormat="false" ht="15" hidden="false" customHeight="true" outlineLevel="0" collapsed="false">
      <c r="A116" s="1" t="s">
        <v>444</v>
      </c>
      <c r="B116" s="1" t="s">
        <v>531</v>
      </c>
      <c r="C116" s="1" t="s">
        <v>536</v>
      </c>
      <c r="D116" s="1" t="s">
        <v>14</v>
      </c>
      <c r="E116" s="82" t="n">
        <v>3</v>
      </c>
      <c r="F116" s="26" t="n">
        <v>20</v>
      </c>
      <c r="G116" s="26" t="n">
        <v>60</v>
      </c>
      <c r="H116" s="1" t="s">
        <v>537</v>
      </c>
    </row>
    <row r="117" customFormat="false" ht="15" hidden="false" customHeight="true" outlineLevel="0" collapsed="false">
      <c r="A117" s="1" t="s">
        <v>444</v>
      </c>
      <c r="B117" s="1" t="s">
        <v>531</v>
      </c>
      <c r="C117" s="1" t="s">
        <v>538</v>
      </c>
      <c r="D117" s="1" t="s">
        <v>14</v>
      </c>
      <c r="E117" s="82" t="n">
        <v>1</v>
      </c>
      <c r="F117" s="26" t="n">
        <v>373.15</v>
      </c>
      <c r="G117" s="26" t="n">
        <v>373.15</v>
      </c>
      <c r="H117" s="1" t="s">
        <v>539</v>
      </c>
    </row>
    <row r="118" customFormat="false" ht="15" hidden="false" customHeight="true" outlineLevel="0" collapsed="false">
      <c r="A118" s="1" t="s">
        <v>444</v>
      </c>
      <c r="B118" s="1" t="s">
        <v>531</v>
      </c>
      <c r="C118" s="1" t="s">
        <v>540</v>
      </c>
      <c r="D118" s="1" t="s">
        <v>14</v>
      </c>
      <c r="E118" s="82" t="n">
        <v>0</v>
      </c>
      <c r="F118" s="26" t="n">
        <v>0</v>
      </c>
      <c r="G118" s="26" t="n">
        <v>0</v>
      </c>
      <c r="H118" s="1" t="s">
        <v>541</v>
      </c>
    </row>
    <row r="119" customFormat="false" ht="15" hidden="false" customHeight="true" outlineLevel="0" collapsed="false">
      <c r="A119" s="1" t="s">
        <v>444</v>
      </c>
      <c r="B119" s="1" t="s">
        <v>531</v>
      </c>
      <c r="C119" s="1" t="s">
        <v>532</v>
      </c>
      <c r="D119" s="1" t="s">
        <v>15</v>
      </c>
      <c r="E119" s="82" t="n">
        <v>0</v>
      </c>
      <c r="F119" s="26" t="n">
        <v>0</v>
      </c>
      <c r="G119" s="26" t="n">
        <v>0</v>
      </c>
      <c r="H119" s="1" t="s">
        <v>542</v>
      </c>
    </row>
    <row r="120" customFormat="false" ht="15" hidden="false" customHeight="true" outlineLevel="0" collapsed="false">
      <c r="A120" s="1" t="s">
        <v>444</v>
      </c>
      <c r="B120" s="1" t="s">
        <v>531</v>
      </c>
      <c r="C120" s="1" t="s">
        <v>534</v>
      </c>
      <c r="D120" s="1" t="s">
        <v>15</v>
      </c>
      <c r="E120" s="82" t="n">
        <v>0</v>
      </c>
      <c r="F120" s="26" t="n">
        <v>0</v>
      </c>
      <c r="G120" s="26" t="n">
        <v>0</v>
      </c>
      <c r="H120" s="1" t="s">
        <v>543</v>
      </c>
    </row>
    <row r="121" customFormat="false" ht="15" hidden="false" customHeight="true" outlineLevel="0" collapsed="false">
      <c r="A121" s="1" t="s">
        <v>444</v>
      </c>
      <c r="B121" s="1" t="s">
        <v>531</v>
      </c>
      <c r="C121" s="1" t="s">
        <v>544</v>
      </c>
      <c r="D121" s="1" t="s">
        <v>15</v>
      </c>
      <c r="E121" s="82" t="n">
        <v>0</v>
      </c>
      <c r="F121" s="26" t="n">
        <v>0</v>
      </c>
      <c r="G121" s="26" t="n">
        <v>0</v>
      </c>
      <c r="H121" s="1" t="s">
        <v>541</v>
      </c>
    </row>
    <row r="122" customFormat="false" ht="15" hidden="false" customHeight="true" outlineLevel="0" collapsed="false">
      <c r="A122" s="1" t="s">
        <v>444</v>
      </c>
      <c r="B122" s="1" t="s">
        <v>531</v>
      </c>
      <c r="C122" s="1" t="s">
        <v>536</v>
      </c>
      <c r="D122" s="1" t="s">
        <v>15</v>
      </c>
      <c r="E122" s="82" t="n">
        <v>13</v>
      </c>
      <c r="F122" s="26" t="n">
        <v>20</v>
      </c>
      <c r="G122" s="26" t="n">
        <v>260</v>
      </c>
      <c r="H122" s="1" t="s">
        <v>537</v>
      </c>
    </row>
    <row r="123" customFormat="false" ht="15" hidden="false" customHeight="true" outlineLevel="0" collapsed="false">
      <c r="A123" s="1" t="s">
        <v>444</v>
      </c>
      <c r="B123" s="1" t="s">
        <v>531</v>
      </c>
      <c r="C123" s="1" t="s">
        <v>538</v>
      </c>
      <c r="D123" s="1" t="s">
        <v>15</v>
      </c>
      <c r="E123" s="82" t="n">
        <v>0</v>
      </c>
      <c r="F123" s="26" t="n">
        <v>0</v>
      </c>
      <c r="G123" s="26" t="n">
        <v>0</v>
      </c>
      <c r="H123" s="1" t="s">
        <v>539</v>
      </c>
    </row>
    <row r="124" customFormat="false" ht="15" hidden="false" customHeight="true" outlineLevel="0" collapsed="false">
      <c r="A124" s="1" t="s">
        <v>444</v>
      </c>
      <c r="B124" s="1" t="s">
        <v>531</v>
      </c>
      <c r="C124" s="1" t="s">
        <v>540</v>
      </c>
      <c r="D124" s="1" t="s">
        <v>15</v>
      </c>
      <c r="E124" s="82" t="n">
        <v>0</v>
      </c>
      <c r="F124" s="26" t="n">
        <v>0</v>
      </c>
      <c r="G124" s="26" t="n">
        <v>0</v>
      </c>
      <c r="H124" s="1" t="s">
        <v>541</v>
      </c>
    </row>
    <row r="125" customFormat="false" ht="15" hidden="false" customHeight="true" outlineLevel="0" collapsed="false">
      <c r="A125" s="1" t="s">
        <v>444</v>
      </c>
      <c r="B125" s="1" t="s">
        <v>531</v>
      </c>
      <c r="C125" s="1" t="s">
        <v>536</v>
      </c>
      <c r="D125" s="1" t="s">
        <v>13</v>
      </c>
      <c r="E125" s="82" t="n">
        <v>19</v>
      </c>
      <c r="F125" s="26" t="n">
        <v>20</v>
      </c>
      <c r="G125" s="26" t="n">
        <v>380</v>
      </c>
      <c r="H125" s="1" t="s">
        <v>537</v>
      </c>
    </row>
    <row r="126" customFormat="false" ht="15" hidden="false" customHeight="true" outlineLevel="0" collapsed="false">
      <c r="A126" s="1" t="s">
        <v>444</v>
      </c>
      <c r="B126" s="1" t="s">
        <v>531</v>
      </c>
      <c r="C126" s="1" t="s">
        <v>538</v>
      </c>
      <c r="D126" s="1" t="s">
        <v>13</v>
      </c>
      <c r="E126" s="82" t="n">
        <v>1</v>
      </c>
      <c r="F126" s="26" t="n">
        <v>1381.14</v>
      </c>
      <c r="G126" s="26" t="n">
        <v>1381.14</v>
      </c>
      <c r="H126" s="1" t="s">
        <v>539</v>
      </c>
    </row>
    <row r="127" customFormat="false" ht="15" hidden="false" customHeight="true" outlineLevel="0" collapsed="false">
      <c r="A127" s="1" t="s">
        <v>444</v>
      </c>
      <c r="B127" s="1" t="s">
        <v>531</v>
      </c>
      <c r="C127" s="1" t="s">
        <v>545</v>
      </c>
      <c r="D127" s="1" t="s">
        <v>13</v>
      </c>
      <c r="E127" s="82" t="n">
        <v>0</v>
      </c>
      <c r="F127" s="26" t="n">
        <v>0</v>
      </c>
      <c r="G127" s="26" t="n">
        <v>0</v>
      </c>
      <c r="H127" s="1" t="s">
        <v>541</v>
      </c>
    </row>
    <row r="128" customFormat="false" ht="15" hidden="false" customHeight="true" outlineLevel="0" collapsed="false">
      <c r="A128" s="1" t="s">
        <v>444</v>
      </c>
      <c r="B128" s="1" t="s">
        <v>531</v>
      </c>
      <c r="C128" s="1" t="s">
        <v>544</v>
      </c>
      <c r="D128" s="1" t="s">
        <v>16</v>
      </c>
      <c r="E128" s="82" t="n">
        <v>0</v>
      </c>
      <c r="F128" s="26" t="n">
        <v>0</v>
      </c>
      <c r="G128" s="26" t="n">
        <v>0</v>
      </c>
      <c r="H128" s="1" t="s">
        <v>546</v>
      </c>
    </row>
    <row r="129" customFormat="false" ht="15" hidden="false" customHeight="true" outlineLevel="0" collapsed="false">
      <c r="A129" s="1" t="s">
        <v>444</v>
      </c>
      <c r="B129" s="1" t="s">
        <v>531</v>
      </c>
      <c r="C129" s="1" t="s">
        <v>536</v>
      </c>
      <c r="D129" s="1" t="s">
        <v>16</v>
      </c>
      <c r="E129" s="82" t="n">
        <v>4</v>
      </c>
      <c r="F129" s="26" t="n">
        <v>20</v>
      </c>
      <c r="G129" s="26" t="n">
        <v>80</v>
      </c>
      <c r="H129" s="1" t="s">
        <v>537</v>
      </c>
    </row>
    <row r="130" customFormat="false" ht="15" hidden="false" customHeight="true" outlineLevel="0" collapsed="false">
      <c r="A130" s="1" t="s">
        <v>444</v>
      </c>
      <c r="B130" s="1" t="s">
        <v>531</v>
      </c>
      <c r="C130" s="1" t="s">
        <v>538</v>
      </c>
      <c r="D130" s="1" t="s">
        <v>16</v>
      </c>
      <c r="E130" s="82" t="n">
        <v>0</v>
      </c>
      <c r="F130" s="26" t="n">
        <v>0</v>
      </c>
      <c r="G130" s="26" t="n">
        <v>0</v>
      </c>
      <c r="H130" s="1" t="s">
        <v>539</v>
      </c>
    </row>
    <row r="131" customFormat="false" ht="15" hidden="false" customHeight="true" outlineLevel="0" collapsed="false">
      <c r="A131" s="1" t="s">
        <v>444</v>
      </c>
      <c r="B131" s="1" t="s">
        <v>531</v>
      </c>
      <c r="C131" s="1" t="s">
        <v>545</v>
      </c>
      <c r="D131" s="1" t="s">
        <v>16</v>
      </c>
      <c r="E131" s="82" t="n">
        <v>0</v>
      </c>
      <c r="F131" s="26" t="n">
        <v>0</v>
      </c>
      <c r="G131" s="26" t="n">
        <v>0</v>
      </c>
      <c r="H131" s="1" t="s">
        <v>541</v>
      </c>
    </row>
    <row r="132" customFormat="false" ht="15" hidden="false" customHeight="true" outlineLevel="0" collapsed="false">
      <c r="A132" s="1" t="s">
        <v>444</v>
      </c>
      <c r="B132" s="1" t="s">
        <v>531</v>
      </c>
      <c r="C132" s="1" t="s">
        <v>532</v>
      </c>
      <c r="D132" s="1" t="s">
        <v>17</v>
      </c>
      <c r="E132" s="82" t="n">
        <v>0</v>
      </c>
      <c r="F132" s="26" t="n">
        <v>0</v>
      </c>
      <c r="G132" s="26" t="n">
        <v>0</v>
      </c>
      <c r="H132" s="1" t="s">
        <v>547</v>
      </c>
    </row>
    <row r="133" customFormat="false" ht="15" hidden="false" customHeight="true" outlineLevel="0" collapsed="false">
      <c r="A133" s="1" t="s">
        <v>444</v>
      </c>
      <c r="B133" s="1" t="s">
        <v>531</v>
      </c>
      <c r="C133" s="1" t="s">
        <v>536</v>
      </c>
      <c r="D133" s="1" t="s">
        <v>17</v>
      </c>
      <c r="E133" s="82" t="n">
        <v>8</v>
      </c>
      <c r="F133" s="26" t="n">
        <v>20</v>
      </c>
      <c r="G133" s="26" t="n">
        <v>160</v>
      </c>
      <c r="H133" s="1" t="s">
        <v>537</v>
      </c>
    </row>
    <row r="134" customFormat="false" ht="15" hidden="false" customHeight="true" outlineLevel="0" collapsed="false">
      <c r="A134" s="1" t="s">
        <v>444</v>
      </c>
      <c r="B134" s="1" t="s">
        <v>531</v>
      </c>
      <c r="C134" s="1" t="s">
        <v>538</v>
      </c>
      <c r="D134" s="1" t="s">
        <v>17</v>
      </c>
      <c r="E134" s="82" t="n">
        <v>1</v>
      </c>
      <c r="F134" s="26" t="n">
        <v>414.35</v>
      </c>
      <c r="G134" s="26" t="n">
        <v>414.35</v>
      </c>
      <c r="H134" s="1" t="s">
        <v>539</v>
      </c>
    </row>
    <row r="135" customFormat="false" ht="15" hidden="false" customHeight="true" outlineLevel="0" collapsed="false">
      <c r="A135" s="1" t="s">
        <v>444</v>
      </c>
      <c r="B135" s="1" t="s">
        <v>531</v>
      </c>
      <c r="C135" s="1" t="s">
        <v>540</v>
      </c>
      <c r="D135" s="1" t="s">
        <v>17</v>
      </c>
      <c r="E135" s="82" t="n">
        <v>0</v>
      </c>
      <c r="F135" s="26" t="n">
        <v>0</v>
      </c>
      <c r="G135" s="26" t="n">
        <v>0</v>
      </c>
      <c r="H135" s="1" t="s">
        <v>541</v>
      </c>
    </row>
    <row r="136" customFormat="false" ht="15" hidden="false" customHeight="true" outlineLevel="0" collapsed="false">
      <c r="A136" s="1" t="s">
        <v>444</v>
      </c>
      <c r="B136" s="1" t="s">
        <v>548</v>
      </c>
      <c r="C136" s="1" t="s">
        <v>549</v>
      </c>
      <c r="D136" s="1" t="s">
        <v>10</v>
      </c>
      <c r="E136" s="82" t="n">
        <v>0</v>
      </c>
      <c r="F136" s="26" t="n">
        <v>0</v>
      </c>
      <c r="G136" s="26" t="n">
        <v>0</v>
      </c>
      <c r="H136" s="1" t="s">
        <v>550</v>
      </c>
    </row>
    <row r="137" customFormat="false" ht="15" hidden="false" customHeight="true" outlineLevel="0" collapsed="false">
      <c r="A137" s="1" t="s">
        <v>444</v>
      </c>
      <c r="B137" s="1" t="s">
        <v>548</v>
      </c>
      <c r="C137" s="1" t="s">
        <v>551</v>
      </c>
      <c r="D137" s="1" t="s">
        <v>10</v>
      </c>
      <c r="E137" s="82" t="n">
        <v>0</v>
      </c>
      <c r="F137" s="26" t="n">
        <v>0</v>
      </c>
      <c r="G137" s="26" t="n">
        <v>0</v>
      </c>
      <c r="H137" s="1" t="s">
        <v>552</v>
      </c>
    </row>
    <row r="138" customFormat="false" ht="15" hidden="false" customHeight="true" outlineLevel="0" collapsed="false">
      <c r="A138" s="1" t="s">
        <v>444</v>
      </c>
      <c r="B138" s="1" t="s">
        <v>548</v>
      </c>
      <c r="C138" s="1" t="s">
        <v>553</v>
      </c>
      <c r="D138" s="1" t="s">
        <v>10</v>
      </c>
      <c r="E138" s="82" t="n">
        <v>0</v>
      </c>
      <c r="F138" s="26" t="n">
        <v>0</v>
      </c>
      <c r="G138" s="26" t="n">
        <v>0</v>
      </c>
      <c r="H138" s="1" t="s">
        <v>554</v>
      </c>
    </row>
    <row r="139" customFormat="false" ht="15" hidden="false" customHeight="true" outlineLevel="0" collapsed="false">
      <c r="A139" s="1" t="s">
        <v>444</v>
      </c>
      <c r="B139" s="1" t="s">
        <v>548</v>
      </c>
      <c r="C139" s="1" t="s">
        <v>555</v>
      </c>
      <c r="D139" s="1" t="s">
        <v>10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444</v>
      </c>
      <c r="B140" s="1" t="s">
        <v>548</v>
      </c>
      <c r="C140" s="1" t="s">
        <v>557</v>
      </c>
      <c r="D140" s="1" t="s">
        <v>12</v>
      </c>
      <c r="E140" s="82" t="n">
        <v>1</v>
      </c>
      <c r="F140" s="26" t="n">
        <v>315.66</v>
      </c>
      <c r="G140" s="26" t="n">
        <v>315.66</v>
      </c>
      <c r="H140" s="1" t="s">
        <v>558</v>
      </c>
    </row>
    <row r="141" customFormat="false" ht="15" hidden="false" customHeight="true" outlineLevel="0" collapsed="false">
      <c r="A141" s="1" t="s">
        <v>444</v>
      </c>
      <c r="B141" s="1" t="s">
        <v>548</v>
      </c>
      <c r="C141" s="1" t="s">
        <v>559</v>
      </c>
      <c r="D141" s="1" t="s">
        <v>12</v>
      </c>
      <c r="E141" s="82" t="n">
        <v>1</v>
      </c>
      <c r="F141" s="26" t="n">
        <v>345.94</v>
      </c>
      <c r="G141" s="26" t="n">
        <v>345.94</v>
      </c>
      <c r="H141" s="1" t="s">
        <v>560</v>
      </c>
    </row>
    <row r="142" customFormat="false" ht="15" hidden="false" customHeight="true" outlineLevel="0" collapsed="false">
      <c r="A142" s="1" t="s">
        <v>444</v>
      </c>
      <c r="B142" s="1" t="s">
        <v>548</v>
      </c>
      <c r="C142" s="1" t="s">
        <v>561</v>
      </c>
      <c r="D142" s="1" t="s">
        <v>14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444</v>
      </c>
      <c r="B143" s="1" t="s">
        <v>548</v>
      </c>
      <c r="C143" s="1" t="s">
        <v>563</v>
      </c>
      <c r="D143" s="1" t="s">
        <v>14</v>
      </c>
      <c r="E143" s="82" t="n">
        <v>0</v>
      </c>
      <c r="F143" s="26" t="n">
        <v>0</v>
      </c>
      <c r="G143" s="26" t="n">
        <v>0</v>
      </c>
      <c r="H143" s="1" t="s">
        <v>564</v>
      </c>
    </row>
    <row r="144" customFormat="false" ht="15" hidden="false" customHeight="true" outlineLevel="0" collapsed="false">
      <c r="A144" s="1" t="s">
        <v>444</v>
      </c>
      <c r="B144" s="1" t="s">
        <v>548</v>
      </c>
      <c r="C144" s="1" t="s">
        <v>565</v>
      </c>
      <c r="D144" s="1" t="s">
        <v>14</v>
      </c>
      <c r="E144" s="82" t="n">
        <v>0</v>
      </c>
      <c r="F144" s="26" t="n">
        <v>0</v>
      </c>
      <c r="G144" s="26" t="n">
        <v>0</v>
      </c>
      <c r="H144" s="1" t="s">
        <v>558</v>
      </c>
    </row>
    <row r="145" customFormat="false" ht="15" hidden="false" customHeight="true" outlineLevel="0" collapsed="false">
      <c r="A145" s="1" t="s">
        <v>444</v>
      </c>
      <c r="B145" s="1" t="s">
        <v>548</v>
      </c>
      <c r="C145" s="1" t="s">
        <v>566</v>
      </c>
      <c r="D145" s="1" t="s">
        <v>14</v>
      </c>
      <c r="E145" s="82" t="n">
        <v>0</v>
      </c>
      <c r="F145" s="26" t="n">
        <v>0</v>
      </c>
      <c r="G145" s="26" t="n">
        <v>0</v>
      </c>
      <c r="H145" s="1" t="s">
        <v>567</v>
      </c>
    </row>
    <row r="146" customFormat="false" ht="15" hidden="false" customHeight="true" outlineLevel="0" collapsed="false">
      <c r="A146" s="1" t="s">
        <v>444</v>
      </c>
      <c r="B146" s="1" t="s">
        <v>548</v>
      </c>
      <c r="C146" s="1" t="s">
        <v>568</v>
      </c>
      <c r="D146" s="1" t="s">
        <v>14</v>
      </c>
      <c r="E146" s="82" t="n">
        <v>0</v>
      </c>
      <c r="F146" s="26" t="n">
        <v>0</v>
      </c>
      <c r="G146" s="26" t="n">
        <v>0</v>
      </c>
      <c r="H146" s="1" t="s">
        <v>567</v>
      </c>
    </row>
    <row r="147" customFormat="false" ht="15" hidden="false" customHeight="true" outlineLevel="0" collapsed="false">
      <c r="A147" s="1" t="s">
        <v>444</v>
      </c>
      <c r="B147" s="1" t="s">
        <v>548</v>
      </c>
      <c r="C147" s="1" t="s">
        <v>569</v>
      </c>
      <c r="D147" s="1" t="s">
        <v>14</v>
      </c>
      <c r="E147" s="82" t="n">
        <v>1</v>
      </c>
      <c r="F147" s="26" t="n">
        <v>2438.04</v>
      </c>
      <c r="G147" s="26" t="n">
        <v>2438.04</v>
      </c>
      <c r="H147" s="1" t="s">
        <v>570</v>
      </c>
    </row>
    <row r="148" customFormat="false" ht="15" hidden="false" customHeight="true" outlineLevel="0" collapsed="false">
      <c r="A148" s="1" t="s">
        <v>444</v>
      </c>
      <c r="B148" s="1" t="s">
        <v>548</v>
      </c>
      <c r="C148" s="1" t="s">
        <v>551</v>
      </c>
      <c r="D148" s="1" t="s">
        <v>15</v>
      </c>
      <c r="E148" s="82" t="n">
        <v>0</v>
      </c>
      <c r="F148" s="26" t="n">
        <v>0</v>
      </c>
      <c r="G148" s="26" t="n">
        <v>0</v>
      </c>
      <c r="H148" s="1" t="s">
        <v>558</v>
      </c>
    </row>
    <row r="149" customFormat="false" ht="15" hidden="false" customHeight="true" outlineLevel="0" collapsed="false">
      <c r="A149" s="1" t="s">
        <v>444</v>
      </c>
      <c r="B149" s="1" t="s">
        <v>548</v>
      </c>
      <c r="C149" s="1" t="s">
        <v>555</v>
      </c>
      <c r="D149" s="1" t="s">
        <v>15</v>
      </c>
      <c r="E149" s="82" t="n">
        <v>0</v>
      </c>
      <c r="F149" s="26" t="n">
        <v>0</v>
      </c>
      <c r="G149" s="26" t="n">
        <v>0</v>
      </c>
      <c r="H149" s="1" t="s">
        <v>571</v>
      </c>
    </row>
    <row r="150" customFormat="false" ht="15" hidden="false" customHeight="true" outlineLevel="0" collapsed="false">
      <c r="A150" s="1" t="s">
        <v>444</v>
      </c>
      <c r="B150" s="1" t="s">
        <v>548</v>
      </c>
      <c r="C150" s="1" t="s">
        <v>572</v>
      </c>
      <c r="D150" s="1" t="s">
        <v>13</v>
      </c>
      <c r="E150" s="82" t="n">
        <v>0</v>
      </c>
      <c r="F150" s="26" t="n">
        <v>0</v>
      </c>
      <c r="G150" s="26" t="n">
        <v>0</v>
      </c>
      <c r="H150" s="1" t="s">
        <v>573</v>
      </c>
    </row>
    <row r="151" customFormat="false" ht="15" hidden="false" customHeight="true" outlineLevel="0" collapsed="false">
      <c r="A151" s="1" t="s">
        <v>444</v>
      </c>
      <c r="B151" s="1" t="s">
        <v>548</v>
      </c>
      <c r="C151" s="1" t="s">
        <v>574</v>
      </c>
      <c r="D151" s="1" t="s">
        <v>13</v>
      </c>
      <c r="E151" s="82" t="n">
        <v>0</v>
      </c>
      <c r="F151" s="26" t="n">
        <v>0</v>
      </c>
      <c r="G151" s="26" t="n">
        <v>0</v>
      </c>
      <c r="H151" s="1" t="s">
        <v>550</v>
      </c>
    </row>
    <row r="152" customFormat="false" ht="15" hidden="false" customHeight="true" outlineLevel="0" collapsed="false">
      <c r="A152" s="1" t="s">
        <v>444</v>
      </c>
      <c r="B152" s="1" t="s">
        <v>548</v>
      </c>
      <c r="C152" s="1" t="s">
        <v>575</v>
      </c>
      <c r="D152" s="1" t="s">
        <v>13</v>
      </c>
      <c r="E152" s="82" t="n">
        <v>0</v>
      </c>
      <c r="F152" s="26" t="n">
        <v>0</v>
      </c>
      <c r="G152" s="26" t="n">
        <v>0</v>
      </c>
      <c r="H152" s="1" t="s">
        <v>554</v>
      </c>
    </row>
    <row r="153" customFormat="false" ht="15" hidden="false" customHeight="true" outlineLevel="0" collapsed="false">
      <c r="A153" s="1" t="s">
        <v>444</v>
      </c>
      <c r="B153" s="1" t="s">
        <v>548</v>
      </c>
      <c r="C153" s="1" t="s">
        <v>576</v>
      </c>
      <c r="D153" s="1" t="s">
        <v>13</v>
      </c>
      <c r="E153" s="82" t="n">
        <v>0</v>
      </c>
      <c r="F153" s="26" t="n">
        <v>0</v>
      </c>
      <c r="G153" s="26" t="n">
        <v>0</v>
      </c>
      <c r="H153" s="1" t="s">
        <v>560</v>
      </c>
    </row>
    <row r="154" customFormat="false" ht="15" hidden="false" customHeight="true" outlineLevel="0" collapsed="false">
      <c r="A154" s="1" t="s">
        <v>444</v>
      </c>
      <c r="B154" s="1" t="s">
        <v>548</v>
      </c>
      <c r="C154" s="1" t="s">
        <v>572</v>
      </c>
      <c r="D154" s="1" t="s">
        <v>16</v>
      </c>
      <c r="E154" s="82" t="n">
        <v>0</v>
      </c>
      <c r="F154" s="26" t="n">
        <v>0</v>
      </c>
      <c r="G154" s="26" t="n">
        <v>0</v>
      </c>
      <c r="H154" s="1" t="s">
        <v>558</v>
      </c>
    </row>
    <row r="155" customFormat="false" ht="15" hidden="false" customHeight="true" outlineLevel="0" collapsed="false">
      <c r="A155" s="1" t="s">
        <v>444</v>
      </c>
      <c r="B155" s="1" t="s">
        <v>548</v>
      </c>
      <c r="C155" s="1" t="s">
        <v>577</v>
      </c>
      <c r="D155" s="1" t="s">
        <v>16</v>
      </c>
      <c r="E155" s="82" t="n">
        <v>0</v>
      </c>
      <c r="F155" s="26" t="n">
        <v>0</v>
      </c>
      <c r="G155" s="26" t="n">
        <v>0</v>
      </c>
      <c r="H155" s="1" t="s">
        <v>558</v>
      </c>
    </row>
    <row r="156" customFormat="false" ht="15" hidden="false" customHeight="true" outlineLevel="0" collapsed="false">
      <c r="A156" s="1" t="s">
        <v>444</v>
      </c>
      <c r="B156" s="1" t="s">
        <v>548</v>
      </c>
      <c r="C156" s="1" t="s">
        <v>578</v>
      </c>
      <c r="D156" s="1" t="s">
        <v>16</v>
      </c>
      <c r="E156" s="82" t="n">
        <v>0</v>
      </c>
      <c r="F156" s="26" t="n">
        <v>0</v>
      </c>
      <c r="G156" s="26" t="n">
        <v>0</v>
      </c>
      <c r="H156" s="1" t="s">
        <v>571</v>
      </c>
    </row>
    <row r="157" customFormat="false" ht="15" hidden="false" customHeight="true" outlineLevel="0" collapsed="false">
      <c r="A157" s="1" t="s">
        <v>444</v>
      </c>
      <c r="B157" s="1" t="s">
        <v>548</v>
      </c>
      <c r="C157" s="1" t="s">
        <v>576</v>
      </c>
      <c r="D157" s="1" t="s">
        <v>16</v>
      </c>
      <c r="E157" s="82" t="n">
        <v>0</v>
      </c>
      <c r="F157" s="26" t="n">
        <v>0</v>
      </c>
      <c r="G157" s="26" t="n">
        <v>0</v>
      </c>
      <c r="H157" s="1" t="s">
        <v>579</v>
      </c>
    </row>
    <row r="158" customFormat="false" ht="15" hidden="false" customHeight="true" outlineLevel="0" collapsed="false">
      <c r="A158" s="1" t="s">
        <v>444</v>
      </c>
      <c r="B158" s="1" t="s">
        <v>548</v>
      </c>
      <c r="C158" s="1" t="s">
        <v>580</v>
      </c>
      <c r="D158" s="1" t="s">
        <v>17</v>
      </c>
      <c r="E158" s="82" t="n">
        <v>4782</v>
      </c>
      <c r="F158" s="26" t="n">
        <v>1.01</v>
      </c>
      <c r="G158" s="26" t="n">
        <v>4829.82</v>
      </c>
      <c r="H158" s="1" t="s">
        <v>446</v>
      </c>
    </row>
    <row r="159" customFormat="false" ht="15" hidden="false" customHeight="true" outlineLevel="0" collapsed="false">
      <c r="A159" s="1" t="s">
        <v>444</v>
      </c>
      <c r="B159" s="1" t="s">
        <v>548</v>
      </c>
      <c r="C159" s="1" t="s">
        <v>581</v>
      </c>
      <c r="D159" s="1" t="s">
        <v>17</v>
      </c>
      <c r="E159" s="82" t="n">
        <v>1</v>
      </c>
      <c r="F159" s="26" t="n">
        <v>2480.38</v>
      </c>
      <c r="G159" s="26" t="n">
        <v>2480.38</v>
      </c>
      <c r="H159" s="1" t="s">
        <v>558</v>
      </c>
    </row>
    <row r="160" customFormat="false" ht="15" hidden="false" customHeight="true" outlineLevel="0" collapsed="false">
      <c r="A160" s="1" t="s">
        <v>444</v>
      </c>
      <c r="B160" s="1" t="s">
        <v>548</v>
      </c>
      <c r="C160" s="1" t="s">
        <v>582</v>
      </c>
      <c r="D160" s="1" t="s">
        <v>17</v>
      </c>
      <c r="E160" s="82" t="n">
        <v>0</v>
      </c>
      <c r="F160" s="26" t="n">
        <v>0</v>
      </c>
      <c r="G160" s="26" t="n">
        <v>0</v>
      </c>
      <c r="H160" s="1" t="s">
        <v>558</v>
      </c>
    </row>
    <row r="161" customFormat="false" ht="15" hidden="false" customHeight="true" outlineLevel="0" collapsed="false">
      <c r="A161" s="1" t="s">
        <v>444</v>
      </c>
      <c r="B161" s="1" t="s">
        <v>548</v>
      </c>
      <c r="C161" s="1" t="s">
        <v>583</v>
      </c>
      <c r="D161" s="1" t="s">
        <v>17</v>
      </c>
      <c r="E161" s="82" t="n">
        <v>1</v>
      </c>
      <c r="F161" s="26" t="n">
        <v>13877.08</v>
      </c>
      <c r="G161" s="26" t="n">
        <v>13877.08</v>
      </c>
      <c r="H161" s="1" t="s">
        <v>579</v>
      </c>
    </row>
    <row r="162" customFormat="false" ht="15" hidden="false" customHeight="true" outlineLevel="0" collapsed="false">
      <c r="A162" s="1" t="s">
        <v>444</v>
      </c>
      <c r="B162" s="1" t="s">
        <v>548</v>
      </c>
      <c r="C162" s="1" t="s">
        <v>584</v>
      </c>
      <c r="D162" s="1" t="s">
        <v>17</v>
      </c>
      <c r="E162" s="82" t="n">
        <v>0</v>
      </c>
      <c r="F162" s="26" t="n">
        <v>0</v>
      </c>
      <c r="G162" s="26" t="n">
        <v>0</v>
      </c>
      <c r="H162" s="1" t="s">
        <v>571</v>
      </c>
    </row>
    <row r="163" customFormat="false" ht="15" hidden="false" customHeight="true" outlineLevel="0" collapsed="false">
      <c r="A163" s="1" t="s">
        <v>444</v>
      </c>
      <c r="B163" s="1" t="s">
        <v>585</v>
      </c>
      <c r="C163" s="1" t="s">
        <v>586</v>
      </c>
      <c r="D163" s="1" t="s">
        <v>12</v>
      </c>
      <c r="E163" s="82" t="n">
        <v>1</v>
      </c>
      <c r="F163" s="26" t="n">
        <v>238.88</v>
      </c>
      <c r="G163" s="26" t="n">
        <v>238.88</v>
      </c>
      <c r="H163" s="1" t="s">
        <v>587</v>
      </c>
    </row>
    <row r="164" customFormat="false" ht="15" hidden="false" customHeight="true" outlineLevel="0" collapsed="false">
      <c r="A164" s="1" t="s">
        <v>444</v>
      </c>
      <c r="B164" s="1" t="s">
        <v>585</v>
      </c>
      <c r="C164" s="1" t="s">
        <v>588</v>
      </c>
      <c r="D164" s="1" t="s">
        <v>12</v>
      </c>
      <c r="E164" s="82" t="n">
        <v>1</v>
      </c>
      <c r="F164" s="26" t="n">
        <v>609.17</v>
      </c>
      <c r="G164" s="26" t="n">
        <v>609.17</v>
      </c>
      <c r="H164" s="1" t="s">
        <v>587</v>
      </c>
    </row>
    <row r="165" customFormat="false" ht="15" hidden="false" customHeight="true" outlineLevel="0" collapsed="false">
      <c r="A165" s="1" t="s">
        <v>444</v>
      </c>
      <c r="B165" s="1" t="s">
        <v>585</v>
      </c>
      <c r="C165" s="1" t="s">
        <v>589</v>
      </c>
      <c r="D165" s="1" t="s">
        <v>12</v>
      </c>
      <c r="E165" s="82" t="n">
        <v>1</v>
      </c>
      <c r="F165" s="26" t="n">
        <v>510</v>
      </c>
      <c r="G165" s="26" t="n">
        <v>510</v>
      </c>
      <c r="H165" s="1" t="s">
        <v>587</v>
      </c>
    </row>
    <row r="166" customFormat="false" ht="15" hidden="false" customHeight="true" outlineLevel="0" collapsed="false">
      <c r="A166" s="1" t="s">
        <v>444</v>
      </c>
      <c r="B166" s="1" t="s">
        <v>585</v>
      </c>
      <c r="C166" s="1" t="s">
        <v>590</v>
      </c>
      <c r="D166" s="1" t="s">
        <v>12</v>
      </c>
      <c r="E166" s="82" t="n">
        <v>1</v>
      </c>
      <c r="F166" s="26" t="n">
        <v>333.1</v>
      </c>
      <c r="G166" s="26" t="n">
        <v>333.1</v>
      </c>
      <c r="H166" s="1" t="s">
        <v>591</v>
      </c>
    </row>
    <row r="167" customFormat="false" ht="15" hidden="false" customHeight="true" outlineLevel="0" collapsed="false">
      <c r="A167" s="1" t="s">
        <v>444</v>
      </c>
      <c r="B167" s="1" t="s">
        <v>585</v>
      </c>
      <c r="C167" s="1" t="s">
        <v>592</v>
      </c>
      <c r="D167" s="1" t="s">
        <v>12</v>
      </c>
      <c r="E167" s="82" t="n">
        <v>1</v>
      </c>
      <c r="F167" s="26" t="n">
        <v>1833.24</v>
      </c>
      <c r="G167" s="26" t="n">
        <v>1833.24</v>
      </c>
      <c r="H167" s="1" t="s">
        <v>587</v>
      </c>
    </row>
    <row r="168" customFormat="false" ht="15" hidden="false" customHeight="true" outlineLevel="0" collapsed="false">
      <c r="A168" s="1" t="s">
        <v>444</v>
      </c>
      <c r="B168" s="1" t="s">
        <v>585</v>
      </c>
      <c r="C168" s="1" t="s">
        <v>593</v>
      </c>
      <c r="D168" s="1" t="s">
        <v>12</v>
      </c>
      <c r="E168" s="82" t="n">
        <v>1</v>
      </c>
      <c r="F168" s="26" t="n">
        <v>2973.2</v>
      </c>
      <c r="G168" s="26" t="n">
        <v>2973.2</v>
      </c>
      <c r="H168" s="1" t="s">
        <v>587</v>
      </c>
    </row>
    <row r="169" customFormat="false" ht="15" hidden="false" customHeight="true" outlineLevel="0" collapsed="false">
      <c r="A169" s="1" t="s">
        <v>444</v>
      </c>
      <c r="B169" s="1" t="s">
        <v>585</v>
      </c>
      <c r="C169" s="1" t="s">
        <v>594</v>
      </c>
      <c r="D169" s="1" t="s">
        <v>12</v>
      </c>
      <c r="E169" s="82" t="n">
        <v>1</v>
      </c>
      <c r="F169" s="26" t="n">
        <v>7615.46</v>
      </c>
      <c r="G169" s="26" t="n">
        <v>7615.46</v>
      </c>
      <c r="H169" s="1" t="s">
        <v>587</v>
      </c>
    </row>
    <row r="170" customFormat="false" ht="15" hidden="false" customHeight="true" outlineLevel="0" collapsed="false">
      <c r="A170" s="1" t="s">
        <v>444</v>
      </c>
      <c r="B170" s="1" t="s">
        <v>585</v>
      </c>
      <c r="C170" s="1" t="s">
        <v>595</v>
      </c>
      <c r="D170" s="1" t="s">
        <v>15</v>
      </c>
      <c r="E170" s="82" t="n">
        <v>-1</v>
      </c>
      <c r="F170" s="26" t="n">
        <v>837.25</v>
      </c>
      <c r="G170" s="26" t="n">
        <v>-837.25</v>
      </c>
      <c r="H170" s="1" t="s">
        <v>596</v>
      </c>
    </row>
    <row r="171" customFormat="false" ht="15" hidden="false" customHeight="true" outlineLevel="0" collapsed="false">
      <c r="A171" s="1" t="s">
        <v>444</v>
      </c>
      <c r="B171" s="1" t="s">
        <v>585</v>
      </c>
      <c r="C171" s="1" t="s">
        <v>586</v>
      </c>
      <c r="D171" s="1" t="s">
        <v>15</v>
      </c>
      <c r="E171" s="82" t="n">
        <v>-1</v>
      </c>
      <c r="F171" s="26" t="n">
        <v>238.88</v>
      </c>
      <c r="G171" s="26" t="n">
        <v>-238.88</v>
      </c>
      <c r="H171" s="1" t="s">
        <v>597</v>
      </c>
    </row>
    <row r="172" customFormat="false" ht="15" hidden="false" customHeight="true" outlineLevel="0" collapsed="false">
      <c r="A172" s="1" t="s">
        <v>444</v>
      </c>
      <c r="B172" s="1" t="s">
        <v>585</v>
      </c>
      <c r="C172" s="1" t="s">
        <v>589</v>
      </c>
      <c r="D172" s="1" t="s">
        <v>17</v>
      </c>
      <c r="E172" s="82" t="n">
        <v>1</v>
      </c>
      <c r="F172" s="26" t="n">
        <v>67.33</v>
      </c>
      <c r="G172" s="26" t="n">
        <v>67.33</v>
      </c>
      <c r="H172" s="1" t="s">
        <v>598</v>
      </c>
    </row>
    <row r="173" customFormat="false" ht="15" hidden="false" customHeight="true" outlineLevel="0" collapsed="false">
      <c r="A173" s="1" t="s">
        <v>444</v>
      </c>
      <c r="B173" s="1" t="s">
        <v>585</v>
      </c>
      <c r="C173" s="1" t="s">
        <v>589</v>
      </c>
      <c r="D173" s="1" t="s">
        <v>17</v>
      </c>
      <c r="E173" s="82" t="n">
        <v>-1</v>
      </c>
      <c r="F173" s="26" t="n">
        <v>510</v>
      </c>
      <c r="G173" s="26" t="n">
        <v>-510</v>
      </c>
      <c r="H173" s="1" t="s">
        <v>587</v>
      </c>
    </row>
    <row r="174" customFormat="false" ht="15" hidden="false" customHeight="true" outlineLevel="0" collapsed="false">
      <c r="A174" s="1" t="s">
        <v>444</v>
      </c>
      <c r="B174" s="1" t="s">
        <v>47</v>
      </c>
      <c r="C174" s="1" t="s">
        <v>525</v>
      </c>
      <c r="D174" s="1" t="s">
        <v>10</v>
      </c>
      <c r="E174" s="82" t="n">
        <v>1</v>
      </c>
      <c r="F174" s="26" t="n">
        <v>1583.45</v>
      </c>
      <c r="G174" s="26" t="n">
        <v>1583.45</v>
      </c>
      <c r="H174" s="1" t="s">
        <v>599</v>
      </c>
    </row>
    <row r="175" customFormat="false" ht="15" hidden="false" customHeight="true" outlineLevel="0" collapsed="false">
      <c r="A175" s="1" t="s">
        <v>444</v>
      </c>
      <c r="B175" s="1" t="s">
        <v>47</v>
      </c>
      <c r="C175" s="1" t="s">
        <v>525</v>
      </c>
      <c r="D175" s="1" t="s">
        <v>12</v>
      </c>
      <c r="E175" s="82" t="n">
        <v>1</v>
      </c>
      <c r="F175" s="26" t="n">
        <v>1138.52</v>
      </c>
      <c r="G175" s="26" t="n">
        <v>1138.52</v>
      </c>
      <c r="H175" s="1" t="s">
        <v>600</v>
      </c>
    </row>
    <row r="176" customFormat="false" ht="15" hidden="false" customHeight="true" outlineLevel="0" collapsed="false">
      <c r="A176" s="1" t="s">
        <v>444</v>
      </c>
      <c r="B176" s="1" t="s">
        <v>47</v>
      </c>
      <c r="C176" s="1" t="s">
        <v>525</v>
      </c>
      <c r="D176" s="1" t="s">
        <v>14</v>
      </c>
      <c r="E176" s="82" t="n">
        <v>0</v>
      </c>
      <c r="F176" s="26" t="n">
        <v>0</v>
      </c>
      <c r="G176" s="26" t="n">
        <v>0</v>
      </c>
      <c r="H176" s="1" t="s">
        <v>601</v>
      </c>
    </row>
    <row r="177" customFormat="false" ht="15" hidden="false" customHeight="true" outlineLevel="0" collapsed="false">
      <c r="A177" s="1" t="s">
        <v>444</v>
      </c>
      <c r="B177" s="1" t="s">
        <v>47</v>
      </c>
      <c r="C177" s="1" t="s">
        <v>525</v>
      </c>
      <c r="D177" s="1" t="s">
        <v>15</v>
      </c>
      <c r="E177" s="82" t="n">
        <v>1</v>
      </c>
      <c r="F177" s="26" t="n">
        <v>1989.74</v>
      </c>
      <c r="G177" s="26" t="n">
        <v>1989.74</v>
      </c>
      <c r="H177" s="1" t="s">
        <v>602</v>
      </c>
    </row>
    <row r="178" customFormat="false" ht="15" hidden="false" customHeight="true" outlineLevel="0" collapsed="false">
      <c r="A178" s="1" t="s">
        <v>444</v>
      </c>
      <c r="B178" s="1" t="s">
        <v>47</v>
      </c>
      <c r="C178" s="1" t="s">
        <v>525</v>
      </c>
      <c r="D178" s="1" t="s">
        <v>13</v>
      </c>
      <c r="E178" s="82" t="n">
        <v>0</v>
      </c>
      <c r="F178" s="26" t="n">
        <v>0</v>
      </c>
      <c r="G178" s="26" t="n">
        <v>0</v>
      </c>
      <c r="H178" s="1" t="s">
        <v>603</v>
      </c>
    </row>
    <row r="179" customFormat="false" ht="15" hidden="false" customHeight="true" outlineLevel="0" collapsed="false">
      <c r="A179" s="1" t="s">
        <v>444</v>
      </c>
      <c r="B179" s="1" t="s">
        <v>47</v>
      </c>
      <c r="C179" s="1" t="s">
        <v>525</v>
      </c>
      <c r="D179" s="1" t="s">
        <v>16</v>
      </c>
      <c r="E179" s="82" t="n">
        <v>0</v>
      </c>
      <c r="F179" s="26" t="n">
        <v>0</v>
      </c>
      <c r="G179" s="26" t="n">
        <v>0</v>
      </c>
      <c r="H179" s="1" t="s">
        <v>601</v>
      </c>
    </row>
    <row r="180" customFormat="false" ht="15" hidden="false" customHeight="true" outlineLevel="0" collapsed="false">
      <c r="A180" s="1" t="s">
        <v>444</v>
      </c>
      <c r="B180" s="1" t="s">
        <v>85</v>
      </c>
      <c r="C180" s="1" t="s">
        <v>604</v>
      </c>
      <c r="D180" s="1" t="s">
        <v>18</v>
      </c>
      <c r="E180" s="82" t="n">
        <v>119</v>
      </c>
      <c r="F180" s="26" t="n">
        <v>122.31</v>
      </c>
      <c r="G180" s="26" t="n">
        <v>14554.89</v>
      </c>
      <c r="H180" s="1" t="s">
        <v>605</v>
      </c>
    </row>
    <row r="181" customFormat="false" ht="15" hidden="false" customHeight="true" outlineLevel="0" collapsed="false">
      <c r="A181" s="1" t="s">
        <v>444</v>
      </c>
      <c r="B181" s="1" t="s">
        <v>85</v>
      </c>
      <c r="C181" s="1" t="s">
        <v>604</v>
      </c>
      <c r="D181" s="1" t="s">
        <v>10</v>
      </c>
      <c r="E181" s="82" t="n">
        <v>4</v>
      </c>
      <c r="F181" s="26" t="n">
        <v>127.35</v>
      </c>
      <c r="G181" s="26" t="n">
        <v>509.4</v>
      </c>
      <c r="H181" s="1" t="s">
        <v>605</v>
      </c>
    </row>
    <row r="182" customFormat="false" ht="15" hidden="false" customHeight="true" outlineLevel="0" collapsed="false">
      <c r="A182" s="1" t="s">
        <v>444</v>
      </c>
      <c r="B182" s="1" t="s">
        <v>85</v>
      </c>
      <c r="C182" s="1" t="s">
        <v>604</v>
      </c>
      <c r="D182" s="1" t="s">
        <v>12</v>
      </c>
      <c r="E182" s="82" t="n">
        <v>18</v>
      </c>
      <c r="F182" s="26" t="n">
        <v>128.18</v>
      </c>
      <c r="G182" s="26" t="n">
        <v>2307.24</v>
      </c>
      <c r="H182" s="1" t="s">
        <v>605</v>
      </c>
    </row>
    <row r="183" customFormat="false" ht="15" hidden="false" customHeight="true" outlineLevel="0" collapsed="false">
      <c r="A183" s="1" t="s">
        <v>444</v>
      </c>
      <c r="B183" s="1" t="s">
        <v>85</v>
      </c>
      <c r="C183" s="1" t="s">
        <v>604</v>
      </c>
      <c r="D183" s="1" t="s">
        <v>14</v>
      </c>
      <c r="E183" s="82" t="n">
        <v>11</v>
      </c>
      <c r="F183" s="26" t="n">
        <v>122.58</v>
      </c>
      <c r="G183" s="26" t="n">
        <v>1348.38</v>
      </c>
      <c r="H183" s="1" t="s">
        <v>605</v>
      </c>
    </row>
    <row r="184" customFormat="false" ht="15" hidden="false" customHeight="true" outlineLevel="0" collapsed="false">
      <c r="A184" s="1" t="s">
        <v>444</v>
      </c>
      <c r="B184" s="1" t="s">
        <v>85</v>
      </c>
      <c r="C184" s="1" t="s">
        <v>604</v>
      </c>
      <c r="D184" s="1" t="s">
        <v>15</v>
      </c>
      <c r="E184" s="82" t="n">
        <v>20</v>
      </c>
      <c r="F184" s="26" t="n">
        <v>134.1</v>
      </c>
      <c r="G184" s="26" t="n">
        <v>2682</v>
      </c>
      <c r="H184" s="1" t="s">
        <v>605</v>
      </c>
    </row>
    <row r="185" customFormat="false" ht="15" hidden="false" customHeight="true" outlineLevel="0" collapsed="false">
      <c r="A185" s="1" t="s">
        <v>444</v>
      </c>
      <c r="B185" s="1" t="s">
        <v>85</v>
      </c>
      <c r="C185" s="1" t="s">
        <v>604</v>
      </c>
      <c r="D185" s="1" t="s">
        <v>15</v>
      </c>
      <c r="E185" s="82" t="n">
        <v>1</v>
      </c>
      <c r="F185" s="26" t="n">
        <v>119.85</v>
      </c>
      <c r="G185" s="26" t="n">
        <v>119.85</v>
      </c>
      <c r="H185" s="1" t="s">
        <v>606</v>
      </c>
    </row>
    <row r="186" customFormat="false" ht="15" hidden="false" customHeight="true" outlineLevel="0" collapsed="false">
      <c r="A186" s="1" t="s">
        <v>444</v>
      </c>
      <c r="B186" s="1" t="s">
        <v>85</v>
      </c>
      <c r="C186" s="1" t="s">
        <v>604</v>
      </c>
      <c r="D186" s="1" t="s">
        <v>13</v>
      </c>
      <c r="E186" s="82" t="n">
        <v>4</v>
      </c>
      <c r="F186" s="26" t="n">
        <v>119.85</v>
      </c>
      <c r="G186" s="26" t="n">
        <v>479.4</v>
      </c>
      <c r="H186" s="1" t="s">
        <v>605</v>
      </c>
    </row>
    <row r="187" customFormat="false" ht="15" hidden="false" customHeight="true" outlineLevel="0" collapsed="false">
      <c r="A187" s="1" t="s">
        <v>444</v>
      </c>
      <c r="B187" s="1" t="s">
        <v>85</v>
      </c>
      <c r="C187" s="1" t="s">
        <v>604</v>
      </c>
      <c r="D187" s="1" t="s">
        <v>16</v>
      </c>
      <c r="E187" s="82" t="n">
        <v>0</v>
      </c>
      <c r="F187" s="26" t="n">
        <v>0</v>
      </c>
      <c r="G187" s="26" t="n">
        <v>0</v>
      </c>
      <c r="H187" s="1" t="s">
        <v>607</v>
      </c>
    </row>
    <row r="188" customFormat="false" ht="15" hidden="false" customHeight="true" outlineLevel="0" collapsed="false">
      <c r="A188" s="1" t="s">
        <v>444</v>
      </c>
      <c r="B188" s="1" t="s">
        <v>85</v>
      </c>
      <c r="C188" s="1" t="s">
        <v>604</v>
      </c>
      <c r="D188" s="1" t="s">
        <v>17</v>
      </c>
      <c r="E188" s="82" t="n">
        <v>8</v>
      </c>
      <c r="F188" s="26" t="n">
        <v>123.6</v>
      </c>
      <c r="G188" s="26" t="n">
        <v>988.8</v>
      </c>
      <c r="H188" s="1" t="s">
        <v>605</v>
      </c>
    </row>
    <row r="189" customFormat="false" ht="15" hidden="false" customHeight="true" outlineLevel="0" collapsed="false">
      <c r="A189" s="1" t="s">
        <v>444</v>
      </c>
      <c r="B189" s="1" t="s">
        <v>32</v>
      </c>
      <c r="C189" s="1" t="s">
        <v>608</v>
      </c>
      <c r="D189" s="1" t="s">
        <v>10</v>
      </c>
      <c r="E189" s="82" t="n">
        <v>0</v>
      </c>
      <c r="F189" s="26" t="n">
        <v>0</v>
      </c>
      <c r="G189" s="26" t="n">
        <v>0</v>
      </c>
      <c r="H189" s="1" t="s">
        <v>609</v>
      </c>
    </row>
    <row r="190" customFormat="false" ht="15" hidden="false" customHeight="true" outlineLevel="0" collapsed="false">
      <c r="A190" s="1" t="s">
        <v>444</v>
      </c>
      <c r="B190" s="1" t="s">
        <v>32</v>
      </c>
      <c r="C190" s="1" t="s">
        <v>610</v>
      </c>
      <c r="D190" s="1" t="s">
        <v>10</v>
      </c>
      <c r="E190" s="82" t="n">
        <v>0</v>
      </c>
      <c r="F190" s="26" t="n">
        <v>0</v>
      </c>
      <c r="G190" s="26" t="n">
        <v>0</v>
      </c>
      <c r="H190" s="1" t="s">
        <v>611</v>
      </c>
    </row>
    <row r="191" customFormat="false" ht="15" hidden="false" customHeight="true" outlineLevel="0" collapsed="false">
      <c r="A191" s="1" t="s">
        <v>444</v>
      </c>
      <c r="B191" s="1" t="s">
        <v>32</v>
      </c>
      <c r="C191" s="1" t="s">
        <v>608</v>
      </c>
      <c r="D191" s="1" t="s">
        <v>14</v>
      </c>
      <c r="E191" s="82" t="n">
        <v>0</v>
      </c>
      <c r="F191" s="26" t="n">
        <v>0</v>
      </c>
      <c r="G191" s="26" t="n">
        <v>0</v>
      </c>
      <c r="H191" s="1" t="s">
        <v>609</v>
      </c>
    </row>
    <row r="192" customFormat="false" ht="15" hidden="false" customHeight="true" outlineLevel="0" collapsed="false">
      <c r="A192" s="1" t="s">
        <v>444</v>
      </c>
      <c r="B192" s="1" t="s">
        <v>32</v>
      </c>
      <c r="C192" s="1" t="s">
        <v>610</v>
      </c>
      <c r="D192" s="1" t="s">
        <v>14</v>
      </c>
      <c r="E192" s="82" t="n">
        <v>0</v>
      </c>
      <c r="F192" s="26" t="n">
        <v>0</v>
      </c>
      <c r="G192" s="26" t="n">
        <v>0</v>
      </c>
      <c r="H192" s="1" t="s">
        <v>612</v>
      </c>
    </row>
    <row r="193" customFormat="false" ht="15" hidden="false" customHeight="true" outlineLevel="0" collapsed="false">
      <c r="A193" s="1" t="s">
        <v>444</v>
      </c>
      <c r="B193" s="1" t="s">
        <v>32</v>
      </c>
      <c r="C193" s="1" t="s">
        <v>608</v>
      </c>
      <c r="D193" s="1" t="s">
        <v>15</v>
      </c>
      <c r="E193" s="82" t="n">
        <v>0</v>
      </c>
      <c r="F193" s="26" t="n">
        <v>0</v>
      </c>
      <c r="G193" s="26" t="n">
        <v>0</v>
      </c>
      <c r="H193" s="1" t="s">
        <v>609</v>
      </c>
    </row>
    <row r="194" customFormat="false" ht="15" hidden="false" customHeight="true" outlineLevel="0" collapsed="false">
      <c r="A194" s="1" t="s">
        <v>444</v>
      </c>
      <c r="B194" s="1" t="s">
        <v>32</v>
      </c>
      <c r="C194" s="1" t="s">
        <v>608</v>
      </c>
      <c r="D194" s="1" t="s">
        <v>13</v>
      </c>
      <c r="E194" s="82" t="n">
        <v>0</v>
      </c>
      <c r="F194" s="26" t="n">
        <v>0</v>
      </c>
      <c r="G194" s="26" t="n">
        <v>0</v>
      </c>
      <c r="H194" s="1" t="s">
        <v>609</v>
      </c>
    </row>
    <row r="195" customFormat="false" ht="15" hidden="false" customHeight="true" outlineLevel="0" collapsed="false">
      <c r="A195" s="1" t="s">
        <v>444</v>
      </c>
      <c r="B195" s="1" t="s">
        <v>32</v>
      </c>
      <c r="C195" s="1" t="s">
        <v>610</v>
      </c>
      <c r="D195" s="1" t="s">
        <v>13</v>
      </c>
      <c r="E195" s="82" t="n">
        <v>0</v>
      </c>
      <c r="F195" s="26" t="n">
        <v>0</v>
      </c>
      <c r="G195" s="26" t="n">
        <v>0</v>
      </c>
      <c r="H195" s="1" t="s">
        <v>611</v>
      </c>
    </row>
    <row r="196" customFormat="false" ht="15" hidden="false" customHeight="true" outlineLevel="0" collapsed="false">
      <c r="A196" s="1" t="s">
        <v>444</v>
      </c>
      <c r="B196" s="1" t="s">
        <v>32</v>
      </c>
      <c r="C196" s="1" t="s">
        <v>608</v>
      </c>
      <c r="D196" s="1" t="s">
        <v>16</v>
      </c>
      <c r="E196" s="82" t="n">
        <v>0</v>
      </c>
      <c r="F196" s="26" t="n">
        <v>0</v>
      </c>
      <c r="G196" s="26" t="n">
        <v>0</v>
      </c>
      <c r="H196" s="1" t="s">
        <v>609</v>
      </c>
    </row>
    <row r="197" customFormat="false" ht="15" hidden="false" customHeight="true" outlineLevel="0" collapsed="false">
      <c r="A197" s="1" t="s">
        <v>444</v>
      </c>
      <c r="B197" s="1" t="s">
        <v>32</v>
      </c>
      <c r="C197" s="1" t="s">
        <v>608</v>
      </c>
      <c r="D197" s="1" t="s">
        <v>17</v>
      </c>
      <c r="E197" s="82" t="n">
        <v>0</v>
      </c>
      <c r="F197" s="26" t="n">
        <v>0</v>
      </c>
      <c r="G197" s="26" t="n">
        <v>0</v>
      </c>
      <c r="H197" s="1" t="s">
        <v>609</v>
      </c>
    </row>
    <row r="198" customFormat="false" ht="15" hidden="false" customHeight="true" outlineLevel="0" collapsed="false">
      <c r="A198" s="1" t="s">
        <v>444</v>
      </c>
      <c r="B198" s="1" t="s">
        <v>32</v>
      </c>
      <c r="C198" s="1" t="s">
        <v>610</v>
      </c>
      <c r="D198" s="1" t="s">
        <v>17</v>
      </c>
      <c r="E198" s="82" t="n">
        <v>0</v>
      </c>
      <c r="F198" s="26" t="n">
        <v>0</v>
      </c>
      <c r="G198" s="26" t="n">
        <v>0</v>
      </c>
      <c r="H198" s="1" t="s">
        <v>613</v>
      </c>
    </row>
    <row r="199" customFormat="false" ht="15" hidden="false" customHeight="true" outlineLevel="0" collapsed="false">
      <c r="A199" s="1" t="s">
        <v>444</v>
      </c>
      <c r="B199" s="1" t="s">
        <v>614</v>
      </c>
      <c r="C199" s="1" t="s">
        <v>615</v>
      </c>
      <c r="D199" s="1" t="s">
        <v>12</v>
      </c>
      <c r="E199" s="82" t="n">
        <v>13402</v>
      </c>
      <c r="F199" s="26" t="n">
        <v>2.35573300476439</v>
      </c>
      <c r="G199" s="26" t="n">
        <v>31571.53373</v>
      </c>
      <c r="H199" s="1" t="s">
        <v>446</v>
      </c>
    </row>
    <row r="200" customFormat="false" ht="15" hidden="false" customHeight="true" outlineLevel="0" collapsed="false">
      <c r="A200" s="1" t="s">
        <v>444</v>
      </c>
      <c r="B200" s="1" t="s">
        <v>44</v>
      </c>
      <c r="C200" s="1" t="s">
        <v>616</v>
      </c>
      <c r="D200" s="1" t="s">
        <v>10</v>
      </c>
      <c r="E200" s="82" t="n">
        <v>1</v>
      </c>
      <c r="F200" s="26" t="n">
        <v>4343.82</v>
      </c>
      <c r="G200" s="26" t="n">
        <v>4343.82</v>
      </c>
      <c r="H200" s="1" t="s">
        <v>617</v>
      </c>
    </row>
    <row r="201" customFormat="false" ht="15" hidden="false" customHeight="true" outlineLevel="0" collapsed="false">
      <c r="A201" s="1" t="s">
        <v>444</v>
      </c>
      <c r="B201" s="1" t="s">
        <v>44</v>
      </c>
      <c r="C201" s="1" t="s">
        <v>616</v>
      </c>
      <c r="D201" s="1" t="s">
        <v>12</v>
      </c>
      <c r="E201" s="82" t="n">
        <v>1</v>
      </c>
      <c r="F201" s="26" t="n">
        <v>4773.1</v>
      </c>
      <c r="G201" s="26" t="n">
        <v>4773.1</v>
      </c>
      <c r="H201" s="1" t="s">
        <v>617</v>
      </c>
    </row>
    <row r="202" customFormat="false" ht="15" hidden="false" customHeight="true" outlineLevel="0" collapsed="false">
      <c r="A202" s="1" t="s">
        <v>444</v>
      </c>
      <c r="B202" s="1" t="s">
        <v>44</v>
      </c>
      <c r="C202" s="1" t="s">
        <v>618</v>
      </c>
      <c r="D202" s="1" t="s">
        <v>12</v>
      </c>
      <c r="E202" s="82" t="n">
        <v>0</v>
      </c>
      <c r="F202" s="26" t="n">
        <v>0</v>
      </c>
      <c r="G202" s="26" t="n">
        <v>0</v>
      </c>
      <c r="H202" s="1" t="s">
        <v>619</v>
      </c>
    </row>
    <row r="203" customFormat="false" ht="15" hidden="false" customHeight="true" outlineLevel="0" collapsed="false">
      <c r="A203" s="1" t="s">
        <v>444</v>
      </c>
      <c r="B203" s="1" t="s">
        <v>44</v>
      </c>
      <c r="C203" s="1" t="s">
        <v>620</v>
      </c>
      <c r="D203" s="1" t="s">
        <v>12</v>
      </c>
      <c r="E203" s="82" t="n">
        <v>0</v>
      </c>
      <c r="F203" s="26" t="n">
        <v>0</v>
      </c>
      <c r="G203" s="26" t="n">
        <v>0</v>
      </c>
      <c r="H203" s="1" t="s">
        <v>621</v>
      </c>
    </row>
    <row r="204" customFormat="false" ht="15" hidden="false" customHeight="true" outlineLevel="0" collapsed="false">
      <c r="A204" s="1" t="s">
        <v>444</v>
      </c>
      <c r="B204" s="1" t="s">
        <v>44</v>
      </c>
      <c r="C204" s="1" t="s">
        <v>622</v>
      </c>
      <c r="D204" s="1" t="s">
        <v>12</v>
      </c>
      <c r="E204" s="82" t="n">
        <v>0</v>
      </c>
      <c r="F204" s="26" t="n">
        <v>0</v>
      </c>
      <c r="G204" s="26" t="n">
        <v>0</v>
      </c>
      <c r="H204" s="1" t="s">
        <v>623</v>
      </c>
    </row>
    <row r="205" customFormat="false" ht="15" hidden="false" customHeight="true" outlineLevel="0" collapsed="false">
      <c r="A205" s="1" t="s">
        <v>444</v>
      </c>
      <c r="B205" s="1" t="s">
        <v>44</v>
      </c>
      <c r="C205" s="1" t="s">
        <v>616</v>
      </c>
      <c r="D205" s="1" t="s">
        <v>14</v>
      </c>
      <c r="E205" s="82" t="n">
        <v>1</v>
      </c>
      <c r="F205" s="26" t="n">
        <v>1019.8</v>
      </c>
      <c r="G205" s="26" t="n">
        <v>1019.8</v>
      </c>
      <c r="H205" s="1" t="s">
        <v>617</v>
      </c>
    </row>
    <row r="206" customFormat="false" ht="15" hidden="false" customHeight="true" outlineLevel="0" collapsed="false">
      <c r="A206" s="1" t="s">
        <v>444</v>
      </c>
      <c r="B206" s="1" t="s">
        <v>44</v>
      </c>
      <c r="C206" s="1" t="s">
        <v>624</v>
      </c>
      <c r="D206" s="1" t="s">
        <v>14</v>
      </c>
      <c r="E206" s="82" t="n">
        <v>0</v>
      </c>
      <c r="F206" s="26" t="n">
        <v>0</v>
      </c>
      <c r="G206" s="26" t="n">
        <v>0</v>
      </c>
      <c r="H206" s="1" t="s">
        <v>619</v>
      </c>
    </row>
    <row r="207" customFormat="false" ht="15" hidden="false" customHeight="true" outlineLevel="0" collapsed="false">
      <c r="A207" s="1" t="s">
        <v>444</v>
      </c>
      <c r="B207" s="1" t="s">
        <v>44</v>
      </c>
      <c r="C207" s="1" t="s">
        <v>625</v>
      </c>
      <c r="D207" s="1" t="s">
        <v>14</v>
      </c>
      <c r="E207" s="82" t="n">
        <v>0</v>
      </c>
      <c r="F207" s="26" t="n">
        <v>0</v>
      </c>
      <c r="G207" s="26" t="n">
        <v>0</v>
      </c>
      <c r="H207" s="1" t="s">
        <v>623</v>
      </c>
    </row>
    <row r="208" customFormat="false" ht="15" hidden="false" customHeight="true" outlineLevel="0" collapsed="false">
      <c r="A208" s="1" t="s">
        <v>444</v>
      </c>
      <c r="B208" s="1" t="s">
        <v>44</v>
      </c>
      <c r="C208" s="1" t="s">
        <v>616</v>
      </c>
      <c r="D208" s="1" t="s">
        <v>15</v>
      </c>
      <c r="E208" s="82" t="n">
        <v>1</v>
      </c>
      <c r="F208" s="26" t="n">
        <v>2399.73</v>
      </c>
      <c r="G208" s="26" t="n">
        <v>2399.73</v>
      </c>
      <c r="H208" s="1" t="s">
        <v>617</v>
      </c>
    </row>
    <row r="209" customFormat="false" ht="15" hidden="false" customHeight="true" outlineLevel="0" collapsed="false">
      <c r="A209" s="1" t="s">
        <v>444</v>
      </c>
      <c r="B209" s="1" t="s">
        <v>44</v>
      </c>
      <c r="C209" s="1" t="s">
        <v>626</v>
      </c>
      <c r="D209" s="1" t="s">
        <v>15</v>
      </c>
      <c r="E209" s="82" t="n">
        <v>0</v>
      </c>
      <c r="F209" s="26" t="n">
        <v>0</v>
      </c>
      <c r="G209" s="26" t="n">
        <v>0</v>
      </c>
      <c r="H209" s="1" t="s">
        <v>619</v>
      </c>
    </row>
    <row r="210" customFormat="false" ht="15" hidden="false" customHeight="true" outlineLevel="0" collapsed="false">
      <c r="A210" s="1" t="s">
        <v>444</v>
      </c>
      <c r="B210" s="1" t="s">
        <v>44</v>
      </c>
      <c r="C210" s="1" t="s">
        <v>627</v>
      </c>
      <c r="D210" s="1" t="s">
        <v>15</v>
      </c>
      <c r="E210" s="82" t="n">
        <v>0</v>
      </c>
      <c r="F210" s="26" t="n">
        <v>0</v>
      </c>
      <c r="G210" s="26" t="n">
        <v>0</v>
      </c>
      <c r="H210" s="1" t="s">
        <v>619</v>
      </c>
    </row>
    <row r="211" customFormat="false" ht="15" hidden="false" customHeight="true" outlineLevel="0" collapsed="false">
      <c r="A211" s="1" t="s">
        <v>444</v>
      </c>
      <c r="B211" s="1" t="s">
        <v>44</v>
      </c>
      <c r="C211" s="1" t="s">
        <v>628</v>
      </c>
      <c r="D211" s="1" t="s">
        <v>15</v>
      </c>
      <c r="E211" s="82" t="n">
        <v>0</v>
      </c>
      <c r="F211" s="26" t="n">
        <v>0</v>
      </c>
      <c r="G211" s="26" t="n">
        <v>0</v>
      </c>
      <c r="H211" s="1" t="s">
        <v>623</v>
      </c>
    </row>
    <row r="212" customFormat="false" ht="15" hidden="false" customHeight="true" outlineLevel="0" collapsed="false">
      <c r="A212" s="1" t="s">
        <v>444</v>
      </c>
      <c r="B212" s="1" t="s">
        <v>44</v>
      </c>
      <c r="C212" s="1" t="s">
        <v>629</v>
      </c>
      <c r="D212" s="1" t="s">
        <v>15</v>
      </c>
      <c r="E212" s="82" t="n">
        <v>0</v>
      </c>
      <c r="F212" s="26" t="n">
        <v>0</v>
      </c>
      <c r="G212" s="26" t="n">
        <v>0</v>
      </c>
      <c r="H212" s="1" t="s">
        <v>623</v>
      </c>
    </row>
    <row r="213" customFormat="false" ht="15" hidden="false" customHeight="true" outlineLevel="0" collapsed="false">
      <c r="A213" s="1" t="s">
        <v>444</v>
      </c>
      <c r="B213" s="1" t="s">
        <v>44</v>
      </c>
      <c r="C213" s="1" t="s">
        <v>616</v>
      </c>
      <c r="D213" s="1" t="s">
        <v>13</v>
      </c>
      <c r="E213" s="82" t="n">
        <v>1</v>
      </c>
      <c r="F213" s="26" t="n">
        <v>4808.82</v>
      </c>
      <c r="G213" s="26" t="n">
        <v>4808.82</v>
      </c>
      <c r="H213" s="1" t="s">
        <v>630</v>
      </c>
    </row>
    <row r="214" customFormat="false" ht="15" hidden="false" customHeight="true" outlineLevel="0" collapsed="false">
      <c r="A214" s="1" t="s">
        <v>444</v>
      </c>
      <c r="B214" s="1" t="s">
        <v>44</v>
      </c>
      <c r="C214" s="1" t="s">
        <v>627</v>
      </c>
      <c r="D214" s="1" t="s">
        <v>13</v>
      </c>
      <c r="E214" s="82" t="n">
        <v>0</v>
      </c>
      <c r="F214" s="26" t="n">
        <v>0</v>
      </c>
      <c r="G214" s="26" t="n">
        <v>0</v>
      </c>
      <c r="H214" s="1" t="s">
        <v>623</v>
      </c>
    </row>
    <row r="215" customFormat="false" ht="15" hidden="false" customHeight="true" outlineLevel="0" collapsed="false">
      <c r="A215" s="1" t="s">
        <v>444</v>
      </c>
      <c r="B215" s="1" t="s">
        <v>44</v>
      </c>
      <c r="C215" s="1" t="s">
        <v>628</v>
      </c>
      <c r="D215" s="1" t="s">
        <v>13</v>
      </c>
      <c r="E215" s="82" t="n">
        <v>0</v>
      </c>
      <c r="F215" s="26" t="n">
        <v>0</v>
      </c>
      <c r="G215" s="26" t="n">
        <v>0</v>
      </c>
      <c r="H215" s="1" t="s">
        <v>623</v>
      </c>
    </row>
    <row r="216" customFormat="false" ht="15" hidden="false" customHeight="true" outlineLevel="0" collapsed="false">
      <c r="A216" s="1" t="s">
        <v>444</v>
      </c>
      <c r="B216" s="1" t="s">
        <v>44</v>
      </c>
      <c r="C216" s="1" t="s">
        <v>616</v>
      </c>
      <c r="D216" s="1" t="s">
        <v>16</v>
      </c>
      <c r="E216" s="82" t="n">
        <v>1</v>
      </c>
      <c r="F216" s="26" t="n">
        <v>111.44</v>
      </c>
      <c r="G216" s="26" t="n">
        <v>111.44</v>
      </c>
      <c r="H216" s="1" t="s">
        <v>617</v>
      </c>
    </row>
    <row r="217" customFormat="false" ht="15" hidden="false" customHeight="true" outlineLevel="0" collapsed="false">
      <c r="A217" s="1" t="s">
        <v>444</v>
      </c>
      <c r="B217" s="1" t="s">
        <v>44</v>
      </c>
      <c r="C217" s="1" t="s">
        <v>616</v>
      </c>
      <c r="D217" s="1" t="s">
        <v>17</v>
      </c>
      <c r="E217" s="82" t="n">
        <v>1</v>
      </c>
      <c r="F217" s="26" t="n">
        <v>4028.26</v>
      </c>
      <c r="G217" s="26" t="n">
        <v>4028.26</v>
      </c>
      <c r="H217" s="1" t="s">
        <v>617</v>
      </c>
    </row>
    <row r="218" customFormat="false" ht="15" hidden="false" customHeight="true" outlineLevel="0" collapsed="false">
      <c r="A218" s="1" t="s">
        <v>444</v>
      </c>
      <c r="B218" s="1" t="s">
        <v>44</v>
      </c>
      <c r="C218" s="1" t="s">
        <v>631</v>
      </c>
      <c r="D218" s="1" t="s">
        <v>17</v>
      </c>
      <c r="E218" s="82" t="n">
        <v>0</v>
      </c>
      <c r="F218" s="26" t="n">
        <v>0</v>
      </c>
      <c r="G218" s="26" t="n">
        <v>0</v>
      </c>
      <c r="H218" s="1" t="s">
        <v>619</v>
      </c>
    </row>
    <row r="219" customFormat="false" ht="15" hidden="false" customHeight="true" outlineLevel="0" collapsed="false">
      <c r="A219" s="1" t="s">
        <v>444</v>
      </c>
      <c r="B219" s="1" t="s">
        <v>44</v>
      </c>
      <c r="C219" s="1" t="s">
        <v>625</v>
      </c>
      <c r="D219" s="1" t="s">
        <v>17</v>
      </c>
      <c r="E219" s="82" t="n">
        <v>0</v>
      </c>
      <c r="F219" s="26" t="n">
        <v>0</v>
      </c>
      <c r="G219" s="26" t="n">
        <v>0</v>
      </c>
      <c r="H219" s="1" t="s">
        <v>623</v>
      </c>
    </row>
    <row r="220" customFormat="false" ht="15" hidden="false" customHeight="true" outlineLevel="0" collapsed="false">
      <c r="A220" s="1" t="s">
        <v>444</v>
      </c>
      <c r="B220" s="1" t="s">
        <v>87</v>
      </c>
      <c r="C220" s="1" t="s">
        <v>632</v>
      </c>
      <c r="D220" s="1" t="s">
        <v>10</v>
      </c>
      <c r="E220" s="82" t="n">
        <v>2</v>
      </c>
      <c r="F220" s="26" t="n">
        <v>50</v>
      </c>
      <c r="G220" s="26" t="n">
        <v>100</v>
      </c>
      <c r="H220" s="1" t="s">
        <v>633</v>
      </c>
    </row>
    <row r="221" customFormat="false" ht="15" hidden="false" customHeight="true" outlineLevel="0" collapsed="false">
      <c r="A221" s="1" t="s">
        <v>444</v>
      </c>
      <c r="B221" s="1" t="s">
        <v>87</v>
      </c>
      <c r="C221" s="1" t="s">
        <v>632</v>
      </c>
      <c r="D221" s="1" t="s">
        <v>14</v>
      </c>
      <c r="E221" s="82" t="n">
        <v>1</v>
      </c>
      <c r="F221" s="26" t="n">
        <v>10</v>
      </c>
      <c r="G221" s="26" t="n">
        <v>10</v>
      </c>
      <c r="H221" s="1" t="s">
        <v>633</v>
      </c>
    </row>
    <row r="222" customFormat="false" ht="15" hidden="false" customHeight="true" outlineLevel="0" collapsed="false">
      <c r="A222" s="1" t="s">
        <v>444</v>
      </c>
      <c r="B222" s="1" t="s">
        <v>87</v>
      </c>
      <c r="C222" s="1" t="s">
        <v>632</v>
      </c>
      <c r="D222" s="1" t="s">
        <v>15</v>
      </c>
      <c r="E222" s="82" t="n">
        <v>1</v>
      </c>
      <c r="F222" s="26" t="n">
        <v>10</v>
      </c>
      <c r="G222" s="26" t="n">
        <v>10</v>
      </c>
      <c r="H222" s="1" t="s">
        <v>633</v>
      </c>
    </row>
    <row r="223" customFormat="false" ht="15" hidden="false" customHeight="true" outlineLevel="0" collapsed="false">
      <c r="A223" s="1" t="s">
        <v>444</v>
      </c>
      <c r="B223" s="1" t="s">
        <v>87</v>
      </c>
      <c r="C223" s="1" t="s">
        <v>632</v>
      </c>
      <c r="D223" s="1" t="s">
        <v>15</v>
      </c>
      <c r="E223" s="82" t="n">
        <v>5</v>
      </c>
      <c r="F223" s="26" t="n">
        <v>50</v>
      </c>
      <c r="G223" s="26" t="n">
        <v>250</v>
      </c>
      <c r="H223" s="1" t="s">
        <v>633</v>
      </c>
    </row>
    <row r="224" customFormat="false" ht="15" hidden="false" customHeight="true" outlineLevel="0" collapsed="false">
      <c r="A224" s="1" t="s">
        <v>444</v>
      </c>
      <c r="B224" s="1" t="s">
        <v>87</v>
      </c>
      <c r="C224" s="1" t="s">
        <v>632</v>
      </c>
      <c r="D224" s="1" t="s">
        <v>13</v>
      </c>
      <c r="E224" s="82" t="n">
        <v>2</v>
      </c>
      <c r="F224" s="26" t="n">
        <v>50</v>
      </c>
      <c r="G224" s="26" t="n">
        <v>100</v>
      </c>
      <c r="H224" s="1" t="s">
        <v>633</v>
      </c>
    </row>
    <row r="225" customFormat="false" ht="15" hidden="false" customHeight="true" outlineLevel="0" collapsed="false">
      <c r="A225" s="1" t="s">
        <v>444</v>
      </c>
      <c r="B225" s="1" t="s">
        <v>87</v>
      </c>
      <c r="C225" s="1" t="s">
        <v>632</v>
      </c>
      <c r="D225" s="1" t="s">
        <v>16</v>
      </c>
      <c r="E225" s="82" t="n">
        <v>1</v>
      </c>
      <c r="F225" s="26" t="n">
        <v>50</v>
      </c>
      <c r="G225" s="26" t="n">
        <v>50</v>
      </c>
      <c r="H225" s="1" t="s">
        <v>633</v>
      </c>
    </row>
    <row r="226" customFormat="false" ht="15" hidden="false" customHeight="true" outlineLevel="0" collapsed="false">
      <c r="A226" s="1" t="s">
        <v>444</v>
      </c>
      <c r="B226" s="1" t="s">
        <v>87</v>
      </c>
      <c r="C226" s="1" t="s">
        <v>632</v>
      </c>
      <c r="D226" s="1" t="s">
        <v>17</v>
      </c>
      <c r="E226" s="82" t="n">
        <v>1</v>
      </c>
      <c r="F226" s="26" t="n">
        <v>90</v>
      </c>
      <c r="G226" s="26" t="n">
        <v>90</v>
      </c>
      <c r="H226" s="1" t="s">
        <v>633</v>
      </c>
    </row>
    <row r="227" customFormat="false" ht="15" hidden="false" customHeight="true" outlineLevel="0" collapsed="false">
      <c r="A227" s="1" t="s">
        <v>444</v>
      </c>
      <c r="B227" s="1" t="s">
        <v>87</v>
      </c>
      <c r="C227" s="1" t="s">
        <v>632</v>
      </c>
      <c r="D227" s="1" t="s">
        <v>17</v>
      </c>
      <c r="E227" s="82" t="n">
        <v>2</v>
      </c>
      <c r="F227" s="26" t="n">
        <v>10</v>
      </c>
      <c r="G227" s="26" t="n">
        <v>20</v>
      </c>
      <c r="H227" s="1" t="s">
        <v>633</v>
      </c>
    </row>
    <row r="228" customFormat="false" ht="15" hidden="false" customHeight="true" outlineLevel="0" collapsed="false">
      <c r="A228" s="1" t="s">
        <v>444</v>
      </c>
      <c r="B228" s="1" t="s">
        <v>87</v>
      </c>
      <c r="C228" s="1" t="s">
        <v>632</v>
      </c>
      <c r="D228" s="1" t="s">
        <v>17</v>
      </c>
      <c r="E228" s="82" t="n">
        <v>3</v>
      </c>
      <c r="F228" s="26" t="n">
        <v>50</v>
      </c>
      <c r="G228" s="26" t="n">
        <v>150</v>
      </c>
      <c r="H228" s="1" t="s">
        <v>633</v>
      </c>
    </row>
    <row r="229" customFormat="false" ht="15" hidden="false" customHeight="true" outlineLevel="0" collapsed="false">
      <c r="A229" s="1" t="s">
        <v>634</v>
      </c>
      <c r="B229" s="1" t="s">
        <v>445</v>
      </c>
      <c r="C229" s="1" t="s">
        <v>86</v>
      </c>
      <c r="D229" s="1" t="s">
        <v>12</v>
      </c>
      <c r="E229" s="82" t="n">
        <v>13418</v>
      </c>
      <c r="F229" s="26" t="n">
        <v>0.266574828615826</v>
      </c>
      <c r="G229" s="26" t="n">
        <v>3576.90105036715</v>
      </c>
      <c r="H229" s="1" t="s">
        <v>446</v>
      </c>
    </row>
    <row r="230" customFormat="false" ht="15" hidden="false" customHeight="true" outlineLevel="0" collapsed="false">
      <c r="A230" s="1" t="s">
        <v>634</v>
      </c>
      <c r="B230" s="1" t="s">
        <v>447</v>
      </c>
      <c r="C230" s="1" t="s">
        <v>448</v>
      </c>
      <c r="D230" s="1" t="s">
        <v>18</v>
      </c>
      <c r="E230" s="82" t="n">
        <v>1</v>
      </c>
      <c r="F230" s="26" t="n">
        <v>1222.09</v>
      </c>
      <c r="G230" s="26" t="n">
        <v>1222.09</v>
      </c>
      <c r="H230" s="1" t="s">
        <v>635</v>
      </c>
    </row>
    <row r="231" customFormat="false" ht="15" hidden="false" customHeight="true" outlineLevel="0" collapsed="false">
      <c r="A231" s="1" t="s">
        <v>634</v>
      </c>
      <c r="B231" s="1" t="s">
        <v>447</v>
      </c>
      <c r="C231" s="1" t="s">
        <v>450</v>
      </c>
      <c r="D231" s="1" t="s">
        <v>18</v>
      </c>
      <c r="E231" s="82" t="n">
        <v>0</v>
      </c>
      <c r="F231" s="26" t="n">
        <v>0</v>
      </c>
      <c r="G231" s="26" t="n">
        <v>0</v>
      </c>
      <c r="H231" s="1" t="s">
        <v>449</v>
      </c>
    </row>
    <row r="232" customFormat="false" ht="15" hidden="false" customHeight="true" outlineLevel="0" collapsed="false">
      <c r="A232" s="1" t="s">
        <v>634</v>
      </c>
      <c r="B232" s="1" t="s">
        <v>447</v>
      </c>
      <c r="C232" s="1" t="s">
        <v>448</v>
      </c>
      <c r="D232" s="1" t="s">
        <v>10</v>
      </c>
      <c r="E232" s="82" t="n">
        <v>0</v>
      </c>
      <c r="F232" s="26" t="n">
        <v>0</v>
      </c>
      <c r="G232" s="26" t="n">
        <v>0</v>
      </c>
      <c r="H232" s="1" t="s">
        <v>451</v>
      </c>
    </row>
    <row r="233" customFormat="false" ht="15" hidden="false" customHeight="true" outlineLevel="0" collapsed="false">
      <c r="A233" s="1" t="s">
        <v>634</v>
      </c>
      <c r="B233" s="1" t="s">
        <v>447</v>
      </c>
      <c r="C233" s="1" t="s">
        <v>450</v>
      </c>
      <c r="D233" s="1" t="s">
        <v>10</v>
      </c>
      <c r="E233" s="82" t="n">
        <v>0</v>
      </c>
      <c r="F233" s="26" t="n">
        <v>0</v>
      </c>
      <c r="G233" s="26" t="n">
        <v>0</v>
      </c>
      <c r="H233" s="1" t="s">
        <v>449</v>
      </c>
    </row>
    <row r="234" customFormat="false" ht="15" hidden="false" customHeight="true" outlineLevel="0" collapsed="false">
      <c r="A234" s="1" t="s">
        <v>634</v>
      </c>
      <c r="B234" s="1" t="s">
        <v>447</v>
      </c>
      <c r="C234" s="1" t="s">
        <v>448</v>
      </c>
      <c r="D234" s="1" t="s">
        <v>12</v>
      </c>
      <c r="E234" s="82" t="n">
        <v>0</v>
      </c>
      <c r="F234" s="26" t="n">
        <v>0</v>
      </c>
      <c r="G234" s="26" t="n">
        <v>0</v>
      </c>
      <c r="H234" s="1" t="s">
        <v>452</v>
      </c>
    </row>
    <row r="235" customFormat="false" ht="15" hidden="false" customHeight="true" outlineLevel="0" collapsed="false">
      <c r="A235" s="1" t="s">
        <v>634</v>
      </c>
      <c r="B235" s="1" t="s">
        <v>447</v>
      </c>
      <c r="C235" s="1" t="s">
        <v>453</v>
      </c>
      <c r="D235" s="1" t="s">
        <v>12</v>
      </c>
      <c r="E235" s="82" t="n">
        <v>0</v>
      </c>
      <c r="F235" s="26" t="n">
        <v>0</v>
      </c>
      <c r="G235" s="26" t="n">
        <v>0</v>
      </c>
      <c r="H235" s="1" t="s">
        <v>454</v>
      </c>
    </row>
    <row r="236" customFormat="false" ht="15" hidden="false" customHeight="true" outlineLevel="0" collapsed="false">
      <c r="A236" s="1" t="s">
        <v>634</v>
      </c>
      <c r="B236" s="1" t="s">
        <v>447</v>
      </c>
      <c r="C236" s="1" t="s">
        <v>448</v>
      </c>
      <c r="D236" s="1" t="s">
        <v>14</v>
      </c>
      <c r="E236" s="82" t="n">
        <v>0</v>
      </c>
      <c r="F236" s="26" t="n">
        <v>0</v>
      </c>
      <c r="G236" s="26" t="n">
        <v>0</v>
      </c>
      <c r="H236" s="1" t="s">
        <v>452</v>
      </c>
    </row>
    <row r="237" customFormat="false" ht="15" hidden="false" customHeight="true" outlineLevel="0" collapsed="false">
      <c r="A237" s="1" t="s">
        <v>634</v>
      </c>
      <c r="B237" s="1" t="s">
        <v>447</v>
      </c>
      <c r="C237" s="1" t="s">
        <v>450</v>
      </c>
      <c r="D237" s="1" t="s">
        <v>14</v>
      </c>
      <c r="E237" s="82" t="n">
        <v>0</v>
      </c>
      <c r="F237" s="26" t="n">
        <v>0</v>
      </c>
      <c r="G237" s="26" t="n">
        <v>0</v>
      </c>
      <c r="H237" s="1" t="s">
        <v>449</v>
      </c>
    </row>
    <row r="238" customFormat="false" ht="15" hidden="false" customHeight="true" outlineLevel="0" collapsed="false">
      <c r="A238" s="1" t="s">
        <v>634</v>
      </c>
      <c r="B238" s="1" t="s">
        <v>447</v>
      </c>
      <c r="C238" s="1" t="s">
        <v>448</v>
      </c>
      <c r="D238" s="1" t="s">
        <v>15</v>
      </c>
      <c r="E238" s="82" t="n">
        <v>0</v>
      </c>
      <c r="F238" s="26" t="n">
        <v>0</v>
      </c>
      <c r="G238" s="26" t="n">
        <v>0</v>
      </c>
      <c r="H238" s="1" t="s">
        <v>451</v>
      </c>
    </row>
    <row r="239" customFormat="false" ht="15" hidden="false" customHeight="true" outlineLevel="0" collapsed="false">
      <c r="A239" s="1" t="s">
        <v>634</v>
      </c>
      <c r="B239" s="1" t="s">
        <v>447</v>
      </c>
      <c r="C239" s="1" t="s">
        <v>450</v>
      </c>
      <c r="D239" s="1" t="s">
        <v>15</v>
      </c>
      <c r="E239" s="82" t="n">
        <v>0</v>
      </c>
      <c r="F239" s="26" t="n">
        <v>0</v>
      </c>
      <c r="G239" s="26" t="n">
        <v>0</v>
      </c>
      <c r="H239" s="1" t="s">
        <v>636</v>
      </c>
    </row>
    <row r="240" customFormat="false" ht="15" hidden="false" customHeight="true" outlineLevel="0" collapsed="false">
      <c r="A240" s="1" t="s">
        <v>634</v>
      </c>
      <c r="B240" s="1" t="s">
        <v>447</v>
      </c>
      <c r="C240" s="1" t="s">
        <v>448</v>
      </c>
      <c r="D240" s="1" t="s">
        <v>13</v>
      </c>
      <c r="E240" s="82" t="n">
        <v>0</v>
      </c>
      <c r="F240" s="26" t="n">
        <v>0</v>
      </c>
      <c r="G240" s="26" t="n">
        <v>0</v>
      </c>
      <c r="H240" s="1" t="s">
        <v>456</v>
      </c>
    </row>
    <row r="241" customFormat="false" ht="15" hidden="false" customHeight="true" outlineLevel="0" collapsed="false">
      <c r="A241" s="1" t="s">
        <v>634</v>
      </c>
      <c r="B241" s="1" t="s">
        <v>447</v>
      </c>
      <c r="C241" s="1" t="s">
        <v>450</v>
      </c>
      <c r="D241" s="1" t="s">
        <v>13</v>
      </c>
      <c r="E241" s="82" t="n">
        <v>0</v>
      </c>
      <c r="F241" s="26" t="n">
        <v>0</v>
      </c>
      <c r="G241" s="26" t="n">
        <v>0</v>
      </c>
      <c r="H241" s="1" t="s">
        <v>449</v>
      </c>
    </row>
    <row r="242" customFormat="false" ht="15" hidden="false" customHeight="true" outlineLevel="0" collapsed="false">
      <c r="A242" s="1" t="s">
        <v>634</v>
      </c>
      <c r="B242" s="1" t="s">
        <v>447</v>
      </c>
      <c r="C242" s="1" t="s">
        <v>448</v>
      </c>
      <c r="D242" s="1" t="s">
        <v>16</v>
      </c>
      <c r="E242" s="82" t="n">
        <v>0</v>
      </c>
      <c r="F242" s="26" t="n">
        <v>0</v>
      </c>
      <c r="G242" s="26" t="n">
        <v>0</v>
      </c>
      <c r="H242" s="1" t="s">
        <v>452</v>
      </c>
    </row>
    <row r="243" customFormat="false" ht="15" hidden="false" customHeight="true" outlineLevel="0" collapsed="false">
      <c r="A243" s="1" t="s">
        <v>634</v>
      </c>
      <c r="B243" s="1" t="s">
        <v>457</v>
      </c>
      <c r="C243" s="1" t="s">
        <v>458</v>
      </c>
      <c r="D243" s="1" t="s">
        <v>18</v>
      </c>
      <c r="E243" s="82" t="n">
        <v>5160</v>
      </c>
      <c r="F243" s="26" t="n">
        <v>1.86</v>
      </c>
      <c r="G243" s="26" t="n">
        <v>9597.6</v>
      </c>
      <c r="H243" s="1" t="s">
        <v>637</v>
      </c>
    </row>
    <row r="244" customFormat="false" ht="15" hidden="false" customHeight="true" outlineLevel="0" collapsed="false">
      <c r="A244" s="1" t="s">
        <v>634</v>
      </c>
      <c r="B244" s="1" t="s">
        <v>457</v>
      </c>
      <c r="C244" s="1" t="s">
        <v>458</v>
      </c>
      <c r="D244" s="1" t="s">
        <v>10</v>
      </c>
      <c r="E244" s="82" t="n">
        <v>333</v>
      </c>
      <c r="F244" s="26" t="n">
        <v>1.86</v>
      </c>
      <c r="G244" s="26" t="n">
        <v>619.38</v>
      </c>
      <c r="H244" s="1" t="s">
        <v>637</v>
      </c>
    </row>
    <row r="245" customFormat="false" ht="15" hidden="false" customHeight="true" outlineLevel="0" collapsed="false">
      <c r="A245" s="1" t="s">
        <v>634</v>
      </c>
      <c r="B245" s="1" t="s">
        <v>457</v>
      </c>
      <c r="C245" s="1" t="s">
        <v>638</v>
      </c>
      <c r="D245" s="1" t="s">
        <v>10</v>
      </c>
      <c r="E245" s="82" t="n">
        <v>-1</v>
      </c>
      <c r="F245" s="26" t="n">
        <v>350</v>
      </c>
      <c r="G245" s="26" t="n">
        <v>-350</v>
      </c>
      <c r="H245" s="1" t="s">
        <v>639</v>
      </c>
    </row>
    <row r="246" customFormat="false" ht="15" hidden="false" customHeight="true" outlineLevel="0" collapsed="false">
      <c r="A246" s="1" t="s">
        <v>634</v>
      </c>
      <c r="B246" s="1" t="s">
        <v>457</v>
      </c>
      <c r="C246" s="1" t="s">
        <v>640</v>
      </c>
      <c r="D246" s="1" t="s">
        <v>10</v>
      </c>
      <c r="E246" s="82" t="n">
        <v>-1</v>
      </c>
      <c r="F246" s="26" t="n">
        <v>206.78</v>
      </c>
      <c r="G246" s="26" t="n">
        <v>-206.78</v>
      </c>
      <c r="H246" s="1" t="s">
        <v>641</v>
      </c>
    </row>
    <row r="247" customFormat="false" ht="15" hidden="false" customHeight="true" outlineLevel="0" collapsed="false">
      <c r="A247" s="1" t="s">
        <v>634</v>
      </c>
      <c r="B247" s="1" t="s">
        <v>457</v>
      </c>
      <c r="C247" s="1" t="s">
        <v>460</v>
      </c>
      <c r="D247" s="1" t="s">
        <v>10</v>
      </c>
      <c r="E247" s="82" t="n">
        <v>0</v>
      </c>
      <c r="F247" s="26" t="n">
        <v>0</v>
      </c>
      <c r="G247" s="26" t="n">
        <v>0</v>
      </c>
      <c r="H247" s="1" t="s">
        <v>461</v>
      </c>
    </row>
    <row r="248" customFormat="false" ht="15" hidden="false" customHeight="true" outlineLevel="0" collapsed="false">
      <c r="A248" s="1" t="s">
        <v>634</v>
      </c>
      <c r="B248" s="1" t="s">
        <v>457</v>
      </c>
      <c r="C248" s="1" t="s">
        <v>462</v>
      </c>
      <c r="D248" s="1" t="s">
        <v>10</v>
      </c>
      <c r="E248" s="82" t="n">
        <v>1</v>
      </c>
      <c r="F248" s="26" t="n">
        <v>439.28</v>
      </c>
      <c r="G248" s="26" t="n">
        <v>439.28</v>
      </c>
      <c r="H248" s="1" t="s">
        <v>463</v>
      </c>
    </row>
    <row r="249" customFormat="false" ht="15" hidden="false" customHeight="true" outlineLevel="0" collapsed="false">
      <c r="A249" s="1" t="s">
        <v>634</v>
      </c>
      <c r="B249" s="1" t="s">
        <v>457</v>
      </c>
      <c r="C249" s="1" t="s">
        <v>464</v>
      </c>
      <c r="D249" s="1" t="s">
        <v>10</v>
      </c>
      <c r="E249" s="82" t="n">
        <v>0</v>
      </c>
      <c r="F249" s="26" t="n">
        <v>0</v>
      </c>
      <c r="G249" s="26" t="n">
        <v>0</v>
      </c>
      <c r="H249" s="1" t="s">
        <v>463</v>
      </c>
    </row>
    <row r="250" customFormat="false" ht="15" hidden="false" customHeight="true" outlineLevel="0" collapsed="false">
      <c r="A250" s="1" t="s">
        <v>634</v>
      </c>
      <c r="B250" s="1" t="s">
        <v>457</v>
      </c>
      <c r="C250" s="1" t="s">
        <v>466</v>
      </c>
      <c r="D250" s="1" t="s">
        <v>10</v>
      </c>
      <c r="E250" s="82" t="n">
        <v>-1</v>
      </c>
      <c r="F250" s="26" t="n">
        <v>756.56</v>
      </c>
      <c r="G250" s="26" t="n">
        <v>-756.56</v>
      </c>
      <c r="H250" s="1" t="s">
        <v>467</v>
      </c>
    </row>
    <row r="251" customFormat="false" ht="15" hidden="false" customHeight="true" outlineLevel="0" collapsed="false">
      <c r="A251" s="1" t="s">
        <v>634</v>
      </c>
      <c r="B251" s="1" t="s">
        <v>457</v>
      </c>
      <c r="C251" s="1" t="s">
        <v>466</v>
      </c>
      <c r="D251" s="1" t="s">
        <v>10</v>
      </c>
      <c r="E251" s="82" t="n">
        <v>-1</v>
      </c>
      <c r="F251" s="26" t="n">
        <v>4211.32</v>
      </c>
      <c r="G251" s="26" t="n">
        <v>-4211.32</v>
      </c>
      <c r="H251" s="1" t="s">
        <v>468</v>
      </c>
    </row>
    <row r="252" customFormat="false" ht="15" hidden="false" customHeight="true" outlineLevel="0" collapsed="false">
      <c r="A252" s="1" t="s">
        <v>634</v>
      </c>
      <c r="B252" s="1" t="s">
        <v>457</v>
      </c>
      <c r="C252" s="1" t="s">
        <v>469</v>
      </c>
      <c r="D252" s="1" t="s">
        <v>10</v>
      </c>
      <c r="E252" s="82" t="n">
        <v>-5</v>
      </c>
      <c r="F252" s="26" t="n">
        <v>410.699645390071</v>
      </c>
      <c r="G252" s="26" t="n">
        <v>-2053.49822695035</v>
      </c>
      <c r="H252" s="1" t="s">
        <v>642</v>
      </c>
    </row>
    <row r="253" customFormat="false" ht="15" hidden="false" customHeight="true" outlineLevel="0" collapsed="false">
      <c r="A253" s="1" t="s">
        <v>634</v>
      </c>
      <c r="B253" s="1" t="s">
        <v>457</v>
      </c>
      <c r="C253" s="1" t="s">
        <v>471</v>
      </c>
      <c r="D253" s="1" t="s">
        <v>10</v>
      </c>
      <c r="E253" s="82" t="n">
        <v>0</v>
      </c>
      <c r="F253" s="26" t="n">
        <v>0</v>
      </c>
      <c r="G253" s="26" t="n">
        <v>0</v>
      </c>
      <c r="H253" s="1" t="s">
        <v>470</v>
      </c>
    </row>
    <row r="254" customFormat="false" ht="15" hidden="false" customHeight="true" outlineLevel="0" collapsed="false">
      <c r="A254" s="1" t="s">
        <v>634</v>
      </c>
      <c r="B254" s="1" t="s">
        <v>457</v>
      </c>
      <c r="C254" s="1" t="s">
        <v>472</v>
      </c>
      <c r="D254" s="1" t="s">
        <v>10</v>
      </c>
      <c r="E254" s="82" t="n">
        <v>0</v>
      </c>
      <c r="F254" s="26" t="n">
        <v>0</v>
      </c>
      <c r="G254" s="26" t="n">
        <v>0</v>
      </c>
      <c r="H254" s="1" t="s">
        <v>470</v>
      </c>
    </row>
    <row r="255" customFormat="false" ht="15" hidden="false" customHeight="true" outlineLevel="0" collapsed="false">
      <c r="A255" s="1" t="s">
        <v>634</v>
      </c>
      <c r="B255" s="1" t="s">
        <v>457</v>
      </c>
      <c r="C255" s="1" t="s">
        <v>473</v>
      </c>
      <c r="D255" s="1" t="s">
        <v>10</v>
      </c>
      <c r="E255" s="82" t="n">
        <v>3</v>
      </c>
      <c r="F255" s="26" t="n">
        <v>278.600873702422</v>
      </c>
      <c r="G255" s="26" t="n">
        <v>835.802621107267</v>
      </c>
      <c r="H255" s="1" t="s">
        <v>642</v>
      </c>
    </row>
    <row r="256" customFormat="false" ht="15" hidden="false" customHeight="true" outlineLevel="0" collapsed="false">
      <c r="A256" s="1" t="s">
        <v>634</v>
      </c>
      <c r="B256" s="1" t="s">
        <v>457</v>
      </c>
      <c r="C256" s="1" t="s">
        <v>474</v>
      </c>
      <c r="D256" s="1" t="s">
        <v>10</v>
      </c>
      <c r="E256" s="82" t="n">
        <v>0</v>
      </c>
      <c r="F256" s="26" t="n">
        <v>0</v>
      </c>
      <c r="G256" s="26" t="n">
        <v>0</v>
      </c>
      <c r="H256" s="1" t="s">
        <v>470</v>
      </c>
    </row>
    <row r="257" customFormat="false" ht="15" hidden="false" customHeight="true" outlineLevel="0" collapsed="false">
      <c r="A257" s="1" t="s">
        <v>634</v>
      </c>
      <c r="B257" s="1" t="s">
        <v>457</v>
      </c>
      <c r="C257" s="1" t="s">
        <v>475</v>
      </c>
      <c r="D257" s="1" t="s">
        <v>12</v>
      </c>
      <c r="E257" s="82" t="n">
        <v>1</v>
      </c>
      <c r="F257" s="26" t="n">
        <v>33.5</v>
      </c>
      <c r="G257" s="26" t="n">
        <v>33.5</v>
      </c>
      <c r="H257" s="1" t="s">
        <v>476</v>
      </c>
    </row>
    <row r="258" customFormat="false" ht="15" hidden="false" customHeight="true" outlineLevel="0" collapsed="false">
      <c r="A258" s="1" t="s">
        <v>634</v>
      </c>
      <c r="B258" s="1" t="s">
        <v>457</v>
      </c>
      <c r="C258" s="1" t="s">
        <v>475</v>
      </c>
      <c r="D258" s="1" t="s">
        <v>12</v>
      </c>
      <c r="E258" s="82" t="n">
        <v>1</v>
      </c>
      <c r="F258" s="26" t="n">
        <v>22</v>
      </c>
      <c r="G258" s="26" t="n">
        <v>22</v>
      </c>
      <c r="H258" s="1" t="s">
        <v>477</v>
      </c>
    </row>
    <row r="259" customFormat="false" ht="15" hidden="false" customHeight="true" outlineLevel="0" collapsed="false">
      <c r="A259" s="1" t="s">
        <v>634</v>
      </c>
      <c r="B259" s="1" t="s">
        <v>457</v>
      </c>
      <c r="C259" s="1" t="s">
        <v>458</v>
      </c>
      <c r="D259" s="1" t="s">
        <v>12</v>
      </c>
      <c r="E259" s="82" t="n">
        <v>258</v>
      </c>
      <c r="F259" s="26" t="n">
        <v>1.86</v>
      </c>
      <c r="G259" s="26" t="n">
        <v>479.88</v>
      </c>
      <c r="H259" s="1" t="s">
        <v>637</v>
      </c>
    </row>
    <row r="260" customFormat="false" ht="15" hidden="false" customHeight="true" outlineLevel="0" collapsed="false">
      <c r="A260" s="1" t="s">
        <v>634</v>
      </c>
      <c r="B260" s="1" t="s">
        <v>457</v>
      </c>
      <c r="C260" s="1" t="s">
        <v>638</v>
      </c>
      <c r="D260" s="1" t="s">
        <v>12</v>
      </c>
      <c r="E260" s="82" t="n">
        <v>1</v>
      </c>
      <c r="F260" s="26" t="n">
        <v>350</v>
      </c>
      <c r="G260" s="26" t="n">
        <v>350</v>
      </c>
      <c r="H260" s="1" t="s">
        <v>643</v>
      </c>
    </row>
    <row r="261" customFormat="false" ht="15" hidden="false" customHeight="true" outlineLevel="0" collapsed="false">
      <c r="A261" s="1" t="s">
        <v>634</v>
      </c>
      <c r="B261" s="1" t="s">
        <v>457</v>
      </c>
      <c r="C261" s="1" t="s">
        <v>460</v>
      </c>
      <c r="D261" s="1" t="s">
        <v>12</v>
      </c>
      <c r="E261" s="82" t="n">
        <v>2</v>
      </c>
      <c r="F261" s="26" t="n">
        <v>393.04</v>
      </c>
      <c r="G261" s="26" t="n">
        <v>786.08</v>
      </c>
      <c r="H261" s="1" t="s">
        <v>463</v>
      </c>
    </row>
    <row r="262" customFormat="false" ht="15" hidden="false" customHeight="true" outlineLevel="0" collapsed="false">
      <c r="A262" s="1" t="s">
        <v>634</v>
      </c>
      <c r="B262" s="1" t="s">
        <v>457</v>
      </c>
      <c r="C262" s="1" t="s">
        <v>462</v>
      </c>
      <c r="D262" s="1" t="s">
        <v>12</v>
      </c>
      <c r="E262" s="82" t="n">
        <v>2</v>
      </c>
      <c r="F262" s="26" t="n">
        <v>439.28</v>
      </c>
      <c r="G262" s="26" t="n">
        <v>878.56</v>
      </c>
      <c r="H262" s="1" t="s">
        <v>463</v>
      </c>
    </row>
    <row r="263" customFormat="false" ht="15" hidden="false" customHeight="true" outlineLevel="0" collapsed="false">
      <c r="A263" s="1" t="s">
        <v>634</v>
      </c>
      <c r="B263" s="1" t="s">
        <v>457</v>
      </c>
      <c r="C263" s="1" t="s">
        <v>464</v>
      </c>
      <c r="D263" s="1" t="s">
        <v>12</v>
      </c>
      <c r="E263" s="82" t="n">
        <v>1</v>
      </c>
      <c r="F263" s="26" t="n">
        <v>407.27</v>
      </c>
      <c r="G263" s="26" t="n">
        <v>407.27</v>
      </c>
      <c r="H263" s="1" t="s">
        <v>463</v>
      </c>
    </row>
    <row r="264" customFormat="false" ht="15" hidden="false" customHeight="true" outlineLevel="0" collapsed="false">
      <c r="A264" s="1" t="s">
        <v>634</v>
      </c>
      <c r="B264" s="1" t="s">
        <v>457</v>
      </c>
      <c r="C264" s="1" t="s">
        <v>466</v>
      </c>
      <c r="D264" s="1" t="s">
        <v>12</v>
      </c>
      <c r="E264" s="82" t="n">
        <v>1</v>
      </c>
      <c r="F264" s="26" t="n">
        <v>206.78</v>
      </c>
      <c r="G264" s="26" t="n">
        <v>206.78</v>
      </c>
      <c r="H264" s="1" t="s">
        <v>644</v>
      </c>
    </row>
    <row r="265" customFormat="false" ht="15" hidden="false" customHeight="true" outlineLevel="0" collapsed="false">
      <c r="A265" s="1" t="s">
        <v>634</v>
      </c>
      <c r="B265" s="1" t="s">
        <v>457</v>
      </c>
      <c r="C265" s="1" t="s">
        <v>466</v>
      </c>
      <c r="D265" s="1" t="s">
        <v>12</v>
      </c>
      <c r="E265" s="82" t="n">
        <v>1</v>
      </c>
      <c r="F265" s="26" t="n">
        <v>317.52</v>
      </c>
      <c r="G265" s="26" t="n">
        <v>317.52</v>
      </c>
      <c r="H265" s="1" t="s">
        <v>481</v>
      </c>
    </row>
    <row r="266" customFormat="false" ht="15" hidden="false" customHeight="true" outlineLevel="0" collapsed="false">
      <c r="A266" s="1" t="s">
        <v>634</v>
      </c>
      <c r="B266" s="1" t="s">
        <v>457</v>
      </c>
      <c r="C266" s="1" t="s">
        <v>466</v>
      </c>
      <c r="D266" s="1" t="s">
        <v>12</v>
      </c>
      <c r="E266" s="82" t="n">
        <v>49</v>
      </c>
      <c r="F266" s="26" t="n">
        <v>33.16</v>
      </c>
      <c r="G266" s="26" t="n">
        <v>1624.84</v>
      </c>
      <c r="H266" s="1" t="s">
        <v>482</v>
      </c>
    </row>
    <row r="267" customFormat="false" ht="15" hidden="false" customHeight="true" outlineLevel="0" collapsed="false">
      <c r="A267" s="1" t="s">
        <v>634</v>
      </c>
      <c r="B267" s="1" t="s">
        <v>457</v>
      </c>
      <c r="C267" s="1" t="s">
        <v>483</v>
      </c>
      <c r="D267" s="1" t="s">
        <v>12</v>
      </c>
      <c r="E267" s="82" t="n">
        <v>5</v>
      </c>
      <c r="F267" s="26" t="n">
        <v>410.699645390071</v>
      </c>
      <c r="G267" s="26" t="n">
        <v>2053.49822695035</v>
      </c>
      <c r="H267" s="1" t="s">
        <v>642</v>
      </c>
    </row>
    <row r="268" customFormat="false" ht="15" hidden="false" customHeight="true" outlineLevel="0" collapsed="false">
      <c r="A268" s="1" t="s">
        <v>634</v>
      </c>
      <c r="B268" s="1" t="s">
        <v>457</v>
      </c>
      <c r="C268" s="1" t="s">
        <v>471</v>
      </c>
      <c r="D268" s="1" t="s">
        <v>12</v>
      </c>
      <c r="E268" s="82" t="n">
        <v>2</v>
      </c>
      <c r="F268" s="26" t="n">
        <v>278.600873702422</v>
      </c>
      <c r="G268" s="26" t="n">
        <v>557.201747404844</v>
      </c>
      <c r="H268" s="1" t="s">
        <v>642</v>
      </c>
    </row>
    <row r="269" customFormat="false" ht="15" hidden="false" customHeight="true" outlineLevel="0" collapsed="false">
      <c r="A269" s="1" t="s">
        <v>634</v>
      </c>
      <c r="B269" s="1" t="s">
        <v>457</v>
      </c>
      <c r="C269" s="1" t="s">
        <v>484</v>
      </c>
      <c r="D269" s="1" t="s">
        <v>12</v>
      </c>
      <c r="E269" s="82" t="n">
        <v>0</v>
      </c>
      <c r="F269" s="26" t="n">
        <v>0</v>
      </c>
      <c r="G269" s="26" t="n">
        <v>0</v>
      </c>
      <c r="H269" s="1" t="s">
        <v>470</v>
      </c>
    </row>
    <row r="270" customFormat="false" ht="15" hidden="false" customHeight="true" outlineLevel="0" collapsed="false">
      <c r="A270" s="1" t="s">
        <v>634</v>
      </c>
      <c r="B270" s="1" t="s">
        <v>457</v>
      </c>
      <c r="C270" s="1" t="s">
        <v>485</v>
      </c>
      <c r="D270" s="1" t="s">
        <v>12</v>
      </c>
      <c r="E270" s="82" t="n">
        <v>-2</v>
      </c>
      <c r="F270" s="26" t="n">
        <v>278.600873702422</v>
      </c>
      <c r="G270" s="26" t="n">
        <v>-557.201747404844</v>
      </c>
      <c r="H270" s="1" t="s">
        <v>642</v>
      </c>
    </row>
    <row r="271" customFormat="false" ht="15" hidden="false" customHeight="true" outlineLevel="0" collapsed="false">
      <c r="A271" s="1" t="s">
        <v>634</v>
      </c>
      <c r="B271" s="1" t="s">
        <v>457</v>
      </c>
      <c r="C271" s="1" t="s">
        <v>486</v>
      </c>
      <c r="D271" s="1" t="s">
        <v>12</v>
      </c>
      <c r="E271" s="82" t="n">
        <v>-3</v>
      </c>
      <c r="F271" s="26" t="n">
        <v>278.600873702422</v>
      </c>
      <c r="G271" s="26" t="n">
        <v>-835.802621107267</v>
      </c>
      <c r="H271" s="1" t="s">
        <v>642</v>
      </c>
    </row>
    <row r="272" customFormat="false" ht="15" hidden="false" customHeight="true" outlineLevel="0" collapsed="false">
      <c r="A272" s="1" t="s">
        <v>634</v>
      </c>
      <c r="B272" s="1" t="s">
        <v>457</v>
      </c>
      <c r="C272" s="1" t="s">
        <v>487</v>
      </c>
      <c r="D272" s="1" t="s">
        <v>12</v>
      </c>
      <c r="E272" s="82" t="n">
        <v>-1</v>
      </c>
      <c r="F272" s="26" t="n">
        <v>278.600873702422</v>
      </c>
      <c r="G272" s="26" t="n">
        <v>-278.600873702422</v>
      </c>
      <c r="H272" s="1" t="s">
        <v>642</v>
      </c>
    </row>
    <row r="273" customFormat="false" ht="15" hidden="false" customHeight="true" outlineLevel="0" collapsed="false">
      <c r="A273" s="1" t="s">
        <v>634</v>
      </c>
      <c r="B273" s="1" t="s">
        <v>457</v>
      </c>
      <c r="C273" s="1" t="s">
        <v>458</v>
      </c>
      <c r="D273" s="1" t="s">
        <v>14</v>
      </c>
      <c r="E273" s="82" t="n">
        <v>266</v>
      </c>
      <c r="F273" s="26" t="n">
        <v>1.86</v>
      </c>
      <c r="G273" s="26" t="n">
        <v>494.76</v>
      </c>
      <c r="H273" s="1" t="s">
        <v>637</v>
      </c>
    </row>
    <row r="274" customFormat="false" ht="15" hidden="false" customHeight="true" outlineLevel="0" collapsed="false">
      <c r="A274" s="1" t="s">
        <v>634</v>
      </c>
      <c r="B274" s="1" t="s">
        <v>457</v>
      </c>
      <c r="C274" s="1" t="s">
        <v>460</v>
      </c>
      <c r="D274" s="1" t="s">
        <v>14</v>
      </c>
      <c r="E274" s="82" t="n">
        <v>1</v>
      </c>
      <c r="F274" s="26" t="n">
        <v>393.04</v>
      </c>
      <c r="G274" s="26" t="n">
        <v>393.04</v>
      </c>
      <c r="H274" s="1" t="s">
        <v>461</v>
      </c>
    </row>
    <row r="275" customFormat="false" ht="15" hidden="false" customHeight="true" outlineLevel="0" collapsed="false">
      <c r="A275" s="1" t="s">
        <v>634</v>
      </c>
      <c r="B275" s="1" t="s">
        <v>457</v>
      </c>
      <c r="C275" s="1" t="s">
        <v>462</v>
      </c>
      <c r="D275" s="1" t="s">
        <v>14</v>
      </c>
      <c r="E275" s="82" t="n">
        <v>1</v>
      </c>
      <c r="F275" s="26" t="n">
        <v>439.28</v>
      </c>
      <c r="G275" s="26" t="n">
        <v>439.28</v>
      </c>
      <c r="H275" s="1" t="s">
        <v>461</v>
      </c>
    </row>
    <row r="276" customFormat="false" ht="15" hidden="false" customHeight="true" outlineLevel="0" collapsed="false">
      <c r="A276" s="1" t="s">
        <v>634</v>
      </c>
      <c r="B276" s="1" t="s">
        <v>457</v>
      </c>
      <c r="C276" s="1" t="s">
        <v>464</v>
      </c>
      <c r="D276" s="1" t="s">
        <v>14</v>
      </c>
      <c r="E276" s="82" t="n">
        <v>0</v>
      </c>
      <c r="F276" s="26" t="n">
        <v>0</v>
      </c>
      <c r="G276" s="26" t="n">
        <v>0</v>
      </c>
      <c r="H276" s="1" t="s">
        <v>463</v>
      </c>
    </row>
    <row r="277" customFormat="false" ht="15" hidden="false" customHeight="true" outlineLevel="0" collapsed="false">
      <c r="A277" s="1" t="s">
        <v>634</v>
      </c>
      <c r="B277" s="1" t="s">
        <v>457</v>
      </c>
      <c r="C277" s="1" t="s">
        <v>471</v>
      </c>
      <c r="D277" s="1" t="s">
        <v>14</v>
      </c>
      <c r="E277" s="82" t="n">
        <v>3</v>
      </c>
      <c r="F277" s="26" t="n">
        <v>278.600873702422</v>
      </c>
      <c r="G277" s="26" t="n">
        <v>835.802621107267</v>
      </c>
      <c r="H277" s="1" t="s">
        <v>642</v>
      </c>
    </row>
    <row r="278" customFormat="false" ht="15" hidden="false" customHeight="true" outlineLevel="0" collapsed="false">
      <c r="A278" s="1" t="s">
        <v>634</v>
      </c>
      <c r="B278" s="1" t="s">
        <v>457</v>
      </c>
      <c r="C278" s="1" t="s">
        <v>489</v>
      </c>
      <c r="D278" s="1" t="s">
        <v>14</v>
      </c>
      <c r="E278" s="82" t="n">
        <v>-1</v>
      </c>
      <c r="F278" s="26" t="n">
        <v>7.02923076923077</v>
      </c>
      <c r="G278" s="26" t="n">
        <v>-7.02923076923077</v>
      </c>
      <c r="H278" s="1" t="s">
        <v>642</v>
      </c>
    </row>
    <row r="279" customFormat="false" ht="15" hidden="false" customHeight="true" outlineLevel="0" collapsed="false">
      <c r="A279" s="1" t="s">
        <v>634</v>
      </c>
      <c r="B279" s="1" t="s">
        <v>457</v>
      </c>
      <c r="C279" s="1" t="s">
        <v>490</v>
      </c>
      <c r="D279" s="1" t="s">
        <v>14</v>
      </c>
      <c r="E279" s="82" t="n">
        <v>0</v>
      </c>
      <c r="F279" s="26" t="n">
        <v>0</v>
      </c>
      <c r="G279" s="26" t="n">
        <v>0</v>
      </c>
    </row>
    <row r="280" customFormat="false" ht="15" hidden="false" customHeight="true" outlineLevel="0" collapsed="false">
      <c r="A280" s="1" t="s">
        <v>634</v>
      </c>
      <c r="B280" s="1" t="s">
        <v>457</v>
      </c>
      <c r="C280" s="1" t="s">
        <v>491</v>
      </c>
      <c r="D280" s="1" t="s">
        <v>14</v>
      </c>
      <c r="E280" s="82" t="n">
        <v>0</v>
      </c>
      <c r="F280" s="26" t="n">
        <v>0</v>
      </c>
      <c r="G280" s="26" t="n">
        <v>0</v>
      </c>
      <c r="H280" s="1" t="s">
        <v>470</v>
      </c>
    </row>
    <row r="281" customFormat="false" ht="15" hidden="false" customHeight="true" outlineLevel="0" collapsed="false">
      <c r="A281" s="1" t="s">
        <v>634</v>
      </c>
      <c r="B281" s="1" t="s">
        <v>457</v>
      </c>
      <c r="C281" s="1" t="s">
        <v>458</v>
      </c>
      <c r="D281" s="1" t="s">
        <v>15</v>
      </c>
      <c r="E281" s="82" t="n">
        <v>601</v>
      </c>
      <c r="F281" s="26" t="n">
        <v>1.86</v>
      </c>
      <c r="G281" s="26" t="n">
        <v>1117.86</v>
      </c>
      <c r="H281" s="1" t="s">
        <v>637</v>
      </c>
    </row>
    <row r="282" customFormat="false" ht="15" hidden="false" customHeight="true" outlineLevel="0" collapsed="false">
      <c r="A282" s="1" t="s">
        <v>634</v>
      </c>
      <c r="B282" s="1" t="s">
        <v>457</v>
      </c>
      <c r="C282" s="1" t="s">
        <v>460</v>
      </c>
      <c r="D282" s="1" t="s">
        <v>15</v>
      </c>
      <c r="E282" s="82" t="n">
        <v>3</v>
      </c>
      <c r="F282" s="26" t="n">
        <v>393.04</v>
      </c>
      <c r="G282" s="26" t="n">
        <v>1179.12</v>
      </c>
      <c r="H282" s="1" t="s">
        <v>645</v>
      </c>
    </row>
    <row r="283" customFormat="false" ht="15" hidden="false" customHeight="true" outlineLevel="0" collapsed="false">
      <c r="A283" s="1" t="s">
        <v>634</v>
      </c>
      <c r="B283" s="1" t="s">
        <v>457</v>
      </c>
      <c r="C283" s="1" t="s">
        <v>462</v>
      </c>
      <c r="D283" s="1" t="s">
        <v>15</v>
      </c>
      <c r="E283" s="82" t="n">
        <v>1</v>
      </c>
      <c r="F283" s="26" t="n">
        <v>439.28</v>
      </c>
      <c r="G283" s="26" t="n">
        <v>439.28</v>
      </c>
      <c r="H283" s="1" t="s">
        <v>646</v>
      </c>
    </row>
    <row r="284" customFormat="false" ht="15" hidden="false" customHeight="true" outlineLevel="0" collapsed="false">
      <c r="A284" s="1" t="s">
        <v>634</v>
      </c>
      <c r="B284" s="1" t="s">
        <v>457</v>
      </c>
      <c r="C284" s="1" t="s">
        <v>464</v>
      </c>
      <c r="D284" s="1" t="s">
        <v>15</v>
      </c>
      <c r="E284" s="82" t="n">
        <v>4</v>
      </c>
      <c r="F284" s="26" t="n">
        <v>407.27</v>
      </c>
      <c r="G284" s="26" t="n">
        <v>1629.08</v>
      </c>
      <c r="H284" s="1" t="s">
        <v>646</v>
      </c>
    </row>
    <row r="285" customFormat="false" ht="15" hidden="false" customHeight="true" outlineLevel="0" collapsed="false">
      <c r="A285" s="1" t="s">
        <v>634</v>
      </c>
      <c r="B285" s="1" t="s">
        <v>457</v>
      </c>
      <c r="C285" s="1" t="s">
        <v>466</v>
      </c>
      <c r="D285" s="1" t="s">
        <v>15</v>
      </c>
      <c r="E285" s="82" t="n">
        <v>1</v>
      </c>
      <c r="F285" s="26" t="n">
        <v>439.04</v>
      </c>
      <c r="G285" s="26" t="n">
        <v>439.04</v>
      </c>
      <c r="H285" s="1" t="s">
        <v>495</v>
      </c>
    </row>
    <row r="286" customFormat="false" ht="15" hidden="false" customHeight="true" outlineLevel="0" collapsed="false">
      <c r="A286" s="1" t="s">
        <v>634</v>
      </c>
      <c r="B286" s="1" t="s">
        <v>457</v>
      </c>
      <c r="C286" s="1" t="s">
        <v>466</v>
      </c>
      <c r="D286" s="1" t="s">
        <v>15</v>
      </c>
      <c r="E286" s="82" t="n">
        <v>78</v>
      </c>
      <c r="F286" s="26" t="n">
        <v>33.16</v>
      </c>
      <c r="G286" s="26" t="n">
        <v>2586.48</v>
      </c>
      <c r="H286" s="1" t="s">
        <v>496</v>
      </c>
    </row>
    <row r="287" customFormat="false" ht="15" hidden="false" customHeight="true" outlineLevel="0" collapsed="false">
      <c r="A287" s="1" t="s">
        <v>634</v>
      </c>
      <c r="B287" s="1" t="s">
        <v>457</v>
      </c>
      <c r="C287" s="1" t="s">
        <v>497</v>
      </c>
      <c r="D287" s="1" t="s">
        <v>15</v>
      </c>
      <c r="E287" s="82" t="n">
        <v>0</v>
      </c>
      <c r="F287" s="26" t="n">
        <v>0</v>
      </c>
      <c r="G287" s="26" t="n">
        <v>0</v>
      </c>
    </row>
    <row r="288" customFormat="false" ht="15" hidden="false" customHeight="true" outlineLevel="0" collapsed="false">
      <c r="A288" s="1" t="s">
        <v>634</v>
      </c>
      <c r="B288" s="1" t="s">
        <v>457</v>
      </c>
      <c r="C288" s="1" t="s">
        <v>487</v>
      </c>
      <c r="D288" s="1" t="s">
        <v>15</v>
      </c>
      <c r="E288" s="82" t="n">
        <v>1</v>
      </c>
      <c r="F288" s="26" t="n">
        <v>278.600873702422</v>
      </c>
      <c r="G288" s="26" t="n">
        <v>278.600873702422</v>
      </c>
      <c r="H288" s="1" t="s">
        <v>642</v>
      </c>
    </row>
    <row r="289" customFormat="false" ht="15" hidden="false" customHeight="true" outlineLevel="0" collapsed="false">
      <c r="A289" s="1" t="s">
        <v>634</v>
      </c>
      <c r="B289" s="1" t="s">
        <v>457</v>
      </c>
      <c r="C289" s="1" t="s">
        <v>498</v>
      </c>
      <c r="D289" s="1" t="s">
        <v>15</v>
      </c>
      <c r="E289" s="82" t="n">
        <v>0</v>
      </c>
      <c r="F289" s="26" t="n">
        <v>0</v>
      </c>
      <c r="G289" s="26" t="n">
        <v>0</v>
      </c>
    </row>
    <row r="290" customFormat="false" ht="15" hidden="false" customHeight="true" outlineLevel="0" collapsed="false">
      <c r="A290" s="1" t="s">
        <v>634</v>
      </c>
      <c r="B290" s="1" t="s">
        <v>457</v>
      </c>
      <c r="C290" s="1" t="s">
        <v>647</v>
      </c>
      <c r="D290" s="1" t="s">
        <v>15</v>
      </c>
      <c r="E290" s="82" t="n">
        <v>1</v>
      </c>
      <c r="F290" s="26" t="n">
        <v>26.326</v>
      </c>
      <c r="G290" s="26" t="n">
        <v>26.326</v>
      </c>
      <c r="H290" s="1" t="s">
        <v>470</v>
      </c>
    </row>
    <row r="291" customFormat="false" ht="15" hidden="false" customHeight="true" outlineLevel="0" collapsed="false">
      <c r="A291" s="1" t="s">
        <v>634</v>
      </c>
      <c r="B291" s="1" t="s">
        <v>457</v>
      </c>
      <c r="C291" s="1" t="s">
        <v>458</v>
      </c>
      <c r="D291" s="1" t="s">
        <v>13</v>
      </c>
      <c r="E291" s="82" t="n">
        <v>461</v>
      </c>
      <c r="F291" s="26" t="n">
        <v>1.86</v>
      </c>
      <c r="G291" s="26" t="n">
        <v>857.46</v>
      </c>
      <c r="H291" s="1" t="s">
        <v>637</v>
      </c>
    </row>
    <row r="292" customFormat="false" ht="15" hidden="false" customHeight="true" outlineLevel="0" collapsed="false">
      <c r="A292" s="1" t="s">
        <v>634</v>
      </c>
      <c r="B292" s="1" t="s">
        <v>457</v>
      </c>
      <c r="C292" s="1" t="s">
        <v>460</v>
      </c>
      <c r="D292" s="1" t="s">
        <v>13</v>
      </c>
      <c r="E292" s="82" t="n">
        <v>4</v>
      </c>
      <c r="F292" s="26" t="n">
        <v>393.04</v>
      </c>
      <c r="G292" s="26" t="n">
        <v>1572.16</v>
      </c>
      <c r="H292" s="1" t="s">
        <v>463</v>
      </c>
    </row>
    <row r="293" customFormat="false" ht="15" hidden="false" customHeight="true" outlineLevel="0" collapsed="false">
      <c r="A293" s="1" t="s">
        <v>634</v>
      </c>
      <c r="B293" s="1" t="s">
        <v>457</v>
      </c>
      <c r="C293" s="1" t="s">
        <v>462</v>
      </c>
      <c r="D293" s="1" t="s">
        <v>13</v>
      </c>
      <c r="E293" s="82" t="n">
        <v>4</v>
      </c>
      <c r="F293" s="26" t="n">
        <v>439.28</v>
      </c>
      <c r="G293" s="26" t="n">
        <v>1757.12</v>
      </c>
      <c r="H293" s="1" t="s">
        <v>648</v>
      </c>
    </row>
    <row r="294" customFormat="false" ht="15" hidden="false" customHeight="true" outlineLevel="0" collapsed="false">
      <c r="A294" s="1" t="s">
        <v>634</v>
      </c>
      <c r="B294" s="1" t="s">
        <v>457</v>
      </c>
      <c r="C294" s="1" t="s">
        <v>464</v>
      </c>
      <c r="D294" s="1" t="s">
        <v>13</v>
      </c>
      <c r="E294" s="82" t="n">
        <v>6</v>
      </c>
      <c r="F294" s="26" t="n">
        <v>407.27</v>
      </c>
      <c r="G294" s="26" t="n">
        <v>2443.62</v>
      </c>
      <c r="H294" s="1" t="s">
        <v>648</v>
      </c>
    </row>
    <row r="295" customFormat="false" ht="15" hidden="false" customHeight="true" outlineLevel="0" collapsed="false">
      <c r="A295" s="1" t="s">
        <v>634</v>
      </c>
      <c r="B295" s="1" t="s">
        <v>457</v>
      </c>
      <c r="C295" s="1" t="s">
        <v>503</v>
      </c>
      <c r="D295" s="1" t="s">
        <v>13</v>
      </c>
      <c r="E295" s="82" t="n">
        <v>1</v>
      </c>
      <c r="F295" s="26" t="n">
        <v>738.92</v>
      </c>
      <c r="G295" s="26" t="n">
        <v>738.92</v>
      </c>
      <c r="H295" s="1" t="s">
        <v>504</v>
      </c>
    </row>
    <row r="296" customFormat="false" ht="15" hidden="false" customHeight="true" outlineLevel="0" collapsed="false">
      <c r="A296" s="1" t="s">
        <v>634</v>
      </c>
      <c r="B296" s="1" t="s">
        <v>457</v>
      </c>
      <c r="C296" s="1" t="s">
        <v>503</v>
      </c>
      <c r="D296" s="1" t="s">
        <v>13</v>
      </c>
      <c r="E296" s="82" t="n">
        <v>25</v>
      </c>
      <c r="F296" s="26" t="n">
        <v>19.53</v>
      </c>
      <c r="G296" s="26" t="n">
        <v>488.25</v>
      </c>
      <c r="H296" s="1" t="s">
        <v>482</v>
      </c>
    </row>
    <row r="297" customFormat="false" ht="15" hidden="false" customHeight="true" outlineLevel="0" collapsed="false">
      <c r="A297" s="1" t="s">
        <v>634</v>
      </c>
      <c r="B297" s="1" t="s">
        <v>457</v>
      </c>
      <c r="C297" s="1" t="s">
        <v>471</v>
      </c>
      <c r="D297" s="1" t="s">
        <v>13</v>
      </c>
      <c r="E297" s="82" t="n">
        <v>21</v>
      </c>
      <c r="F297" s="26" t="n">
        <v>278.600873702422</v>
      </c>
      <c r="G297" s="26" t="n">
        <v>5850.61834775087</v>
      </c>
      <c r="H297" s="1" t="s">
        <v>642</v>
      </c>
    </row>
    <row r="298" customFormat="false" ht="15" hidden="false" customHeight="true" outlineLevel="0" collapsed="false">
      <c r="A298" s="1" t="s">
        <v>634</v>
      </c>
      <c r="B298" s="1" t="s">
        <v>457</v>
      </c>
      <c r="C298" s="1" t="s">
        <v>505</v>
      </c>
      <c r="D298" s="1" t="s">
        <v>13</v>
      </c>
      <c r="E298" s="82" t="n">
        <v>0</v>
      </c>
      <c r="F298" s="26" t="n">
        <v>0</v>
      </c>
      <c r="G298" s="26" t="n">
        <v>0</v>
      </c>
      <c r="H298" s="1" t="s">
        <v>470</v>
      </c>
    </row>
    <row r="299" customFormat="false" ht="15" hidden="false" customHeight="true" outlineLevel="0" collapsed="false">
      <c r="A299" s="1" t="s">
        <v>634</v>
      </c>
      <c r="B299" s="1" t="s">
        <v>457</v>
      </c>
      <c r="C299" s="1" t="s">
        <v>506</v>
      </c>
      <c r="D299" s="1" t="s">
        <v>13</v>
      </c>
      <c r="E299" s="82" t="n">
        <v>0</v>
      </c>
      <c r="F299" s="26" t="n">
        <v>0</v>
      </c>
      <c r="G299" s="26" t="n">
        <v>0</v>
      </c>
      <c r="H299" s="1" t="s">
        <v>470</v>
      </c>
    </row>
    <row r="300" customFormat="false" ht="15" hidden="false" customHeight="true" outlineLevel="0" collapsed="false">
      <c r="A300" s="1" t="s">
        <v>634</v>
      </c>
      <c r="B300" s="1" t="s">
        <v>457</v>
      </c>
      <c r="C300" s="1" t="s">
        <v>507</v>
      </c>
      <c r="D300" s="1" t="s">
        <v>13</v>
      </c>
      <c r="E300" s="82" t="n">
        <v>0</v>
      </c>
      <c r="F300" s="26" t="n">
        <v>0</v>
      </c>
      <c r="G300" s="26" t="n">
        <v>0</v>
      </c>
      <c r="H300" s="1" t="s">
        <v>470</v>
      </c>
    </row>
    <row r="301" customFormat="false" ht="15" hidden="false" customHeight="true" outlineLevel="0" collapsed="false">
      <c r="A301" s="1" t="s">
        <v>634</v>
      </c>
      <c r="B301" s="1" t="s">
        <v>457</v>
      </c>
      <c r="C301" s="1" t="s">
        <v>458</v>
      </c>
      <c r="D301" s="1" t="s">
        <v>16</v>
      </c>
      <c r="E301" s="82" t="n">
        <v>112</v>
      </c>
      <c r="F301" s="26" t="n">
        <v>1.86</v>
      </c>
      <c r="G301" s="26" t="n">
        <v>208.32</v>
      </c>
      <c r="H301" s="1" t="s">
        <v>637</v>
      </c>
    </row>
    <row r="302" customFormat="false" ht="15" hidden="false" customHeight="true" outlineLevel="0" collapsed="false">
      <c r="A302" s="1" t="s">
        <v>634</v>
      </c>
      <c r="B302" s="1" t="s">
        <v>457</v>
      </c>
      <c r="C302" s="1" t="s">
        <v>460</v>
      </c>
      <c r="D302" s="1" t="s">
        <v>16</v>
      </c>
      <c r="E302" s="82" t="n">
        <v>1</v>
      </c>
      <c r="F302" s="26" t="n">
        <v>393.04</v>
      </c>
      <c r="G302" s="26" t="n">
        <v>393.04</v>
      </c>
      <c r="H302" s="1" t="s">
        <v>463</v>
      </c>
    </row>
    <row r="303" customFormat="false" ht="15" hidden="false" customHeight="true" outlineLevel="0" collapsed="false">
      <c r="A303" s="1" t="s">
        <v>634</v>
      </c>
      <c r="B303" s="1" t="s">
        <v>457</v>
      </c>
      <c r="C303" s="1" t="s">
        <v>462</v>
      </c>
      <c r="D303" s="1" t="s">
        <v>16</v>
      </c>
      <c r="E303" s="82" t="n">
        <v>0</v>
      </c>
      <c r="F303" s="26" t="n">
        <v>0</v>
      </c>
      <c r="G303" s="26" t="n">
        <v>0</v>
      </c>
      <c r="H303" s="1" t="s">
        <v>509</v>
      </c>
    </row>
    <row r="304" customFormat="false" ht="15" hidden="false" customHeight="true" outlineLevel="0" collapsed="false">
      <c r="A304" s="1" t="s">
        <v>634</v>
      </c>
      <c r="B304" s="1" t="s">
        <v>457</v>
      </c>
      <c r="C304" s="1" t="s">
        <v>464</v>
      </c>
      <c r="D304" s="1" t="s">
        <v>16</v>
      </c>
      <c r="E304" s="82" t="n">
        <v>0</v>
      </c>
      <c r="F304" s="26" t="n">
        <v>0</v>
      </c>
      <c r="G304" s="26" t="n">
        <v>0</v>
      </c>
      <c r="H304" s="1" t="s">
        <v>461</v>
      </c>
    </row>
    <row r="305" customFormat="false" ht="15" hidden="false" customHeight="true" outlineLevel="0" collapsed="false">
      <c r="A305" s="1" t="s">
        <v>634</v>
      </c>
      <c r="B305" s="1" t="s">
        <v>457</v>
      </c>
      <c r="C305" s="1" t="s">
        <v>503</v>
      </c>
      <c r="D305" s="1" t="s">
        <v>16</v>
      </c>
      <c r="E305" s="82" t="n">
        <v>1</v>
      </c>
      <c r="F305" s="26" t="n">
        <v>607.6</v>
      </c>
      <c r="G305" s="26" t="n">
        <v>607.6</v>
      </c>
      <c r="H305" s="1" t="s">
        <v>510</v>
      </c>
    </row>
    <row r="306" customFormat="false" ht="15" hidden="false" customHeight="true" outlineLevel="0" collapsed="false">
      <c r="A306" s="1" t="s">
        <v>634</v>
      </c>
      <c r="B306" s="1" t="s">
        <v>457</v>
      </c>
      <c r="C306" s="1" t="s">
        <v>503</v>
      </c>
      <c r="D306" s="1" t="s">
        <v>16</v>
      </c>
      <c r="E306" s="82" t="n">
        <v>42</v>
      </c>
      <c r="F306" s="26" t="n">
        <v>19.53</v>
      </c>
      <c r="G306" s="26" t="n">
        <v>820.26</v>
      </c>
      <c r="H306" s="1" t="s">
        <v>482</v>
      </c>
    </row>
    <row r="307" customFormat="false" ht="15" hidden="false" customHeight="true" outlineLevel="0" collapsed="false">
      <c r="A307" s="1" t="s">
        <v>634</v>
      </c>
      <c r="B307" s="1" t="s">
        <v>457</v>
      </c>
      <c r="C307" s="1" t="s">
        <v>471</v>
      </c>
      <c r="D307" s="1" t="s">
        <v>16</v>
      </c>
      <c r="E307" s="82" t="n">
        <v>2</v>
      </c>
      <c r="F307" s="26" t="n">
        <v>278.600873702422</v>
      </c>
      <c r="G307" s="26" t="n">
        <v>557.201747404844</v>
      </c>
      <c r="H307" s="1" t="s">
        <v>642</v>
      </c>
    </row>
    <row r="308" customFormat="false" ht="15" hidden="false" customHeight="true" outlineLevel="0" collapsed="false">
      <c r="A308" s="1" t="s">
        <v>634</v>
      </c>
      <c r="B308" s="1" t="s">
        <v>457</v>
      </c>
      <c r="C308" s="1" t="s">
        <v>511</v>
      </c>
      <c r="D308" s="1" t="s">
        <v>16</v>
      </c>
      <c r="E308" s="82" t="n">
        <v>-1</v>
      </c>
      <c r="F308" s="26" t="n">
        <v>370.462380952381</v>
      </c>
      <c r="G308" s="26" t="n">
        <v>-370.462380952381</v>
      </c>
      <c r="H308" s="1" t="s">
        <v>642</v>
      </c>
    </row>
    <row r="309" customFormat="false" ht="15" hidden="false" customHeight="true" outlineLevel="0" collapsed="false">
      <c r="A309" s="1" t="s">
        <v>634</v>
      </c>
      <c r="B309" s="1" t="s">
        <v>457</v>
      </c>
      <c r="C309" s="1" t="s">
        <v>475</v>
      </c>
      <c r="D309" s="1" t="s">
        <v>17</v>
      </c>
      <c r="E309" s="82" t="n">
        <v>1</v>
      </c>
      <c r="F309" s="26" t="n">
        <v>25.5</v>
      </c>
      <c r="G309" s="26" t="n">
        <v>25.5</v>
      </c>
      <c r="H309" s="1" t="s">
        <v>512</v>
      </c>
    </row>
    <row r="310" customFormat="false" ht="15" hidden="false" customHeight="true" outlineLevel="0" collapsed="false">
      <c r="A310" s="1" t="s">
        <v>634</v>
      </c>
      <c r="B310" s="1" t="s">
        <v>457</v>
      </c>
      <c r="C310" s="1" t="s">
        <v>458</v>
      </c>
      <c r="D310" s="1" t="s">
        <v>17</v>
      </c>
      <c r="E310" s="82" t="n">
        <v>261</v>
      </c>
      <c r="F310" s="26" t="n">
        <v>1.86</v>
      </c>
      <c r="G310" s="26" t="n">
        <v>485.46</v>
      </c>
      <c r="H310" s="1" t="s">
        <v>637</v>
      </c>
    </row>
    <row r="311" customFormat="false" ht="15" hidden="false" customHeight="true" outlineLevel="0" collapsed="false">
      <c r="A311" s="1" t="s">
        <v>634</v>
      </c>
      <c r="B311" s="1" t="s">
        <v>457</v>
      </c>
      <c r="C311" s="1" t="s">
        <v>460</v>
      </c>
      <c r="D311" s="1" t="s">
        <v>17</v>
      </c>
      <c r="E311" s="82" t="n">
        <v>3</v>
      </c>
      <c r="F311" s="26" t="n">
        <v>393.04</v>
      </c>
      <c r="G311" s="26" t="n">
        <v>1179.12</v>
      </c>
      <c r="H311" s="1" t="s">
        <v>509</v>
      </c>
    </row>
    <row r="312" customFormat="false" ht="15" hidden="false" customHeight="true" outlineLevel="0" collapsed="false">
      <c r="A312" s="1" t="s">
        <v>634</v>
      </c>
      <c r="B312" s="1" t="s">
        <v>457</v>
      </c>
      <c r="C312" s="1" t="s">
        <v>462</v>
      </c>
      <c r="D312" s="1" t="s">
        <v>17</v>
      </c>
      <c r="E312" s="82" t="n">
        <v>2</v>
      </c>
      <c r="F312" s="26" t="n">
        <v>439.28</v>
      </c>
      <c r="G312" s="26" t="n">
        <v>878.56</v>
      </c>
      <c r="H312" s="1" t="s">
        <v>461</v>
      </c>
    </row>
    <row r="313" customFormat="false" ht="15" hidden="false" customHeight="true" outlineLevel="0" collapsed="false">
      <c r="A313" s="1" t="s">
        <v>634</v>
      </c>
      <c r="B313" s="1" t="s">
        <v>457</v>
      </c>
      <c r="C313" s="1" t="s">
        <v>464</v>
      </c>
      <c r="D313" s="1" t="s">
        <v>17</v>
      </c>
      <c r="E313" s="82" t="n">
        <v>3</v>
      </c>
      <c r="F313" s="26" t="n">
        <v>407.27</v>
      </c>
      <c r="G313" s="26" t="n">
        <v>1221.81</v>
      </c>
      <c r="H313" s="1" t="s">
        <v>509</v>
      </c>
    </row>
    <row r="314" customFormat="false" ht="15" hidden="false" customHeight="true" outlineLevel="0" collapsed="false">
      <c r="A314" s="1" t="s">
        <v>634</v>
      </c>
      <c r="B314" s="1" t="s">
        <v>457</v>
      </c>
      <c r="C314" s="1" t="s">
        <v>471</v>
      </c>
      <c r="D314" s="1" t="s">
        <v>17</v>
      </c>
      <c r="E314" s="82" t="n">
        <v>4</v>
      </c>
      <c r="F314" s="26" t="n">
        <v>278.600873702422</v>
      </c>
      <c r="G314" s="26" t="n">
        <v>1114.40349480969</v>
      </c>
      <c r="H314" s="1" t="s">
        <v>642</v>
      </c>
    </row>
    <row r="315" customFormat="false" ht="15" hidden="false" customHeight="true" outlineLevel="0" collapsed="false">
      <c r="A315" s="1" t="s">
        <v>634</v>
      </c>
      <c r="B315" s="1" t="s">
        <v>457</v>
      </c>
      <c r="C315" s="1" t="s">
        <v>516</v>
      </c>
      <c r="D315" s="1" t="s">
        <v>17</v>
      </c>
      <c r="E315" s="82" t="n">
        <v>0</v>
      </c>
      <c r="F315" s="26" t="n">
        <v>0</v>
      </c>
      <c r="G315" s="26" t="n">
        <v>0</v>
      </c>
    </row>
    <row r="316" customFormat="false" ht="15" hidden="false" customHeight="true" outlineLevel="0" collapsed="false">
      <c r="A316" s="1" t="s">
        <v>634</v>
      </c>
      <c r="B316" s="1" t="s">
        <v>457</v>
      </c>
      <c r="C316" s="1" t="s">
        <v>517</v>
      </c>
      <c r="D316" s="1" t="s">
        <v>17</v>
      </c>
      <c r="E316" s="82" t="n">
        <v>-12</v>
      </c>
      <c r="F316" s="26" t="n">
        <v>26.326</v>
      </c>
      <c r="G316" s="26" t="n">
        <v>-315.912</v>
      </c>
      <c r="H316" s="1" t="s">
        <v>642</v>
      </c>
    </row>
    <row r="317" customFormat="false" ht="15" hidden="false" customHeight="true" outlineLevel="0" collapsed="false">
      <c r="A317" s="1" t="s">
        <v>634</v>
      </c>
      <c r="B317" s="1" t="s">
        <v>457</v>
      </c>
      <c r="C317" s="1" t="s">
        <v>649</v>
      </c>
      <c r="D317" s="1" t="s">
        <v>17</v>
      </c>
      <c r="E317" s="82" t="n">
        <v>-1</v>
      </c>
      <c r="F317" s="26" t="n">
        <v>26.326</v>
      </c>
      <c r="G317" s="26" t="n">
        <v>-26.326</v>
      </c>
      <c r="H317" s="1" t="s">
        <v>470</v>
      </c>
    </row>
    <row r="318" customFormat="false" ht="15" hidden="false" customHeight="true" outlineLevel="0" collapsed="false">
      <c r="A318" s="1" t="s">
        <v>634</v>
      </c>
      <c r="B318" s="1" t="s">
        <v>457</v>
      </c>
      <c r="C318" s="1" t="s">
        <v>506</v>
      </c>
      <c r="D318" s="1" t="s">
        <v>17</v>
      </c>
      <c r="E318" s="82" t="n">
        <v>0</v>
      </c>
      <c r="F318" s="26" t="n">
        <v>0</v>
      </c>
      <c r="G318" s="26" t="n">
        <v>0</v>
      </c>
    </row>
    <row r="319" customFormat="false" ht="15" hidden="false" customHeight="true" outlineLevel="0" collapsed="false">
      <c r="A319" s="1" t="s">
        <v>634</v>
      </c>
      <c r="B319" s="1" t="s">
        <v>143</v>
      </c>
      <c r="C319" s="1" t="s">
        <v>519</v>
      </c>
      <c r="D319" s="1" t="s">
        <v>10</v>
      </c>
      <c r="E319" s="82" t="n">
        <v>6445</v>
      </c>
      <c r="F319" s="26" t="n">
        <v>0.253754640366083</v>
      </c>
      <c r="G319" s="26" t="n">
        <v>1635.4486571594</v>
      </c>
      <c r="H319" s="1" t="s">
        <v>446</v>
      </c>
    </row>
    <row r="320" customFormat="false" ht="15" hidden="false" customHeight="true" outlineLevel="0" collapsed="false">
      <c r="A320" s="1" t="s">
        <v>634</v>
      </c>
      <c r="B320" s="1" t="s">
        <v>143</v>
      </c>
      <c r="C320" s="1" t="s">
        <v>519</v>
      </c>
      <c r="D320" s="1" t="s">
        <v>12</v>
      </c>
      <c r="E320" s="82" t="n">
        <v>13418</v>
      </c>
      <c r="F320" s="26" t="n">
        <v>0.253754640366083</v>
      </c>
      <c r="G320" s="26" t="n">
        <v>3404.8797644321</v>
      </c>
      <c r="H320" s="1" t="s">
        <v>446</v>
      </c>
    </row>
    <row r="321" customFormat="false" ht="15" hidden="false" customHeight="true" outlineLevel="0" collapsed="false">
      <c r="A321" s="1" t="s">
        <v>634</v>
      </c>
      <c r="B321" s="1" t="s">
        <v>143</v>
      </c>
      <c r="C321" s="1" t="s">
        <v>519</v>
      </c>
      <c r="D321" s="1" t="s">
        <v>14</v>
      </c>
      <c r="E321" s="82" t="n">
        <v>3704</v>
      </c>
      <c r="F321" s="26" t="n">
        <v>0.253754640366083</v>
      </c>
      <c r="G321" s="26" t="n">
        <v>939.90718791597</v>
      </c>
      <c r="H321" s="1" t="s">
        <v>446</v>
      </c>
    </row>
    <row r="322" customFormat="false" ht="15" hidden="false" customHeight="true" outlineLevel="0" collapsed="false">
      <c r="A322" s="1" t="s">
        <v>634</v>
      </c>
      <c r="B322" s="1" t="s">
        <v>143</v>
      </c>
      <c r="C322" s="1" t="s">
        <v>519</v>
      </c>
      <c r="D322" s="1" t="s">
        <v>15</v>
      </c>
      <c r="E322" s="82" t="n">
        <v>6434</v>
      </c>
      <c r="F322" s="26" t="n">
        <v>0.253754640366083</v>
      </c>
      <c r="G322" s="26" t="n">
        <v>1632.65735611538</v>
      </c>
      <c r="H322" s="1" t="s">
        <v>446</v>
      </c>
    </row>
    <row r="323" customFormat="false" ht="15" hidden="false" customHeight="true" outlineLevel="0" collapsed="false">
      <c r="A323" s="1" t="s">
        <v>634</v>
      </c>
      <c r="B323" s="1" t="s">
        <v>143</v>
      </c>
      <c r="C323" s="1" t="s">
        <v>519</v>
      </c>
      <c r="D323" s="1" t="s">
        <v>13</v>
      </c>
      <c r="E323" s="82" t="n">
        <v>14441</v>
      </c>
      <c r="F323" s="26" t="n">
        <v>0.253754640366083</v>
      </c>
      <c r="G323" s="26" t="n">
        <v>3664.4707615266</v>
      </c>
      <c r="H323" s="1" t="s">
        <v>446</v>
      </c>
    </row>
    <row r="324" customFormat="false" ht="15" hidden="false" customHeight="true" outlineLevel="0" collapsed="false">
      <c r="A324" s="1" t="s">
        <v>634</v>
      </c>
      <c r="B324" s="1" t="s">
        <v>143</v>
      </c>
      <c r="C324" s="1" t="s">
        <v>519</v>
      </c>
      <c r="D324" s="1" t="s">
        <v>16</v>
      </c>
      <c r="E324" s="82" t="n">
        <v>4749</v>
      </c>
      <c r="F324" s="26" t="n">
        <v>0.253754640366083</v>
      </c>
      <c r="G324" s="26" t="n">
        <v>1205.08078709853</v>
      </c>
      <c r="H324" s="1" t="s">
        <v>446</v>
      </c>
    </row>
    <row r="325" customFormat="false" ht="15" hidden="false" customHeight="true" outlineLevel="0" collapsed="false">
      <c r="A325" s="1" t="s">
        <v>634</v>
      </c>
      <c r="B325" s="1" t="s">
        <v>143</v>
      </c>
      <c r="C325" s="1" t="s">
        <v>519</v>
      </c>
      <c r="D325" s="1" t="s">
        <v>17</v>
      </c>
      <c r="E325" s="82" t="n">
        <v>4795</v>
      </c>
      <c r="F325" s="26" t="n">
        <v>0.253754640366083</v>
      </c>
      <c r="G325" s="26" t="n">
        <v>1216.75350055537</v>
      </c>
      <c r="H325" s="1" t="s">
        <v>446</v>
      </c>
    </row>
    <row r="326" customFormat="false" ht="15" hidden="false" customHeight="true" outlineLevel="0" collapsed="false">
      <c r="A326" s="1" t="s">
        <v>634</v>
      </c>
      <c r="B326" s="1" t="s">
        <v>141</v>
      </c>
      <c r="C326" s="1" t="s">
        <v>520</v>
      </c>
      <c r="D326" s="1" t="s">
        <v>12</v>
      </c>
      <c r="E326" s="82" t="n">
        <v>13418</v>
      </c>
      <c r="F326" s="26" t="n">
        <v>0.105895207936646</v>
      </c>
      <c r="G326" s="26" t="n">
        <v>1420.9019</v>
      </c>
      <c r="H326" s="1" t="s">
        <v>446</v>
      </c>
    </row>
    <row r="327" customFormat="false" ht="15" hidden="false" customHeight="true" outlineLevel="0" collapsed="false">
      <c r="A327" s="1" t="s">
        <v>634</v>
      </c>
      <c r="B327" s="1" t="s">
        <v>45</v>
      </c>
      <c r="C327" s="1" t="s">
        <v>521</v>
      </c>
      <c r="D327" s="1" t="s">
        <v>10</v>
      </c>
      <c r="E327" s="82" t="n">
        <v>1</v>
      </c>
      <c r="F327" s="26" t="n">
        <v>9145.68</v>
      </c>
      <c r="G327" s="26" t="n">
        <v>9145.68</v>
      </c>
      <c r="H327" s="1" t="s">
        <v>522</v>
      </c>
    </row>
    <row r="328" customFormat="false" ht="15" hidden="false" customHeight="true" outlineLevel="0" collapsed="false">
      <c r="A328" s="1" t="s">
        <v>634</v>
      </c>
      <c r="B328" s="1" t="s">
        <v>45</v>
      </c>
      <c r="C328" s="1" t="s">
        <v>521</v>
      </c>
      <c r="D328" s="1" t="s">
        <v>14</v>
      </c>
      <c r="E328" s="82" t="n">
        <v>1</v>
      </c>
      <c r="F328" s="26" t="n">
        <v>3372.11</v>
      </c>
      <c r="G328" s="26" t="n">
        <v>3372.11</v>
      </c>
      <c r="H328" s="1" t="s">
        <v>522</v>
      </c>
    </row>
    <row r="329" customFormat="false" ht="15" hidden="false" customHeight="true" outlineLevel="0" collapsed="false">
      <c r="A329" s="1" t="s">
        <v>634</v>
      </c>
      <c r="B329" s="1" t="s">
        <v>45</v>
      </c>
      <c r="C329" s="1" t="s">
        <v>521</v>
      </c>
      <c r="D329" s="1" t="s">
        <v>16</v>
      </c>
      <c r="E329" s="82" t="n">
        <v>1</v>
      </c>
      <c r="F329" s="26" t="n">
        <v>15695.77</v>
      </c>
      <c r="G329" s="26" t="n">
        <v>15695.77</v>
      </c>
      <c r="H329" s="1" t="s">
        <v>522</v>
      </c>
    </row>
    <row r="330" customFormat="false" ht="15" hidden="false" customHeight="true" outlineLevel="0" collapsed="false">
      <c r="A330" s="1" t="s">
        <v>634</v>
      </c>
      <c r="B330" s="1" t="s">
        <v>45</v>
      </c>
      <c r="C330" s="1" t="s">
        <v>523</v>
      </c>
      <c r="D330" s="1" t="s">
        <v>17</v>
      </c>
      <c r="E330" s="82" t="n">
        <v>0</v>
      </c>
      <c r="F330" s="26" t="n">
        <v>0</v>
      </c>
      <c r="G330" s="26" t="n">
        <v>0</v>
      </c>
      <c r="H330" s="1" t="s">
        <v>524</v>
      </c>
    </row>
    <row r="331" customFormat="false" ht="15" hidden="false" customHeight="true" outlineLevel="0" collapsed="false">
      <c r="A331" s="1" t="s">
        <v>634</v>
      </c>
      <c r="B331" s="1" t="s">
        <v>50</v>
      </c>
      <c r="C331" s="1" t="s">
        <v>527</v>
      </c>
      <c r="D331" s="1" t="s">
        <v>10</v>
      </c>
      <c r="E331" s="82" t="n">
        <v>0</v>
      </c>
      <c r="F331" s="26" t="n">
        <v>0</v>
      </c>
      <c r="G331" s="26" t="n">
        <v>0</v>
      </c>
      <c r="H331" s="1" t="s">
        <v>528</v>
      </c>
    </row>
    <row r="332" customFormat="false" ht="15" hidden="false" customHeight="true" outlineLevel="0" collapsed="false">
      <c r="A332" s="1" t="s">
        <v>634</v>
      </c>
      <c r="B332" s="1" t="s">
        <v>50</v>
      </c>
      <c r="C332" s="1" t="s">
        <v>527</v>
      </c>
      <c r="D332" s="1" t="s">
        <v>14</v>
      </c>
      <c r="E332" s="82" t="n">
        <v>0</v>
      </c>
      <c r="F332" s="26" t="n">
        <v>0</v>
      </c>
      <c r="G332" s="26" t="n">
        <v>0</v>
      </c>
      <c r="H332" s="1" t="s">
        <v>528</v>
      </c>
    </row>
    <row r="333" customFormat="false" ht="15" hidden="false" customHeight="true" outlineLevel="0" collapsed="false">
      <c r="A333" s="1" t="s">
        <v>634</v>
      </c>
      <c r="B333" s="1" t="s">
        <v>50</v>
      </c>
      <c r="C333" s="1" t="s">
        <v>527</v>
      </c>
      <c r="D333" s="1" t="s">
        <v>15</v>
      </c>
      <c r="E333" s="82" t="n">
        <v>0</v>
      </c>
      <c r="F333" s="26" t="n">
        <v>0</v>
      </c>
      <c r="G333" s="26" t="n">
        <v>0</v>
      </c>
      <c r="H333" s="1" t="s">
        <v>529</v>
      </c>
    </row>
    <row r="334" customFormat="false" ht="15" hidden="false" customHeight="true" outlineLevel="0" collapsed="false">
      <c r="A334" s="1" t="s">
        <v>634</v>
      </c>
      <c r="B334" s="1" t="s">
        <v>50</v>
      </c>
      <c r="C334" s="1" t="s">
        <v>527</v>
      </c>
      <c r="D334" s="1" t="s">
        <v>13</v>
      </c>
      <c r="E334" s="82" t="n">
        <v>0</v>
      </c>
      <c r="F334" s="26" t="n">
        <v>0</v>
      </c>
      <c r="G334" s="26" t="n">
        <v>0</v>
      </c>
      <c r="H334" s="1" t="s">
        <v>530</v>
      </c>
    </row>
    <row r="335" customFormat="false" ht="15" hidden="false" customHeight="true" outlineLevel="0" collapsed="false">
      <c r="A335" s="1" t="s">
        <v>634</v>
      </c>
      <c r="B335" s="1" t="s">
        <v>50</v>
      </c>
      <c r="C335" s="1" t="s">
        <v>527</v>
      </c>
      <c r="D335" s="1" t="s">
        <v>16</v>
      </c>
      <c r="E335" s="82" t="n">
        <v>0</v>
      </c>
      <c r="F335" s="26" t="n">
        <v>0</v>
      </c>
      <c r="G335" s="26" t="n">
        <v>0</v>
      </c>
      <c r="H335" s="1" t="s">
        <v>528</v>
      </c>
    </row>
    <row r="336" customFormat="false" ht="15" hidden="false" customHeight="true" outlineLevel="0" collapsed="false">
      <c r="A336" s="1" t="s">
        <v>634</v>
      </c>
      <c r="B336" s="1" t="s">
        <v>50</v>
      </c>
      <c r="C336" s="1" t="s">
        <v>527</v>
      </c>
      <c r="D336" s="1" t="s">
        <v>17</v>
      </c>
      <c r="E336" s="82" t="n">
        <v>0</v>
      </c>
      <c r="F336" s="26" t="n">
        <v>0</v>
      </c>
      <c r="G336" s="26" t="n">
        <v>0</v>
      </c>
      <c r="H336" s="1" t="s">
        <v>528</v>
      </c>
    </row>
    <row r="337" customFormat="false" ht="15" hidden="false" customHeight="true" outlineLevel="0" collapsed="false">
      <c r="A337" s="1" t="s">
        <v>634</v>
      </c>
      <c r="B337" s="1" t="s">
        <v>531</v>
      </c>
      <c r="C337" s="1" t="s">
        <v>532</v>
      </c>
      <c r="D337" s="1" t="s">
        <v>10</v>
      </c>
      <c r="E337" s="82" t="n">
        <v>0</v>
      </c>
      <c r="F337" s="26" t="n">
        <v>0</v>
      </c>
      <c r="G337" s="26" t="n">
        <v>0</v>
      </c>
      <c r="H337" s="1" t="s">
        <v>533</v>
      </c>
    </row>
    <row r="338" customFormat="false" ht="15" hidden="false" customHeight="true" outlineLevel="0" collapsed="false">
      <c r="A338" s="1" t="s">
        <v>634</v>
      </c>
      <c r="B338" s="1" t="s">
        <v>531</v>
      </c>
      <c r="C338" s="1" t="s">
        <v>534</v>
      </c>
      <c r="D338" s="1" t="s">
        <v>10</v>
      </c>
      <c r="E338" s="82" t="n">
        <v>0</v>
      </c>
      <c r="F338" s="26" t="n">
        <v>0</v>
      </c>
      <c r="G338" s="26" t="n">
        <v>0</v>
      </c>
      <c r="H338" s="1" t="s">
        <v>535</v>
      </c>
    </row>
    <row r="339" customFormat="false" ht="15" hidden="false" customHeight="true" outlineLevel="0" collapsed="false">
      <c r="A339" s="1" t="s">
        <v>634</v>
      </c>
      <c r="B339" s="1" t="s">
        <v>531</v>
      </c>
      <c r="C339" s="1" t="s">
        <v>650</v>
      </c>
      <c r="D339" s="1" t="s">
        <v>10</v>
      </c>
      <c r="E339" s="82" t="n">
        <v>1</v>
      </c>
      <c r="F339" s="26" t="n">
        <v>96</v>
      </c>
      <c r="G339" s="26" t="n">
        <v>96</v>
      </c>
      <c r="H339" s="1" t="s">
        <v>651</v>
      </c>
    </row>
    <row r="340" customFormat="false" ht="15" hidden="false" customHeight="true" outlineLevel="0" collapsed="false">
      <c r="A340" s="1" t="s">
        <v>634</v>
      </c>
      <c r="B340" s="1" t="s">
        <v>531</v>
      </c>
      <c r="C340" s="1" t="s">
        <v>536</v>
      </c>
      <c r="D340" s="1" t="s">
        <v>10</v>
      </c>
      <c r="E340" s="82" t="n">
        <v>10</v>
      </c>
      <c r="F340" s="26" t="n">
        <v>20</v>
      </c>
      <c r="G340" s="26" t="n">
        <v>200</v>
      </c>
      <c r="H340" s="1" t="s">
        <v>537</v>
      </c>
    </row>
    <row r="341" customFormat="false" ht="15" hidden="false" customHeight="true" outlineLevel="0" collapsed="false">
      <c r="A341" s="1" t="s">
        <v>634</v>
      </c>
      <c r="B341" s="1" t="s">
        <v>531</v>
      </c>
      <c r="C341" s="1" t="s">
        <v>538</v>
      </c>
      <c r="D341" s="1" t="s">
        <v>10</v>
      </c>
      <c r="E341" s="82" t="n">
        <v>1</v>
      </c>
      <c r="F341" s="26" t="n">
        <v>682.73</v>
      </c>
      <c r="G341" s="26" t="n">
        <v>682.73</v>
      </c>
      <c r="H341" s="1" t="s">
        <v>652</v>
      </c>
    </row>
    <row r="342" customFormat="false" ht="15" hidden="false" customHeight="true" outlineLevel="0" collapsed="false">
      <c r="A342" s="1" t="s">
        <v>634</v>
      </c>
      <c r="B342" s="1" t="s">
        <v>531</v>
      </c>
      <c r="C342" s="1" t="s">
        <v>538</v>
      </c>
      <c r="D342" s="1" t="s">
        <v>10</v>
      </c>
      <c r="E342" s="82" t="n">
        <v>1</v>
      </c>
      <c r="F342" s="26" t="n">
        <v>894.25</v>
      </c>
      <c r="G342" s="26" t="n">
        <v>894.25</v>
      </c>
      <c r="H342" s="1" t="s">
        <v>653</v>
      </c>
    </row>
    <row r="343" customFormat="false" ht="15" hidden="false" customHeight="true" outlineLevel="0" collapsed="false">
      <c r="A343" s="1" t="s">
        <v>634</v>
      </c>
      <c r="B343" s="1" t="s">
        <v>531</v>
      </c>
      <c r="C343" s="1" t="s">
        <v>540</v>
      </c>
      <c r="D343" s="1" t="s">
        <v>10</v>
      </c>
      <c r="E343" s="82" t="n">
        <v>1</v>
      </c>
      <c r="F343" s="26" t="n">
        <v>86</v>
      </c>
      <c r="G343" s="26" t="n">
        <v>86</v>
      </c>
      <c r="H343" s="1" t="s">
        <v>653</v>
      </c>
    </row>
    <row r="344" customFormat="false" ht="15" hidden="false" customHeight="true" outlineLevel="0" collapsed="false">
      <c r="A344" s="1" t="s">
        <v>634</v>
      </c>
      <c r="B344" s="1" t="s">
        <v>531</v>
      </c>
      <c r="C344" s="1" t="s">
        <v>538</v>
      </c>
      <c r="D344" s="1" t="s">
        <v>12</v>
      </c>
      <c r="E344" s="82" t="n">
        <v>0</v>
      </c>
      <c r="F344" s="26" t="n">
        <v>0</v>
      </c>
      <c r="G344" s="26" t="n">
        <v>0</v>
      </c>
      <c r="H344" s="1" t="s">
        <v>539</v>
      </c>
    </row>
    <row r="345" customFormat="false" ht="15" hidden="false" customHeight="true" outlineLevel="0" collapsed="false">
      <c r="A345" s="1" t="s">
        <v>634</v>
      </c>
      <c r="B345" s="1" t="s">
        <v>531</v>
      </c>
      <c r="C345" s="1" t="s">
        <v>536</v>
      </c>
      <c r="D345" s="1" t="s">
        <v>14</v>
      </c>
      <c r="E345" s="82" t="n">
        <v>3</v>
      </c>
      <c r="F345" s="26" t="n">
        <v>20</v>
      </c>
      <c r="G345" s="26" t="n">
        <v>60</v>
      </c>
      <c r="H345" s="1" t="s">
        <v>537</v>
      </c>
    </row>
    <row r="346" customFormat="false" ht="15" hidden="false" customHeight="true" outlineLevel="0" collapsed="false">
      <c r="A346" s="1" t="s">
        <v>634</v>
      </c>
      <c r="B346" s="1" t="s">
        <v>531</v>
      </c>
      <c r="C346" s="1" t="s">
        <v>538</v>
      </c>
      <c r="D346" s="1" t="s">
        <v>14</v>
      </c>
      <c r="E346" s="82" t="n">
        <v>1</v>
      </c>
      <c r="F346" s="26" t="n">
        <v>556.03</v>
      </c>
      <c r="G346" s="26" t="n">
        <v>556.03</v>
      </c>
      <c r="H346" s="1" t="s">
        <v>651</v>
      </c>
    </row>
    <row r="347" customFormat="false" ht="15" hidden="false" customHeight="true" outlineLevel="0" collapsed="false">
      <c r="A347" s="1" t="s">
        <v>634</v>
      </c>
      <c r="B347" s="1" t="s">
        <v>531</v>
      </c>
      <c r="C347" s="1" t="s">
        <v>538</v>
      </c>
      <c r="D347" s="1" t="s">
        <v>14</v>
      </c>
      <c r="E347" s="82" t="n">
        <v>1</v>
      </c>
      <c r="F347" s="26" t="n">
        <v>447.78</v>
      </c>
      <c r="G347" s="26" t="n">
        <v>447.78</v>
      </c>
      <c r="H347" s="1" t="s">
        <v>653</v>
      </c>
    </row>
    <row r="348" customFormat="false" ht="15" hidden="false" customHeight="true" outlineLevel="0" collapsed="false">
      <c r="A348" s="1" t="s">
        <v>634</v>
      </c>
      <c r="B348" s="1" t="s">
        <v>531</v>
      </c>
      <c r="C348" s="1" t="s">
        <v>540</v>
      </c>
      <c r="D348" s="1" t="s">
        <v>14</v>
      </c>
      <c r="E348" s="82" t="n">
        <v>0</v>
      </c>
      <c r="F348" s="26" t="n">
        <v>0</v>
      </c>
      <c r="G348" s="26" t="n">
        <v>0</v>
      </c>
      <c r="H348" s="1" t="s">
        <v>541</v>
      </c>
    </row>
    <row r="349" customFormat="false" ht="15" hidden="false" customHeight="true" outlineLevel="0" collapsed="false">
      <c r="A349" s="1" t="s">
        <v>634</v>
      </c>
      <c r="B349" s="1" t="s">
        <v>531</v>
      </c>
      <c r="C349" s="1" t="s">
        <v>532</v>
      </c>
      <c r="D349" s="1" t="s">
        <v>15</v>
      </c>
      <c r="E349" s="82" t="n">
        <v>0</v>
      </c>
      <c r="F349" s="26" t="n">
        <v>0</v>
      </c>
      <c r="G349" s="26" t="n">
        <v>0</v>
      </c>
      <c r="H349" s="1" t="s">
        <v>542</v>
      </c>
    </row>
    <row r="350" customFormat="false" ht="15" hidden="false" customHeight="true" outlineLevel="0" collapsed="false">
      <c r="A350" s="1" t="s">
        <v>634</v>
      </c>
      <c r="B350" s="1" t="s">
        <v>531</v>
      </c>
      <c r="C350" s="1" t="s">
        <v>534</v>
      </c>
      <c r="D350" s="1" t="s">
        <v>15</v>
      </c>
      <c r="E350" s="82" t="n">
        <v>0</v>
      </c>
      <c r="F350" s="26" t="n">
        <v>0</v>
      </c>
      <c r="G350" s="26" t="n">
        <v>0</v>
      </c>
      <c r="H350" s="1" t="s">
        <v>543</v>
      </c>
    </row>
    <row r="351" customFormat="false" ht="15" hidden="false" customHeight="true" outlineLevel="0" collapsed="false">
      <c r="A351" s="1" t="s">
        <v>634</v>
      </c>
      <c r="B351" s="1" t="s">
        <v>531</v>
      </c>
      <c r="C351" s="1" t="s">
        <v>544</v>
      </c>
      <c r="D351" s="1" t="s">
        <v>15</v>
      </c>
      <c r="E351" s="82" t="n">
        <v>1</v>
      </c>
      <c r="F351" s="26" t="n">
        <v>1150</v>
      </c>
      <c r="G351" s="26" t="n">
        <v>1150</v>
      </c>
      <c r="H351" s="1" t="s">
        <v>653</v>
      </c>
    </row>
    <row r="352" customFormat="false" ht="15" hidden="false" customHeight="true" outlineLevel="0" collapsed="false">
      <c r="A352" s="1" t="s">
        <v>634</v>
      </c>
      <c r="B352" s="1" t="s">
        <v>531</v>
      </c>
      <c r="C352" s="1" t="s">
        <v>536</v>
      </c>
      <c r="D352" s="1" t="s">
        <v>15</v>
      </c>
      <c r="E352" s="82" t="n">
        <v>13</v>
      </c>
      <c r="F352" s="26" t="n">
        <v>20</v>
      </c>
      <c r="G352" s="26" t="n">
        <v>260</v>
      </c>
      <c r="H352" s="1" t="s">
        <v>537</v>
      </c>
    </row>
    <row r="353" customFormat="false" ht="15" hidden="false" customHeight="true" outlineLevel="0" collapsed="false">
      <c r="A353" s="1" t="s">
        <v>634</v>
      </c>
      <c r="B353" s="1" t="s">
        <v>531</v>
      </c>
      <c r="C353" s="1" t="s">
        <v>538</v>
      </c>
      <c r="D353" s="1" t="s">
        <v>15</v>
      </c>
      <c r="E353" s="82" t="n">
        <v>0</v>
      </c>
      <c r="F353" s="26" t="n">
        <v>0</v>
      </c>
      <c r="G353" s="26" t="n">
        <v>0</v>
      </c>
      <c r="H353" s="1" t="s">
        <v>539</v>
      </c>
    </row>
    <row r="354" customFormat="false" ht="15" hidden="false" customHeight="true" outlineLevel="0" collapsed="false">
      <c r="A354" s="1" t="s">
        <v>634</v>
      </c>
      <c r="B354" s="1" t="s">
        <v>531</v>
      </c>
      <c r="C354" s="1" t="s">
        <v>540</v>
      </c>
      <c r="D354" s="1" t="s">
        <v>15</v>
      </c>
      <c r="E354" s="82" t="n">
        <v>1</v>
      </c>
      <c r="F354" s="26" t="n">
        <v>475.21</v>
      </c>
      <c r="G354" s="26" t="n">
        <v>475.21</v>
      </c>
      <c r="H354" s="1" t="s">
        <v>653</v>
      </c>
    </row>
    <row r="355" customFormat="false" ht="15" hidden="false" customHeight="true" outlineLevel="0" collapsed="false">
      <c r="A355" s="1" t="s">
        <v>634</v>
      </c>
      <c r="B355" s="1" t="s">
        <v>531</v>
      </c>
      <c r="C355" s="1" t="s">
        <v>650</v>
      </c>
      <c r="D355" s="1" t="s">
        <v>13</v>
      </c>
      <c r="E355" s="82" t="n">
        <v>1</v>
      </c>
      <c r="F355" s="26" t="n">
        <v>132</v>
      </c>
      <c r="G355" s="26" t="n">
        <v>132</v>
      </c>
      <c r="H355" s="1" t="s">
        <v>651</v>
      </c>
    </row>
    <row r="356" customFormat="false" ht="15" hidden="false" customHeight="true" outlineLevel="0" collapsed="false">
      <c r="A356" s="1" t="s">
        <v>634</v>
      </c>
      <c r="B356" s="1" t="s">
        <v>531</v>
      </c>
      <c r="C356" s="1" t="s">
        <v>536</v>
      </c>
      <c r="D356" s="1" t="s">
        <v>13</v>
      </c>
      <c r="E356" s="82" t="n">
        <v>19</v>
      </c>
      <c r="F356" s="26" t="n">
        <v>20</v>
      </c>
      <c r="G356" s="26" t="n">
        <v>380</v>
      </c>
      <c r="H356" s="1" t="s">
        <v>537</v>
      </c>
    </row>
    <row r="357" customFormat="false" ht="15" hidden="false" customHeight="true" outlineLevel="0" collapsed="false">
      <c r="A357" s="1" t="s">
        <v>634</v>
      </c>
      <c r="B357" s="1" t="s">
        <v>531</v>
      </c>
      <c r="C357" s="1" t="s">
        <v>538</v>
      </c>
      <c r="D357" s="1" t="s">
        <v>13</v>
      </c>
      <c r="E357" s="82" t="n">
        <v>1</v>
      </c>
      <c r="F357" s="26" t="n">
        <v>1035.78</v>
      </c>
      <c r="G357" s="26" t="n">
        <v>1035.78</v>
      </c>
      <c r="H357" s="1" t="s">
        <v>651</v>
      </c>
    </row>
    <row r="358" customFormat="false" ht="15" hidden="false" customHeight="true" outlineLevel="0" collapsed="false">
      <c r="A358" s="1" t="s">
        <v>634</v>
      </c>
      <c r="B358" s="1" t="s">
        <v>531</v>
      </c>
      <c r="C358" s="1" t="s">
        <v>538</v>
      </c>
      <c r="D358" s="1" t="s">
        <v>13</v>
      </c>
      <c r="E358" s="82" t="n">
        <v>1</v>
      </c>
      <c r="F358" s="26" t="n">
        <v>1381.14</v>
      </c>
      <c r="G358" s="26" t="n">
        <v>1381.14</v>
      </c>
      <c r="H358" s="1" t="s">
        <v>653</v>
      </c>
    </row>
    <row r="359" customFormat="false" ht="15" hidden="false" customHeight="true" outlineLevel="0" collapsed="false">
      <c r="A359" s="1" t="s">
        <v>634</v>
      </c>
      <c r="B359" s="1" t="s">
        <v>531</v>
      </c>
      <c r="C359" s="1" t="s">
        <v>545</v>
      </c>
      <c r="D359" s="1" t="s">
        <v>13</v>
      </c>
      <c r="E359" s="82" t="n">
        <v>1</v>
      </c>
      <c r="F359" s="26" t="n">
        <v>264</v>
      </c>
      <c r="G359" s="26" t="n">
        <v>264</v>
      </c>
      <c r="H359" s="1" t="s">
        <v>653</v>
      </c>
    </row>
    <row r="360" customFormat="false" ht="15" hidden="false" customHeight="true" outlineLevel="0" collapsed="false">
      <c r="A360" s="1" t="s">
        <v>634</v>
      </c>
      <c r="B360" s="1" t="s">
        <v>531</v>
      </c>
      <c r="C360" s="1" t="s">
        <v>544</v>
      </c>
      <c r="D360" s="1" t="s">
        <v>16</v>
      </c>
      <c r="E360" s="82" t="n">
        <v>0</v>
      </c>
      <c r="F360" s="26" t="n">
        <v>0</v>
      </c>
      <c r="G360" s="26" t="n">
        <v>0</v>
      </c>
      <c r="H360" s="1" t="s">
        <v>546</v>
      </c>
    </row>
    <row r="361" customFormat="false" ht="15" hidden="false" customHeight="true" outlineLevel="0" collapsed="false">
      <c r="A361" s="1" t="s">
        <v>634</v>
      </c>
      <c r="B361" s="1" t="s">
        <v>531</v>
      </c>
      <c r="C361" s="1" t="s">
        <v>536</v>
      </c>
      <c r="D361" s="1" t="s">
        <v>16</v>
      </c>
      <c r="E361" s="82" t="n">
        <v>4</v>
      </c>
      <c r="F361" s="26" t="n">
        <v>20</v>
      </c>
      <c r="G361" s="26" t="n">
        <v>80</v>
      </c>
      <c r="H361" s="1" t="s">
        <v>537</v>
      </c>
    </row>
    <row r="362" customFormat="false" ht="15" hidden="false" customHeight="true" outlineLevel="0" collapsed="false">
      <c r="A362" s="1" t="s">
        <v>634</v>
      </c>
      <c r="B362" s="1" t="s">
        <v>531</v>
      </c>
      <c r="C362" s="1" t="s">
        <v>538</v>
      </c>
      <c r="D362" s="1" t="s">
        <v>16</v>
      </c>
      <c r="E362" s="82" t="n">
        <v>0</v>
      </c>
      <c r="F362" s="26" t="n">
        <v>0</v>
      </c>
      <c r="G362" s="26" t="n">
        <v>0</v>
      </c>
      <c r="H362" s="1" t="s">
        <v>539</v>
      </c>
    </row>
    <row r="363" customFormat="false" ht="15" hidden="false" customHeight="true" outlineLevel="0" collapsed="false">
      <c r="A363" s="1" t="s">
        <v>634</v>
      </c>
      <c r="B363" s="1" t="s">
        <v>531</v>
      </c>
      <c r="C363" s="1" t="s">
        <v>545</v>
      </c>
      <c r="D363" s="1" t="s">
        <v>16</v>
      </c>
      <c r="E363" s="82" t="n">
        <v>0</v>
      </c>
      <c r="F363" s="26" t="n">
        <v>0</v>
      </c>
      <c r="G363" s="26" t="n">
        <v>0</v>
      </c>
      <c r="H363" s="1" t="s">
        <v>541</v>
      </c>
    </row>
    <row r="364" customFormat="false" ht="15" hidden="false" customHeight="true" outlineLevel="0" collapsed="false">
      <c r="A364" s="1" t="s">
        <v>634</v>
      </c>
      <c r="B364" s="1" t="s">
        <v>531</v>
      </c>
      <c r="C364" s="1" t="s">
        <v>532</v>
      </c>
      <c r="D364" s="1" t="s">
        <v>17</v>
      </c>
      <c r="E364" s="82" t="n">
        <v>0</v>
      </c>
      <c r="F364" s="26" t="n">
        <v>0</v>
      </c>
      <c r="G364" s="26" t="n">
        <v>0</v>
      </c>
      <c r="H364" s="1" t="s">
        <v>547</v>
      </c>
    </row>
    <row r="365" customFormat="false" ht="15" hidden="false" customHeight="true" outlineLevel="0" collapsed="false">
      <c r="A365" s="1" t="s">
        <v>634</v>
      </c>
      <c r="B365" s="1" t="s">
        <v>531</v>
      </c>
      <c r="C365" s="1" t="s">
        <v>536</v>
      </c>
      <c r="D365" s="1" t="s">
        <v>17</v>
      </c>
      <c r="E365" s="82" t="n">
        <v>8</v>
      </c>
      <c r="F365" s="26" t="n">
        <v>20</v>
      </c>
      <c r="G365" s="26" t="n">
        <v>160</v>
      </c>
      <c r="H365" s="1" t="s">
        <v>537</v>
      </c>
    </row>
    <row r="366" customFormat="false" ht="15" hidden="false" customHeight="true" outlineLevel="0" collapsed="false">
      <c r="A366" s="1" t="s">
        <v>634</v>
      </c>
      <c r="B366" s="1" t="s">
        <v>531</v>
      </c>
      <c r="C366" s="1" t="s">
        <v>538</v>
      </c>
      <c r="D366" s="1" t="s">
        <v>17</v>
      </c>
      <c r="E366" s="82" t="n">
        <v>1</v>
      </c>
      <c r="F366" s="26" t="n">
        <v>1209.07</v>
      </c>
      <c r="G366" s="26" t="n">
        <v>1209.07</v>
      </c>
      <c r="H366" s="1" t="s">
        <v>651</v>
      </c>
    </row>
    <row r="367" customFormat="false" ht="15" hidden="false" customHeight="true" outlineLevel="0" collapsed="false">
      <c r="A367" s="1" t="s">
        <v>634</v>
      </c>
      <c r="B367" s="1" t="s">
        <v>531</v>
      </c>
      <c r="C367" s="1" t="s">
        <v>538</v>
      </c>
      <c r="D367" s="1" t="s">
        <v>17</v>
      </c>
      <c r="E367" s="82" t="n">
        <v>1</v>
      </c>
      <c r="F367" s="26" t="n">
        <v>497.22</v>
      </c>
      <c r="G367" s="26" t="n">
        <v>497.22</v>
      </c>
      <c r="H367" s="1" t="s">
        <v>653</v>
      </c>
    </row>
    <row r="368" customFormat="false" ht="15" hidden="false" customHeight="true" outlineLevel="0" collapsed="false">
      <c r="A368" s="1" t="s">
        <v>634</v>
      </c>
      <c r="B368" s="1" t="s">
        <v>531</v>
      </c>
      <c r="C368" s="1" t="s">
        <v>540</v>
      </c>
      <c r="D368" s="1" t="s">
        <v>17</v>
      </c>
      <c r="E368" s="82" t="n">
        <v>1</v>
      </c>
      <c r="F368" s="26" t="n">
        <v>230.72</v>
      </c>
      <c r="G368" s="26" t="n">
        <v>230.72</v>
      </c>
      <c r="H368" s="1" t="s">
        <v>651</v>
      </c>
    </row>
    <row r="369" customFormat="false" ht="15" hidden="false" customHeight="true" outlineLevel="0" collapsed="false">
      <c r="A369" s="1" t="s">
        <v>634</v>
      </c>
      <c r="B369" s="1" t="s">
        <v>531</v>
      </c>
      <c r="C369" s="1" t="s">
        <v>540</v>
      </c>
      <c r="D369" s="1" t="s">
        <v>17</v>
      </c>
      <c r="E369" s="82" t="n">
        <v>1</v>
      </c>
      <c r="F369" s="26" t="n">
        <v>381.6</v>
      </c>
      <c r="G369" s="26" t="n">
        <v>381.6</v>
      </c>
      <c r="H369" s="1" t="s">
        <v>653</v>
      </c>
    </row>
    <row r="370" customFormat="false" ht="15" hidden="false" customHeight="true" outlineLevel="0" collapsed="false">
      <c r="A370" s="1" t="s">
        <v>634</v>
      </c>
      <c r="B370" s="1" t="s">
        <v>548</v>
      </c>
      <c r="C370" s="1" t="s">
        <v>551</v>
      </c>
      <c r="D370" s="1" t="s">
        <v>10</v>
      </c>
      <c r="E370" s="82" t="n">
        <v>0</v>
      </c>
      <c r="F370" s="26" t="n">
        <v>0</v>
      </c>
      <c r="G370" s="26" t="n">
        <v>0</v>
      </c>
      <c r="H370" s="1" t="s">
        <v>552</v>
      </c>
    </row>
    <row r="371" customFormat="false" ht="15" hidden="false" customHeight="true" outlineLevel="0" collapsed="false">
      <c r="A371" s="1" t="s">
        <v>634</v>
      </c>
      <c r="B371" s="1" t="s">
        <v>548</v>
      </c>
      <c r="C371" s="1" t="s">
        <v>549</v>
      </c>
      <c r="D371" s="1" t="s">
        <v>10</v>
      </c>
      <c r="E371" s="82" t="n">
        <v>0</v>
      </c>
      <c r="F371" s="26" t="n">
        <v>0</v>
      </c>
      <c r="G371" s="26" t="n">
        <v>0</v>
      </c>
      <c r="H371" s="1" t="s">
        <v>550</v>
      </c>
    </row>
    <row r="372" customFormat="false" ht="15" hidden="false" customHeight="true" outlineLevel="0" collapsed="false">
      <c r="A372" s="1" t="s">
        <v>634</v>
      </c>
      <c r="B372" s="1" t="s">
        <v>548</v>
      </c>
      <c r="C372" s="1" t="s">
        <v>553</v>
      </c>
      <c r="D372" s="1" t="s">
        <v>10</v>
      </c>
      <c r="E372" s="82" t="n">
        <v>0</v>
      </c>
      <c r="F372" s="26" t="n">
        <v>0</v>
      </c>
      <c r="G372" s="26" t="n">
        <v>0</v>
      </c>
      <c r="H372" s="1" t="s">
        <v>554</v>
      </c>
    </row>
    <row r="373" customFormat="false" ht="15" hidden="false" customHeight="true" outlineLevel="0" collapsed="false">
      <c r="A373" s="1" t="s">
        <v>634</v>
      </c>
      <c r="B373" s="1" t="s">
        <v>548</v>
      </c>
      <c r="C373" s="1" t="s">
        <v>555</v>
      </c>
      <c r="D373" s="1" t="s">
        <v>10</v>
      </c>
      <c r="E373" s="82" t="n">
        <v>0</v>
      </c>
      <c r="F373" s="26" t="n">
        <v>0</v>
      </c>
      <c r="G373" s="26" t="n">
        <v>0</v>
      </c>
      <c r="H373" s="1" t="s">
        <v>556</v>
      </c>
    </row>
    <row r="374" customFormat="false" ht="15" hidden="false" customHeight="true" outlineLevel="0" collapsed="false">
      <c r="A374" s="1" t="s">
        <v>634</v>
      </c>
      <c r="B374" s="1" t="s">
        <v>548</v>
      </c>
      <c r="C374" s="1" t="s">
        <v>557</v>
      </c>
      <c r="D374" s="1" t="s">
        <v>12</v>
      </c>
      <c r="E374" s="82" t="n">
        <v>0</v>
      </c>
      <c r="F374" s="26" t="n">
        <v>0</v>
      </c>
      <c r="G374" s="26" t="n">
        <v>0</v>
      </c>
      <c r="H374" s="1" t="s">
        <v>558</v>
      </c>
    </row>
    <row r="375" customFormat="false" ht="15" hidden="false" customHeight="true" outlineLevel="0" collapsed="false">
      <c r="A375" s="1" t="s">
        <v>634</v>
      </c>
      <c r="B375" s="1" t="s">
        <v>548</v>
      </c>
      <c r="C375" s="1" t="s">
        <v>559</v>
      </c>
      <c r="D375" s="1" t="s">
        <v>12</v>
      </c>
      <c r="E375" s="82" t="n">
        <v>0</v>
      </c>
      <c r="F375" s="26" t="n">
        <v>0</v>
      </c>
      <c r="G375" s="26" t="n">
        <v>0</v>
      </c>
      <c r="H375" s="1" t="s">
        <v>560</v>
      </c>
    </row>
    <row r="376" customFormat="false" ht="15" hidden="false" customHeight="true" outlineLevel="0" collapsed="false">
      <c r="A376" s="1" t="s">
        <v>634</v>
      </c>
      <c r="B376" s="1" t="s">
        <v>548</v>
      </c>
      <c r="C376" s="1" t="s">
        <v>561</v>
      </c>
      <c r="D376" s="1" t="s">
        <v>14</v>
      </c>
      <c r="E376" s="82" t="n">
        <v>0</v>
      </c>
      <c r="F376" s="26" t="n">
        <v>0</v>
      </c>
      <c r="G376" s="26" t="n">
        <v>0</v>
      </c>
      <c r="H376" s="1" t="s">
        <v>562</v>
      </c>
    </row>
    <row r="377" customFormat="false" ht="15" hidden="false" customHeight="true" outlineLevel="0" collapsed="false">
      <c r="A377" s="1" t="s">
        <v>634</v>
      </c>
      <c r="B377" s="1" t="s">
        <v>548</v>
      </c>
      <c r="C377" s="1" t="s">
        <v>563</v>
      </c>
      <c r="D377" s="1" t="s">
        <v>14</v>
      </c>
      <c r="E377" s="82" t="n">
        <v>0</v>
      </c>
      <c r="F377" s="26" t="n">
        <v>0</v>
      </c>
      <c r="G377" s="26" t="n">
        <v>0</v>
      </c>
      <c r="H377" s="1" t="s">
        <v>564</v>
      </c>
    </row>
    <row r="378" customFormat="false" ht="15" hidden="false" customHeight="true" outlineLevel="0" collapsed="false">
      <c r="A378" s="1" t="s">
        <v>634</v>
      </c>
      <c r="B378" s="1" t="s">
        <v>548</v>
      </c>
      <c r="C378" s="1" t="s">
        <v>565</v>
      </c>
      <c r="D378" s="1" t="s">
        <v>14</v>
      </c>
      <c r="E378" s="82" t="n">
        <v>0</v>
      </c>
      <c r="F378" s="26" t="n">
        <v>0</v>
      </c>
      <c r="G378" s="26" t="n">
        <v>0</v>
      </c>
      <c r="H378" s="1" t="s">
        <v>558</v>
      </c>
    </row>
    <row r="379" customFormat="false" ht="15" hidden="false" customHeight="true" outlineLevel="0" collapsed="false">
      <c r="A379" s="1" t="s">
        <v>634</v>
      </c>
      <c r="B379" s="1" t="s">
        <v>548</v>
      </c>
      <c r="C379" s="1" t="s">
        <v>566</v>
      </c>
      <c r="D379" s="1" t="s">
        <v>14</v>
      </c>
      <c r="E379" s="82" t="n">
        <v>0</v>
      </c>
      <c r="F379" s="26" t="n">
        <v>0</v>
      </c>
      <c r="G379" s="26" t="n">
        <v>0</v>
      </c>
      <c r="H379" s="1" t="s">
        <v>567</v>
      </c>
    </row>
    <row r="380" customFormat="false" ht="15" hidden="false" customHeight="true" outlineLevel="0" collapsed="false">
      <c r="A380" s="1" t="s">
        <v>634</v>
      </c>
      <c r="B380" s="1" t="s">
        <v>548</v>
      </c>
      <c r="C380" s="1" t="s">
        <v>568</v>
      </c>
      <c r="D380" s="1" t="s">
        <v>14</v>
      </c>
      <c r="E380" s="82" t="n">
        <v>0</v>
      </c>
      <c r="F380" s="26" t="n">
        <v>0</v>
      </c>
      <c r="G380" s="26" t="n">
        <v>0</v>
      </c>
      <c r="H380" s="1" t="s">
        <v>567</v>
      </c>
    </row>
    <row r="381" customFormat="false" ht="15" hidden="false" customHeight="true" outlineLevel="0" collapsed="false">
      <c r="A381" s="1" t="s">
        <v>634</v>
      </c>
      <c r="B381" s="1" t="s">
        <v>548</v>
      </c>
      <c r="C381" s="1" t="s">
        <v>569</v>
      </c>
      <c r="D381" s="1" t="s">
        <v>14</v>
      </c>
      <c r="E381" s="82" t="n">
        <v>1</v>
      </c>
      <c r="F381" s="26" t="n">
        <v>3430.14</v>
      </c>
      <c r="G381" s="26" t="n">
        <v>3430.14</v>
      </c>
      <c r="H381" s="1" t="s">
        <v>570</v>
      </c>
    </row>
    <row r="382" customFormat="false" ht="15" hidden="false" customHeight="true" outlineLevel="0" collapsed="false">
      <c r="A382" s="1" t="s">
        <v>634</v>
      </c>
      <c r="B382" s="1" t="s">
        <v>548</v>
      </c>
      <c r="C382" s="1" t="s">
        <v>551</v>
      </c>
      <c r="D382" s="1" t="s">
        <v>15</v>
      </c>
      <c r="E382" s="82" t="n">
        <v>0</v>
      </c>
      <c r="F382" s="26" t="n">
        <v>0</v>
      </c>
      <c r="G382" s="26" t="n">
        <v>0</v>
      </c>
      <c r="H382" s="1" t="s">
        <v>558</v>
      </c>
    </row>
    <row r="383" customFormat="false" ht="15" hidden="false" customHeight="true" outlineLevel="0" collapsed="false">
      <c r="A383" s="1" t="s">
        <v>634</v>
      </c>
      <c r="B383" s="1" t="s">
        <v>548</v>
      </c>
      <c r="C383" s="1" t="s">
        <v>555</v>
      </c>
      <c r="D383" s="1" t="s">
        <v>15</v>
      </c>
      <c r="E383" s="82" t="n">
        <v>0</v>
      </c>
      <c r="F383" s="26" t="n">
        <v>0</v>
      </c>
      <c r="G383" s="26" t="n">
        <v>0</v>
      </c>
      <c r="H383" s="1" t="s">
        <v>571</v>
      </c>
    </row>
    <row r="384" customFormat="false" ht="15" hidden="false" customHeight="true" outlineLevel="0" collapsed="false">
      <c r="A384" s="1" t="s">
        <v>634</v>
      </c>
      <c r="B384" s="1" t="s">
        <v>548</v>
      </c>
      <c r="C384" s="1" t="s">
        <v>572</v>
      </c>
      <c r="D384" s="1" t="s">
        <v>13</v>
      </c>
      <c r="E384" s="82" t="n">
        <v>0</v>
      </c>
      <c r="F384" s="26" t="n">
        <v>0</v>
      </c>
      <c r="G384" s="26" t="n">
        <v>0</v>
      </c>
      <c r="H384" s="1" t="s">
        <v>573</v>
      </c>
    </row>
    <row r="385" customFormat="false" ht="15" hidden="false" customHeight="true" outlineLevel="0" collapsed="false">
      <c r="A385" s="1" t="s">
        <v>634</v>
      </c>
      <c r="B385" s="1" t="s">
        <v>548</v>
      </c>
      <c r="C385" s="1" t="s">
        <v>574</v>
      </c>
      <c r="D385" s="1" t="s">
        <v>13</v>
      </c>
      <c r="E385" s="82" t="n">
        <v>0</v>
      </c>
      <c r="F385" s="26" t="n">
        <v>0</v>
      </c>
      <c r="G385" s="26" t="n">
        <v>0</v>
      </c>
      <c r="H385" s="1" t="s">
        <v>550</v>
      </c>
    </row>
    <row r="386" customFormat="false" ht="15" hidden="false" customHeight="true" outlineLevel="0" collapsed="false">
      <c r="A386" s="1" t="s">
        <v>634</v>
      </c>
      <c r="B386" s="1" t="s">
        <v>548</v>
      </c>
      <c r="C386" s="1" t="s">
        <v>575</v>
      </c>
      <c r="D386" s="1" t="s">
        <v>13</v>
      </c>
      <c r="E386" s="82" t="n">
        <v>0</v>
      </c>
      <c r="F386" s="26" t="n">
        <v>0</v>
      </c>
      <c r="G386" s="26" t="n">
        <v>0</v>
      </c>
      <c r="H386" s="1" t="s">
        <v>554</v>
      </c>
    </row>
    <row r="387" customFormat="false" ht="15" hidden="false" customHeight="true" outlineLevel="0" collapsed="false">
      <c r="A387" s="1" t="s">
        <v>634</v>
      </c>
      <c r="B387" s="1" t="s">
        <v>548</v>
      </c>
      <c r="C387" s="1" t="s">
        <v>576</v>
      </c>
      <c r="D387" s="1" t="s">
        <v>13</v>
      </c>
      <c r="E387" s="82" t="n">
        <v>0</v>
      </c>
      <c r="F387" s="26" t="n">
        <v>0</v>
      </c>
      <c r="G387" s="26" t="n">
        <v>0</v>
      </c>
      <c r="H387" s="1" t="s">
        <v>560</v>
      </c>
    </row>
    <row r="388" customFormat="false" ht="15" hidden="false" customHeight="true" outlineLevel="0" collapsed="false">
      <c r="A388" s="1" t="s">
        <v>634</v>
      </c>
      <c r="B388" s="1" t="s">
        <v>548</v>
      </c>
      <c r="C388" s="1" t="s">
        <v>572</v>
      </c>
      <c r="D388" s="1" t="s">
        <v>16</v>
      </c>
      <c r="E388" s="82" t="n">
        <v>0</v>
      </c>
      <c r="F388" s="26" t="n">
        <v>0</v>
      </c>
      <c r="G388" s="26" t="n">
        <v>0</v>
      </c>
      <c r="H388" s="1" t="s">
        <v>558</v>
      </c>
    </row>
    <row r="389" customFormat="false" ht="15" hidden="false" customHeight="true" outlineLevel="0" collapsed="false">
      <c r="A389" s="1" t="s">
        <v>634</v>
      </c>
      <c r="B389" s="1" t="s">
        <v>548</v>
      </c>
      <c r="C389" s="1" t="s">
        <v>577</v>
      </c>
      <c r="D389" s="1" t="s">
        <v>16</v>
      </c>
      <c r="E389" s="82" t="n">
        <v>0</v>
      </c>
      <c r="F389" s="26" t="n">
        <v>0</v>
      </c>
      <c r="G389" s="26" t="n">
        <v>0</v>
      </c>
      <c r="H389" s="1" t="s">
        <v>558</v>
      </c>
    </row>
    <row r="390" customFormat="false" ht="15" hidden="false" customHeight="true" outlineLevel="0" collapsed="false">
      <c r="A390" s="1" t="s">
        <v>634</v>
      </c>
      <c r="B390" s="1" t="s">
        <v>548</v>
      </c>
      <c r="C390" s="1" t="s">
        <v>578</v>
      </c>
      <c r="D390" s="1" t="s">
        <v>16</v>
      </c>
      <c r="E390" s="82" t="n">
        <v>0</v>
      </c>
      <c r="F390" s="26" t="n">
        <v>0</v>
      </c>
      <c r="G390" s="26" t="n">
        <v>0</v>
      </c>
      <c r="H390" s="1" t="s">
        <v>571</v>
      </c>
    </row>
    <row r="391" customFormat="false" ht="15" hidden="false" customHeight="true" outlineLevel="0" collapsed="false">
      <c r="A391" s="1" t="s">
        <v>634</v>
      </c>
      <c r="B391" s="1" t="s">
        <v>548</v>
      </c>
      <c r="C391" s="1" t="s">
        <v>576</v>
      </c>
      <c r="D391" s="1" t="s">
        <v>16</v>
      </c>
      <c r="E391" s="82" t="n">
        <v>0</v>
      </c>
      <c r="F391" s="26" t="n">
        <v>0</v>
      </c>
      <c r="G391" s="26" t="n">
        <v>0</v>
      </c>
      <c r="H391" s="1" t="s">
        <v>579</v>
      </c>
    </row>
    <row r="392" customFormat="false" ht="15" hidden="false" customHeight="true" outlineLevel="0" collapsed="false">
      <c r="A392" s="1" t="s">
        <v>634</v>
      </c>
      <c r="B392" s="1" t="s">
        <v>548</v>
      </c>
      <c r="C392" s="1" t="s">
        <v>580</v>
      </c>
      <c r="D392" s="1" t="s">
        <v>17</v>
      </c>
      <c r="E392" s="82" t="n">
        <v>4795</v>
      </c>
      <c r="F392" s="26" t="n">
        <v>0.66</v>
      </c>
      <c r="G392" s="26" t="n">
        <v>3164.7</v>
      </c>
      <c r="H392" s="1" t="s">
        <v>446</v>
      </c>
    </row>
    <row r="393" customFormat="false" ht="15" hidden="false" customHeight="true" outlineLevel="0" collapsed="false">
      <c r="A393" s="1" t="s">
        <v>634</v>
      </c>
      <c r="B393" s="1" t="s">
        <v>548</v>
      </c>
      <c r="C393" s="1" t="s">
        <v>581</v>
      </c>
      <c r="D393" s="1" t="s">
        <v>17</v>
      </c>
      <c r="E393" s="82" t="n">
        <v>1</v>
      </c>
      <c r="F393" s="26" t="n">
        <v>2736.16</v>
      </c>
      <c r="G393" s="26" t="n">
        <v>2736.16</v>
      </c>
      <c r="H393" s="1" t="s">
        <v>558</v>
      </c>
    </row>
    <row r="394" customFormat="false" ht="15" hidden="false" customHeight="true" outlineLevel="0" collapsed="false">
      <c r="A394" s="1" t="s">
        <v>634</v>
      </c>
      <c r="B394" s="1" t="s">
        <v>548</v>
      </c>
      <c r="C394" s="1" t="s">
        <v>582</v>
      </c>
      <c r="D394" s="1" t="s">
        <v>17</v>
      </c>
      <c r="E394" s="82" t="n">
        <v>0</v>
      </c>
      <c r="F394" s="26" t="n">
        <v>0</v>
      </c>
      <c r="G394" s="26" t="n">
        <v>0</v>
      </c>
      <c r="H394" s="1" t="s">
        <v>558</v>
      </c>
    </row>
    <row r="395" customFormat="false" ht="15" hidden="false" customHeight="true" outlineLevel="0" collapsed="false">
      <c r="A395" s="1" t="s">
        <v>634</v>
      </c>
      <c r="B395" s="1" t="s">
        <v>548</v>
      </c>
      <c r="C395" s="1" t="s">
        <v>583</v>
      </c>
      <c r="D395" s="1" t="s">
        <v>17</v>
      </c>
      <c r="E395" s="82" t="n">
        <v>1</v>
      </c>
      <c r="F395" s="26" t="n">
        <v>13845.81</v>
      </c>
      <c r="G395" s="26" t="n">
        <v>13845.81</v>
      </c>
      <c r="H395" s="1" t="s">
        <v>579</v>
      </c>
    </row>
    <row r="396" customFormat="false" ht="15" hidden="false" customHeight="true" outlineLevel="0" collapsed="false">
      <c r="A396" s="1" t="s">
        <v>634</v>
      </c>
      <c r="B396" s="1" t="s">
        <v>548</v>
      </c>
      <c r="C396" s="1" t="s">
        <v>584</v>
      </c>
      <c r="D396" s="1" t="s">
        <v>17</v>
      </c>
      <c r="E396" s="82" t="n">
        <v>0</v>
      </c>
      <c r="F396" s="26" t="n">
        <v>0</v>
      </c>
      <c r="G396" s="26" t="n">
        <v>0</v>
      </c>
      <c r="H396" s="1" t="s">
        <v>571</v>
      </c>
    </row>
    <row r="397" customFormat="false" ht="15" hidden="false" customHeight="true" outlineLevel="0" collapsed="false">
      <c r="A397" s="1" t="s">
        <v>634</v>
      </c>
      <c r="B397" s="1" t="s">
        <v>585</v>
      </c>
      <c r="C397" s="1" t="s">
        <v>586</v>
      </c>
      <c r="D397" s="1" t="s">
        <v>12</v>
      </c>
      <c r="E397" s="82" t="n">
        <v>1</v>
      </c>
      <c r="F397" s="26" t="n">
        <v>238.88</v>
      </c>
      <c r="G397" s="26" t="n">
        <v>238.88</v>
      </c>
      <c r="H397" s="1" t="s">
        <v>591</v>
      </c>
    </row>
    <row r="398" customFormat="false" ht="15" hidden="false" customHeight="true" outlineLevel="0" collapsed="false">
      <c r="A398" s="1" t="s">
        <v>634</v>
      </c>
      <c r="B398" s="1" t="s">
        <v>585</v>
      </c>
      <c r="C398" s="1" t="s">
        <v>588</v>
      </c>
      <c r="D398" s="1" t="s">
        <v>12</v>
      </c>
      <c r="E398" s="82" t="n">
        <v>1</v>
      </c>
      <c r="F398" s="26" t="n">
        <v>609.17</v>
      </c>
      <c r="G398" s="26" t="n">
        <v>609.17</v>
      </c>
      <c r="H398" s="1" t="s">
        <v>591</v>
      </c>
    </row>
    <row r="399" customFormat="false" ht="15" hidden="false" customHeight="true" outlineLevel="0" collapsed="false">
      <c r="A399" s="1" t="s">
        <v>634</v>
      </c>
      <c r="B399" s="1" t="s">
        <v>585</v>
      </c>
      <c r="C399" s="1" t="s">
        <v>589</v>
      </c>
      <c r="D399" s="1" t="s">
        <v>12</v>
      </c>
      <c r="E399" s="82" t="n">
        <v>1</v>
      </c>
      <c r="F399" s="26" t="n">
        <v>510</v>
      </c>
      <c r="G399" s="26" t="n">
        <v>510</v>
      </c>
      <c r="H399" s="1" t="s">
        <v>591</v>
      </c>
    </row>
    <row r="400" customFormat="false" ht="15" hidden="false" customHeight="true" outlineLevel="0" collapsed="false">
      <c r="A400" s="1" t="s">
        <v>634</v>
      </c>
      <c r="B400" s="1" t="s">
        <v>585</v>
      </c>
      <c r="C400" s="1" t="s">
        <v>590</v>
      </c>
      <c r="D400" s="1" t="s">
        <v>12</v>
      </c>
      <c r="E400" s="82" t="n">
        <v>1</v>
      </c>
      <c r="F400" s="26" t="n">
        <v>333.1</v>
      </c>
      <c r="G400" s="26" t="n">
        <v>333.1</v>
      </c>
      <c r="H400" s="1" t="s">
        <v>591</v>
      </c>
    </row>
    <row r="401" customFormat="false" ht="15" hidden="false" customHeight="true" outlineLevel="0" collapsed="false">
      <c r="A401" s="1" t="s">
        <v>634</v>
      </c>
      <c r="B401" s="1" t="s">
        <v>585</v>
      </c>
      <c r="C401" s="1" t="s">
        <v>593</v>
      </c>
      <c r="D401" s="1" t="s">
        <v>12</v>
      </c>
      <c r="E401" s="82" t="n">
        <v>1</v>
      </c>
      <c r="F401" s="26" t="n">
        <v>2973.2</v>
      </c>
      <c r="G401" s="26" t="n">
        <v>2973.2</v>
      </c>
      <c r="H401" s="1" t="s">
        <v>591</v>
      </c>
    </row>
    <row r="402" customFormat="false" ht="15" hidden="false" customHeight="true" outlineLevel="0" collapsed="false">
      <c r="A402" s="1" t="s">
        <v>634</v>
      </c>
      <c r="B402" s="1" t="s">
        <v>585</v>
      </c>
      <c r="C402" s="1" t="s">
        <v>654</v>
      </c>
      <c r="D402" s="1" t="s">
        <v>12</v>
      </c>
      <c r="E402" s="82" t="n">
        <v>1</v>
      </c>
      <c r="F402" s="26" t="n">
        <v>1833.24</v>
      </c>
      <c r="G402" s="26" t="n">
        <v>1833.24</v>
      </c>
      <c r="H402" s="1" t="s">
        <v>591</v>
      </c>
    </row>
    <row r="403" customFormat="false" ht="15" hidden="false" customHeight="true" outlineLevel="0" collapsed="false">
      <c r="A403" s="1" t="s">
        <v>634</v>
      </c>
      <c r="B403" s="1" t="s">
        <v>585</v>
      </c>
      <c r="C403" s="1" t="s">
        <v>594</v>
      </c>
      <c r="D403" s="1" t="s">
        <v>12</v>
      </c>
      <c r="E403" s="82" t="n">
        <v>1</v>
      </c>
      <c r="F403" s="26" t="n">
        <v>7615.46</v>
      </c>
      <c r="G403" s="26" t="n">
        <v>7615.46</v>
      </c>
      <c r="H403" s="1" t="s">
        <v>591</v>
      </c>
    </row>
    <row r="404" customFormat="false" ht="15" hidden="false" customHeight="true" outlineLevel="0" collapsed="false">
      <c r="A404" s="1" t="s">
        <v>634</v>
      </c>
      <c r="B404" s="1" t="s">
        <v>585</v>
      </c>
      <c r="C404" s="1" t="s">
        <v>655</v>
      </c>
      <c r="D404" s="1" t="s">
        <v>15</v>
      </c>
      <c r="E404" s="82" t="n">
        <v>-1</v>
      </c>
      <c r="F404" s="26" t="n">
        <v>1046.56</v>
      </c>
      <c r="G404" s="26" t="n">
        <v>-1046.56</v>
      </c>
      <c r="H404" s="1" t="s">
        <v>656</v>
      </c>
    </row>
    <row r="405" customFormat="false" ht="15" hidden="false" customHeight="true" outlineLevel="0" collapsed="false">
      <c r="A405" s="1" t="s">
        <v>634</v>
      </c>
      <c r="B405" s="1" t="s">
        <v>585</v>
      </c>
      <c r="C405" s="1" t="s">
        <v>586</v>
      </c>
      <c r="D405" s="1" t="s">
        <v>15</v>
      </c>
      <c r="E405" s="82" t="n">
        <v>-1</v>
      </c>
      <c r="F405" s="26" t="n">
        <v>238.88</v>
      </c>
      <c r="G405" s="26" t="n">
        <v>-238.88</v>
      </c>
      <c r="H405" s="1" t="s">
        <v>597</v>
      </c>
    </row>
    <row r="406" customFormat="false" ht="15" hidden="false" customHeight="true" outlineLevel="0" collapsed="false">
      <c r="A406" s="1" t="s">
        <v>634</v>
      </c>
      <c r="B406" s="1" t="s">
        <v>585</v>
      </c>
      <c r="C406" s="1" t="s">
        <v>589</v>
      </c>
      <c r="D406" s="1" t="s">
        <v>17</v>
      </c>
      <c r="E406" s="82" t="n">
        <v>1</v>
      </c>
      <c r="F406" s="26" t="n">
        <v>67.33</v>
      </c>
      <c r="G406" s="26" t="n">
        <v>67.33</v>
      </c>
      <c r="H406" s="1" t="s">
        <v>598</v>
      </c>
    </row>
    <row r="407" customFormat="false" ht="15" hidden="false" customHeight="true" outlineLevel="0" collapsed="false">
      <c r="A407" s="1" t="s">
        <v>634</v>
      </c>
      <c r="B407" s="1" t="s">
        <v>585</v>
      </c>
      <c r="C407" s="1" t="s">
        <v>589</v>
      </c>
      <c r="D407" s="1" t="s">
        <v>17</v>
      </c>
      <c r="E407" s="82" t="n">
        <v>-1</v>
      </c>
      <c r="F407" s="26" t="n">
        <v>510</v>
      </c>
      <c r="G407" s="26" t="n">
        <v>-510</v>
      </c>
      <c r="H407" s="1" t="s">
        <v>591</v>
      </c>
    </row>
    <row r="408" customFormat="false" ht="15" hidden="false" customHeight="true" outlineLevel="0" collapsed="false">
      <c r="A408" s="1" t="s">
        <v>634</v>
      </c>
      <c r="B408" s="1" t="s">
        <v>47</v>
      </c>
      <c r="C408" s="1" t="s">
        <v>525</v>
      </c>
      <c r="D408" s="1" t="s">
        <v>10</v>
      </c>
      <c r="E408" s="82" t="n">
        <v>0</v>
      </c>
      <c r="F408" s="26" t="n">
        <v>0</v>
      </c>
      <c r="G408" s="26" t="n">
        <v>0</v>
      </c>
      <c r="H408" s="1" t="s">
        <v>657</v>
      </c>
    </row>
    <row r="409" customFormat="false" ht="15" hidden="false" customHeight="true" outlineLevel="0" collapsed="false">
      <c r="A409" s="1" t="s">
        <v>634</v>
      </c>
      <c r="B409" s="1" t="s">
        <v>47</v>
      </c>
      <c r="C409" s="1" t="s">
        <v>525</v>
      </c>
      <c r="D409" s="1" t="s">
        <v>12</v>
      </c>
      <c r="E409" s="82" t="n">
        <v>0</v>
      </c>
      <c r="F409" s="26" t="n">
        <v>0</v>
      </c>
      <c r="G409" s="26" t="n">
        <v>0</v>
      </c>
      <c r="H409" s="1" t="s">
        <v>658</v>
      </c>
    </row>
    <row r="410" customFormat="false" ht="15" hidden="false" customHeight="true" outlineLevel="0" collapsed="false">
      <c r="A410" s="1" t="s">
        <v>634</v>
      </c>
      <c r="B410" s="1" t="s">
        <v>47</v>
      </c>
      <c r="C410" s="1" t="s">
        <v>525</v>
      </c>
      <c r="D410" s="1" t="s">
        <v>14</v>
      </c>
      <c r="E410" s="82" t="n">
        <v>0</v>
      </c>
      <c r="F410" s="26" t="n">
        <v>0</v>
      </c>
      <c r="G410" s="26" t="n">
        <v>0</v>
      </c>
      <c r="H410" s="1" t="s">
        <v>601</v>
      </c>
    </row>
    <row r="411" customFormat="false" ht="15" hidden="false" customHeight="true" outlineLevel="0" collapsed="false">
      <c r="A411" s="1" t="s">
        <v>634</v>
      </c>
      <c r="B411" s="1" t="s">
        <v>47</v>
      </c>
      <c r="C411" s="1" t="s">
        <v>525</v>
      </c>
      <c r="D411" s="1" t="s">
        <v>15</v>
      </c>
      <c r="E411" s="82" t="n">
        <v>0</v>
      </c>
      <c r="F411" s="26" t="n">
        <v>0</v>
      </c>
      <c r="G411" s="26" t="n">
        <v>0</v>
      </c>
      <c r="H411" s="1" t="s">
        <v>659</v>
      </c>
    </row>
    <row r="412" customFormat="false" ht="15" hidden="false" customHeight="true" outlineLevel="0" collapsed="false">
      <c r="A412" s="1" t="s">
        <v>634</v>
      </c>
      <c r="B412" s="1" t="s">
        <v>47</v>
      </c>
      <c r="C412" s="1" t="s">
        <v>525</v>
      </c>
      <c r="D412" s="1" t="s">
        <v>13</v>
      </c>
      <c r="E412" s="82" t="n">
        <v>0</v>
      </c>
      <c r="F412" s="26" t="n">
        <v>0</v>
      </c>
      <c r="G412" s="26" t="n">
        <v>0</v>
      </c>
      <c r="H412" s="1" t="s">
        <v>603</v>
      </c>
    </row>
    <row r="413" customFormat="false" ht="15" hidden="false" customHeight="true" outlineLevel="0" collapsed="false">
      <c r="A413" s="1" t="s">
        <v>634</v>
      </c>
      <c r="B413" s="1" t="s">
        <v>47</v>
      </c>
      <c r="C413" s="1" t="s">
        <v>525</v>
      </c>
      <c r="D413" s="1" t="s">
        <v>16</v>
      </c>
      <c r="E413" s="82" t="n">
        <v>0</v>
      </c>
      <c r="F413" s="26" t="n">
        <v>0</v>
      </c>
      <c r="G413" s="26" t="n">
        <v>0</v>
      </c>
      <c r="H413" s="1" t="s">
        <v>601</v>
      </c>
    </row>
    <row r="414" customFormat="false" ht="15" hidden="false" customHeight="true" outlineLevel="0" collapsed="false">
      <c r="A414" s="1" t="s">
        <v>634</v>
      </c>
      <c r="B414" s="1" t="s">
        <v>47</v>
      </c>
      <c r="C414" s="1" t="s">
        <v>525</v>
      </c>
      <c r="D414" s="1" t="s">
        <v>17</v>
      </c>
      <c r="E414" s="82" t="n">
        <v>0</v>
      </c>
      <c r="F414" s="26" t="n">
        <v>0</v>
      </c>
      <c r="G414" s="26" t="n">
        <v>0</v>
      </c>
      <c r="H414" s="1" t="s">
        <v>660</v>
      </c>
    </row>
    <row r="415" customFormat="false" ht="15" hidden="false" customHeight="true" outlineLevel="0" collapsed="false">
      <c r="A415" s="1" t="s">
        <v>634</v>
      </c>
      <c r="B415" s="1" t="s">
        <v>85</v>
      </c>
      <c r="C415" s="1" t="s">
        <v>604</v>
      </c>
      <c r="D415" s="1" t="s">
        <v>18</v>
      </c>
      <c r="E415" s="82" t="n">
        <v>144</v>
      </c>
      <c r="F415" s="26" t="n">
        <v>123.13</v>
      </c>
      <c r="G415" s="26" t="n">
        <v>17730.72</v>
      </c>
      <c r="H415" s="1" t="s">
        <v>606</v>
      </c>
    </row>
    <row r="416" customFormat="false" ht="15" hidden="false" customHeight="true" outlineLevel="0" collapsed="false">
      <c r="A416" s="1" t="s">
        <v>634</v>
      </c>
      <c r="B416" s="1" t="s">
        <v>85</v>
      </c>
      <c r="C416" s="1" t="s">
        <v>604</v>
      </c>
      <c r="D416" s="1" t="s">
        <v>10</v>
      </c>
      <c r="E416" s="82" t="n">
        <v>3</v>
      </c>
      <c r="F416" s="26" t="n">
        <v>155.82</v>
      </c>
      <c r="G416" s="26" t="n">
        <v>467.46</v>
      </c>
      <c r="H416" s="1" t="s">
        <v>606</v>
      </c>
    </row>
    <row r="417" customFormat="false" ht="15" hidden="false" customHeight="true" outlineLevel="0" collapsed="false">
      <c r="A417" s="1" t="s">
        <v>634</v>
      </c>
      <c r="B417" s="1" t="s">
        <v>85</v>
      </c>
      <c r="C417" s="1" t="s">
        <v>604</v>
      </c>
      <c r="D417" s="1" t="s">
        <v>12</v>
      </c>
      <c r="E417" s="82" t="n">
        <v>18</v>
      </c>
      <c r="F417" s="26" t="n">
        <v>139.33</v>
      </c>
      <c r="G417" s="26" t="n">
        <v>2507.94</v>
      </c>
      <c r="H417" s="1" t="s">
        <v>607</v>
      </c>
    </row>
    <row r="418" customFormat="false" ht="15" hidden="false" customHeight="true" outlineLevel="0" collapsed="false">
      <c r="A418" s="1" t="s">
        <v>634</v>
      </c>
      <c r="B418" s="1" t="s">
        <v>85</v>
      </c>
      <c r="C418" s="1" t="s">
        <v>604</v>
      </c>
      <c r="D418" s="1" t="s">
        <v>14</v>
      </c>
      <c r="E418" s="82" t="n">
        <v>15</v>
      </c>
      <c r="F418" s="26" t="n">
        <v>158.22</v>
      </c>
      <c r="G418" s="26" t="n">
        <v>2373.3</v>
      </c>
      <c r="H418" s="1" t="s">
        <v>607</v>
      </c>
    </row>
    <row r="419" customFormat="false" ht="15" hidden="false" customHeight="true" outlineLevel="0" collapsed="false">
      <c r="A419" s="1" t="s">
        <v>634</v>
      </c>
      <c r="B419" s="1" t="s">
        <v>85</v>
      </c>
      <c r="C419" s="1" t="s">
        <v>604</v>
      </c>
      <c r="D419" s="1" t="s">
        <v>15</v>
      </c>
      <c r="E419" s="82" t="n">
        <v>26</v>
      </c>
      <c r="F419" s="26" t="n">
        <v>155.59</v>
      </c>
      <c r="G419" s="26" t="n">
        <v>4045.34</v>
      </c>
      <c r="H419" s="1" t="s">
        <v>607</v>
      </c>
    </row>
    <row r="420" customFormat="false" ht="15" hidden="false" customHeight="true" outlineLevel="0" collapsed="false">
      <c r="A420" s="1" t="s">
        <v>634</v>
      </c>
      <c r="B420" s="1" t="s">
        <v>85</v>
      </c>
      <c r="C420" s="1" t="s">
        <v>604</v>
      </c>
      <c r="D420" s="1" t="s">
        <v>13</v>
      </c>
      <c r="E420" s="82" t="n">
        <v>11</v>
      </c>
      <c r="F420" s="26" t="n">
        <v>106.24</v>
      </c>
      <c r="G420" s="26" t="n">
        <v>1168.64</v>
      </c>
      <c r="H420" s="1" t="s">
        <v>607</v>
      </c>
    </row>
    <row r="421" customFormat="false" ht="15" hidden="false" customHeight="true" outlineLevel="0" collapsed="false">
      <c r="A421" s="1" t="s">
        <v>634</v>
      </c>
      <c r="B421" s="1" t="s">
        <v>85</v>
      </c>
      <c r="C421" s="1" t="s">
        <v>604</v>
      </c>
      <c r="D421" s="1" t="s">
        <v>16</v>
      </c>
      <c r="E421" s="82" t="n">
        <v>2</v>
      </c>
      <c r="F421" s="26" t="n">
        <v>143.82</v>
      </c>
      <c r="G421" s="26" t="n">
        <v>287.64</v>
      </c>
      <c r="H421" s="1" t="s">
        <v>607</v>
      </c>
    </row>
    <row r="422" customFormat="false" ht="15" hidden="false" customHeight="true" outlineLevel="0" collapsed="false">
      <c r="A422" s="1" t="s">
        <v>634</v>
      </c>
      <c r="B422" s="1" t="s">
        <v>85</v>
      </c>
      <c r="C422" s="1" t="s">
        <v>604</v>
      </c>
      <c r="D422" s="1" t="s">
        <v>17</v>
      </c>
      <c r="E422" s="82" t="n">
        <v>10</v>
      </c>
      <c r="F422" s="26" t="n">
        <v>146.53</v>
      </c>
      <c r="G422" s="26" t="n">
        <v>1465.3</v>
      </c>
      <c r="H422" s="1" t="s">
        <v>607</v>
      </c>
    </row>
    <row r="423" customFormat="false" ht="15" hidden="false" customHeight="true" outlineLevel="0" collapsed="false">
      <c r="A423" s="1" t="s">
        <v>634</v>
      </c>
      <c r="B423" s="1" t="s">
        <v>85</v>
      </c>
      <c r="C423" s="1" t="s">
        <v>604</v>
      </c>
      <c r="D423" s="1" t="s">
        <v>17</v>
      </c>
      <c r="E423" s="82" t="n">
        <v>10</v>
      </c>
      <c r="F423" s="26" t="n">
        <v>122.11</v>
      </c>
      <c r="G423" s="26" t="n">
        <v>1221.1</v>
      </c>
      <c r="H423" s="1" t="s">
        <v>606</v>
      </c>
    </row>
    <row r="424" customFormat="false" ht="15" hidden="false" customHeight="true" outlineLevel="0" collapsed="false">
      <c r="A424" s="1" t="s">
        <v>634</v>
      </c>
      <c r="B424" s="1" t="s">
        <v>32</v>
      </c>
      <c r="C424" s="1" t="s">
        <v>608</v>
      </c>
      <c r="D424" s="1" t="s">
        <v>10</v>
      </c>
      <c r="E424" s="82" t="n">
        <v>0</v>
      </c>
      <c r="F424" s="26" t="n">
        <v>0</v>
      </c>
      <c r="G424" s="26" t="n">
        <v>0</v>
      </c>
      <c r="H424" s="1" t="s">
        <v>609</v>
      </c>
    </row>
    <row r="425" customFormat="false" ht="15" hidden="false" customHeight="true" outlineLevel="0" collapsed="false">
      <c r="A425" s="1" t="s">
        <v>634</v>
      </c>
      <c r="B425" s="1" t="s">
        <v>32</v>
      </c>
      <c r="C425" s="1" t="s">
        <v>610</v>
      </c>
      <c r="D425" s="1" t="s">
        <v>10</v>
      </c>
      <c r="E425" s="82" t="n">
        <v>0</v>
      </c>
      <c r="F425" s="26" t="n">
        <v>0</v>
      </c>
      <c r="G425" s="26" t="n">
        <v>0</v>
      </c>
      <c r="H425" s="1" t="s">
        <v>611</v>
      </c>
    </row>
    <row r="426" customFormat="false" ht="15" hidden="false" customHeight="true" outlineLevel="0" collapsed="false">
      <c r="A426" s="1" t="s">
        <v>634</v>
      </c>
      <c r="B426" s="1" t="s">
        <v>32</v>
      </c>
      <c r="C426" s="1" t="s">
        <v>608</v>
      </c>
      <c r="D426" s="1" t="s">
        <v>14</v>
      </c>
      <c r="E426" s="82" t="n">
        <v>0</v>
      </c>
      <c r="F426" s="26" t="n">
        <v>0</v>
      </c>
      <c r="G426" s="26" t="n">
        <v>0</v>
      </c>
      <c r="H426" s="1" t="s">
        <v>609</v>
      </c>
    </row>
    <row r="427" customFormat="false" ht="15" hidden="false" customHeight="true" outlineLevel="0" collapsed="false">
      <c r="A427" s="1" t="s">
        <v>634</v>
      </c>
      <c r="B427" s="1" t="s">
        <v>32</v>
      </c>
      <c r="C427" s="1" t="s">
        <v>610</v>
      </c>
      <c r="D427" s="1" t="s">
        <v>14</v>
      </c>
      <c r="E427" s="82" t="n">
        <v>0</v>
      </c>
      <c r="F427" s="26" t="n">
        <v>0</v>
      </c>
      <c r="G427" s="26" t="n">
        <v>0</v>
      </c>
      <c r="H427" s="1" t="s">
        <v>612</v>
      </c>
    </row>
    <row r="428" customFormat="false" ht="15" hidden="false" customHeight="true" outlineLevel="0" collapsed="false">
      <c r="A428" s="1" t="s">
        <v>634</v>
      </c>
      <c r="B428" s="1" t="s">
        <v>32</v>
      </c>
      <c r="C428" s="1" t="s">
        <v>608</v>
      </c>
      <c r="D428" s="1" t="s">
        <v>15</v>
      </c>
      <c r="E428" s="82" t="n">
        <v>0</v>
      </c>
      <c r="F428" s="26" t="n">
        <v>0</v>
      </c>
      <c r="G428" s="26" t="n">
        <v>0</v>
      </c>
      <c r="H428" s="1" t="s">
        <v>609</v>
      </c>
    </row>
    <row r="429" customFormat="false" ht="15" hidden="false" customHeight="true" outlineLevel="0" collapsed="false">
      <c r="A429" s="1" t="s">
        <v>634</v>
      </c>
      <c r="B429" s="1" t="s">
        <v>32</v>
      </c>
      <c r="C429" s="1" t="s">
        <v>608</v>
      </c>
      <c r="D429" s="1" t="s">
        <v>13</v>
      </c>
      <c r="E429" s="82" t="n">
        <v>0</v>
      </c>
      <c r="F429" s="26" t="n">
        <v>0</v>
      </c>
      <c r="G429" s="26" t="n">
        <v>0</v>
      </c>
      <c r="H429" s="1" t="s">
        <v>609</v>
      </c>
    </row>
    <row r="430" customFormat="false" ht="15" hidden="false" customHeight="true" outlineLevel="0" collapsed="false">
      <c r="A430" s="1" t="s">
        <v>634</v>
      </c>
      <c r="B430" s="1" t="s">
        <v>32</v>
      </c>
      <c r="C430" s="1" t="s">
        <v>610</v>
      </c>
      <c r="D430" s="1" t="s">
        <v>13</v>
      </c>
      <c r="E430" s="82" t="n">
        <v>0</v>
      </c>
      <c r="F430" s="26" t="n">
        <v>0</v>
      </c>
      <c r="G430" s="26" t="n">
        <v>0</v>
      </c>
      <c r="H430" s="1" t="s">
        <v>611</v>
      </c>
    </row>
    <row r="431" customFormat="false" ht="15" hidden="false" customHeight="true" outlineLevel="0" collapsed="false">
      <c r="A431" s="1" t="s">
        <v>634</v>
      </c>
      <c r="B431" s="1" t="s">
        <v>32</v>
      </c>
      <c r="C431" s="1" t="s">
        <v>608</v>
      </c>
      <c r="D431" s="1" t="s">
        <v>16</v>
      </c>
      <c r="E431" s="82" t="n">
        <v>0</v>
      </c>
      <c r="F431" s="26" t="n">
        <v>0</v>
      </c>
      <c r="G431" s="26" t="n">
        <v>0</v>
      </c>
      <c r="H431" s="1" t="s">
        <v>609</v>
      </c>
    </row>
    <row r="432" customFormat="false" ht="15" hidden="false" customHeight="true" outlineLevel="0" collapsed="false">
      <c r="A432" s="1" t="s">
        <v>634</v>
      </c>
      <c r="B432" s="1" t="s">
        <v>32</v>
      </c>
      <c r="C432" s="1" t="s">
        <v>608</v>
      </c>
      <c r="D432" s="1" t="s">
        <v>17</v>
      </c>
      <c r="E432" s="82" t="n">
        <v>0</v>
      </c>
      <c r="F432" s="26" t="n">
        <v>0</v>
      </c>
      <c r="G432" s="26" t="n">
        <v>0</v>
      </c>
      <c r="H432" s="1" t="s">
        <v>609</v>
      </c>
    </row>
    <row r="433" customFormat="false" ht="15" hidden="false" customHeight="true" outlineLevel="0" collapsed="false">
      <c r="A433" s="1" t="s">
        <v>634</v>
      </c>
      <c r="B433" s="1" t="s">
        <v>32</v>
      </c>
      <c r="C433" s="1" t="s">
        <v>610</v>
      </c>
      <c r="D433" s="1" t="s">
        <v>17</v>
      </c>
      <c r="E433" s="82" t="n">
        <v>0</v>
      </c>
      <c r="F433" s="26" t="n">
        <v>0</v>
      </c>
      <c r="G433" s="26" t="n">
        <v>0</v>
      </c>
      <c r="H433" s="1" t="s">
        <v>613</v>
      </c>
    </row>
    <row r="434" customFormat="false" ht="15" hidden="false" customHeight="true" outlineLevel="0" collapsed="false">
      <c r="A434" s="1" t="s">
        <v>634</v>
      </c>
      <c r="B434" s="1" t="s">
        <v>614</v>
      </c>
      <c r="C434" s="1" t="s">
        <v>615</v>
      </c>
      <c r="D434" s="1" t="s">
        <v>12</v>
      </c>
      <c r="E434" s="82" t="n">
        <v>13418</v>
      </c>
      <c r="F434" s="26" t="n">
        <v>2.99991610765306</v>
      </c>
      <c r="G434" s="26" t="n">
        <v>40252.874332</v>
      </c>
      <c r="H434" s="1" t="s">
        <v>446</v>
      </c>
    </row>
    <row r="435" customFormat="false" ht="15" hidden="false" customHeight="true" outlineLevel="0" collapsed="false">
      <c r="A435" s="1" t="s">
        <v>634</v>
      </c>
      <c r="B435" s="1" t="s">
        <v>44</v>
      </c>
      <c r="C435" s="1" t="s">
        <v>616</v>
      </c>
      <c r="D435" s="1" t="s">
        <v>10</v>
      </c>
      <c r="E435" s="82" t="n">
        <v>-1</v>
      </c>
      <c r="F435" s="26" t="n">
        <v>514.86</v>
      </c>
      <c r="G435" s="26" t="n">
        <v>-514.86</v>
      </c>
      <c r="H435" s="1" t="s">
        <v>661</v>
      </c>
    </row>
    <row r="436" customFormat="false" ht="15" hidden="false" customHeight="true" outlineLevel="0" collapsed="false">
      <c r="A436" s="1" t="s">
        <v>634</v>
      </c>
      <c r="B436" s="1" t="s">
        <v>44</v>
      </c>
      <c r="C436" s="1" t="s">
        <v>616</v>
      </c>
      <c r="D436" s="1" t="s">
        <v>12</v>
      </c>
      <c r="E436" s="82" t="n">
        <v>0</v>
      </c>
      <c r="F436" s="26" t="n">
        <v>0</v>
      </c>
      <c r="G436" s="26" t="n">
        <v>0</v>
      </c>
      <c r="H436" s="1" t="s">
        <v>662</v>
      </c>
    </row>
    <row r="437" customFormat="false" ht="15" hidden="false" customHeight="true" outlineLevel="0" collapsed="false">
      <c r="A437" s="1" t="s">
        <v>634</v>
      </c>
      <c r="B437" s="1" t="s">
        <v>44</v>
      </c>
      <c r="C437" s="1" t="s">
        <v>618</v>
      </c>
      <c r="D437" s="1" t="s">
        <v>12</v>
      </c>
      <c r="E437" s="82" t="n">
        <v>0</v>
      </c>
      <c r="F437" s="26" t="n">
        <v>0</v>
      </c>
      <c r="G437" s="26" t="n">
        <v>0</v>
      </c>
      <c r="H437" s="1" t="s">
        <v>619</v>
      </c>
    </row>
    <row r="438" customFormat="false" ht="15" hidden="false" customHeight="true" outlineLevel="0" collapsed="false">
      <c r="A438" s="1" t="s">
        <v>634</v>
      </c>
      <c r="B438" s="1" t="s">
        <v>44</v>
      </c>
      <c r="C438" s="1" t="s">
        <v>620</v>
      </c>
      <c r="D438" s="1" t="s">
        <v>12</v>
      </c>
      <c r="E438" s="82" t="n">
        <v>0</v>
      </c>
      <c r="F438" s="26" t="n">
        <v>0</v>
      </c>
      <c r="G438" s="26" t="n">
        <v>0</v>
      </c>
      <c r="H438" s="1" t="s">
        <v>621</v>
      </c>
    </row>
    <row r="439" customFormat="false" ht="15" hidden="false" customHeight="true" outlineLevel="0" collapsed="false">
      <c r="A439" s="1" t="s">
        <v>634</v>
      </c>
      <c r="B439" s="1" t="s">
        <v>44</v>
      </c>
      <c r="C439" s="1" t="s">
        <v>622</v>
      </c>
      <c r="D439" s="1" t="s">
        <v>12</v>
      </c>
      <c r="E439" s="82" t="n">
        <v>0</v>
      </c>
      <c r="F439" s="26" t="n">
        <v>0</v>
      </c>
      <c r="G439" s="26" t="n">
        <v>0</v>
      </c>
      <c r="H439" s="1" t="s">
        <v>623</v>
      </c>
    </row>
    <row r="440" customFormat="false" ht="15" hidden="false" customHeight="true" outlineLevel="0" collapsed="false">
      <c r="A440" s="1" t="s">
        <v>634</v>
      </c>
      <c r="B440" s="1" t="s">
        <v>44</v>
      </c>
      <c r="C440" s="1" t="s">
        <v>616</v>
      </c>
      <c r="D440" s="1" t="s">
        <v>14</v>
      </c>
      <c r="E440" s="82" t="n">
        <v>1</v>
      </c>
      <c r="F440" s="26" t="n">
        <v>987.11</v>
      </c>
      <c r="G440" s="26" t="n">
        <v>987.11</v>
      </c>
      <c r="H440" s="1" t="s">
        <v>662</v>
      </c>
    </row>
    <row r="441" customFormat="false" ht="15" hidden="false" customHeight="true" outlineLevel="0" collapsed="false">
      <c r="A441" s="1" t="s">
        <v>634</v>
      </c>
      <c r="B441" s="1" t="s">
        <v>44</v>
      </c>
      <c r="C441" s="1" t="s">
        <v>624</v>
      </c>
      <c r="D441" s="1" t="s">
        <v>14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634</v>
      </c>
      <c r="B442" s="1" t="s">
        <v>44</v>
      </c>
      <c r="C442" s="1" t="s">
        <v>625</v>
      </c>
      <c r="D442" s="1" t="s">
        <v>14</v>
      </c>
      <c r="E442" s="82" t="n">
        <v>0</v>
      </c>
      <c r="F442" s="26" t="n">
        <v>0</v>
      </c>
      <c r="G442" s="26" t="n">
        <v>0</v>
      </c>
      <c r="H442" s="1" t="s">
        <v>623</v>
      </c>
    </row>
    <row r="443" customFormat="false" ht="15" hidden="false" customHeight="true" outlineLevel="0" collapsed="false">
      <c r="A443" s="1" t="s">
        <v>634</v>
      </c>
      <c r="B443" s="1" t="s">
        <v>44</v>
      </c>
      <c r="C443" s="1" t="s">
        <v>616</v>
      </c>
      <c r="D443" s="1" t="s">
        <v>15</v>
      </c>
      <c r="E443" s="82" t="n">
        <v>1</v>
      </c>
      <c r="F443" s="26" t="n">
        <v>3707.87</v>
      </c>
      <c r="G443" s="26" t="n">
        <v>3707.87</v>
      </c>
      <c r="H443" s="1" t="s">
        <v>662</v>
      </c>
    </row>
    <row r="444" customFormat="false" ht="15" hidden="false" customHeight="true" outlineLevel="0" collapsed="false">
      <c r="A444" s="1" t="s">
        <v>634</v>
      </c>
      <c r="B444" s="1" t="s">
        <v>44</v>
      </c>
      <c r="C444" s="1" t="s">
        <v>626</v>
      </c>
      <c r="D444" s="1" t="s">
        <v>15</v>
      </c>
      <c r="E444" s="82" t="n">
        <v>-1</v>
      </c>
      <c r="F444" s="26" t="n">
        <v>245.98</v>
      </c>
      <c r="G444" s="26" t="n">
        <v>-245.98</v>
      </c>
      <c r="H444" s="1" t="s">
        <v>619</v>
      </c>
    </row>
    <row r="445" customFormat="false" ht="15" hidden="false" customHeight="true" outlineLevel="0" collapsed="false">
      <c r="A445" s="1" t="s">
        <v>634</v>
      </c>
      <c r="B445" s="1" t="s">
        <v>44</v>
      </c>
      <c r="C445" s="1" t="s">
        <v>627</v>
      </c>
      <c r="D445" s="1" t="s">
        <v>15</v>
      </c>
      <c r="E445" s="82" t="n">
        <v>-1</v>
      </c>
      <c r="F445" s="26" t="n">
        <v>451.06</v>
      </c>
      <c r="G445" s="26" t="n">
        <v>-451.06</v>
      </c>
      <c r="H445" s="1" t="s">
        <v>619</v>
      </c>
    </row>
    <row r="446" customFormat="false" ht="15" hidden="false" customHeight="true" outlineLevel="0" collapsed="false">
      <c r="A446" s="1" t="s">
        <v>634</v>
      </c>
      <c r="B446" s="1" t="s">
        <v>44</v>
      </c>
      <c r="C446" s="1" t="s">
        <v>629</v>
      </c>
      <c r="D446" s="1" t="s">
        <v>15</v>
      </c>
      <c r="E446" s="82" t="n">
        <v>-1</v>
      </c>
      <c r="F446" s="26" t="n">
        <v>589.14</v>
      </c>
      <c r="G446" s="26" t="n">
        <v>-589.14</v>
      </c>
      <c r="H446" s="1" t="s">
        <v>623</v>
      </c>
    </row>
    <row r="447" customFormat="false" ht="15" hidden="false" customHeight="true" outlineLevel="0" collapsed="false">
      <c r="A447" s="1" t="s">
        <v>634</v>
      </c>
      <c r="B447" s="1" t="s">
        <v>44</v>
      </c>
      <c r="C447" s="1" t="s">
        <v>629</v>
      </c>
      <c r="D447" s="1" t="s">
        <v>15</v>
      </c>
      <c r="E447" s="82" t="n">
        <v>-1</v>
      </c>
      <c r="F447" s="26" t="n">
        <v>171.62</v>
      </c>
      <c r="G447" s="26" t="n">
        <v>-171.62</v>
      </c>
      <c r="H447" s="1" t="s">
        <v>663</v>
      </c>
    </row>
    <row r="448" customFormat="false" ht="15" hidden="false" customHeight="true" outlineLevel="0" collapsed="false">
      <c r="A448" s="1" t="s">
        <v>634</v>
      </c>
      <c r="B448" s="1" t="s">
        <v>44</v>
      </c>
      <c r="C448" s="1" t="s">
        <v>664</v>
      </c>
      <c r="D448" s="1" t="s">
        <v>15</v>
      </c>
      <c r="E448" s="82" t="n">
        <v>-1</v>
      </c>
      <c r="F448" s="26" t="n">
        <v>158.76</v>
      </c>
      <c r="G448" s="26" t="n">
        <v>-158.76</v>
      </c>
      <c r="H448" s="1" t="s">
        <v>623</v>
      </c>
    </row>
    <row r="449" customFormat="false" ht="15" hidden="false" customHeight="true" outlineLevel="0" collapsed="false">
      <c r="A449" s="1" t="s">
        <v>634</v>
      </c>
      <c r="B449" s="1" t="s">
        <v>44</v>
      </c>
      <c r="C449" s="1" t="s">
        <v>616</v>
      </c>
      <c r="D449" s="1" t="s">
        <v>13</v>
      </c>
      <c r="E449" s="82" t="n">
        <v>1</v>
      </c>
      <c r="F449" s="26" t="n">
        <v>4497.36</v>
      </c>
      <c r="G449" s="26" t="n">
        <v>4497.36</v>
      </c>
      <c r="H449" s="1" t="s">
        <v>630</v>
      </c>
    </row>
    <row r="450" customFormat="false" ht="15" hidden="false" customHeight="true" outlineLevel="0" collapsed="false">
      <c r="A450" s="1" t="s">
        <v>634</v>
      </c>
      <c r="B450" s="1" t="s">
        <v>44</v>
      </c>
      <c r="C450" s="1" t="s">
        <v>627</v>
      </c>
      <c r="D450" s="1" t="s">
        <v>13</v>
      </c>
      <c r="E450" s="82" t="n">
        <v>1</v>
      </c>
      <c r="F450" s="26" t="n">
        <v>158.76</v>
      </c>
      <c r="G450" s="26" t="n">
        <v>158.76</v>
      </c>
      <c r="H450" s="1" t="s">
        <v>623</v>
      </c>
    </row>
    <row r="451" customFormat="false" ht="15" hidden="false" customHeight="true" outlineLevel="0" collapsed="false">
      <c r="A451" s="1" t="s">
        <v>634</v>
      </c>
      <c r="B451" s="1" t="s">
        <v>44</v>
      </c>
      <c r="C451" s="1" t="s">
        <v>628</v>
      </c>
      <c r="D451" s="1" t="s">
        <v>13</v>
      </c>
      <c r="E451" s="82" t="n">
        <v>1</v>
      </c>
      <c r="F451" s="26" t="n">
        <v>451.06</v>
      </c>
      <c r="G451" s="26" t="n">
        <v>451.06</v>
      </c>
      <c r="H451" s="1" t="s">
        <v>623</v>
      </c>
    </row>
    <row r="452" customFormat="false" ht="15" hidden="false" customHeight="true" outlineLevel="0" collapsed="false">
      <c r="A452" s="1" t="s">
        <v>634</v>
      </c>
      <c r="B452" s="1" t="s">
        <v>44</v>
      </c>
      <c r="C452" s="1" t="s">
        <v>616</v>
      </c>
      <c r="D452" s="1" t="s">
        <v>16</v>
      </c>
      <c r="E452" s="82" t="n">
        <v>1</v>
      </c>
      <c r="F452" s="26" t="n">
        <v>368.28</v>
      </c>
      <c r="G452" s="26" t="n">
        <v>368.28</v>
      </c>
      <c r="H452" s="1" t="s">
        <v>662</v>
      </c>
    </row>
    <row r="453" customFormat="false" ht="15" hidden="false" customHeight="true" outlineLevel="0" collapsed="false">
      <c r="A453" s="1" t="s">
        <v>634</v>
      </c>
      <c r="B453" s="1" t="s">
        <v>44</v>
      </c>
      <c r="C453" s="1" t="s">
        <v>616</v>
      </c>
      <c r="D453" s="1" t="s">
        <v>17</v>
      </c>
      <c r="E453" s="82" t="n">
        <v>1</v>
      </c>
      <c r="F453" s="26" t="n">
        <v>1043.05</v>
      </c>
      <c r="G453" s="26" t="n">
        <v>1043.05</v>
      </c>
      <c r="H453" s="1" t="s">
        <v>662</v>
      </c>
    </row>
    <row r="454" customFormat="false" ht="15" hidden="false" customHeight="true" outlineLevel="0" collapsed="false">
      <c r="A454" s="1" t="s">
        <v>634</v>
      </c>
      <c r="B454" s="1" t="s">
        <v>44</v>
      </c>
      <c r="C454" s="1" t="s">
        <v>616</v>
      </c>
      <c r="D454" s="1" t="s">
        <v>17</v>
      </c>
      <c r="E454" s="82" t="n">
        <v>-1</v>
      </c>
      <c r="F454" s="26" t="n">
        <v>4096.89</v>
      </c>
      <c r="G454" s="26" t="n">
        <v>-4096.89</v>
      </c>
      <c r="H454" s="1" t="s">
        <v>663</v>
      </c>
    </row>
    <row r="455" customFormat="false" ht="15" hidden="false" customHeight="true" outlineLevel="0" collapsed="false">
      <c r="A455" s="1" t="s">
        <v>634</v>
      </c>
      <c r="B455" s="1" t="s">
        <v>44</v>
      </c>
      <c r="C455" s="1" t="s">
        <v>631</v>
      </c>
      <c r="D455" s="1" t="s">
        <v>17</v>
      </c>
      <c r="E455" s="82" t="n">
        <v>0</v>
      </c>
      <c r="F455" s="26" t="n">
        <v>0</v>
      </c>
      <c r="G455" s="26" t="n">
        <v>0</v>
      </c>
      <c r="H455" s="1" t="s">
        <v>619</v>
      </c>
    </row>
    <row r="456" customFormat="false" ht="15" hidden="false" customHeight="true" outlineLevel="0" collapsed="false">
      <c r="A456" s="1" t="s">
        <v>634</v>
      </c>
      <c r="B456" s="1" t="s">
        <v>44</v>
      </c>
      <c r="C456" s="1" t="s">
        <v>625</v>
      </c>
      <c r="D456" s="1" t="s">
        <v>17</v>
      </c>
      <c r="E456" s="82" t="n">
        <v>0</v>
      </c>
      <c r="F456" s="26" t="n">
        <v>0</v>
      </c>
      <c r="G456" s="26" t="n">
        <v>0</v>
      </c>
      <c r="H456" s="1" t="s">
        <v>623</v>
      </c>
    </row>
    <row r="457" customFormat="false" ht="15" hidden="false" customHeight="true" outlineLevel="0" collapsed="false">
      <c r="A457" s="1" t="s">
        <v>634</v>
      </c>
      <c r="B457" s="1" t="s">
        <v>87</v>
      </c>
      <c r="C457" s="1" t="s">
        <v>632</v>
      </c>
      <c r="D457" s="1" t="s">
        <v>10</v>
      </c>
      <c r="E457" s="82" t="n">
        <v>2</v>
      </c>
      <c r="F457" s="26" t="n">
        <v>50</v>
      </c>
      <c r="G457" s="26" t="n">
        <v>100</v>
      </c>
      <c r="H457" s="1" t="s">
        <v>633</v>
      </c>
    </row>
    <row r="458" customFormat="false" ht="15" hidden="false" customHeight="true" outlineLevel="0" collapsed="false">
      <c r="A458" s="1" t="s">
        <v>634</v>
      </c>
      <c r="B458" s="1" t="s">
        <v>87</v>
      </c>
      <c r="C458" s="1" t="s">
        <v>632</v>
      </c>
      <c r="D458" s="1" t="s">
        <v>14</v>
      </c>
      <c r="E458" s="82" t="n">
        <v>1</v>
      </c>
      <c r="F458" s="26" t="n">
        <v>10</v>
      </c>
      <c r="G458" s="26" t="n">
        <v>10</v>
      </c>
      <c r="H458" s="1" t="s">
        <v>633</v>
      </c>
    </row>
    <row r="459" customFormat="false" ht="15" hidden="false" customHeight="true" outlineLevel="0" collapsed="false">
      <c r="A459" s="1" t="s">
        <v>634</v>
      </c>
      <c r="B459" s="1" t="s">
        <v>87</v>
      </c>
      <c r="C459" s="1" t="s">
        <v>632</v>
      </c>
      <c r="D459" s="1" t="s">
        <v>15</v>
      </c>
      <c r="E459" s="82" t="n">
        <v>1</v>
      </c>
      <c r="F459" s="26" t="n">
        <v>10</v>
      </c>
      <c r="G459" s="26" t="n">
        <v>10</v>
      </c>
      <c r="H459" s="1" t="s">
        <v>633</v>
      </c>
    </row>
    <row r="460" customFormat="false" ht="15" hidden="false" customHeight="true" outlineLevel="0" collapsed="false">
      <c r="A460" s="1" t="s">
        <v>634</v>
      </c>
      <c r="B460" s="1" t="s">
        <v>87</v>
      </c>
      <c r="C460" s="1" t="s">
        <v>632</v>
      </c>
      <c r="D460" s="1" t="s">
        <v>15</v>
      </c>
      <c r="E460" s="82" t="n">
        <v>5</v>
      </c>
      <c r="F460" s="26" t="n">
        <v>50</v>
      </c>
      <c r="G460" s="26" t="n">
        <v>250</v>
      </c>
      <c r="H460" s="1" t="s">
        <v>633</v>
      </c>
    </row>
    <row r="461" customFormat="false" ht="15" hidden="false" customHeight="true" outlineLevel="0" collapsed="false">
      <c r="A461" s="1" t="s">
        <v>634</v>
      </c>
      <c r="B461" s="1" t="s">
        <v>87</v>
      </c>
      <c r="C461" s="1" t="s">
        <v>632</v>
      </c>
      <c r="D461" s="1" t="s">
        <v>13</v>
      </c>
      <c r="E461" s="82" t="n">
        <v>2</v>
      </c>
      <c r="F461" s="26" t="n">
        <v>50</v>
      </c>
      <c r="G461" s="26" t="n">
        <v>100</v>
      </c>
      <c r="H461" s="1" t="s">
        <v>633</v>
      </c>
    </row>
    <row r="462" customFormat="false" ht="15" hidden="false" customHeight="true" outlineLevel="0" collapsed="false">
      <c r="A462" s="1" t="s">
        <v>634</v>
      </c>
      <c r="B462" s="1" t="s">
        <v>87</v>
      </c>
      <c r="C462" s="1" t="s">
        <v>632</v>
      </c>
      <c r="D462" s="1" t="s">
        <v>16</v>
      </c>
      <c r="E462" s="82" t="n">
        <v>1</v>
      </c>
      <c r="F462" s="26" t="n">
        <v>50</v>
      </c>
      <c r="G462" s="26" t="n">
        <v>50</v>
      </c>
      <c r="H462" s="1" t="s">
        <v>633</v>
      </c>
    </row>
    <row r="463" customFormat="false" ht="15" hidden="false" customHeight="true" outlineLevel="0" collapsed="false">
      <c r="A463" s="1" t="s">
        <v>634</v>
      </c>
      <c r="B463" s="1" t="s">
        <v>87</v>
      </c>
      <c r="C463" s="1" t="s">
        <v>632</v>
      </c>
      <c r="D463" s="1" t="s">
        <v>17</v>
      </c>
      <c r="E463" s="82" t="n">
        <v>1</v>
      </c>
      <c r="F463" s="26" t="n">
        <v>90</v>
      </c>
      <c r="G463" s="26" t="n">
        <v>90</v>
      </c>
      <c r="H463" s="1" t="s">
        <v>633</v>
      </c>
    </row>
    <row r="464" customFormat="false" ht="15" hidden="false" customHeight="true" outlineLevel="0" collapsed="false">
      <c r="A464" s="1" t="s">
        <v>634</v>
      </c>
      <c r="B464" s="1" t="s">
        <v>87</v>
      </c>
      <c r="C464" s="1" t="s">
        <v>632</v>
      </c>
      <c r="D464" s="1" t="s">
        <v>17</v>
      </c>
      <c r="E464" s="82" t="n">
        <v>2</v>
      </c>
      <c r="F464" s="26" t="n">
        <v>10</v>
      </c>
      <c r="G464" s="26" t="n">
        <v>20</v>
      </c>
      <c r="H464" s="1" t="s">
        <v>633</v>
      </c>
    </row>
    <row r="465" customFormat="false" ht="15" hidden="false" customHeight="true" outlineLevel="0" collapsed="false">
      <c r="A465" s="1" t="s">
        <v>634</v>
      </c>
      <c r="B465" s="1" t="s">
        <v>87</v>
      </c>
      <c r="C465" s="1" t="s">
        <v>632</v>
      </c>
      <c r="D465" s="1" t="s">
        <v>17</v>
      </c>
      <c r="E465" s="82" t="n">
        <v>3</v>
      </c>
      <c r="F465" s="26" t="n">
        <v>50</v>
      </c>
      <c r="G465" s="26" t="n">
        <v>150</v>
      </c>
      <c r="H465" s="1" t="s">
        <v>633</v>
      </c>
    </row>
    <row r="466" customFormat="false" ht="15" hidden="false" customHeight="true" outlineLevel="0" collapsed="false">
      <c r="A466" s="1" t="s">
        <v>665</v>
      </c>
      <c r="B466" s="1" t="s">
        <v>445</v>
      </c>
      <c r="C466" s="1" t="s">
        <v>86</v>
      </c>
      <c r="D466" s="1" t="s">
        <v>12</v>
      </c>
      <c r="E466" s="82" t="n">
        <v>13530</v>
      </c>
      <c r="F466" s="26" t="n">
        <v>0.146287986778566</v>
      </c>
      <c r="G466" s="26" t="n">
        <v>1979.276461114</v>
      </c>
      <c r="H466" s="1" t="s">
        <v>446</v>
      </c>
    </row>
    <row r="467" customFormat="false" ht="15" hidden="false" customHeight="true" outlineLevel="0" collapsed="false">
      <c r="A467" s="1" t="s">
        <v>665</v>
      </c>
      <c r="B467" s="1" t="s">
        <v>447</v>
      </c>
      <c r="C467" s="1" t="s">
        <v>448</v>
      </c>
      <c r="D467" s="1" t="s">
        <v>18</v>
      </c>
      <c r="E467" s="82" t="n">
        <v>0</v>
      </c>
      <c r="F467" s="26" t="n">
        <v>0</v>
      </c>
      <c r="G467" s="26" t="n">
        <v>0</v>
      </c>
      <c r="H467" s="1" t="s">
        <v>635</v>
      </c>
    </row>
    <row r="468" customFormat="false" ht="15" hidden="false" customHeight="true" outlineLevel="0" collapsed="false">
      <c r="A468" s="1" t="s">
        <v>665</v>
      </c>
      <c r="B468" s="1" t="s">
        <v>447</v>
      </c>
      <c r="C468" s="1" t="s">
        <v>450</v>
      </c>
      <c r="D468" s="1" t="s">
        <v>18</v>
      </c>
      <c r="E468" s="82" t="n">
        <v>0</v>
      </c>
      <c r="F468" s="26" t="n">
        <v>0</v>
      </c>
      <c r="G468" s="26" t="n">
        <v>0</v>
      </c>
      <c r="H468" s="1" t="s">
        <v>449</v>
      </c>
    </row>
    <row r="469" customFormat="false" ht="15" hidden="false" customHeight="true" outlineLevel="0" collapsed="false">
      <c r="A469" s="1" t="s">
        <v>665</v>
      </c>
      <c r="B469" s="1" t="s">
        <v>447</v>
      </c>
      <c r="C469" s="1" t="s">
        <v>448</v>
      </c>
      <c r="D469" s="1" t="s">
        <v>10</v>
      </c>
      <c r="E469" s="82" t="n">
        <v>0</v>
      </c>
      <c r="F469" s="26" t="n">
        <v>0</v>
      </c>
      <c r="G469" s="26" t="n">
        <v>0</v>
      </c>
      <c r="H469" s="1" t="s">
        <v>451</v>
      </c>
    </row>
    <row r="470" customFormat="false" ht="15" hidden="false" customHeight="true" outlineLevel="0" collapsed="false">
      <c r="A470" s="1" t="s">
        <v>665</v>
      </c>
      <c r="B470" s="1" t="s">
        <v>447</v>
      </c>
      <c r="C470" s="1" t="s">
        <v>450</v>
      </c>
      <c r="D470" s="1" t="s">
        <v>10</v>
      </c>
      <c r="E470" s="82" t="n">
        <v>0</v>
      </c>
      <c r="F470" s="26" t="n">
        <v>0</v>
      </c>
      <c r="G470" s="26" t="n">
        <v>0</v>
      </c>
      <c r="H470" s="1" t="s">
        <v>449</v>
      </c>
    </row>
    <row r="471" customFormat="false" ht="15" hidden="false" customHeight="true" outlineLevel="0" collapsed="false">
      <c r="A471" s="1" t="s">
        <v>665</v>
      </c>
      <c r="B471" s="1" t="s">
        <v>447</v>
      </c>
      <c r="C471" s="1" t="s">
        <v>448</v>
      </c>
      <c r="D471" s="1" t="s">
        <v>12</v>
      </c>
      <c r="E471" s="82" t="n">
        <v>0</v>
      </c>
      <c r="F471" s="26" t="n">
        <v>0</v>
      </c>
      <c r="G471" s="26" t="n">
        <v>0</v>
      </c>
      <c r="H471" s="1" t="s">
        <v>452</v>
      </c>
    </row>
    <row r="472" customFormat="false" ht="15" hidden="false" customHeight="true" outlineLevel="0" collapsed="false">
      <c r="A472" s="1" t="s">
        <v>665</v>
      </c>
      <c r="B472" s="1" t="s">
        <v>447</v>
      </c>
      <c r="C472" s="1" t="s">
        <v>453</v>
      </c>
      <c r="D472" s="1" t="s">
        <v>12</v>
      </c>
      <c r="E472" s="82" t="n">
        <v>0</v>
      </c>
      <c r="F472" s="26" t="n">
        <v>0</v>
      </c>
      <c r="G472" s="26" t="n">
        <v>0</v>
      </c>
      <c r="H472" s="1" t="s">
        <v>454</v>
      </c>
    </row>
    <row r="473" customFormat="false" ht="15" hidden="false" customHeight="true" outlineLevel="0" collapsed="false">
      <c r="A473" s="1" t="s">
        <v>665</v>
      </c>
      <c r="B473" s="1" t="s">
        <v>447</v>
      </c>
      <c r="C473" s="1" t="s">
        <v>448</v>
      </c>
      <c r="D473" s="1" t="s">
        <v>14</v>
      </c>
      <c r="E473" s="82" t="n">
        <v>0</v>
      </c>
      <c r="F473" s="26" t="n">
        <v>0</v>
      </c>
      <c r="G473" s="26" t="n">
        <v>0</v>
      </c>
      <c r="H473" s="1" t="s">
        <v>452</v>
      </c>
    </row>
    <row r="474" customFormat="false" ht="15" hidden="false" customHeight="true" outlineLevel="0" collapsed="false">
      <c r="A474" s="1" t="s">
        <v>665</v>
      </c>
      <c r="B474" s="1" t="s">
        <v>447</v>
      </c>
      <c r="C474" s="1" t="s">
        <v>450</v>
      </c>
      <c r="D474" s="1" t="s">
        <v>14</v>
      </c>
      <c r="E474" s="82" t="n">
        <v>0</v>
      </c>
      <c r="F474" s="26" t="n">
        <v>0</v>
      </c>
      <c r="G474" s="26" t="n">
        <v>0</v>
      </c>
      <c r="H474" s="1" t="s">
        <v>449</v>
      </c>
    </row>
    <row r="475" customFormat="false" ht="15" hidden="false" customHeight="true" outlineLevel="0" collapsed="false">
      <c r="A475" s="1" t="s">
        <v>665</v>
      </c>
      <c r="B475" s="1" t="s">
        <v>447</v>
      </c>
      <c r="C475" s="1" t="s">
        <v>448</v>
      </c>
      <c r="D475" s="1" t="s">
        <v>15</v>
      </c>
      <c r="E475" s="82" t="n">
        <v>0</v>
      </c>
      <c r="F475" s="26" t="n">
        <v>0</v>
      </c>
      <c r="G475" s="26" t="n">
        <v>0</v>
      </c>
      <c r="H475" s="1" t="s">
        <v>451</v>
      </c>
    </row>
    <row r="476" customFormat="false" ht="15" hidden="false" customHeight="true" outlineLevel="0" collapsed="false">
      <c r="A476" s="1" t="s">
        <v>665</v>
      </c>
      <c r="B476" s="1" t="s">
        <v>447</v>
      </c>
      <c r="C476" s="1" t="s">
        <v>450</v>
      </c>
      <c r="D476" s="1" t="s">
        <v>15</v>
      </c>
      <c r="E476" s="82" t="n">
        <v>0</v>
      </c>
      <c r="F476" s="26" t="n">
        <v>0</v>
      </c>
      <c r="G476" s="26" t="n">
        <v>0</v>
      </c>
      <c r="H476" s="1" t="s">
        <v>636</v>
      </c>
    </row>
    <row r="477" customFormat="false" ht="15" hidden="false" customHeight="true" outlineLevel="0" collapsed="false">
      <c r="A477" s="1" t="s">
        <v>665</v>
      </c>
      <c r="B477" s="1" t="s">
        <v>447</v>
      </c>
      <c r="C477" s="1" t="s">
        <v>448</v>
      </c>
      <c r="D477" s="1" t="s">
        <v>13</v>
      </c>
      <c r="E477" s="82" t="n">
        <v>0</v>
      </c>
      <c r="F477" s="26" t="n">
        <v>0</v>
      </c>
      <c r="G477" s="26" t="n">
        <v>0</v>
      </c>
      <c r="H477" s="1" t="s">
        <v>456</v>
      </c>
    </row>
    <row r="478" customFormat="false" ht="15" hidden="false" customHeight="true" outlineLevel="0" collapsed="false">
      <c r="A478" s="1" t="s">
        <v>665</v>
      </c>
      <c r="B478" s="1" t="s">
        <v>447</v>
      </c>
      <c r="C478" s="1" t="s">
        <v>450</v>
      </c>
      <c r="D478" s="1" t="s">
        <v>13</v>
      </c>
      <c r="E478" s="82" t="n">
        <v>0</v>
      </c>
      <c r="F478" s="26" t="n">
        <v>0</v>
      </c>
      <c r="G478" s="26" t="n">
        <v>0</v>
      </c>
      <c r="H478" s="1" t="s">
        <v>449</v>
      </c>
    </row>
    <row r="479" customFormat="false" ht="15" hidden="false" customHeight="true" outlineLevel="0" collapsed="false">
      <c r="A479" s="1" t="s">
        <v>665</v>
      </c>
      <c r="B479" s="1" t="s">
        <v>447</v>
      </c>
      <c r="C479" s="1" t="s">
        <v>448</v>
      </c>
      <c r="D479" s="1" t="s">
        <v>16</v>
      </c>
      <c r="E479" s="82" t="n">
        <v>0</v>
      </c>
      <c r="F479" s="26" t="n">
        <v>0</v>
      </c>
      <c r="G479" s="26" t="n">
        <v>0</v>
      </c>
      <c r="H479" s="1" t="s">
        <v>452</v>
      </c>
    </row>
    <row r="480" customFormat="false" ht="15" hidden="false" customHeight="true" outlineLevel="0" collapsed="false">
      <c r="A480" s="1" t="s">
        <v>665</v>
      </c>
      <c r="B480" s="1" t="s">
        <v>457</v>
      </c>
      <c r="C480" s="1" t="s">
        <v>458</v>
      </c>
      <c r="D480" s="1" t="s">
        <v>18</v>
      </c>
      <c r="E480" s="82" t="n">
        <v>6438</v>
      </c>
      <c r="F480" s="26" t="n">
        <v>1.86</v>
      </c>
      <c r="G480" s="26" t="n">
        <v>11974.68</v>
      </c>
      <c r="H480" s="1" t="s">
        <v>666</v>
      </c>
    </row>
    <row r="481" customFormat="false" ht="15" hidden="false" customHeight="true" outlineLevel="0" collapsed="false">
      <c r="A481" s="1" t="s">
        <v>665</v>
      </c>
      <c r="B481" s="1" t="s">
        <v>457</v>
      </c>
      <c r="C481" s="1" t="s">
        <v>458</v>
      </c>
      <c r="D481" s="1" t="s">
        <v>10</v>
      </c>
      <c r="E481" s="82" t="n">
        <v>341</v>
      </c>
      <c r="F481" s="26" t="n">
        <v>1.86</v>
      </c>
      <c r="G481" s="26" t="n">
        <v>634.26</v>
      </c>
      <c r="H481" s="1" t="s">
        <v>666</v>
      </c>
    </row>
    <row r="482" customFormat="false" ht="15" hidden="false" customHeight="true" outlineLevel="0" collapsed="false">
      <c r="A482" s="1" t="s">
        <v>665</v>
      </c>
      <c r="B482" s="1" t="s">
        <v>457</v>
      </c>
      <c r="C482" s="1" t="s">
        <v>638</v>
      </c>
      <c r="D482" s="1" t="s">
        <v>10</v>
      </c>
      <c r="E482" s="82" t="n">
        <v>0</v>
      </c>
      <c r="F482" s="26" t="n">
        <v>0</v>
      </c>
      <c r="G482" s="26" t="n">
        <v>0</v>
      </c>
      <c r="H482" s="1" t="s">
        <v>639</v>
      </c>
    </row>
    <row r="483" customFormat="false" ht="15" hidden="false" customHeight="true" outlineLevel="0" collapsed="false">
      <c r="A483" s="1" t="s">
        <v>665</v>
      </c>
      <c r="B483" s="1" t="s">
        <v>457</v>
      </c>
      <c r="C483" s="1" t="s">
        <v>640</v>
      </c>
      <c r="D483" s="1" t="s">
        <v>10</v>
      </c>
      <c r="E483" s="82" t="n">
        <v>0</v>
      </c>
      <c r="F483" s="26" t="n">
        <v>0</v>
      </c>
      <c r="G483" s="26" t="n">
        <v>0</v>
      </c>
      <c r="H483" s="1" t="s">
        <v>641</v>
      </c>
    </row>
    <row r="484" customFormat="false" ht="15" hidden="false" customHeight="true" outlineLevel="0" collapsed="false">
      <c r="A484" s="1" t="s">
        <v>665</v>
      </c>
      <c r="B484" s="1" t="s">
        <v>457</v>
      </c>
      <c r="C484" s="1" t="s">
        <v>466</v>
      </c>
      <c r="D484" s="1" t="s">
        <v>10</v>
      </c>
      <c r="E484" s="82" t="n">
        <v>-1</v>
      </c>
      <c r="F484" s="26" t="n">
        <v>620.34</v>
      </c>
      <c r="G484" s="26" t="n">
        <v>-620.34</v>
      </c>
      <c r="H484" s="1" t="s">
        <v>467</v>
      </c>
    </row>
    <row r="485" customFormat="false" ht="15" hidden="false" customHeight="true" outlineLevel="0" collapsed="false">
      <c r="A485" s="1" t="s">
        <v>665</v>
      </c>
      <c r="B485" s="1" t="s">
        <v>457</v>
      </c>
      <c r="C485" s="1" t="s">
        <v>466</v>
      </c>
      <c r="D485" s="1" t="s">
        <v>10</v>
      </c>
      <c r="E485" s="82" t="n">
        <v>-1</v>
      </c>
      <c r="F485" s="26" t="n">
        <v>2216.95</v>
      </c>
      <c r="G485" s="26" t="n">
        <v>-2216.95</v>
      </c>
      <c r="H485" s="1" t="s">
        <v>468</v>
      </c>
    </row>
    <row r="486" customFormat="false" ht="15" hidden="false" customHeight="true" outlineLevel="0" collapsed="false">
      <c r="A486" s="1" t="s">
        <v>665</v>
      </c>
      <c r="B486" s="1" t="s">
        <v>457</v>
      </c>
      <c r="C486" s="1" t="s">
        <v>469</v>
      </c>
      <c r="D486" s="1" t="s">
        <v>10</v>
      </c>
      <c r="E486" s="82" t="n">
        <v>-1</v>
      </c>
      <c r="F486" s="26" t="n">
        <v>260.108024691358</v>
      </c>
      <c r="G486" s="26" t="n">
        <v>-260.108024691358</v>
      </c>
      <c r="H486" s="1" t="s">
        <v>667</v>
      </c>
    </row>
    <row r="487" customFormat="false" ht="15" hidden="false" customHeight="true" outlineLevel="0" collapsed="false">
      <c r="A487" s="1" t="s">
        <v>665</v>
      </c>
      <c r="B487" s="1" t="s">
        <v>457</v>
      </c>
      <c r="C487" s="1" t="s">
        <v>471</v>
      </c>
      <c r="D487" s="1" t="s">
        <v>10</v>
      </c>
      <c r="E487" s="82" t="n">
        <v>0</v>
      </c>
      <c r="F487" s="26" t="n">
        <v>0</v>
      </c>
      <c r="G487" s="26" t="n">
        <v>0</v>
      </c>
      <c r="H487" s="1" t="s">
        <v>470</v>
      </c>
    </row>
    <row r="488" customFormat="false" ht="15" hidden="false" customHeight="true" outlineLevel="0" collapsed="false">
      <c r="A488" s="1" t="s">
        <v>665</v>
      </c>
      <c r="B488" s="1" t="s">
        <v>457</v>
      </c>
      <c r="C488" s="1" t="s">
        <v>472</v>
      </c>
      <c r="D488" s="1" t="s">
        <v>10</v>
      </c>
      <c r="E488" s="82" t="n">
        <v>0</v>
      </c>
      <c r="F488" s="26" t="n">
        <v>0</v>
      </c>
      <c r="G488" s="26" t="n">
        <v>0</v>
      </c>
      <c r="H488" s="1" t="s">
        <v>470</v>
      </c>
    </row>
    <row r="489" customFormat="false" ht="15" hidden="false" customHeight="true" outlineLevel="0" collapsed="false">
      <c r="A489" s="1" t="s">
        <v>665</v>
      </c>
      <c r="B489" s="1" t="s">
        <v>457</v>
      </c>
      <c r="C489" s="1" t="s">
        <v>473</v>
      </c>
      <c r="D489" s="1" t="s">
        <v>10</v>
      </c>
      <c r="E489" s="82" t="n">
        <v>3</v>
      </c>
      <c r="F489" s="26" t="n">
        <v>221.785743509048</v>
      </c>
      <c r="G489" s="26" t="n">
        <v>665.357230527144</v>
      </c>
      <c r="H489" s="1" t="s">
        <v>667</v>
      </c>
    </row>
    <row r="490" customFormat="false" ht="15" hidden="false" customHeight="true" outlineLevel="0" collapsed="false">
      <c r="A490" s="1" t="s">
        <v>665</v>
      </c>
      <c r="B490" s="1" t="s">
        <v>457</v>
      </c>
      <c r="C490" s="1" t="s">
        <v>474</v>
      </c>
      <c r="D490" s="1" t="s">
        <v>10</v>
      </c>
      <c r="E490" s="82" t="n">
        <v>0</v>
      </c>
      <c r="F490" s="26" t="n">
        <v>0</v>
      </c>
      <c r="G490" s="26" t="n">
        <v>0</v>
      </c>
      <c r="H490" s="1" t="s">
        <v>470</v>
      </c>
    </row>
    <row r="491" customFormat="false" ht="15" hidden="false" customHeight="true" outlineLevel="0" collapsed="false">
      <c r="A491" s="1" t="s">
        <v>665</v>
      </c>
      <c r="B491" s="1" t="s">
        <v>457</v>
      </c>
      <c r="C491" s="1" t="s">
        <v>475</v>
      </c>
      <c r="D491" s="1" t="s">
        <v>12</v>
      </c>
      <c r="E491" s="82" t="n">
        <v>1</v>
      </c>
      <c r="F491" s="26" t="n">
        <v>33.5</v>
      </c>
      <c r="G491" s="26" t="n">
        <v>33.5</v>
      </c>
      <c r="H491" s="1" t="s">
        <v>476</v>
      </c>
    </row>
    <row r="492" customFormat="false" ht="15" hidden="false" customHeight="true" outlineLevel="0" collapsed="false">
      <c r="A492" s="1" t="s">
        <v>665</v>
      </c>
      <c r="B492" s="1" t="s">
        <v>457</v>
      </c>
      <c r="C492" s="1" t="s">
        <v>475</v>
      </c>
      <c r="D492" s="1" t="s">
        <v>12</v>
      </c>
      <c r="E492" s="82" t="n">
        <v>1</v>
      </c>
      <c r="F492" s="26" t="n">
        <v>22</v>
      </c>
      <c r="G492" s="26" t="n">
        <v>22</v>
      </c>
      <c r="H492" s="1" t="s">
        <v>477</v>
      </c>
    </row>
    <row r="493" customFormat="false" ht="15" hidden="false" customHeight="true" outlineLevel="0" collapsed="false">
      <c r="A493" s="1" t="s">
        <v>665</v>
      </c>
      <c r="B493" s="1" t="s">
        <v>457</v>
      </c>
      <c r="C493" s="1" t="s">
        <v>458</v>
      </c>
      <c r="D493" s="1" t="s">
        <v>12</v>
      </c>
      <c r="E493" s="82" t="n">
        <v>312</v>
      </c>
      <c r="F493" s="26" t="n">
        <v>1.86</v>
      </c>
      <c r="G493" s="26" t="n">
        <v>580.32</v>
      </c>
      <c r="H493" s="1" t="s">
        <v>668</v>
      </c>
    </row>
    <row r="494" customFormat="false" ht="15" hidden="false" customHeight="true" outlineLevel="0" collapsed="false">
      <c r="A494" s="1" t="s">
        <v>665</v>
      </c>
      <c r="B494" s="1" t="s">
        <v>457</v>
      </c>
      <c r="C494" s="1" t="s">
        <v>638</v>
      </c>
      <c r="D494" s="1" t="s">
        <v>12</v>
      </c>
      <c r="E494" s="82" t="n">
        <v>0</v>
      </c>
      <c r="F494" s="26" t="n">
        <v>0</v>
      </c>
      <c r="G494" s="26" t="n">
        <v>0</v>
      </c>
      <c r="H494" s="1" t="s">
        <v>643</v>
      </c>
    </row>
    <row r="495" customFormat="false" ht="15" hidden="false" customHeight="true" outlineLevel="0" collapsed="false">
      <c r="A495" s="1" t="s">
        <v>665</v>
      </c>
      <c r="B495" s="1" t="s">
        <v>457</v>
      </c>
      <c r="C495" s="1" t="s">
        <v>466</v>
      </c>
      <c r="D495" s="1" t="s">
        <v>12</v>
      </c>
      <c r="E495" s="82" t="n">
        <v>1</v>
      </c>
      <c r="F495" s="26" t="n">
        <v>446.88</v>
      </c>
      <c r="G495" s="26" t="n">
        <v>446.88</v>
      </c>
      <c r="H495" s="1" t="s">
        <v>481</v>
      </c>
    </row>
    <row r="496" customFormat="false" ht="15" hidden="false" customHeight="true" outlineLevel="0" collapsed="false">
      <c r="A496" s="1" t="s">
        <v>665</v>
      </c>
      <c r="B496" s="1" t="s">
        <v>457</v>
      </c>
      <c r="C496" s="1" t="s">
        <v>466</v>
      </c>
      <c r="D496" s="1" t="s">
        <v>12</v>
      </c>
      <c r="E496" s="82" t="n">
        <v>36</v>
      </c>
      <c r="F496" s="26" t="n">
        <v>21.95</v>
      </c>
      <c r="G496" s="26" t="n">
        <v>790.2</v>
      </c>
      <c r="H496" s="1" t="s">
        <v>482</v>
      </c>
    </row>
    <row r="497" customFormat="false" ht="15" hidden="false" customHeight="true" outlineLevel="0" collapsed="false">
      <c r="A497" s="1" t="s">
        <v>665</v>
      </c>
      <c r="B497" s="1" t="s">
        <v>457</v>
      </c>
      <c r="C497" s="1" t="s">
        <v>483</v>
      </c>
      <c r="D497" s="1" t="s">
        <v>12</v>
      </c>
      <c r="E497" s="82" t="n">
        <v>1</v>
      </c>
      <c r="F497" s="26" t="n">
        <v>260.108024691358</v>
      </c>
      <c r="G497" s="26" t="n">
        <v>260.108024691358</v>
      </c>
      <c r="H497" s="1" t="s">
        <v>667</v>
      </c>
    </row>
    <row r="498" customFormat="false" ht="15" hidden="false" customHeight="true" outlineLevel="0" collapsed="false">
      <c r="A498" s="1" t="s">
        <v>665</v>
      </c>
      <c r="B498" s="1" t="s">
        <v>457</v>
      </c>
      <c r="C498" s="1" t="s">
        <v>471</v>
      </c>
      <c r="D498" s="1" t="s">
        <v>12</v>
      </c>
      <c r="E498" s="82" t="n">
        <v>2</v>
      </c>
      <c r="F498" s="26" t="n">
        <v>221.785743509048</v>
      </c>
      <c r="G498" s="26" t="n">
        <v>443.571487018096</v>
      </c>
      <c r="H498" s="1" t="s">
        <v>667</v>
      </c>
    </row>
    <row r="499" customFormat="false" ht="15" hidden="false" customHeight="true" outlineLevel="0" collapsed="false">
      <c r="A499" s="1" t="s">
        <v>665</v>
      </c>
      <c r="B499" s="1" t="s">
        <v>457</v>
      </c>
      <c r="C499" s="1" t="s">
        <v>484</v>
      </c>
      <c r="D499" s="1" t="s">
        <v>12</v>
      </c>
      <c r="E499" s="82" t="n">
        <v>0</v>
      </c>
      <c r="F499" s="26" t="n">
        <v>0</v>
      </c>
      <c r="G499" s="26" t="n">
        <v>0</v>
      </c>
      <c r="H499" s="1" t="s">
        <v>470</v>
      </c>
    </row>
    <row r="500" customFormat="false" ht="15" hidden="false" customHeight="true" outlineLevel="0" collapsed="false">
      <c r="A500" s="1" t="s">
        <v>665</v>
      </c>
      <c r="B500" s="1" t="s">
        <v>457</v>
      </c>
      <c r="C500" s="1" t="s">
        <v>485</v>
      </c>
      <c r="D500" s="1" t="s">
        <v>12</v>
      </c>
      <c r="E500" s="82" t="n">
        <v>-6</v>
      </c>
      <c r="F500" s="26" t="n">
        <v>221.785743509048</v>
      </c>
      <c r="G500" s="26" t="n">
        <v>-1330.71446105429</v>
      </c>
      <c r="H500" s="1" t="s">
        <v>667</v>
      </c>
    </row>
    <row r="501" customFormat="false" ht="15" hidden="false" customHeight="true" outlineLevel="0" collapsed="false">
      <c r="A501" s="1" t="s">
        <v>665</v>
      </c>
      <c r="B501" s="1" t="s">
        <v>457</v>
      </c>
      <c r="C501" s="1" t="s">
        <v>486</v>
      </c>
      <c r="D501" s="1" t="s">
        <v>12</v>
      </c>
      <c r="E501" s="82" t="n">
        <v>-3</v>
      </c>
      <c r="F501" s="26" t="n">
        <v>221.785743509048</v>
      </c>
      <c r="G501" s="26" t="n">
        <v>-665.357230527144</v>
      </c>
      <c r="H501" s="1" t="s">
        <v>667</v>
      </c>
    </row>
    <row r="502" customFormat="false" ht="15" hidden="false" customHeight="true" outlineLevel="0" collapsed="false">
      <c r="A502" s="1" t="s">
        <v>665</v>
      </c>
      <c r="B502" s="1" t="s">
        <v>457</v>
      </c>
      <c r="C502" s="1" t="s">
        <v>487</v>
      </c>
      <c r="D502" s="1" t="s">
        <v>12</v>
      </c>
      <c r="E502" s="82" t="n">
        <v>-2</v>
      </c>
      <c r="F502" s="26" t="n">
        <v>221.785743509048</v>
      </c>
      <c r="G502" s="26" t="n">
        <v>-443.571487018096</v>
      </c>
      <c r="H502" s="1" t="s">
        <v>667</v>
      </c>
    </row>
    <row r="503" customFormat="false" ht="15" hidden="false" customHeight="true" outlineLevel="0" collapsed="false">
      <c r="A503" s="1" t="s">
        <v>665</v>
      </c>
      <c r="B503" s="1" t="s">
        <v>457</v>
      </c>
      <c r="C503" s="1" t="s">
        <v>458</v>
      </c>
      <c r="D503" s="1" t="s">
        <v>14</v>
      </c>
      <c r="E503" s="82" t="n">
        <v>222</v>
      </c>
      <c r="F503" s="26" t="n">
        <v>1.86</v>
      </c>
      <c r="G503" s="26" t="n">
        <v>412.92</v>
      </c>
      <c r="H503" s="1" t="s">
        <v>668</v>
      </c>
    </row>
    <row r="504" customFormat="false" ht="15" hidden="false" customHeight="true" outlineLevel="0" collapsed="false">
      <c r="A504" s="1" t="s">
        <v>665</v>
      </c>
      <c r="B504" s="1" t="s">
        <v>457</v>
      </c>
      <c r="C504" s="1" t="s">
        <v>471</v>
      </c>
      <c r="D504" s="1" t="s">
        <v>14</v>
      </c>
      <c r="E504" s="82" t="n">
        <v>1</v>
      </c>
      <c r="F504" s="26" t="n">
        <v>221.785743509048</v>
      </c>
      <c r="G504" s="26" t="n">
        <v>221.785743509048</v>
      </c>
      <c r="H504" s="1" t="s">
        <v>667</v>
      </c>
    </row>
    <row r="505" customFormat="false" ht="15" hidden="false" customHeight="true" outlineLevel="0" collapsed="false">
      <c r="A505" s="1" t="s">
        <v>665</v>
      </c>
      <c r="B505" s="1" t="s">
        <v>457</v>
      </c>
      <c r="C505" s="1" t="s">
        <v>489</v>
      </c>
      <c r="D505" s="1" t="s">
        <v>14</v>
      </c>
      <c r="E505" s="82" t="n">
        <v>0</v>
      </c>
      <c r="F505" s="26" t="n">
        <v>0</v>
      </c>
      <c r="G505" s="26" t="n">
        <v>0</v>
      </c>
      <c r="H505" s="1" t="s">
        <v>667</v>
      </c>
    </row>
    <row r="506" customFormat="false" ht="15" hidden="false" customHeight="true" outlineLevel="0" collapsed="false">
      <c r="A506" s="1" t="s">
        <v>665</v>
      </c>
      <c r="B506" s="1" t="s">
        <v>457</v>
      </c>
      <c r="C506" s="1" t="s">
        <v>490</v>
      </c>
      <c r="D506" s="1" t="s">
        <v>14</v>
      </c>
      <c r="E506" s="82" t="n">
        <v>0</v>
      </c>
      <c r="F506" s="26" t="n">
        <v>0</v>
      </c>
      <c r="G506" s="26" t="n">
        <v>0</v>
      </c>
    </row>
    <row r="507" customFormat="false" ht="15" hidden="false" customHeight="true" outlineLevel="0" collapsed="false">
      <c r="A507" s="1" t="s">
        <v>665</v>
      </c>
      <c r="B507" s="1" t="s">
        <v>457</v>
      </c>
      <c r="C507" s="1" t="s">
        <v>491</v>
      </c>
      <c r="D507" s="1" t="s">
        <v>14</v>
      </c>
      <c r="E507" s="82" t="n">
        <v>0</v>
      </c>
      <c r="F507" s="26" t="n">
        <v>0</v>
      </c>
      <c r="G507" s="26" t="n">
        <v>0</v>
      </c>
      <c r="H507" s="1" t="s">
        <v>470</v>
      </c>
    </row>
    <row r="508" customFormat="false" ht="15" hidden="false" customHeight="true" outlineLevel="0" collapsed="false">
      <c r="A508" s="1" t="s">
        <v>665</v>
      </c>
      <c r="B508" s="1" t="s">
        <v>457</v>
      </c>
      <c r="C508" s="1" t="s">
        <v>458</v>
      </c>
      <c r="D508" s="1" t="s">
        <v>15</v>
      </c>
      <c r="E508" s="82" t="n">
        <v>669</v>
      </c>
      <c r="F508" s="26" t="n">
        <v>1.86</v>
      </c>
      <c r="G508" s="26" t="n">
        <v>1244.34</v>
      </c>
      <c r="H508" s="1" t="s">
        <v>668</v>
      </c>
    </row>
    <row r="509" customFormat="false" ht="15" hidden="false" customHeight="true" outlineLevel="0" collapsed="false">
      <c r="A509" s="1" t="s">
        <v>665</v>
      </c>
      <c r="B509" s="1" t="s">
        <v>457</v>
      </c>
      <c r="C509" s="1" t="s">
        <v>466</v>
      </c>
      <c r="D509" s="1" t="s">
        <v>15</v>
      </c>
      <c r="E509" s="82" t="n">
        <v>1</v>
      </c>
      <c r="F509" s="26" t="n">
        <v>173.46</v>
      </c>
      <c r="G509" s="26" t="n">
        <v>173.46</v>
      </c>
      <c r="H509" s="1" t="s">
        <v>495</v>
      </c>
    </row>
    <row r="510" customFormat="false" ht="15" hidden="false" customHeight="true" outlineLevel="0" collapsed="false">
      <c r="A510" s="1" t="s">
        <v>665</v>
      </c>
      <c r="B510" s="1" t="s">
        <v>457</v>
      </c>
      <c r="C510" s="1" t="s">
        <v>466</v>
      </c>
      <c r="D510" s="1" t="s">
        <v>15</v>
      </c>
      <c r="E510" s="82" t="n">
        <v>65</v>
      </c>
      <c r="F510" s="26" t="n">
        <v>21.95</v>
      </c>
      <c r="G510" s="26" t="n">
        <v>1426.75</v>
      </c>
      <c r="H510" s="1" t="s">
        <v>496</v>
      </c>
    </row>
    <row r="511" customFormat="false" ht="15" hidden="false" customHeight="true" outlineLevel="0" collapsed="false">
      <c r="A511" s="1" t="s">
        <v>665</v>
      </c>
      <c r="B511" s="1" t="s">
        <v>457</v>
      </c>
      <c r="C511" s="1" t="s">
        <v>497</v>
      </c>
      <c r="D511" s="1" t="s">
        <v>15</v>
      </c>
      <c r="E511" s="82" t="n">
        <v>1</v>
      </c>
      <c r="F511" s="26" t="n">
        <v>221.785743509048</v>
      </c>
      <c r="G511" s="26" t="n">
        <v>221.785743509048</v>
      </c>
      <c r="H511" s="1" t="s">
        <v>667</v>
      </c>
    </row>
    <row r="512" customFormat="false" ht="15" hidden="false" customHeight="true" outlineLevel="0" collapsed="false">
      <c r="A512" s="1" t="s">
        <v>665</v>
      </c>
      <c r="B512" s="1" t="s">
        <v>457</v>
      </c>
      <c r="C512" s="1" t="s">
        <v>487</v>
      </c>
      <c r="D512" s="1" t="s">
        <v>15</v>
      </c>
      <c r="E512" s="82" t="n">
        <v>2</v>
      </c>
      <c r="F512" s="26" t="n">
        <v>221.785743509048</v>
      </c>
      <c r="G512" s="26" t="n">
        <v>443.571487018096</v>
      </c>
      <c r="H512" s="1" t="s">
        <v>667</v>
      </c>
    </row>
    <row r="513" customFormat="false" ht="15" hidden="false" customHeight="true" outlineLevel="0" collapsed="false">
      <c r="A513" s="1" t="s">
        <v>665</v>
      </c>
      <c r="B513" s="1" t="s">
        <v>457</v>
      </c>
      <c r="C513" s="1" t="s">
        <v>498</v>
      </c>
      <c r="D513" s="1" t="s">
        <v>15</v>
      </c>
      <c r="E513" s="82" t="n">
        <v>0</v>
      </c>
      <c r="F513" s="26" t="n">
        <v>0</v>
      </c>
      <c r="G513" s="26" t="n">
        <v>0</v>
      </c>
    </row>
    <row r="514" customFormat="false" ht="15" hidden="false" customHeight="true" outlineLevel="0" collapsed="false">
      <c r="A514" s="1" t="s">
        <v>665</v>
      </c>
      <c r="B514" s="1" t="s">
        <v>457</v>
      </c>
      <c r="C514" s="1" t="s">
        <v>647</v>
      </c>
      <c r="D514" s="1" t="s">
        <v>15</v>
      </c>
      <c r="E514" s="82" t="n">
        <v>0</v>
      </c>
      <c r="F514" s="26" t="n">
        <v>0</v>
      </c>
      <c r="G514" s="26" t="n">
        <v>0</v>
      </c>
      <c r="H514" s="1" t="s">
        <v>667</v>
      </c>
    </row>
    <row r="515" customFormat="false" ht="15" hidden="false" customHeight="true" outlineLevel="0" collapsed="false">
      <c r="A515" s="1" t="s">
        <v>665</v>
      </c>
      <c r="B515" s="1" t="s">
        <v>457</v>
      </c>
      <c r="C515" s="1" t="s">
        <v>458</v>
      </c>
      <c r="D515" s="1" t="s">
        <v>13</v>
      </c>
      <c r="E515" s="82" t="n">
        <v>510</v>
      </c>
      <c r="F515" s="26" t="n">
        <v>1.86</v>
      </c>
      <c r="G515" s="26" t="n">
        <v>948.6</v>
      </c>
      <c r="H515" s="1" t="s">
        <v>668</v>
      </c>
    </row>
    <row r="516" customFormat="false" ht="15" hidden="false" customHeight="true" outlineLevel="0" collapsed="false">
      <c r="A516" s="1" t="s">
        <v>665</v>
      </c>
      <c r="B516" s="1" t="s">
        <v>457</v>
      </c>
      <c r="C516" s="1" t="s">
        <v>503</v>
      </c>
      <c r="D516" s="1" t="s">
        <v>13</v>
      </c>
      <c r="E516" s="82" t="n">
        <v>1</v>
      </c>
      <c r="F516" s="26" t="n">
        <v>542</v>
      </c>
      <c r="G516" s="26" t="n">
        <v>542</v>
      </c>
      <c r="H516" s="1" t="s">
        <v>504</v>
      </c>
    </row>
    <row r="517" customFormat="false" ht="15" hidden="false" customHeight="true" outlineLevel="0" collapsed="false">
      <c r="A517" s="1" t="s">
        <v>665</v>
      </c>
      <c r="B517" s="1" t="s">
        <v>457</v>
      </c>
      <c r="C517" s="1" t="s">
        <v>471</v>
      </c>
      <c r="D517" s="1" t="s">
        <v>13</v>
      </c>
      <c r="E517" s="82" t="n">
        <v>6</v>
      </c>
      <c r="F517" s="26" t="n">
        <v>221.785743509048</v>
      </c>
      <c r="G517" s="26" t="n">
        <v>1330.71446105429</v>
      </c>
      <c r="H517" s="1" t="s">
        <v>667</v>
      </c>
    </row>
    <row r="518" customFormat="false" ht="15" hidden="false" customHeight="true" outlineLevel="0" collapsed="false">
      <c r="A518" s="1" t="s">
        <v>665</v>
      </c>
      <c r="B518" s="1" t="s">
        <v>457</v>
      </c>
      <c r="C518" s="1" t="s">
        <v>506</v>
      </c>
      <c r="D518" s="1" t="s">
        <v>13</v>
      </c>
      <c r="E518" s="82" t="n">
        <v>0</v>
      </c>
      <c r="F518" s="26" t="n">
        <v>0</v>
      </c>
      <c r="G518" s="26" t="n">
        <v>0</v>
      </c>
      <c r="H518" s="1" t="s">
        <v>470</v>
      </c>
    </row>
    <row r="519" customFormat="false" ht="15" hidden="false" customHeight="true" outlineLevel="0" collapsed="false">
      <c r="A519" s="1" t="s">
        <v>665</v>
      </c>
      <c r="B519" s="1" t="s">
        <v>457</v>
      </c>
      <c r="C519" s="1" t="s">
        <v>507</v>
      </c>
      <c r="D519" s="1" t="s">
        <v>13</v>
      </c>
      <c r="E519" s="82" t="n">
        <v>0</v>
      </c>
      <c r="F519" s="26" t="n">
        <v>0</v>
      </c>
      <c r="G519" s="26" t="n">
        <v>0</v>
      </c>
      <c r="H519" s="1" t="s">
        <v>470</v>
      </c>
    </row>
    <row r="520" customFormat="false" ht="15" hidden="false" customHeight="true" outlineLevel="0" collapsed="false">
      <c r="A520" s="1" t="s">
        <v>665</v>
      </c>
      <c r="B520" s="1" t="s">
        <v>457</v>
      </c>
      <c r="C520" s="1" t="s">
        <v>669</v>
      </c>
      <c r="D520" s="1" t="s">
        <v>13</v>
      </c>
      <c r="E520" s="82" t="n">
        <v>0</v>
      </c>
      <c r="F520" s="26" t="n">
        <v>0</v>
      </c>
      <c r="G520" s="26" t="n">
        <v>0</v>
      </c>
      <c r="H520" s="1" t="s">
        <v>470</v>
      </c>
    </row>
    <row r="521" customFormat="false" ht="15" hidden="false" customHeight="true" outlineLevel="0" collapsed="false">
      <c r="A521" s="1" t="s">
        <v>665</v>
      </c>
      <c r="B521" s="1" t="s">
        <v>457</v>
      </c>
      <c r="C521" s="1" t="s">
        <v>458</v>
      </c>
      <c r="D521" s="1" t="s">
        <v>16</v>
      </c>
      <c r="E521" s="82" t="n">
        <v>154</v>
      </c>
      <c r="F521" s="26" t="n">
        <v>1.86</v>
      </c>
      <c r="G521" s="26" t="n">
        <v>286.44</v>
      </c>
      <c r="H521" s="1" t="s">
        <v>668</v>
      </c>
    </row>
    <row r="522" customFormat="false" ht="15" hidden="false" customHeight="true" outlineLevel="0" collapsed="false">
      <c r="A522" s="1" t="s">
        <v>665</v>
      </c>
      <c r="B522" s="1" t="s">
        <v>457</v>
      </c>
      <c r="C522" s="1" t="s">
        <v>503</v>
      </c>
      <c r="D522" s="1" t="s">
        <v>16</v>
      </c>
      <c r="E522" s="82" t="n">
        <v>1</v>
      </c>
      <c r="F522" s="26" t="n">
        <v>729</v>
      </c>
      <c r="G522" s="26" t="n">
        <v>729</v>
      </c>
      <c r="H522" s="1" t="s">
        <v>510</v>
      </c>
    </row>
    <row r="523" customFormat="false" ht="15" hidden="false" customHeight="true" outlineLevel="0" collapsed="false">
      <c r="A523" s="1" t="s">
        <v>665</v>
      </c>
      <c r="B523" s="1" t="s">
        <v>457</v>
      </c>
      <c r="C523" s="1" t="s">
        <v>503</v>
      </c>
      <c r="D523" s="1" t="s">
        <v>16</v>
      </c>
      <c r="E523" s="82" t="n">
        <v>35</v>
      </c>
      <c r="F523" s="26" t="n">
        <v>18.52</v>
      </c>
      <c r="G523" s="26" t="n">
        <v>648.2</v>
      </c>
      <c r="H523" s="1" t="s">
        <v>482</v>
      </c>
    </row>
    <row r="524" customFormat="false" ht="15" hidden="false" customHeight="true" outlineLevel="0" collapsed="false">
      <c r="A524" s="1" t="s">
        <v>665</v>
      </c>
      <c r="B524" s="1" t="s">
        <v>457</v>
      </c>
      <c r="C524" s="1" t="s">
        <v>471</v>
      </c>
      <c r="D524" s="1" t="s">
        <v>16</v>
      </c>
      <c r="E524" s="82" t="n">
        <v>0</v>
      </c>
      <c r="F524" s="26" t="n">
        <v>0</v>
      </c>
      <c r="G524" s="26" t="n">
        <v>0</v>
      </c>
      <c r="H524" s="1" t="s">
        <v>470</v>
      </c>
    </row>
    <row r="525" customFormat="false" ht="15" hidden="false" customHeight="true" outlineLevel="0" collapsed="false">
      <c r="A525" s="1" t="s">
        <v>665</v>
      </c>
      <c r="B525" s="1" t="s">
        <v>457</v>
      </c>
      <c r="C525" s="1" t="s">
        <v>511</v>
      </c>
      <c r="D525" s="1" t="s">
        <v>16</v>
      </c>
      <c r="E525" s="82" t="n">
        <v>-1</v>
      </c>
      <c r="F525" s="26" t="n">
        <v>519.806923076923</v>
      </c>
      <c r="G525" s="26" t="n">
        <v>-519.806923076923</v>
      </c>
      <c r="H525" s="1" t="s">
        <v>667</v>
      </c>
    </row>
    <row r="526" customFormat="false" ht="15" hidden="false" customHeight="true" outlineLevel="0" collapsed="false">
      <c r="A526" s="1" t="s">
        <v>665</v>
      </c>
      <c r="B526" s="1" t="s">
        <v>457</v>
      </c>
      <c r="C526" s="1" t="s">
        <v>475</v>
      </c>
      <c r="D526" s="1" t="s">
        <v>17</v>
      </c>
      <c r="E526" s="82" t="n">
        <v>1</v>
      </c>
      <c r="F526" s="26" t="n">
        <v>25.5</v>
      </c>
      <c r="G526" s="26" t="n">
        <v>25.5</v>
      </c>
      <c r="H526" s="1" t="s">
        <v>512</v>
      </c>
    </row>
    <row r="527" customFormat="false" ht="15" hidden="false" customHeight="true" outlineLevel="0" collapsed="false">
      <c r="A527" s="1" t="s">
        <v>665</v>
      </c>
      <c r="B527" s="1" t="s">
        <v>457</v>
      </c>
      <c r="C527" s="1" t="s">
        <v>458</v>
      </c>
      <c r="D527" s="1" t="s">
        <v>17</v>
      </c>
      <c r="E527" s="82" t="n">
        <v>268</v>
      </c>
      <c r="F527" s="26" t="n">
        <v>1.86</v>
      </c>
      <c r="G527" s="26" t="n">
        <v>498.48</v>
      </c>
      <c r="H527" s="1" t="s">
        <v>668</v>
      </c>
    </row>
    <row r="528" customFormat="false" ht="15" hidden="false" customHeight="true" outlineLevel="0" collapsed="false">
      <c r="A528" s="1" t="s">
        <v>665</v>
      </c>
      <c r="B528" s="1" t="s">
        <v>457</v>
      </c>
      <c r="C528" s="1" t="s">
        <v>471</v>
      </c>
      <c r="D528" s="1" t="s">
        <v>17</v>
      </c>
      <c r="E528" s="82" t="n">
        <v>5</v>
      </c>
      <c r="F528" s="26" t="n">
        <v>221.785743509048</v>
      </c>
      <c r="G528" s="26" t="n">
        <v>1108.92871754524</v>
      </c>
      <c r="H528" s="1" t="s">
        <v>670</v>
      </c>
    </row>
    <row r="529" customFormat="false" ht="15" hidden="false" customHeight="true" outlineLevel="0" collapsed="false">
      <c r="A529" s="1" t="s">
        <v>665</v>
      </c>
      <c r="B529" s="1" t="s">
        <v>457</v>
      </c>
      <c r="C529" s="1" t="s">
        <v>516</v>
      </c>
      <c r="D529" s="1" t="s">
        <v>17</v>
      </c>
      <c r="E529" s="82" t="n">
        <v>0</v>
      </c>
      <c r="F529" s="26" t="n">
        <v>0</v>
      </c>
      <c r="G529" s="26" t="n">
        <v>0</v>
      </c>
    </row>
    <row r="530" customFormat="false" ht="15" hidden="false" customHeight="true" outlineLevel="0" collapsed="false">
      <c r="A530" s="1" t="s">
        <v>665</v>
      </c>
      <c r="B530" s="1" t="s">
        <v>457</v>
      </c>
      <c r="C530" s="1" t="s">
        <v>517</v>
      </c>
      <c r="D530" s="1" t="s">
        <v>17</v>
      </c>
      <c r="E530" s="82" t="n">
        <v>-8</v>
      </c>
      <c r="F530" s="26" t="n">
        <v>289.27</v>
      </c>
      <c r="G530" s="26" t="n">
        <v>-2314.16</v>
      </c>
      <c r="H530" s="1" t="s">
        <v>667</v>
      </c>
    </row>
    <row r="531" customFormat="false" ht="15" hidden="false" customHeight="true" outlineLevel="0" collapsed="false">
      <c r="A531" s="1" t="s">
        <v>665</v>
      </c>
      <c r="B531" s="1" t="s">
        <v>457</v>
      </c>
      <c r="C531" s="1" t="s">
        <v>649</v>
      </c>
      <c r="D531" s="1" t="s">
        <v>17</v>
      </c>
      <c r="E531" s="82" t="n">
        <v>0</v>
      </c>
      <c r="F531" s="26" t="n">
        <v>0</v>
      </c>
      <c r="G531" s="26" t="n">
        <v>0</v>
      </c>
      <c r="H531" s="1" t="s">
        <v>470</v>
      </c>
    </row>
    <row r="532" customFormat="false" ht="15" hidden="false" customHeight="true" outlineLevel="0" collapsed="false">
      <c r="A532" s="1" t="s">
        <v>665</v>
      </c>
      <c r="B532" s="1" t="s">
        <v>457</v>
      </c>
      <c r="C532" s="1" t="s">
        <v>506</v>
      </c>
      <c r="D532" s="1" t="s">
        <v>17</v>
      </c>
      <c r="E532" s="82" t="n">
        <v>0</v>
      </c>
      <c r="F532" s="26" t="n">
        <v>0</v>
      </c>
      <c r="G532" s="26" t="n">
        <v>0</v>
      </c>
    </row>
    <row r="533" customFormat="false" ht="15" hidden="false" customHeight="true" outlineLevel="0" collapsed="false">
      <c r="A533" s="1" t="s">
        <v>665</v>
      </c>
      <c r="B533" s="1" t="s">
        <v>143</v>
      </c>
      <c r="C533" s="1" t="s">
        <v>519</v>
      </c>
      <c r="D533" s="1" t="s">
        <v>10</v>
      </c>
      <c r="E533" s="82" t="n">
        <v>6588</v>
      </c>
      <c r="F533" s="26" t="n">
        <v>0.25563784486652</v>
      </c>
      <c r="G533" s="26" t="n">
        <v>1684.1421219806</v>
      </c>
      <c r="H533" s="1" t="s">
        <v>446</v>
      </c>
    </row>
    <row r="534" customFormat="false" ht="15" hidden="false" customHeight="true" outlineLevel="0" collapsed="false">
      <c r="A534" s="1" t="s">
        <v>665</v>
      </c>
      <c r="B534" s="1" t="s">
        <v>143</v>
      </c>
      <c r="C534" s="1" t="s">
        <v>519</v>
      </c>
      <c r="D534" s="1" t="s">
        <v>12</v>
      </c>
      <c r="E534" s="82" t="n">
        <v>13530</v>
      </c>
      <c r="F534" s="26" t="n">
        <v>0.25563784486652</v>
      </c>
      <c r="G534" s="26" t="n">
        <v>3458.780041044</v>
      </c>
      <c r="H534" s="1" t="s">
        <v>446</v>
      </c>
    </row>
    <row r="535" customFormat="false" ht="15" hidden="false" customHeight="true" outlineLevel="0" collapsed="false">
      <c r="A535" s="1" t="s">
        <v>665</v>
      </c>
      <c r="B535" s="1" t="s">
        <v>143</v>
      </c>
      <c r="C535" s="1" t="s">
        <v>519</v>
      </c>
      <c r="D535" s="1" t="s">
        <v>14</v>
      </c>
      <c r="E535" s="82" t="n">
        <v>3765</v>
      </c>
      <c r="F535" s="26" t="n">
        <v>0.25563784486652</v>
      </c>
      <c r="G535" s="26" t="n">
        <v>962.4764859224</v>
      </c>
      <c r="H535" s="1" t="s">
        <v>446</v>
      </c>
    </row>
    <row r="536" customFormat="false" ht="15" hidden="false" customHeight="true" outlineLevel="0" collapsed="false">
      <c r="A536" s="1" t="s">
        <v>665</v>
      </c>
      <c r="B536" s="1" t="s">
        <v>143</v>
      </c>
      <c r="C536" s="1" t="s">
        <v>519</v>
      </c>
      <c r="D536" s="1" t="s">
        <v>15</v>
      </c>
      <c r="E536" s="82" t="n">
        <v>6568</v>
      </c>
      <c r="F536" s="26" t="n">
        <v>0.25563784486652</v>
      </c>
      <c r="G536" s="26" t="n">
        <v>1679.0293650833</v>
      </c>
      <c r="H536" s="1" t="s">
        <v>446</v>
      </c>
    </row>
    <row r="537" customFormat="false" ht="15" hidden="false" customHeight="true" outlineLevel="0" collapsed="false">
      <c r="A537" s="1" t="s">
        <v>665</v>
      </c>
      <c r="B537" s="1" t="s">
        <v>143</v>
      </c>
      <c r="C537" s="1" t="s">
        <v>519</v>
      </c>
      <c r="D537" s="1" t="s">
        <v>13</v>
      </c>
      <c r="E537" s="82" t="n">
        <v>14689</v>
      </c>
      <c r="F537" s="26" t="n">
        <v>0.25563784486652</v>
      </c>
      <c r="G537" s="26" t="n">
        <v>3755.0643032443</v>
      </c>
      <c r="H537" s="1" t="s">
        <v>446</v>
      </c>
    </row>
    <row r="538" customFormat="false" ht="15" hidden="false" customHeight="true" outlineLevel="0" collapsed="false">
      <c r="A538" s="1" t="s">
        <v>665</v>
      </c>
      <c r="B538" s="1" t="s">
        <v>143</v>
      </c>
      <c r="C538" s="1" t="s">
        <v>519</v>
      </c>
      <c r="D538" s="1" t="s">
        <v>16</v>
      </c>
      <c r="E538" s="82" t="n">
        <v>4805</v>
      </c>
      <c r="F538" s="26" t="n">
        <v>0.25563784486652</v>
      </c>
      <c r="G538" s="26" t="n">
        <v>1228.3398445836</v>
      </c>
      <c r="H538" s="1" t="s">
        <v>446</v>
      </c>
    </row>
    <row r="539" customFormat="false" ht="15" hidden="false" customHeight="true" outlineLevel="0" collapsed="false">
      <c r="A539" s="1" t="s">
        <v>665</v>
      </c>
      <c r="B539" s="1" t="s">
        <v>143</v>
      </c>
      <c r="C539" s="1" t="s">
        <v>519</v>
      </c>
      <c r="D539" s="1" t="s">
        <v>17</v>
      </c>
      <c r="E539" s="82" t="n">
        <v>4806</v>
      </c>
      <c r="F539" s="26" t="n">
        <v>0.25563784486652</v>
      </c>
      <c r="G539" s="26" t="n">
        <v>1228.5954824285</v>
      </c>
      <c r="H539" s="1" t="s">
        <v>446</v>
      </c>
    </row>
    <row r="540" customFormat="false" ht="15" hidden="false" customHeight="true" outlineLevel="0" collapsed="false">
      <c r="A540" s="1" t="s">
        <v>665</v>
      </c>
      <c r="B540" s="1" t="s">
        <v>141</v>
      </c>
      <c r="C540" s="1" t="s">
        <v>520</v>
      </c>
      <c r="D540" s="1" t="s">
        <v>12</v>
      </c>
      <c r="E540" s="82" t="n">
        <v>13530</v>
      </c>
      <c r="F540" s="26" t="n">
        <v>0.101057218436555</v>
      </c>
      <c r="G540" s="26" t="n">
        <v>1367.304165</v>
      </c>
      <c r="H540" s="1" t="s">
        <v>446</v>
      </c>
    </row>
    <row r="541" customFormat="false" ht="15" hidden="false" customHeight="true" outlineLevel="0" collapsed="false">
      <c r="A541" s="1" t="s">
        <v>665</v>
      </c>
      <c r="B541" s="1" t="s">
        <v>45</v>
      </c>
      <c r="C541" s="1" t="s">
        <v>521</v>
      </c>
      <c r="D541" s="1" t="s">
        <v>10</v>
      </c>
      <c r="E541" s="82" t="n">
        <v>1579</v>
      </c>
      <c r="F541" s="26" t="n">
        <v>7.19</v>
      </c>
      <c r="G541" s="26" t="n">
        <v>11353.01</v>
      </c>
      <c r="H541" s="1" t="s">
        <v>522</v>
      </c>
    </row>
    <row r="542" customFormat="false" ht="15" hidden="false" customHeight="true" outlineLevel="0" collapsed="false">
      <c r="A542" s="1" t="s">
        <v>665</v>
      </c>
      <c r="B542" s="1" t="s">
        <v>45</v>
      </c>
      <c r="C542" s="1" t="s">
        <v>521</v>
      </c>
      <c r="D542" s="1" t="s">
        <v>14</v>
      </c>
      <c r="E542" s="82" t="n">
        <v>469</v>
      </c>
      <c r="F542" s="26" t="n">
        <v>7.19</v>
      </c>
      <c r="G542" s="26" t="n">
        <v>3372.11</v>
      </c>
      <c r="H542" s="1" t="s">
        <v>522</v>
      </c>
    </row>
    <row r="543" customFormat="false" ht="15" hidden="false" customHeight="true" outlineLevel="0" collapsed="false">
      <c r="A543" s="1" t="s">
        <v>665</v>
      </c>
      <c r="B543" s="1" t="s">
        <v>45</v>
      </c>
      <c r="C543" s="1" t="s">
        <v>521</v>
      </c>
      <c r="D543" s="1" t="s">
        <v>15</v>
      </c>
      <c r="E543" s="82" t="n">
        <v>727</v>
      </c>
      <c r="F543" s="26" t="n">
        <v>7.20444291609354</v>
      </c>
      <c r="G543" s="26" t="n">
        <v>5237.63</v>
      </c>
      <c r="H543" s="1" t="s">
        <v>522</v>
      </c>
    </row>
    <row r="544" customFormat="false" ht="15" hidden="false" customHeight="true" outlineLevel="0" collapsed="false">
      <c r="A544" s="1" t="s">
        <v>665</v>
      </c>
      <c r="B544" s="1" t="s">
        <v>45</v>
      </c>
      <c r="C544" s="1" t="s">
        <v>521</v>
      </c>
      <c r="D544" s="1" t="s">
        <v>13</v>
      </c>
      <c r="E544" s="82" t="n">
        <v>2981</v>
      </c>
      <c r="F544" s="26" t="n">
        <v>7.19</v>
      </c>
      <c r="G544" s="26" t="n">
        <v>21433.39</v>
      </c>
      <c r="H544" s="1" t="s">
        <v>522</v>
      </c>
    </row>
    <row r="545" customFormat="false" ht="15" hidden="false" customHeight="true" outlineLevel="0" collapsed="false">
      <c r="A545" s="1" t="s">
        <v>665</v>
      </c>
      <c r="B545" s="1" t="s">
        <v>45</v>
      </c>
      <c r="C545" s="1" t="s">
        <v>521</v>
      </c>
      <c r="D545" s="1" t="s">
        <v>16</v>
      </c>
      <c r="E545" s="82" t="n">
        <v>2548</v>
      </c>
      <c r="F545" s="26" t="n">
        <v>7.19859497645212</v>
      </c>
      <c r="G545" s="26" t="n">
        <v>18342.02</v>
      </c>
      <c r="H545" s="1" t="s">
        <v>522</v>
      </c>
    </row>
    <row r="546" customFormat="false" ht="15" hidden="false" customHeight="true" outlineLevel="0" collapsed="false">
      <c r="A546" s="1" t="s">
        <v>665</v>
      </c>
      <c r="B546" s="1" t="s">
        <v>45</v>
      </c>
      <c r="C546" s="1" t="s">
        <v>523</v>
      </c>
      <c r="D546" s="1" t="s">
        <v>17</v>
      </c>
      <c r="E546" s="82" t="n">
        <v>0</v>
      </c>
      <c r="F546" s="26" t="n">
        <v>0</v>
      </c>
      <c r="G546" s="26" t="n">
        <v>0</v>
      </c>
      <c r="H546" s="1" t="s">
        <v>524</v>
      </c>
    </row>
    <row r="547" customFormat="false" ht="15" hidden="false" customHeight="true" outlineLevel="0" collapsed="false">
      <c r="A547" s="1" t="s">
        <v>665</v>
      </c>
      <c r="B547" s="1" t="s">
        <v>45</v>
      </c>
      <c r="C547" s="1" t="s">
        <v>521</v>
      </c>
      <c r="D547" s="1" t="s">
        <v>17</v>
      </c>
      <c r="E547" s="82" t="n">
        <v>1</v>
      </c>
      <c r="F547" s="26" t="n">
        <v>800</v>
      </c>
      <c r="G547" s="26" t="n">
        <v>800</v>
      </c>
      <c r="H547" s="1" t="s">
        <v>522</v>
      </c>
    </row>
    <row r="548" customFormat="false" ht="15" hidden="false" customHeight="true" outlineLevel="0" collapsed="false">
      <c r="A548" s="1" t="s">
        <v>665</v>
      </c>
      <c r="B548" s="1" t="s">
        <v>50</v>
      </c>
      <c r="C548" s="1" t="s">
        <v>527</v>
      </c>
      <c r="D548" s="1" t="s">
        <v>10</v>
      </c>
      <c r="E548" s="82" t="n">
        <v>0</v>
      </c>
      <c r="F548" s="26" t="n">
        <v>0</v>
      </c>
      <c r="G548" s="26" t="n">
        <v>0</v>
      </c>
      <c r="H548" s="1" t="s">
        <v>528</v>
      </c>
    </row>
    <row r="549" customFormat="false" ht="15" hidden="false" customHeight="true" outlineLevel="0" collapsed="false">
      <c r="A549" s="1" t="s">
        <v>665</v>
      </c>
      <c r="B549" s="1" t="s">
        <v>50</v>
      </c>
      <c r="C549" s="1" t="s">
        <v>527</v>
      </c>
      <c r="D549" s="1" t="s">
        <v>14</v>
      </c>
      <c r="E549" s="82" t="n">
        <v>0</v>
      </c>
      <c r="F549" s="26" t="n">
        <v>0</v>
      </c>
      <c r="G549" s="26" t="n">
        <v>0</v>
      </c>
      <c r="H549" s="1" t="s">
        <v>528</v>
      </c>
    </row>
    <row r="550" customFormat="false" ht="15" hidden="false" customHeight="true" outlineLevel="0" collapsed="false">
      <c r="A550" s="1" t="s">
        <v>665</v>
      </c>
      <c r="B550" s="1" t="s">
        <v>50</v>
      </c>
      <c r="C550" s="1" t="s">
        <v>527</v>
      </c>
      <c r="D550" s="1" t="s">
        <v>15</v>
      </c>
      <c r="E550" s="82" t="n">
        <v>0</v>
      </c>
      <c r="F550" s="26" t="n">
        <v>0</v>
      </c>
      <c r="G550" s="26" t="n">
        <v>0</v>
      </c>
      <c r="H550" s="1" t="s">
        <v>529</v>
      </c>
    </row>
    <row r="551" customFormat="false" ht="15" hidden="false" customHeight="true" outlineLevel="0" collapsed="false">
      <c r="A551" s="1" t="s">
        <v>665</v>
      </c>
      <c r="B551" s="1" t="s">
        <v>50</v>
      </c>
      <c r="C551" s="1" t="s">
        <v>527</v>
      </c>
      <c r="D551" s="1" t="s">
        <v>13</v>
      </c>
      <c r="E551" s="82" t="n">
        <v>0</v>
      </c>
      <c r="F551" s="26" t="n">
        <v>0</v>
      </c>
      <c r="G551" s="26" t="n">
        <v>0</v>
      </c>
      <c r="H551" s="1" t="s">
        <v>530</v>
      </c>
    </row>
    <row r="552" customFormat="false" ht="15" hidden="false" customHeight="true" outlineLevel="0" collapsed="false">
      <c r="A552" s="1" t="s">
        <v>665</v>
      </c>
      <c r="B552" s="1" t="s">
        <v>50</v>
      </c>
      <c r="C552" s="1" t="s">
        <v>527</v>
      </c>
      <c r="D552" s="1" t="s">
        <v>16</v>
      </c>
      <c r="E552" s="82" t="n">
        <v>0</v>
      </c>
      <c r="F552" s="26" t="n">
        <v>0</v>
      </c>
      <c r="G552" s="26" t="n">
        <v>0</v>
      </c>
      <c r="H552" s="1" t="s">
        <v>528</v>
      </c>
    </row>
    <row r="553" customFormat="false" ht="15" hidden="false" customHeight="true" outlineLevel="0" collapsed="false">
      <c r="A553" s="1" t="s">
        <v>665</v>
      </c>
      <c r="B553" s="1" t="s">
        <v>50</v>
      </c>
      <c r="C553" s="1" t="s">
        <v>527</v>
      </c>
      <c r="D553" s="1" t="s">
        <v>17</v>
      </c>
      <c r="E553" s="82" t="n">
        <v>0</v>
      </c>
      <c r="F553" s="26" t="n">
        <v>0</v>
      </c>
      <c r="G553" s="26" t="n">
        <v>0</v>
      </c>
      <c r="H553" s="1" t="s">
        <v>528</v>
      </c>
    </row>
    <row r="554" customFormat="false" ht="15" hidden="false" customHeight="true" outlineLevel="0" collapsed="false">
      <c r="A554" s="1" t="s">
        <v>665</v>
      </c>
      <c r="B554" s="1" t="s">
        <v>531</v>
      </c>
      <c r="C554" s="1" t="s">
        <v>532</v>
      </c>
      <c r="D554" s="1" t="s">
        <v>10</v>
      </c>
      <c r="E554" s="82" t="n">
        <v>0</v>
      </c>
      <c r="F554" s="26" t="n">
        <v>0</v>
      </c>
      <c r="G554" s="26" t="n">
        <v>0</v>
      </c>
      <c r="H554" s="1" t="s">
        <v>533</v>
      </c>
    </row>
    <row r="555" customFormat="false" ht="15" hidden="false" customHeight="true" outlineLevel="0" collapsed="false">
      <c r="A555" s="1" t="s">
        <v>665</v>
      </c>
      <c r="B555" s="1" t="s">
        <v>531</v>
      </c>
      <c r="C555" s="1" t="s">
        <v>534</v>
      </c>
      <c r="D555" s="1" t="s">
        <v>10</v>
      </c>
      <c r="E555" s="82" t="n">
        <v>0</v>
      </c>
      <c r="F555" s="26" t="n">
        <v>0</v>
      </c>
      <c r="G555" s="26" t="n">
        <v>0</v>
      </c>
      <c r="H555" s="1" t="s">
        <v>535</v>
      </c>
    </row>
    <row r="556" customFormat="false" ht="15" hidden="false" customHeight="true" outlineLevel="0" collapsed="false">
      <c r="A556" s="1" t="s">
        <v>665</v>
      </c>
      <c r="B556" s="1" t="s">
        <v>531</v>
      </c>
      <c r="C556" s="1" t="s">
        <v>536</v>
      </c>
      <c r="D556" s="1" t="s">
        <v>10</v>
      </c>
      <c r="E556" s="82" t="n">
        <v>10</v>
      </c>
      <c r="F556" s="26" t="n">
        <v>20</v>
      </c>
      <c r="G556" s="26" t="n">
        <v>200</v>
      </c>
      <c r="H556" s="1" t="s">
        <v>537</v>
      </c>
    </row>
    <row r="557" customFormat="false" ht="15" hidden="false" customHeight="true" outlineLevel="0" collapsed="false">
      <c r="A557" s="1" t="s">
        <v>665</v>
      </c>
      <c r="B557" s="1" t="s">
        <v>531</v>
      </c>
      <c r="C557" s="1" t="s">
        <v>538</v>
      </c>
      <c r="D557" s="1" t="s">
        <v>10</v>
      </c>
      <c r="E557" s="82" t="n">
        <v>1</v>
      </c>
      <c r="F557" s="26" t="n">
        <v>927.69</v>
      </c>
      <c r="G557" s="26" t="n">
        <v>927.69</v>
      </c>
      <c r="H557" s="1" t="s">
        <v>671</v>
      </c>
    </row>
    <row r="558" customFormat="false" ht="15" hidden="false" customHeight="true" outlineLevel="0" collapsed="false">
      <c r="A558" s="1" t="s">
        <v>665</v>
      </c>
      <c r="B558" s="1" t="s">
        <v>531</v>
      </c>
      <c r="C558" s="1" t="s">
        <v>540</v>
      </c>
      <c r="D558" s="1" t="s">
        <v>10</v>
      </c>
      <c r="E558" s="82" t="n">
        <v>1</v>
      </c>
      <c r="F558" s="26" t="n">
        <v>480</v>
      </c>
      <c r="G558" s="26" t="n">
        <v>480</v>
      </c>
      <c r="H558" s="1" t="s">
        <v>541</v>
      </c>
    </row>
    <row r="559" customFormat="false" ht="15" hidden="false" customHeight="true" outlineLevel="0" collapsed="false">
      <c r="A559" s="1" t="s">
        <v>665</v>
      </c>
      <c r="B559" s="1" t="s">
        <v>531</v>
      </c>
      <c r="C559" s="1" t="s">
        <v>538</v>
      </c>
      <c r="D559" s="1" t="s">
        <v>12</v>
      </c>
      <c r="E559" s="82" t="n">
        <v>0</v>
      </c>
      <c r="F559" s="26" t="n">
        <v>0</v>
      </c>
      <c r="G559" s="26" t="n">
        <v>0</v>
      </c>
      <c r="H559" s="1" t="s">
        <v>539</v>
      </c>
    </row>
    <row r="560" customFormat="false" ht="15" hidden="false" customHeight="true" outlineLevel="0" collapsed="false">
      <c r="A560" s="1" t="s">
        <v>665</v>
      </c>
      <c r="B560" s="1" t="s">
        <v>531</v>
      </c>
      <c r="C560" s="1" t="s">
        <v>536</v>
      </c>
      <c r="D560" s="1" t="s">
        <v>14</v>
      </c>
      <c r="E560" s="82" t="n">
        <v>3</v>
      </c>
      <c r="F560" s="26" t="n">
        <v>20</v>
      </c>
      <c r="G560" s="26" t="n">
        <v>60</v>
      </c>
      <c r="H560" s="1" t="s">
        <v>537</v>
      </c>
    </row>
    <row r="561" customFormat="false" ht="15" hidden="false" customHeight="true" outlineLevel="0" collapsed="false">
      <c r="A561" s="1" t="s">
        <v>665</v>
      </c>
      <c r="B561" s="1" t="s">
        <v>531</v>
      </c>
      <c r="C561" s="1" t="s">
        <v>538</v>
      </c>
      <c r="D561" s="1" t="s">
        <v>14</v>
      </c>
      <c r="E561" s="82" t="n">
        <v>0</v>
      </c>
      <c r="F561" s="26" t="n">
        <v>0</v>
      </c>
      <c r="G561" s="26" t="n">
        <v>0</v>
      </c>
      <c r="H561" s="1" t="s">
        <v>671</v>
      </c>
    </row>
    <row r="562" customFormat="false" ht="15" hidden="false" customHeight="true" outlineLevel="0" collapsed="false">
      <c r="A562" s="1" t="s">
        <v>665</v>
      </c>
      <c r="B562" s="1" t="s">
        <v>531</v>
      </c>
      <c r="C562" s="1" t="s">
        <v>540</v>
      </c>
      <c r="D562" s="1" t="s">
        <v>14</v>
      </c>
      <c r="E562" s="82" t="n">
        <v>0</v>
      </c>
      <c r="F562" s="26" t="n">
        <v>0</v>
      </c>
      <c r="G562" s="26" t="n">
        <v>0</v>
      </c>
      <c r="H562" s="1" t="s">
        <v>541</v>
      </c>
    </row>
    <row r="563" customFormat="false" ht="15" hidden="false" customHeight="true" outlineLevel="0" collapsed="false">
      <c r="A563" s="1" t="s">
        <v>665</v>
      </c>
      <c r="B563" s="1" t="s">
        <v>531</v>
      </c>
      <c r="C563" s="1" t="s">
        <v>532</v>
      </c>
      <c r="D563" s="1" t="s">
        <v>15</v>
      </c>
      <c r="E563" s="82" t="n">
        <v>0</v>
      </c>
      <c r="F563" s="26" t="n">
        <v>0</v>
      </c>
      <c r="G563" s="26" t="n">
        <v>0</v>
      </c>
      <c r="H563" s="1" t="s">
        <v>542</v>
      </c>
    </row>
    <row r="564" customFormat="false" ht="15" hidden="false" customHeight="true" outlineLevel="0" collapsed="false">
      <c r="A564" s="1" t="s">
        <v>665</v>
      </c>
      <c r="B564" s="1" t="s">
        <v>531</v>
      </c>
      <c r="C564" s="1" t="s">
        <v>534</v>
      </c>
      <c r="D564" s="1" t="s">
        <v>15</v>
      </c>
      <c r="E564" s="82" t="n">
        <v>0</v>
      </c>
      <c r="F564" s="26" t="n">
        <v>0</v>
      </c>
      <c r="G564" s="26" t="n">
        <v>0</v>
      </c>
      <c r="H564" s="1" t="s">
        <v>543</v>
      </c>
    </row>
    <row r="565" customFormat="false" ht="15" hidden="false" customHeight="true" outlineLevel="0" collapsed="false">
      <c r="A565" s="1" t="s">
        <v>665</v>
      </c>
      <c r="B565" s="1" t="s">
        <v>531</v>
      </c>
      <c r="C565" s="1" t="s">
        <v>536</v>
      </c>
      <c r="D565" s="1" t="s">
        <v>15</v>
      </c>
      <c r="E565" s="82" t="n">
        <v>13</v>
      </c>
      <c r="F565" s="26" t="n">
        <v>20</v>
      </c>
      <c r="G565" s="26" t="n">
        <v>260</v>
      </c>
      <c r="H565" s="1" t="s">
        <v>537</v>
      </c>
    </row>
    <row r="566" customFormat="false" ht="15" hidden="false" customHeight="true" outlineLevel="0" collapsed="false">
      <c r="A566" s="1" t="s">
        <v>665</v>
      </c>
      <c r="B566" s="1" t="s">
        <v>531</v>
      </c>
      <c r="C566" s="1" t="s">
        <v>538</v>
      </c>
      <c r="D566" s="1" t="s">
        <v>15</v>
      </c>
      <c r="E566" s="82" t="n">
        <v>1</v>
      </c>
      <c r="F566" s="26" t="n">
        <v>1454.08</v>
      </c>
      <c r="G566" s="26" t="n">
        <v>1454.08</v>
      </c>
      <c r="H566" s="1" t="s">
        <v>671</v>
      </c>
    </row>
    <row r="567" customFormat="false" ht="15" hidden="false" customHeight="true" outlineLevel="0" collapsed="false">
      <c r="A567" s="1" t="s">
        <v>665</v>
      </c>
      <c r="B567" s="1" t="s">
        <v>531</v>
      </c>
      <c r="C567" s="1" t="s">
        <v>540</v>
      </c>
      <c r="D567" s="1" t="s">
        <v>15</v>
      </c>
      <c r="E567" s="82" t="n">
        <v>1</v>
      </c>
      <c r="F567" s="26" t="n">
        <v>456</v>
      </c>
      <c r="G567" s="26" t="n">
        <v>456</v>
      </c>
      <c r="H567" s="1" t="s">
        <v>541</v>
      </c>
    </row>
    <row r="568" customFormat="false" ht="15" hidden="false" customHeight="true" outlineLevel="0" collapsed="false">
      <c r="A568" s="1" t="s">
        <v>665</v>
      </c>
      <c r="B568" s="1" t="s">
        <v>531</v>
      </c>
      <c r="C568" s="1" t="s">
        <v>536</v>
      </c>
      <c r="D568" s="1" t="s">
        <v>13</v>
      </c>
      <c r="E568" s="82" t="n">
        <v>19</v>
      </c>
      <c r="F568" s="26" t="n">
        <v>20</v>
      </c>
      <c r="G568" s="26" t="n">
        <v>380</v>
      </c>
      <c r="H568" s="1" t="s">
        <v>537</v>
      </c>
    </row>
    <row r="569" customFormat="false" ht="15" hidden="false" customHeight="true" outlineLevel="0" collapsed="false">
      <c r="A569" s="1" t="s">
        <v>665</v>
      </c>
      <c r="B569" s="1" t="s">
        <v>531</v>
      </c>
      <c r="C569" s="1" t="s">
        <v>538</v>
      </c>
      <c r="D569" s="1" t="s">
        <v>13</v>
      </c>
      <c r="E569" s="82" t="n">
        <v>1</v>
      </c>
      <c r="F569" s="26" t="n">
        <v>1598.23</v>
      </c>
      <c r="G569" s="26" t="n">
        <v>1598.23</v>
      </c>
      <c r="H569" s="1" t="s">
        <v>671</v>
      </c>
    </row>
    <row r="570" customFormat="false" ht="15" hidden="false" customHeight="true" outlineLevel="0" collapsed="false">
      <c r="A570" s="1" t="s">
        <v>665</v>
      </c>
      <c r="B570" s="1" t="s">
        <v>531</v>
      </c>
      <c r="C570" s="1" t="s">
        <v>545</v>
      </c>
      <c r="D570" s="1" t="s">
        <v>13</v>
      </c>
      <c r="E570" s="82" t="n">
        <v>0</v>
      </c>
      <c r="F570" s="26" t="n">
        <v>0</v>
      </c>
      <c r="G570" s="26" t="n">
        <v>0</v>
      </c>
      <c r="H570" s="1" t="s">
        <v>671</v>
      </c>
    </row>
    <row r="571" customFormat="false" ht="15" hidden="false" customHeight="true" outlineLevel="0" collapsed="false">
      <c r="A571" s="1" t="s">
        <v>665</v>
      </c>
      <c r="B571" s="1" t="s">
        <v>531</v>
      </c>
      <c r="C571" s="1" t="s">
        <v>544</v>
      </c>
      <c r="D571" s="1" t="s">
        <v>16</v>
      </c>
      <c r="E571" s="82" t="n">
        <v>0</v>
      </c>
      <c r="F571" s="26" t="n">
        <v>0</v>
      </c>
      <c r="G571" s="26" t="n">
        <v>0</v>
      </c>
      <c r="H571" s="1" t="s">
        <v>546</v>
      </c>
    </row>
    <row r="572" customFormat="false" ht="15" hidden="false" customHeight="true" outlineLevel="0" collapsed="false">
      <c r="A572" s="1" t="s">
        <v>665</v>
      </c>
      <c r="B572" s="1" t="s">
        <v>531</v>
      </c>
      <c r="C572" s="1" t="s">
        <v>536</v>
      </c>
      <c r="D572" s="1" t="s">
        <v>16</v>
      </c>
      <c r="E572" s="82" t="n">
        <v>4</v>
      </c>
      <c r="F572" s="26" t="n">
        <v>20</v>
      </c>
      <c r="G572" s="26" t="n">
        <v>80</v>
      </c>
      <c r="H572" s="1" t="s">
        <v>537</v>
      </c>
    </row>
    <row r="573" customFormat="false" ht="15" hidden="false" customHeight="true" outlineLevel="0" collapsed="false">
      <c r="A573" s="1" t="s">
        <v>665</v>
      </c>
      <c r="B573" s="1" t="s">
        <v>531</v>
      </c>
      <c r="C573" s="1" t="s">
        <v>538</v>
      </c>
      <c r="D573" s="1" t="s">
        <v>16</v>
      </c>
      <c r="E573" s="82" t="n">
        <v>1</v>
      </c>
      <c r="F573" s="26" t="n">
        <v>415.62</v>
      </c>
      <c r="G573" s="26" t="n">
        <v>415.62</v>
      </c>
      <c r="H573" s="1" t="s">
        <v>671</v>
      </c>
    </row>
    <row r="574" customFormat="false" ht="15" hidden="false" customHeight="true" outlineLevel="0" collapsed="false">
      <c r="A574" s="1" t="s">
        <v>665</v>
      </c>
      <c r="B574" s="1" t="s">
        <v>531</v>
      </c>
      <c r="C574" s="1" t="s">
        <v>545</v>
      </c>
      <c r="D574" s="1" t="s">
        <v>16</v>
      </c>
      <c r="E574" s="82" t="n">
        <v>1</v>
      </c>
      <c r="F574" s="26" t="n">
        <v>108</v>
      </c>
      <c r="G574" s="26" t="n">
        <v>108</v>
      </c>
      <c r="H574" s="1" t="s">
        <v>541</v>
      </c>
    </row>
    <row r="575" customFormat="false" ht="15" hidden="false" customHeight="true" outlineLevel="0" collapsed="false">
      <c r="A575" s="1" t="s">
        <v>665</v>
      </c>
      <c r="B575" s="1" t="s">
        <v>531</v>
      </c>
      <c r="C575" s="1" t="s">
        <v>532</v>
      </c>
      <c r="D575" s="1" t="s">
        <v>17</v>
      </c>
      <c r="E575" s="82" t="n">
        <v>0</v>
      </c>
      <c r="F575" s="26" t="n">
        <v>0</v>
      </c>
      <c r="G575" s="26" t="n">
        <v>0</v>
      </c>
      <c r="H575" s="1" t="s">
        <v>547</v>
      </c>
    </row>
    <row r="576" customFormat="false" ht="15" hidden="false" customHeight="true" outlineLevel="0" collapsed="false">
      <c r="A576" s="1" t="s">
        <v>665</v>
      </c>
      <c r="B576" s="1" t="s">
        <v>531</v>
      </c>
      <c r="C576" s="1" t="s">
        <v>536</v>
      </c>
      <c r="D576" s="1" t="s">
        <v>17</v>
      </c>
      <c r="E576" s="82" t="n">
        <v>8</v>
      </c>
      <c r="F576" s="26" t="n">
        <v>20</v>
      </c>
      <c r="G576" s="26" t="n">
        <v>160</v>
      </c>
      <c r="H576" s="1" t="s">
        <v>537</v>
      </c>
    </row>
    <row r="577" customFormat="false" ht="15" hidden="false" customHeight="true" outlineLevel="0" collapsed="false">
      <c r="A577" s="1" t="s">
        <v>665</v>
      </c>
      <c r="B577" s="1" t="s">
        <v>531</v>
      </c>
      <c r="C577" s="1" t="s">
        <v>538</v>
      </c>
      <c r="D577" s="1" t="s">
        <v>17</v>
      </c>
      <c r="E577" s="82" t="n">
        <v>1</v>
      </c>
      <c r="F577" s="26" t="n">
        <v>468.01</v>
      </c>
      <c r="G577" s="26" t="n">
        <v>468.01</v>
      </c>
      <c r="H577" s="1" t="s">
        <v>538</v>
      </c>
    </row>
    <row r="578" customFormat="false" ht="15" hidden="false" customHeight="true" outlineLevel="0" collapsed="false">
      <c r="A578" s="1" t="s">
        <v>665</v>
      </c>
      <c r="B578" s="1" t="s">
        <v>531</v>
      </c>
      <c r="C578" s="1" t="s">
        <v>540</v>
      </c>
      <c r="D578" s="1" t="s">
        <v>17</v>
      </c>
      <c r="E578" s="82" t="n">
        <v>1</v>
      </c>
      <c r="F578" s="26" t="n">
        <v>72</v>
      </c>
      <c r="G578" s="26" t="n">
        <v>72</v>
      </c>
      <c r="H578" s="1" t="s">
        <v>541</v>
      </c>
    </row>
    <row r="579" customFormat="false" ht="15" hidden="false" customHeight="true" outlineLevel="0" collapsed="false">
      <c r="A579" s="1" t="s">
        <v>665</v>
      </c>
      <c r="B579" s="1" t="s">
        <v>548</v>
      </c>
      <c r="C579" s="1" t="s">
        <v>551</v>
      </c>
      <c r="D579" s="1" t="s">
        <v>10</v>
      </c>
      <c r="E579" s="82" t="n">
        <v>0</v>
      </c>
      <c r="F579" s="26" t="n">
        <v>0</v>
      </c>
      <c r="G579" s="26" t="n">
        <v>0</v>
      </c>
      <c r="H579" s="1" t="s">
        <v>552</v>
      </c>
    </row>
    <row r="580" customFormat="false" ht="15" hidden="false" customHeight="true" outlineLevel="0" collapsed="false">
      <c r="A580" s="1" t="s">
        <v>665</v>
      </c>
      <c r="B580" s="1" t="s">
        <v>548</v>
      </c>
      <c r="C580" s="1" t="s">
        <v>549</v>
      </c>
      <c r="D580" s="1" t="s">
        <v>10</v>
      </c>
      <c r="E580" s="82" t="n">
        <v>0</v>
      </c>
      <c r="F580" s="26" t="n">
        <v>0</v>
      </c>
      <c r="G580" s="26" t="n">
        <v>0</v>
      </c>
      <c r="H580" s="1" t="s">
        <v>550</v>
      </c>
    </row>
    <row r="581" customFormat="false" ht="15" hidden="false" customHeight="true" outlineLevel="0" collapsed="false">
      <c r="A581" s="1" t="s">
        <v>665</v>
      </c>
      <c r="B581" s="1" t="s">
        <v>548</v>
      </c>
      <c r="C581" s="1" t="s">
        <v>553</v>
      </c>
      <c r="D581" s="1" t="s">
        <v>10</v>
      </c>
      <c r="E581" s="82" t="n">
        <v>0</v>
      </c>
      <c r="F581" s="26" t="n">
        <v>0</v>
      </c>
      <c r="G581" s="26" t="n">
        <v>0</v>
      </c>
      <c r="H581" s="1" t="s">
        <v>554</v>
      </c>
    </row>
    <row r="582" customFormat="false" ht="15" hidden="false" customHeight="true" outlineLevel="0" collapsed="false">
      <c r="A582" s="1" t="s">
        <v>665</v>
      </c>
      <c r="B582" s="1" t="s">
        <v>548</v>
      </c>
      <c r="C582" s="1" t="s">
        <v>555</v>
      </c>
      <c r="D582" s="1" t="s">
        <v>10</v>
      </c>
      <c r="E582" s="82" t="n">
        <v>0</v>
      </c>
      <c r="F582" s="26" t="n">
        <v>0</v>
      </c>
      <c r="G582" s="26" t="n">
        <v>0</v>
      </c>
      <c r="H582" s="1" t="s">
        <v>556</v>
      </c>
    </row>
    <row r="583" customFormat="false" ht="15" hidden="false" customHeight="true" outlineLevel="0" collapsed="false">
      <c r="A583" s="1" t="s">
        <v>665</v>
      </c>
      <c r="B583" s="1" t="s">
        <v>548</v>
      </c>
      <c r="C583" s="1" t="s">
        <v>557</v>
      </c>
      <c r="D583" s="1" t="s">
        <v>12</v>
      </c>
      <c r="E583" s="82" t="n">
        <v>0</v>
      </c>
      <c r="F583" s="26" t="n">
        <v>0</v>
      </c>
      <c r="G583" s="26" t="n">
        <v>0</v>
      </c>
      <c r="H583" s="1" t="s">
        <v>558</v>
      </c>
    </row>
    <row r="584" customFormat="false" ht="15" hidden="false" customHeight="true" outlineLevel="0" collapsed="false">
      <c r="A584" s="1" t="s">
        <v>665</v>
      </c>
      <c r="B584" s="1" t="s">
        <v>548</v>
      </c>
      <c r="C584" s="1" t="s">
        <v>559</v>
      </c>
      <c r="D584" s="1" t="s">
        <v>12</v>
      </c>
      <c r="E584" s="82" t="n">
        <v>0</v>
      </c>
      <c r="F584" s="26" t="n">
        <v>0</v>
      </c>
      <c r="G584" s="26" t="n">
        <v>0</v>
      </c>
      <c r="H584" s="1" t="s">
        <v>560</v>
      </c>
    </row>
    <row r="585" customFormat="false" ht="15" hidden="false" customHeight="true" outlineLevel="0" collapsed="false">
      <c r="A585" s="1" t="s">
        <v>665</v>
      </c>
      <c r="B585" s="1" t="s">
        <v>548</v>
      </c>
      <c r="C585" s="1" t="s">
        <v>561</v>
      </c>
      <c r="D585" s="1" t="s">
        <v>14</v>
      </c>
      <c r="E585" s="82" t="n">
        <v>0</v>
      </c>
      <c r="F585" s="26" t="n">
        <v>0</v>
      </c>
      <c r="G585" s="26" t="n">
        <v>0</v>
      </c>
      <c r="H585" s="1" t="s">
        <v>562</v>
      </c>
    </row>
    <row r="586" customFormat="false" ht="15" hidden="false" customHeight="true" outlineLevel="0" collapsed="false">
      <c r="A586" s="1" t="s">
        <v>665</v>
      </c>
      <c r="B586" s="1" t="s">
        <v>548</v>
      </c>
      <c r="C586" s="1" t="s">
        <v>563</v>
      </c>
      <c r="D586" s="1" t="s">
        <v>14</v>
      </c>
      <c r="E586" s="82" t="n">
        <v>0</v>
      </c>
      <c r="F586" s="26" t="n">
        <v>0</v>
      </c>
      <c r="G586" s="26" t="n">
        <v>0</v>
      </c>
      <c r="H586" s="1" t="s">
        <v>564</v>
      </c>
    </row>
    <row r="587" customFormat="false" ht="15" hidden="false" customHeight="true" outlineLevel="0" collapsed="false">
      <c r="A587" s="1" t="s">
        <v>665</v>
      </c>
      <c r="B587" s="1" t="s">
        <v>548</v>
      </c>
      <c r="C587" s="1" t="s">
        <v>565</v>
      </c>
      <c r="D587" s="1" t="s">
        <v>14</v>
      </c>
      <c r="E587" s="82" t="n">
        <v>0</v>
      </c>
      <c r="F587" s="26" t="n">
        <v>0</v>
      </c>
      <c r="G587" s="26" t="n">
        <v>0</v>
      </c>
      <c r="H587" s="1" t="s">
        <v>558</v>
      </c>
    </row>
    <row r="588" customFormat="false" ht="15" hidden="false" customHeight="true" outlineLevel="0" collapsed="false">
      <c r="A588" s="1" t="s">
        <v>665</v>
      </c>
      <c r="B588" s="1" t="s">
        <v>548</v>
      </c>
      <c r="C588" s="1" t="s">
        <v>566</v>
      </c>
      <c r="D588" s="1" t="s">
        <v>14</v>
      </c>
      <c r="E588" s="82" t="n">
        <v>0</v>
      </c>
      <c r="F588" s="26" t="n">
        <v>0</v>
      </c>
      <c r="G588" s="26" t="n">
        <v>0</v>
      </c>
      <c r="H588" s="1" t="s">
        <v>567</v>
      </c>
    </row>
    <row r="589" customFormat="false" ht="15" hidden="false" customHeight="true" outlineLevel="0" collapsed="false">
      <c r="A589" s="1" t="s">
        <v>665</v>
      </c>
      <c r="B589" s="1" t="s">
        <v>548</v>
      </c>
      <c r="C589" s="1" t="s">
        <v>568</v>
      </c>
      <c r="D589" s="1" t="s">
        <v>14</v>
      </c>
      <c r="E589" s="82" t="n">
        <v>0</v>
      </c>
      <c r="F589" s="26" t="n">
        <v>0</v>
      </c>
      <c r="G589" s="26" t="n">
        <v>0</v>
      </c>
      <c r="H589" s="1" t="s">
        <v>567</v>
      </c>
    </row>
    <row r="590" customFormat="false" ht="15" hidden="false" customHeight="true" outlineLevel="0" collapsed="false">
      <c r="A590" s="1" t="s">
        <v>665</v>
      </c>
      <c r="B590" s="1" t="s">
        <v>548</v>
      </c>
      <c r="C590" s="1" t="s">
        <v>569</v>
      </c>
      <c r="D590" s="1" t="s">
        <v>14</v>
      </c>
      <c r="E590" s="82" t="n">
        <v>1</v>
      </c>
      <c r="F590" s="26" t="n">
        <v>3548.72</v>
      </c>
      <c r="G590" s="26" t="n">
        <v>3548.72</v>
      </c>
      <c r="H590" s="1" t="s">
        <v>570</v>
      </c>
    </row>
    <row r="591" customFormat="false" ht="15" hidden="false" customHeight="true" outlineLevel="0" collapsed="false">
      <c r="A591" s="1" t="s">
        <v>665</v>
      </c>
      <c r="B591" s="1" t="s">
        <v>548</v>
      </c>
      <c r="C591" s="1" t="s">
        <v>551</v>
      </c>
      <c r="D591" s="1" t="s">
        <v>15</v>
      </c>
      <c r="E591" s="82" t="n">
        <v>0</v>
      </c>
      <c r="F591" s="26" t="n">
        <v>0</v>
      </c>
      <c r="G591" s="26" t="n">
        <v>0</v>
      </c>
      <c r="H591" s="1" t="s">
        <v>558</v>
      </c>
    </row>
    <row r="592" customFormat="false" ht="15" hidden="false" customHeight="true" outlineLevel="0" collapsed="false">
      <c r="A592" s="1" t="s">
        <v>665</v>
      </c>
      <c r="B592" s="1" t="s">
        <v>548</v>
      </c>
      <c r="C592" s="1" t="s">
        <v>555</v>
      </c>
      <c r="D592" s="1" t="s">
        <v>15</v>
      </c>
      <c r="E592" s="82" t="n">
        <v>0</v>
      </c>
      <c r="F592" s="26" t="n">
        <v>0</v>
      </c>
      <c r="G592" s="26" t="n">
        <v>0</v>
      </c>
      <c r="H592" s="1" t="s">
        <v>571</v>
      </c>
    </row>
    <row r="593" customFormat="false" ht="15" hidden="false" customHeight="true" outlineLevel="0" collapsed="false">
      <c r="A593" s="1" t="s">
        <v>665</v>
      </c>
      <c r="B593" s="1" t="s">
        <v>548</v>
      </c>
      <c r="C593" s="1" t="s">
        <v>572</v>
      </c>
      <c r="D593" s="1" t="s">
        <v>13</v>
      </c>
      <c r="E593" s="82" t="n">
        <v>0</v>
      </c>
      <c r="F593" s="26" t="n">
        <v>0</v>
      </c>
      <c r="G593" s="26" t="n">
        <v>0</v>
      </c>
      <c r="H593" s="1" t="s">
        <v>573</v>
      </c>
    </row>
    <row r="594" customFormat="false" ht="15" hidden="false" customHeight="true" outlineLevel="0" collapsed="false">
      <c r="A594" s="1" t="s">
        <v>665</v>
      </c>
      <c r="B594" s="1" t="s">
        <v>548</v>
      </c>
      <c r="C594" s="1" t="s">
        <v>574</v>
      </c>
      <c r="D594" s="1" t="s">
        <v>13</v>
      </c>
      <c r="E594" s="82" t="n">
        <v>0</v>
      </c>
      <c r="F594" s="26" t="n">
        <v>0</v>
      </c>
      <c r="G594" s="26" t="n">
        <v>0</v>
      </c>
      <c r="H594" s="1" t="s">
        <v>550</v>
      </c>
    </row>
    <row r="595" customFormat="false" ht="15" hidden="false" customHeight="true" outlineLevel="0" collapsed="false">
      <c r="A595" s="1" t="s">
        <v>665</v>
      </c>
      <c r="B595" s="1" t="s">
        <v>548</v>
      </c>
      <c r="C595" s="1" t="s">
        <v>575</v>
      </c>
      <c r="D595" s="1" t="s">
        <v>13</v>
      </c>
      <c r="E595" s="82" t="n">
        <v>0</v>
      </c>
      <c r="F595" s="26" t="n">
        <v>0</v>
      </c>
      <c r="G595" s="26" t="n">
        <v>0</v>
      </c>
      <c r="H595" s="1" t="s">
        <v>554</v>
      </c>
    </row>
    <row r="596" customFormat="false" ht="15" hidden="false" customHeight="true" outlineLevel="0" collapsed="false">
      <c r="A596" s="1" t="s">
        <v>665</v>
      </c>
      <c r="B596" s="1" t="s">
        <v>548</v>
      </c>
      <c r="C596" s="1" t="s">
        <v>576</v>
      </c>
      <c r="D596" s="1" t="s">
        <v>13</v>
      </c>
      <c r="E596" s="82" t="n">
        <v>0</v>
      </c>
      <c r="F596" s="26" t="n">
        <v>0</v>
      </c>
      <c r="G596" s="26" t="n">
        <v>0</v>
      </c>
      <c r="H596" s="1" t="s">
        <v>560</v>
      </c>
    </row>
    <row r="597" customFormat="false" ht="15" hidden="false" customHeight="true" outlineLevel="0" collapsed="false">
      <c r="A597" s="1" t="s">
        <v>665</v>
      </c>
      <c r="B597" s="1" t="s">
        <v>548</v>
      </c>
      <c r="C597" s="1" t="s">
        <v>572</v>
      </c>
      <c r="D597" s="1" t="s">
        <v>16</v>
      </c>
      <c r="E597" s="82" t="n">
        <v>0</v>
      </c>
      <c r="F597" s="26" t="n">
        <v>0</v>
      </c>
      <c r="G597" s="26" t="n">
        <v>0</v>
      </c>
      <c r="H597" s="1" t="s">
        <v>558</v>
      </c>
    </row>
    <row r="598" customFormat="false" ht="15" hidden="false" customHeight="true" outlineLevel="0" collapsed="false">
      <c r="A598" s="1" t="s">
        <v>665</v>
      </c>
      <c r="B598" s="1" t="s">
        <v>548</v>
      </c>
      <c r="C598" s="1" t="s">
        <v>577</v>
      </c>
      <c r="D598" s="1" t="s">
        <v>16</v>
      </c>
      <c r="E598" s="82" t="n">
        <v>0</v>
      </c>
      <c r="F598" s="26" t="n">
        <v>0</v>
      </c>
      <c r="G598" s="26" t="n">
        <v>0</v>
      </c>
      <c r="H598" s="1" t="s">
        <v>558</v>
      </c>
    </row>
    <row r="599" customFormat="false" ht="15" hidden="false" customHeight="true" outlineLevel="0" collapsed="false">
      <c r="A599" s="1" t="s">
        <v>665</v>
      </c>
      <c r="B599" s="1" t="s">
        <v>548</v>
      </c>
      <c r="C599" s="1" t="s">
        <v>578</v>
      </c>
      <c r="D599" s="1" t="s">
        <v>16</v>
      </c>
      <c r="E599" s="82" t="n">
        <v>0</v>
      </c>
      <c r="F599" s="26" t="n">
        <v>0</v>
      </c>
      <c r="G599" s="26" t="n">
        <v>0</v>
      </c>
      <c r="H599" s="1" t="s">
        <v>571</v>
      </c>
    </row>
    <row r="600" customFormat="false" ht="15" hidden="false" customHeight="true" outlineLevel="0" collapsed="false">
      <c r="A600" s="1" t="s">
        <v>665</v>
      </c>
      <c r="B600" s="1" t="s">
        <v>548</v>
      </c>
      <c r="C600" s="1" t="s">
        <v>576</v>
      </c>
      <c r="D600" s="1" t="s">
        <v>16</v>
      </c>
      <c r="E600" s="82" t="n">
        <v>0</v>
      </c>
      <c r="F600" s="26" t="n">
        <v>0</v>
      </c>
      <c r="G600" s="26" t="n">
        <v>0</v>
      </c>
      <c r="H600" s="1" t="s">
        <v>579</v>
      </c>
    </row>
    <row r="601" customFormat="false" ht="15" hidden="false" customHeight="true" outlineLevel="0" collapsed="false">
      <c r="A601" s="1" t="s">
        <v>665</v>
      </c>
      <c r="B601" s="1" t="s">
        <v>548</v>
      </c>
      <c r="C601" s="1" t="s">
        <v>580</v>
      </c>
      <c r="D601" s="1" t="s">
        <v>17</v>
      </c>
      <c r="E601" s="82" t="n">
        <v>4806</v>
      </c>
      <c r="F601" s="26" t="n">
        <v>0.62</v>
      </c>
      <c r="G601" s="26" t="n">
        <v>2979.72</v>
      </c>
      <c r="H601" s="1" t="s">
        <v>446</v>
      </c>
    </row>
    <row r="602" customFormat="false" ht="15" hidden="false" customHeight="true" outlineLevel="0" collapsed="false">
      <c r="A602" s="1" t="s">
        <v>665</v>
      </c>
      <c r="B602" s="1" t="s">
        <v>548</v>
      </c>
      <c r="C602" s="1" t="s">
        <v>581</v>
      </c>
      <c r="D602" s="1" t="s">
        <v>17</v>
      </c>
      <c r="E602" s="82" t="n">
        <v>1</v>
      </c>
      <c r="F602" s="26" t="n">
        <v>561.64</v>
      </c>
      <c r="G602" s="26" t="n">
        <v>561.64</v>
      </c>
      <c r="H602" s="1" t="s">
        <v>558</v>
      </c>
    </row>
    <row r="603" customFormat="false" ht="15" hidden="false" customHeight="true" outlineLevel="0" collapsed="false">
      <c r="A603" s="1" t="s">
        <v>665</v>
      </c>
      <c r="B603" s="1" t="s">
        <v>548</v>
      </c>
      <c r="C603" s="1" t="s">
        <v>582</v>
      </c>
      <c r="D603" s="1" t="s">
        <v>17</v>
      </c>
      <c r="E603" s="82" t="n">
        <v>0</v>
      </c>
      <c r="F603" s="26" t="n">
        <v>0</v>
      </c>
      <c r="G603" s="26" t="n">
        <v>0</v>
      </c>
      <c r="H603" s="1" t="s">
        <v>558</v>
      </c>
    </row>
    <row r="604" customFormat="false" ht="15" hidden="false" customHeight="true" outlineLevel="0" collapsed="false">
      <c r="A604" s="1" t="s">
        <v>665</v>
      </c>
      <c r="B604" s="1" t="s">
        <v>548</v>
      </c>
      <c r="C604" s="1" t="s">
        <v>583</v>
      </c>
      <c r="D604" s="1" t="s">
        <v>17</v>
      </c>
      <c r="E604" s="82" t="n">
        <v>1</v>
      </c>
      <c r="F604" s="26" t="n">
        <v>2033.5</v>
      </c>
      <c r="G604" s="26" t="n">
        <v>2033.5</v>
      </c>
      <c r="H604" s="1" t="s">
        <v>579</v>
      </c>
    </row>
    <row r="605" customFormat="false" ht="15" hidden="false" customHeight="true" outlineLevel="0" collapsed="false">
      <c r="A605" s="1" t="s">
        <v>665</v>
      </c>
      <c r="B605" s="1" t="s">
        <v>548</v>
      </c>
      <c r="C605" s="1" t="s">
        <v>584</v>
      </c>
      <c r="D605" s="1" t="s">
        <v>17</v>
      </c>
      <c r="E605" s="82" t="n">
        <v>0</v>
      </c>
      <c r="F605" s="26" t="n">
        <v>0</v>
      </c>
      <c r="G605" s="26" t="n">
        <v>0</v>
      </c>
      <c r="H605" s="1" t="s">
        <v>571</v>
      </c>
    </row>
    <row r="606" customFormat="false" ht="15" hidden="false" customHeight="true" outlineLevel="0" collapsed="false">
      <c r="A606" s="1" t="s">
        <v>665</v>
      </c>
      <c r="B606" s="1" t="s">
        <v>585</v>
      </c>
      <c r="C606" s="1" t="s">
        <v>586</v>
      </c>
      <c r="D606" s="1" t="s">
        <v>12</v>
      </c>
      <c r="E606" s="82" t="n">
        <v>1</v>
      </c>
      <c r="F606" s="26" t="n">
        <v>238.88</v>
      </c>
      <c r="G606" s="26" t="n">
        <v>238.88</v>
      </c>
      <c r="H606" s="1" t="s">
        <v>672</v>
      </c>
    </row>
    <row r="607" customFormat="false" ht="15" hidden="false" customHeight="true" outlineLevel="0" collapsed="false">
      <c r="A607" s="1" t="s">
        <v>665</v>
      </c>
      <c r="B607" s="1" t="s">
        <v>585</v>
      </c>
      <c r="C607" s="1" t="s">
        <v>588</v>
      </c>
      <c r="D607" s="1" t="s">
        <v>12</v>
      </c>
      <c r="E607" s="82" t="n">
        <v>1</v>
      </c>
      <c r="F607" s="26" t="n">
        <v>624.79</v>
      </c>
      <c r="G607" s="26" t="n">
        <v>624.79</v>
      </c>
      <c r="H607" s="1" t="s">
        <v>672</v>
      </c>
    </row>
    <row r="608" customFormat="false" ht="15" hidden="false" customHeight="true" outlineLevel="0" collapsed="false">
      <c r="A608" s="1" t="s">
        <v>665</v>
      </c>
      <c r="B608" s="1" t="s">
        <v>585</v>
      </c>
      <c r="C608" s="1" t="s">
        <v>589</v>
      </c>
      <c r="D608" s="1" t="s">
        <v>12</v>
      </c>
      <c r="E608" s="82" t="n">
        <v>1</v>
      </c>
      <c r="F608" s="26" t="n">
        <v>510</v>
      </c>
      <c r="G608" s="26" t="n">
        <v>510</v>
      </c>
      <c r="H608" s="1" t="s">
        <v>672</v>
      </c>
    </row>
    <row r="609" customFormat="false" ht="15" hidden="false" customHeight="true" outlineLevel="0" collapsed="false">
      <c r="A609" s="1" t="s">
        <v>665</v>
      </c>
      <c r="B609" s="1" t="s">
        <v>585</v>
      </c>
      <c r="C609" s="1" t="s">
        <v>590</v>
      </c>
      <c r="D609" s="1" t="s">
        <v>12</v>
      </c>
      <c r="E609" s="82" t="n">
        <v>1</v>
      </c>
      <c r="F609" s="26" t="n">
        <v>333.1</v>
      </c>
      <c r="G609" s="26" t="n">
        <v>333.1</v>
      </c>
      <c r="H609" s="1" t="s">
        <v>672</v>
      </c>
    </row>
    <row r="610" customFormat="false" ht="15" hidden="false" customHeight="true" outlineLevel="0" collapsed="false">
      <c r="A610" s="1" t="s">
        <v>665</v>
      </c>
      <c r="B610" s="1" t="s">
        <v>585</v>
      </c>
      <c r="C610" s="1" t="s">
        <v>593</v>
      </c>
      <c r="D610" s="1" t="s">
        <v>12</v>
      </c>
      <c r="E610" s="82" t="n">
        <v>1</v>
      </c>
      <c r="F610" s="26" t="n">
        <v>2973.2</v>
      </c>
      <c r="G610" s="26" t="n">
        <v>2973.2</v>
      </c>
      <c r="H610" s="1" t="s">
        <v>672</v>
      </c>
    </row>
    <row r="611" customFormat="false" ht="15" hidden="false" customHeight="true" outlineLevel="0" collapsed="false">
      <c r="A611" s="1" t="s">
        <v>665</v>
      </c>
      <c r="B611" s="1" t="s">
        <v>585</v>
      </c>
      <c r="C611" s="1" t="s">
        <v>654</v>
      </c>
      <c r="D611" s="1" t="s">
        <v>12</v>
      </c>
      <c r="E611" s="82" t="n">
        <v>1</v>
      </c>
      <c r="F611" s="26" t="n">
        <v>1833.24</v>
      </c>
      <c r="G611" s="26" t="n">
        <v>1833.24</v>
      </c>
      <c r="H611" s="1" t="s">
        <v>672</v>
      </c>
    </row>
    <row r="612" customFormat="false" ht="15" hidden="false" customHeight="true" outlineLevel="0" collapsed="false">
      <c r="A612" s="1" t="s">
        <v>665</v>
      </c>
      <c r="B612" s="1" t="s">
        <v>585</v>
      </c>
      <c r="C612" s="1" t="s">
        <v>594</v>
      </c>
      <c r="D612" s="1" t="s">
        <v>12</v>
      </c>
      <c r="E612" s="82" t="n">
        <v>1</v>
      </c>
      <c r="F612" s="26" t="n">
        <v>7615.46</v>
      </c>
      <c r="G612" s="26" t="n">
        <v>7615.46</v>
      </c>
      <c r="H612" s="1" t="s">
        <v>672</v>
      </c>
    </row>
    <row r="613" customFormat="false" ht="15" hidden="false" customHeight="true" outlineLevel="0" collapsed="false">
      <c r="A613" s="1" t="s">
        <v>665</v>
      </c>
      <c r="B613" s="1" t="s">
        <v>585</v>
      </c>
      <c r="C613" s="1" t="s">
        <v>655</v>
      </c>
      <c r="D613" s="1" t="s">
        <v>15</v>
      </c>
      <c r="E613" s="82" t="n">
        <v>-1</v>
      </c>
      <c r="F613" s="26" t="n">
        <v>1046.56</v>
      </c>
      <c r="G613" s="26" t="n">
        <v>-1046.56</v>
      </c>
      <c r="H613" s="1" t="s">
        <v>656</v>
      </c>
    </row>
    <row r="614" customFormat="false" ht="15" hidden="false" customHeight="true" outlineLevel="0" collapsed="false">
      <c r="A614" s="1" t="s">
        <v>665</v>
      </c>
      <c r="B614" s="1" t="s">
        <v>585</v>
      </c>
      <c r="C614" s="1" t="s">
        <v>586</v>
      </c>
      <c r="D614" s="1" t="s">
        <v>15</v>
      </c>
      <c r="E614" s="82" t="n">
        <v>-1</v>
      </c>
      <c r="F614" s="26" t="n">
        <v>238.88</v>
      </c>
      <c r="G614" s="26" t="n">
        <v>-238.88</v>
      </c>
      <c r="H614" s="1" t="s">
        <v>591</v>
      </c>
    </row>
    <row r="615" customFormat="false" ht="15" hidden="false" customHeight="true" outlineLevel="0" collapsed="false">
      <c r="A615" s="1" t="s">
        <v>665</v>
      </c>
      <c r="B615" s="1" t="s">
        <v>585</v>
      </c>
      <c r="C615" s="1" t="s">
        <v>589</v>
      </c>
      <c r="D615" s="1" t="s">
        <v>17</v>
      </c>
      <c r="E615" s="82" t="n">
        <v>1</v>
      </c>
      <c r="F615" s="26" t="n">
        <v>67.33</v>
      </c>
      <c r="G615" s="26" t="n">
        <v>67.33</v>
      </c>
      <c r="H615" s="1" t="s">
        <v>598</v>
      </c>
    </row>
    <row r="616" customFormat="false" ht="15" hidden="false" customHeight="true" outlineLevel="0" collapsed="false">
      <c r="A616" s="1" t="s">
        <v>665</v>
      </c>
      <c r="B616" s="1" t="s">
        <v>585</v>
      </c>
      <c r="C616" s="1" t="s">
        <v>589</v>
      </c>
      <c r="D616" s="1" t="s">
        <v>17</v>
      </c>
      <c r="E616" s="82" t="n">
        <v>-1</v>
      </c>
      <c r="F616" s="26" t="n">
        <v>510</v>
      </c>
      <c r="G616" s="26" t="n">
        <v>-510</v>
      </c>
      <c r="H616" s="1" t="s">
        <v>591</v>
      </c>
    </row>
    <row r="617" customFormat="false" ht="15" hidden="false" customHeight="true" outlineLevel="0" collapsed="false">
      <c r="A617" s="1" t="s">
        <v>665</v>
      </c>
      <c r="B617" s="1" t="s">
        <v>47</v>
      </c>
      <c r="C617" s="1" t="s">
        <v>525</v>
      </c>
      <c r="D617" s="1" t="s">
        <v>10</v>
      </c>
      <c r="E617" s="82" t="n">
        <v>1</v>
      </c>
      <c r="F617" s="26" t="n">
        <v>1027.18</v>
      </c>
      <c r="G617" s="26" t="n">
        <v>1027.18</v>
      </c>
      <c r="H617" s="1" t="s">
        <v>673</v>
      </c>
    </row>
    <row r="618" customFormat="false" ht="15" hidden="false" customHeight="true" outlineLevel="0" collapsed="false">
      <c r="A618" s="1" t="s">
        <v>665</v>
      </c>
      <c r="B618" s="1" t="s">
        <v>47</v>
      </c>
      <c r="C618" s="1" t="s">
        <v>525</v>
      </c>
      <c r="D618" s="1" t="s">
        <v>12</v>
      </c>
      <c r="E618" s="82" t="n">
        <v>0</v>
      </c>
      <c r="F618" s="26" t="n">
        <v>0</v>
      </c>
      <c r="G618" s="26" t="n">
        <v>0</v>
      </c>
      <c r="H618" s="1" t="s">
        <v>658</v>
      </c>
    </row>
    <row r="619" customFormat="false" ht="15" hidden="false" customHeight="true" outlineLevel="0" collapsed="false">
      <c r="A619" s="1" t="s">
        <v>665</v>
      </c>
      <c r="B619" s="1" t="s">
        <v>47</v>
      </c>
      <c r="C619" s="1" t="s">
        <v>525</v>
      </c>
      <c r="D619" s="1" t="s">
        <v>14</v>
      </c>
      <c r="E619" s="82" t="n">
        <v>0</v>
      </c>
      <c r="F619" s="26" t="n">
        <v>0</v>
      </c>
      <c r="G619" s="26" t="n">
        <v>0</v>
      </c>
      <c r="H619" s="1" t="s">
        <v>601</v>
      </c>
    </row>
    <row r="620" customFormat="false" ht="15" hidden="false" customHeight="true" outlineLevel="0" collapsed="false">
      <c r="A620" s="1" t="s">
        <v>665</v>
      </c>
      <c r="B620" s="1" t="s">
        <v>47</v>
      </c>
      <c r="C620" s="1" t="s">
        <v>525</v>
      </c>
      <c r="D620" s="1" t="s">
        <v>15</v>
      </c>
      <c r="E620" s="82" t="n">
        <v>1</v>
      </c>
      <c r="F620" s="26" t="n">
        <v>9586.03</v>
      </c>
      <c r="G620" s="26" t="n">
        <v>9586.03</v>
      </c>
      <c r="H620" s="1" t="s">
        <v>674</v>
      </c>
    </row>
    <row r="621" customFormat="false" ht="15" hidden="false" customHeight="true" outlineLevel="0" collapsed="false">
      <c r="A621" s="1" t="s">
        <v>665</v>
      </c>
      <c r="B621" s="1" t="s">
        <v>47</v>
      </c>
      <c r="C621" s="1" t="s">
        <v>525</v>
      </c>
      <c r="D621" s="1" t="s">
        <v>13</v>
      </c>
      <c r="E621" s="82" t="n">
        <v>0</v>
      </c>
      <c r="F621" s="26" t="n">
        <v>0</v>
      </c>
      <c r="G621" s="26" t="n">
        <v>0</v>
      </c>
      <c r="H621" s="1" t="s">
        <v>603</v>
      </c>
    </row>
    <row r="622" customFormat="false" ht="15" hidden="false" customHeight="true" outlineLevel="0" collapsed="false">
      <c r="A622" s="1" t="s">
        <v>665</v>
      </c>
      <c r="B622" s="1" t="s">
        <v>47</v>
      </c>
      <c r="C622" s="1" t="s">
        <v>525</v>
      </c>
      <c r="D622" s="1" t="s">
        <v>16</v>
      </c>
      <c r="E622" s="82" t="n">
        <v>0</v>
      </c>
      <c r="F622" s="26" t="n">
        <v>0</v>
      </c>
      <c r="G622" s="26" t="n">
        <v>0</v>
      </c>
      <c r="H622" s="1" t="s">
        <v>601</v>
      </c>
    </row>
    <row r="623" customFormat="false" ht="15" hidden="false" customHeight="true" outlineLevel="0" collapsed="false">
      <c r="A623" s="1" t="s">
        <v>665</v>
      </c>
      <c r="B623" s="1" t="s">
        <v>47</v>
      </c>
      <c r="C623" s="1" t="s">
        <v>525</v>
      </c>
      <c r="D623" s="1" t="s">
        <v>17</v>
      </c>
      <c r="E623" s="82" t="n">
        <v>1</v>
      </c>
      <c r="F623" s="26" t="n">
        <v>371.45</v>
      </c>
      <c r="G623" s="26" t="n">
        <v>371.45</v>
      </c>
      <c r="H623" s="1" t="s">
        <v>675</v>
      </c>
    </row>
    <row r="624" customFormat="false" ht="15" hidden="false" customHeight="true" outlineLevel="0" collapsed="false">
      <c r="A624" s="1" t="s">
        <v>665</v>
      </c>
      <c r="B624" s="1" t="s">
        <v>85</v>
      </c>
      <c r="C624" s="1" t="s">
        <v>604</v>
      </c>
      <c r="D624" s="1" t="s">
        <v>18</v>
      </c>
      <c r="E624" s="82" t="n">
        <v>149</v>
      </c>
      <c r="F624" s="26" t="n">
        <v>125.29</v>
      </c>
      <c r="G624" s="26" t="n">
        <v>18668.21</v>
      </c>
      <c r="H624" s="1" t="s">
        <v>676</v>
      </c>
    </row>
    <row r="625" customFormat="false" ht="15" hidden="false" customHeight="true" outlineLevel="0" collapsed="false">
      <c r="A625" s="1" t="s">
        <v>665</v>
      </c>
      <c r="B625" s="1" t="s">
        <v>85</v>
      </c>
      <c r="C625" s="1" t="s">
        <v>604</v>
      </c>
      <c r="D625" s="1" t="s">
        <v>10</v>
      </c>
      <c r="E625" s="82" t="n">
        <v>2</v>
      </c>
      <c r="F625" s="26" t="n">
        <v>161.82</v>
      </c>
      <c r="G625" s="26" t="n">
        <v>323.64</v>
      </c>
      <c r="H625" s="1" t="s">
        <v>676</v>
      </c>
    </row>
    <row r="626" customFormat="false" ht="15" hidden="false" customHeight="true" outlineLevel="0" collapsed="false">
      <c r="A626" s="1" t="s">
        <v>665</v>
      </c>
      <c r="B626" s="1" t="s">
        <v>85</v>
      </c>
      <c r="C626" s="1" t="s">
        <v>604</v>
      </c>
      <c r="D626" s="1" t="s">
        <v>12</v>
      </c>
      <c r="E626" s="82" t="n">
        <v>22</v>
      </c>
      <c r="F626" s="26" t="n">
        <v>156.91</v>
      </c>
      <c r="G626" s="26" t="n">
        <v>3452.02</v>
      </c>
      <c r="H626" s="1" t="s">
        <v>607</v>
      </c>
    </row>
    <row r="627" customFormat="false" ht="15" hidden="false" customHeight="true" outlineLevel="0" collapsed="false">
      <c r="A627" s="1" t="s">
        <v>665</v>
      </c>
      <c r="B627" s="1" t="s">
        <v>85</v>
      </c>
      <c r="C627" s="1" t="s">
        <v>604</v>
      </c>
      <c r="D627" s="1" t="s">
        <v>14</v>
      </c>
      <c r="E627" s="82" t="n">
        <v>11</v>
      </c>
      <c r="F627" s="26" t="n">
        <v>164.27</v>
      </c>
      <c r="G627" s="26" t="n">
        <v>1806.97</v>
      </c>
      <c r="H627" s="1" t="s">
        <v>607</v>
      </c>
    </row>
    <row r="628" customFormat="false" ht="15" hidden="false" customHeight="true" outlineLevel="0" collapsed="false">
      <c r="A628" s="1" t="s">
        <v>665</v>
      </c>
      <c r="B628" s="1" t="s">
        <v>85</v>
      </c>
      <c r="C628" s="1" t="s">
        <v>604</v>
      </c>
      <c r="D628" s="1" t="s">
        <v>15</v>
      </c>
      <c r="E628" s="82" t="n">
        <v>24</v>
      </c>
      <c r="F628" s="26" t="n">
        <v>152.82</v>
      </c>
      <c r="G628" s="26" t="n">
        <v>3667.68</v>
      </c>
      <c r="H628" s="1" t="s">
        <v>607</v>
      </c>
    </row>
    <row r="629" customFormat="false" ht="15" hidden="false" customHeight="true" outlineLevel="0" collapsed="false">
      <c r="A629" s="1" t="s">
        <v>665</v>
      </c>
      <c r="B629" s="1" t="s">
        <v>85</v>
      </c>
      <c r="C629" s="1" t="s">
        <v>604</v>
      </c>
      <c r="D629" s="1" t="s">
        <v>13</v>
      </c>
      <c r="E629" s="82" t="n">
        <v>10</v>
      </c>
      <c r="F629" s="26" t="n">
        <v>151.02</v>
      </c>
      <c r="G629" s="26" t="n">
        <v>1510.2</v>
      </c>
      <c r="H629" s="1" t="s">
        <v>607</v>
      </c>
    </row>
    <row r="630" customFormat="false" ht="15" hidden="false" customHeight="true" outlineLevel="0" collapsed="false">
      <c r="A630" s="1" t="s">
        <v>665</v>
      </c>
      <c r="B630" s="1" t="s">
        <v>85</v>
      </c>
      <c r="C630" s="1" t="s">
        <v>604</v>
      </c>
      <c r="D630" s="1" t="s">
        <v>16</v>
      </c>
      <c r="E630" s="82" t="n">
        <v>0</v>
      </c>
      <c r="F630" s="26" t="n">
        <v>0</v>
      </c>
      <c r="G630" s="26" t="n">
        <v>0</v>
      </c>
      <c r="H630" s="1" t="s">
        <v>607</v>
      </c>
    </row>
    <row r="631" customFormat="false" ht="15" hidden="false" customHeight="true" outlineLevel="0" collapsed="false">
      <c r="A631" s="1" t="s">
        <v>665</v>
      </c>
      <c r="B631" s="1" t="s">
        <v>85</v>
      </c>
      <c r="C631" s="1" t="s">
        <v>604</v>
      </c>
      <c r="D631" s="1" t="s">
        <v>17</v>
      </c>
      <c r="E631" s="82" t="n">
        <v>12</v>
      </c>
      <c r="F631" s="26" t="n">
        <v>157.32</v>
      </c>
      <c r="G631" s="26" t="n">
        <v>1887.84</v>
      </c>
      <c r="H631" s="1" t="s">
        <v>607</v>
      </c>
    </row>
    <row r="632" customFormat="false" ht="15" hidden="false" customHeight="true" outlineLevel="0" collapsed="false">
      <c r="A632" s="1" t="s">
        <v>665</v>
      </c>
      <c r="B632" s="1" t="s">
        <v>32</v>
      </c>
      <c r="C632" s="1" t="s">
        <v>608</v>
      </c>
      <c r="D632" s="1" t="s">
        <v>10</v>
      </c>
      <c r="E632" s="82" t="n">
        <v>1</v>
      </c>
      <c r="F632" s="26" t="n">
        <v>91.2</v>
      </c>
      <c r="G632" s="26" t="n">
        <v>91.2</v>
      </c>
      <c r="H632" s="1" t="s">
        <v>609</v>
      </c>
    </row>
    <row r="633" customFormat="false" ht="15" hidden="false" customHeight="true" outlineLevel="0" collapsed="false">
      <c r="A633" s="1" t="s">
        <v>665</v>
      </c>
      <c r="B633" s="1" t="s">
        <v>32</v>
      </c>
      <c r="C633" s="1" t="s">
        <v>610</v>
      </c>
      <c r="D633" s="1" t="s">
        <v>10</v>
      </c>
      <c r="E633" s="82" t="n">
        <v>0</v>
      </c>
      <c r="F633" s="26" t="n">
        <v>0</v>
      </c>
      <c r="G633" s="26" t="n">
        <v>0</v>
      </c>
      <c r="H633" s="1" t="s">
        <v>611</v>
      </c>
    </row>
    <row r="634" customFormat="false" ht="15" hidden="false" customHeight="true" outlineLevel="0" collapsed="false">
      <c r="A634" s="1" t="s">
        <v>665</v>
      </c>
      <c r="B634" s="1" t="s">
        <v>32</v>
      </c>
      <c r="C634" s="1" t="s">
        <v>608</v>
      </c>
      <c r="D634" s="1" t="s">
        <v>14</v>
      </c>
      <c r="E634" s="82" t="n">
        <v>0</v>
      </c>
      <c r="F634" s="26" t="n">
        <v>0</v>
      </c>
      <c r="G634" s="26" t="n">
        <v>0</v>
      </c>
      <c r="H634" s="1" t="s">
        <v>609</v>
      </c>
    </row>
    <row r="635" customFormat="false" ht="15" hidden="false" customHeight="true" outlineLevel="0" collapsed="false">
      <c r="A635" s="1" t="s">
        <v>665</v>
      </c>
      <c r="B635" s="1" t="s">
        <v>32</v>
      </c>
      <c r="C635" s="1" t="s">
        <v>610</v>
      </c>
      <c r="D635" s="1" t="s">
        <v>14</v>
      </c>
      <c r="E635" s="82" t="n">
        <v>0</v>
      </c>
      <c r="F635" s="26" t="n">
        <v>0</v>
      </c>
      <c r="G635" s="26" t="n">
        <v>0</v>
      </c>
      <c r="H635" s="1" t="s">
        <v>612</v>
      </c>
    </row>
    <row r="636" customFormat="false" ht="15" hidden="false" customHeight="true" outlineLevel="0" collapsed="false">
      <c r="A636" s="1" t="s">
        <v>665</v>
      </c>
      <c r="B636" s="1" t="s">
        <v>32</v>
      </c>
      <c r="C636" s="1" t="s">
        <v>608</v>
      </c>
      <c r="D636" s="1" t="s">
        <v>15</v>
      </c>
      <c r="E636" s="82" t="n">
        <v>1</v>
      </c>
      <c r="F636" s="26" t="n">
        <v>696</v>
      </c>
      <c r="G636" s="26" t="n">
        <v>696</v>
      </c>
      <c r="H636" s="1" t="s">
        <v>609</v>
      </c>
    </row>
    <row r="637" customFormat="false" ht="15" hidden="false" customHeight="true" outlineLevel="0" collapsed="false">
      <c r="A637" s="1" t="s">
        <v>665</v>
      </c>
      <c r="B637" s="1" t="s">
        <v>32</v>
      </c>
      <c r="C637" s="1" t="s">
        <v>608</v>
      </c>
      <c r="D637" s="1" t="s">
        <v>13</v>
      </c>
      <c r="E637" s="82" t="n">
        <v>1</v>
      </c>
      <c r="F637" s="26" t="n">
        <v>980.4</v>
      </c>
      <c r="G637" s="26" t="n">
        <v>980.4</v>
      </c>
      <c r="H637" s="1" t="s">
        <v>609</v>
      </c>
    </row>
    <row r="638" customFormat="false" ht="15" hidden="false" customHeight="true" outlineLevel="0" collapsed="false">
      <c r="A638" s="1" t="s">
        <v>665</v>
      </c>
      <c r="B638" s="1" t="s">
        <v>32</v>
      </c>
      <c r="C638" s="1" t="s">
        <v>610</v>
      </c>
      <c r="D638" s="1" t="s">
        <v>13</v>
      </c>
      <c r="E638" s="82" t="n">
        <v>0</v>
      </c>
      <c r="F638" s="26" t="n">
        <v>0</v>
      </c>
      <c r="G638" s="26" t="n">
        <v>0</v>
      </c>
      <c r="H638" s="1" t="s">
        <v>611</v>
      </c>
    </row>
    <row r="639" customFormat="false" ht="15" hidden="false" customHeight="true" outlineLevel="0" collapsed="false">
      <c r="A639" s="1" t="s">
        <v>665</v>
      </c>
      <c r="B639" s="1" t="s">
        <v>32</v>
      </c>
      <c r="C639" s="1" t="s">
        <v>608</v>
      </c>
      <c r="D639" s="1" t="s">
        <v>16</v>
      </c>
      <c r="E639" s="82" t="n">
        <v>0</v>
      </c>
      <c r="F639" s="26" t="n">
        <v>0</v>
      </c>
      <c r="G639" s="26" t="n">
        <v>0</v>
      </c>
      <c r="H639" s="1" t="s">
        <v>609</v>
      </c>
    </row>
    <row r="640" customFormat="false" ht="15" hidden="false" customHeight="true" outlineLevel="0" collapsed="false">
      <c r="A640" s="1" t="s">
        <v>665</v>
      </c>
      <c r="B640" s="1" t="s">
        <v>32</v>
      </c>
      <c r="C640" s="1" t="s">
        <v>608</v>
      </c>
      <c r="D640" s="1" t="s">
        <v>17</v>
      </c>
      <c r="E640" s="82" t="n">
        <v>1</v>
      </c>
      <c r="F640" s="26" t="n">
        <v>314.6</v>
      </c>
      <c r="G640" s="26" t="n">
        <v>314.6</v>
      </c>
      <c r="H640" s="1" t="s">
        <v>609</v>
      </c>
    </row>
    <row r="641" customFormat="false" ht="15" hidden="false" customHeight="true" outlineLevel="0" collapsed="false">
      <c r="A641" s="1" t="s">
        <v>665</v>
      </c>
      <c r="B641" s="1" t="s">
        <v>32</v>
      </c>
      <c r="C641" s="1" t="s">
        <v>610</v>
      </c>
      <c r="D641" s="1" t="s">
        <v>17</v>
      </c>
      <c r="E641" s="82" t="n">
        <v>0</v>
      </c>
      <c r="F641" s="26" t="n">
        <v>0</v>
      </c>
      <c r="G641" s="26" t="n">
        <v>0</v>
      </c>
      <c r="H641" s="1" t="s">
        <v>613</v>
      </c>
    </row>
    <row r="642" customFormat="false" ht="15" hidden="false" customHeight="true" outlineLevel="0" collapsed="false">
      <c r="A642" s="1" t="s">
        <v>665</v>
      </c>
      <c r="B642" s="1" t="s">
        <v>614</v>
      </c>
      <c r="C642" s="1" t="s">
        <v>615</v>
      </c>
      <c r="D642" s="1" t="s">
        <v>12</v>
      </c>
      <c r="E642" s="82" t="n">
        <v>13530</v>
      </c>
      <c r="F642" s="26" t="n">
        <v>3.18253026831306</v>
      </c>
      <c r="G642" s="26" t="n">
        <v>43059.63453</v>
      </c>
      <c r="H642" s="1" t="s">
        <v>446</v>
      </c>
    </row>
    <row r="643" customFormat="false" ht="15" hidden="false" customHeight="true" outlineLevel="0" collapsed="false">
      <c r="A643" s="1" t="s">
        <v>665</v>
      </c>
      <c r="B643" s="1" t="s">
        <v>44</v>
      </c>
      <c r="C643" s="1" t="s">
        <v>616</v>
      </c>
      <c r="D643" s="1" t="s">
        <v>10</v>
      </c>
      <c r="E643" s="82" t="n">
        <v>-1</v>
      </c>
      <c r="F643" s="26" t="n">
        <v>847.7</v>
      </c>
      <c r="G643" s="26" t="n">
        <v>-847.7</v>
      </c>
      <c r="H643" s="1" t="s">
        <v>663</v>
      </c>
    </row>
    <row r="644" customFormat="false" ht="15" hidden="false" customHeight="true" outlineLevel="0" collapsed="false">
      <c r="A644" s="1" t="s">
        <v>665</v>
      </c>
      <c r="B644" s="1" t="s">
        <v>44</v>
      </c>
      <c r="C644" s="1" t="s">
        <v>616</v>
      </c>
      <c r="D644" s="1" t="s">
        <v>10</v>
      </c>
      <c r="E644" s="82" t="n">
        <v>1</v>
      </c>
      <c r="F644" s="26" t="n">
        <v>2959.45</v>
      </c>
      <c r="G644" s="26" t="n">
        <v>2959.45</v>
      </c>
      <c r="H644" s="1" t="s">
        <v>677</v>
      </c>
    </row>
    <row r="645" customFormat="false" ht="15" hidden="false" customHeight="true" outlineLevel="0" collapsed="false">
      <c r="A645" s="1" t="s">
        <v>665</v>
      </c>
      <c r="B645" s="1" t="s">
        <v>44</v>
      </c>
      <c r="C645" s="1" t="s">
        <v>616</v>
      </c>
      <c r="D645" s="1" t="s">
        <v>12</v>
      </c>
      <c r="E645" s="82" t="n">
        <v>1</v>
      </c>
      <c r="F645" s="26" t="n">
        <v>863</v>
      </c>
      <c r="G645" s="26" t="n">
        <v>863</v>
      </c>
      <c r="H645" s="1" t="s">
        <v>662</v>
      </c>
    </row>
    <row r="646" customFormat="false" ht="15" hidden="false" customHeight="true" outlineLevel="0" collapsed="false">
      <c r="A646" s="1" t="s">
        <v>665</v>
      </c>
      <c r="B646" s="1" t="s">
        <v>44</v>
      </c>
      <c r="C646" s="1" t="s">
        <v>618</v>
      </c>
      <c r="D646" s="1" t="s">
        <v>12</v>
      </c>
      <c r="E646" s="82" t="n">
        <v>0</v>
      </c>
      <c r="F646" s="26" t="n">
        <v>0</v>
      </c>
      <c r="G646" s="26" t="n">
        <v>0</v>
      </c>
      <c r="H646" s="1" t="s">
        <v>619</v>
      </c>
    </row>
    <row r="647" customFormat="false" ht="15" hidden="false" customHeight="true" outlineLevel="0" collapsed="false">
      <c r="A647" s="1" t="s">
        <v>665</v>
      </c>
      <c r="B647" s="1" t="s">
        <v>44</v>
      </c>
      <c r="C647" s="1" t="s">
        <v>620</v>
      </c>
      <c r="D647" s="1" t="s">
        <v>12</v>
      </c>
      <c r="E647" s="82" t="n">
        <v>0</v>
      </c>
      <c r="F647" s="26" t="n">
        <v>0</v>
      </c>
      <c r="G647" s="26" t="n">
        <v>0</v>
      </c>
      <c r="H647" s="1" t="s">
        <v>621</v>
      </c>
    </row>
    <row r="648" customFormat="false" ht="15" hidden="false" customHeight="true" outlineLevel="0" collapsed="false">
      <c r="A648" s="1" t="s">
        <v>665</v>
      </c>
      <c r="B648" s="1" t="s">
        <v>44</v>
      </c>
      <c r="C648" s="1" t="s">
        <v>622</v>
      </c>
      <c r="D648" s="1" t="s">
        <v>12</v>
      </c>
      <c r="E648" s="82" t="n">
        <v>1</v>
      </c>
      <c r="F648" s="26" t="n">
        <v>6471.5</v>
      </c>
      <c r="G648" s="26" t="n">
        <v>6471.5</v>
      </c>
      <c r="H648" s="1" t="s">
        <v>623</v>
      </c>
    </row>
    <row r="649" customFormat="false" ht="15" hidden="false" customHeight="true" outlineLevel="0" collapsed="false">
      <c r="A649" s="1" t="s">
        <v>665</v>
      </c>
      <c r="B649" s="1" t="s">
        <v>44</v>
      </c>
      <c r="C649" s="1" t="s">
        <v>616</v>
      </c>
      <c r="D649" s="1" t="s">
        <v>14</v>
      </c>
      <c r="E649" s="82" t="n">
        <v>1</v>
      </c>
      <c r="F649" s="26" t="n">
        <v>1119.06</v>
      </c>
      <c r="G649" s="26" t="n">
        <v>1119.06</v>
      </c>
      <c r="H649" s="1" t="s">
        <v>662</v>
      </c>
    </row>
    <row r="650" customFormat="false" ht="15" hidden="false" customHeight="true" outlineLevel="0" collapsed="false">
      <c r="A650" s="1" t="s">
        <v>665</v>
      </c>
      <c r="B650" s="1" t="s">
        <v>44</v>
      </c>
      <c r="C650" s="1" t="s">
        <v>616</v>
      </c>
      <c r="D650" s="1" t="s">
        <v>14</v>
      </c>
      <c r="E650" s="82" t="n">
        <v>-1</v>
      </c>
      <c r="F650" s="26" t="n">
        <v>155.9</v>
      </c>
      <c r="G650" s="26" t="n">
        <v>-155.9</v>
      </c>
      <c r="H650" s="1" t="s">
        <v>663</v>
      </c>
    </row>
    <row r="651" customFormat="false" ht="15" hidden="false" customHeight="true" outlineLevel="0" collapsed="false">
      <c r="A651" s="1" t="s">
        <v>665</v>
      </c>
      <c r="B651" s="1" t="s">
        <v>44</v>
      </c>
      <c r="C651" s="1" t="s">
        <v>624</v>
      </c>
      <c r="D651" s="1" t="s">
        <v>14</v>
      </c>
      <c r="E651" s="82" t="n">
        <v>0</v>
      </c>
      <c r="F651" s="26" t="n">
        <v>0</v>
      </c>
      <c r="G651" s="26" t="n">
        <v>0</v>
      </c>
      <c r="H651" s="1" t="s">
        <v>619</v>
      </c>
    </row>
    <row r="652" customFormat="false" ht="15" hidden="false" customHeight="true" outlineLevel="0" collapsed="false">
      <c r="A652" s="1" t="s">
        <v>665</v>
      </c>
      <c r="B652" s="1" t="s">
        <v>44</v>
      </c>
      <c r="C652" s="1" t="s">
        <v>625</v>
      </c>
      <c r="D652" s="1" t="s">
        <v>14</v>
      </c>
      <c r="E652" s="82" t="n">
        <v>0</v>
      </c>
      <c r="F652" s="26" t="n">
        <v>0</v>
      </c>
      <c r="G652" s="26" t="n">
        <v>0</v>
      </c>
      <c r="H652" s="1" t="s">
        <v>623</v>
      </c>
    </row>
    <row r="653" customFormat="false" ht="15" hidden="false" customHeight="true" outlineLevel="0" collapsed="false">
      <c r="A653" s="1" t="s">
        <v>665</v>
      </c>
      <c r="B653" s="1" t="s">
        <v>44</v>
      </c>
      <c r="C653" s="1" t="s">
        <v>616</v>
      </c>
      <c r="D653" s="1" t="s">
        <v>15</v>
      </c>
      <c r="E653" s="82" t="n">
        <v>1</v>
      </c>
      <c r="F653" s="26" t="n">
        <v>8439.17</v>
      </c>
      <c r="G653" s="26" t="n">
        <v>8439.17</v>
      </c>
      <c r="H653" s="1" t="s">
        <v>662</v>
      </c>
    </row>
    <row r="654" customFormat="false" ht="15" hidden="false" customHeight="true" outlineLevel="0" collapsed="false">
      <c r="A654" s="1" t="s">
        <v>665</v>
      </c>
      <c r="B654" s="1" t="s">
        <v>44</v>
      </c>
      <c r="C654" s="1" t="s">
        <v>626</v>
      </c>
      <c r="D654" s="1" t="s">
        <v>15</v>
      </c>
      <c r="E654" s="82" t="n">
        <v>0</v>
      </c>
      <c r="F654" s="26" t="n">
        <v>0</v>
      </c>
      <c r="G654" s="26" t="n">
        <v>0</v>
      </c>
      <c r="H654" s="1" t="s">
        <v>619</v>
      </c>
    </row>
    <row r="655" customFormat="false" ht="15" hidden="false" customHeight="true" outlineLevel="0" collapsed="false">
      <c r="A655" s="1" t="s">
        <v>665</v>
      </c>
      <c r="B655" s="1" t="s">
        <v>44</v>
      </c>
      <c r="C655" s="1" t="s">
        <v>627</v>
      </c>
      <c r="D655" s="1" t="s">
        <v>15</v>
      </c>
      <c r="E655" s="82" t="n">
        <v>0</v>
      </c>
      <c r="F655" s="26" t="n">
        <v>0</v>
      </c>
      <c r="G655" s="26" t="n">
        <v>0</v>
      </c>
      <c r="H655" s="1" t="s">
        <v>619</v>
      </c>
    </row>
    <row r="656" customFormat="false" ht="15" hidden="false" customHeight="true" outlineLevel="0" collapsed="false">
      <c r="A656" s="1" t="s">
        <v>665</v>
      </c>
      <c r="B656" s="1" t="s">
        <v>44</v>
      </c>
      <c r="C656" s="1" t="s">
        <v>678</v>
      </c>
      <c r="D656" s="1" t="s">
        <v>15</v>
      </c>
      <c r="E656" s="82" t="n">
        <v>-1</v>
      </c>
      <c r="F656" s="26" t="n">
        <v>358.78</v>
      </c>
      <c r="G656" s="26" t="n">
        <v>-358.78</v>
      </c>
      <c r="H656" s="1" t="s">
        <v>663</v>
      </c>
    </row>
    <row r="657" customFormat="false" ht="15" hidden="false" customHeight="true" outlineLevel="0" collapsed="false">
      <c r="A657" s="1" t="s">
        <v>665</v>
      </c>
      <c r="B657" s="1" t="s">
        <v>44</v>
      </c>
      <c r="C657" s="1" t="s">
        <v>629</v>
      </c>
      <c r="D657" s="1" t="s">
        <v>15</v>
      </c>
      <c r="E657" s="82" t="n">
        <v>0</v>
      </c>
      <c r="F657" s="26" t="n">
        <v>0</v>
      </c>
      <c r="G657" s="26" t="n">
        <v>0</v>
      </c>
      <c r="H657" s="1" t="s">
        <v>623</v>
      </c>
    </row>
    <row r="658" customFormat="false" ht="15" hidden="false" customHeight="true" outlineLevel="0" collapsed="false">
      <c r="A658" s="1" t="s">
        <v>665</v>
      </c>
      <c r="B658" s="1" t="s">
        <v>44</v>
      </c>
      <c r="C658" s="1" t="s">
        <v>664</v>
      </c>
      <c r="D658" s="1" t="s">
        <v>15</v>
      </c>
      <c r="E658" s="82" t="n">
        <v>0</v>
      </c>
      <c r="F658" s="26" t="n">
        <v>0</v>
      </c>
      <c r="G658" s="26" t="n">
        <v>0</v>
      </c>
      <c r="H658" s="1" t="s">
        <v>623</v>
      </c>
    </row>
    <row r="659" customFormat="false" ht="15" hidden="false" customHeight="true" outlineLevel="0" collapsed="false">
      <c r="A659" s="1" t="s">
        <v>665</v>
      </c>
      <c r="B659" s="1" t="s">
        <v>44</v>
      </c>
      <c r="C659" s="1" t="s">
        <v>616</v>
      </c>
      <c r="D659" s="1" t="s">
        <v>13</v>
      </c>
      <c r="E659" s="82" t="n">
        <v>1</v>
      </c>
      <c r="F659" s="26" t="n">
        <v>3957</v>
      </c>
      <c r="G659" s="26" t="n">
        <v>3957</v>
      </c>
      <c r="H659" s="1" t="s">
        <v>630</v>
      </c>
    </row>
    <row r="660" customFormat="false" ht="15" hidden="false" customHeight="true" outlineLevel="0" collapsed="false">
      <c r="A660" s="1" t="s">
        <v>665</v>
      </c>
      <c r="B660" s="1" t="s">
        <v>44</v>
      </c>
      <c r="C660" s="1" t="s">
        <v>627</v>
      </c>
      <c r="D660" s="1" t="s">
        <v>13</v>
      </c>
      <c r="E660" s="82" t="n">
        <v>0</v>
      </c>
      <c r="F660" s="26" t="n">
        <v>0</v>
      </c>
      <c r="G660" s="26" t="n">
        <v>0</v>
      </c>
      <c r="H660" s="1" t="s">
        <v>623</v>
      </c>
    </row>
    <row r="661" customFormat="false" ht="15" hidden="false" customHeight="true" outlineLevel="0" collapsed="false">
      <c r="A661" s="1" t="s">
        <v>665</v>
      </c>
      <c r="B661" s="1" t="s">
        <v>44</v>
      </c>
      <c r="C661" s="1" t="s">
        <v>628</v>
      </c>
      <c r="D661" s="1" t="s">
        <v>13</v>
      </c>
      <c r="E661" s="82" t="n">
        <v>0</v>
      </c>
      <c r="F661" s="26" t="n">
        <v>0</v>
      </c>
      <c r="G661" s="26" t="n">
        <v>0</v>
      </c>
      <c r="H661" s="1" t="s">
        <v>623</v>
      </c>
    </row>
    <row r="662" customFormat="false" ht="15" hidden="false" customHeight="true" outlineLevel="0" collapsed="false">
      <c r="A662" s="1" t="s">
        <v>665</v>
      </c>
      <c r="B662" s="1" t="s">
        <v>44</v>
      </c>
      <c r="C662" s="1" t="s">
        <v>616</v>
      </c>
      <c r="D662" s="1" t="s">
        <v>16</v>
      </c>
      <c r="E662" s="82" t="n">
        <v>1</v>
      </c>
      <c r="F662" s="26" t="n">
        <v>1010.04</v>
      </c>
      <c r="G662" s="26" t="n">
        <v>1010.04</v>
      </c>
      <c r="H662" s="1" t="s">
        <v>662</v>
      </c>
    </row>
    <row r="663" customFormat="false" ht="15" hidden="false" customHeight="true" outlineLevel="0" collapsed="false">
      <c r="A663" s="1" t="s">
        <v>665</v>
      </c>
      <c r="B663" s="1" t="s">
        <v>44</v>
      </c>
      <c r="C663" s="1" t="s">
        <v>616</v>
      </c>
      <c r="D663" s="1" t="s">
        <v>17</v>
      </c>
      <c r="E663" s="82" t="n">
        <v>1</v>
      </c>
      <c r="F663" s="26" t="n">
        <v>6035.94</v>
      </c>
      <c r="G663" s="26" t="n">
        <v>6035.94</v>
      </c>
      <c r="H663" s="1" t="s">
        <v>662</v>
      </c>
    </row>
    <row r="664" customFormat="false" ht="15" hidden="false" customHeight="true" outlineLevel="0" collapsed="false">
      <c r="A664" s="1" t="s">
        <v>665</v>
      </c>
      <c r="B664" s="1" t="s">
        <v>44</v>
      </c>
      <c r="C664" s="1" t="s">
        <v>616</v>
      </c>
      <c r="D664" s="1" t="s">
        <v>17</v>
      </c>
      <c r="E664" s="82" t="n">
        <v>-1</v>
      </c>
      <c r="F664" s="26" t="n">
        <v>1333.53</v>
      </c>
      <c r="G664" s="26" t="n">
        <v>-1333.53</v>
      </c>
      <c r="H664" s="1" t="s">
        <v>663</v>
      </c>
    </row>
    <row r="665" customFormat="false" ht="15" hidden="false" customHeight="true" outlineLevel="0" collapsed="false">
      <c r="A665" s="1" t="s">
        <v>665</v>
      </c>
      <c r="B665" s="1" t="s">
        <v>44</v>
      </c>
      <c r="C665" s="1" t="s">
        <v>631</v>
      </c>
      <c r="D665" s="1" t="s">
        <v>17</v>
      </c>
      <c r="E665" s="82" t="n">
        <v>0</v>
      </c>
      <c r="F665" s="26" t="n">
        <v>0</v>
      </c>
      <c r="G665" s="26" t="n">
        <v>0</v>
      </c>
      <c r="H665" s="1" t="s">
        <v>619</v>
      </c>
    </row>
    <row r="666" customFormat="false" ht="15" hidden="false" customHeight="true" outlineLevel="0" collapsed="false">
      <c r="A666" s="1" t="s">
        <v>665</v>
      </c>
      <c r="B666" s="1" t="s">
        <v>44</v>
      </c>
      <c r="C666" s="1" t="s">
        <v>625</v>
      </c>
      <c r="D666" s="1" t="s">
        <v>17</v>
      </c>
      <c r="E666" s="82" t="n">
        <v>0</v>
      </c>
      <c r="F666" s="26" t="n">
        <v>0</v>
      </c>
      <c r="G666" s="26" t="n">
        <v>0</v>
      </c>
      <c r="H666" s="1" t="s">
        <v>623</v>
      </c>
    </row>
    <row r="667" customFormat="false" ht="15" hidden="false" customHeight="true" outlineLevel="0" collapsed="false">
      <c r="A667" s="1" t="s">
        <v>665</v>
      </c>
      <c r="B667" s="1" t="s">
        <v>87</v>
      </c>
      <c r="C667" s="1" t="s">
        <v>632</v>
      </c>
      <c r="D667" s="1" t="s">
        <v>10</v>
      </c>
      <c r="E667" s="82" t="n">
        <v>2</v>
      </c>
      <c r="F667" s="26" t="n">
        <v>50</v>
      </c>
      <c r="G667" s="26" t="n">
        <v>100</v>
      </c>
      <c r="H667" s="1" t="s">
        <v>633</v>
      </c>
    </row>
    <row r="668" customFormat="false" ht="15" hidden="false" customHeight="true" outlineLevel="0" collapsed="false">
      <c r="A668" s="1" t="s">
        <v>665</v>
      </c>
      <c r="B668" s="1" t="s">
        <v>87</v>
      </c>
      <c r="C668" s="1" t="s">
        <v>632</v>
      </c>
      <c r="D668" s="1" t="s">
        <v>14</v>
      </c>
      <c r="E668" s="82" t="n">
        <v>1</v>
      </c>
      <c r="F668" s="26" t="n">
        <v>10</v>
      </c>
      <c r="G668" s="26" t="n">
        <v>10</v>
      </c>
      <c r="H668" s="1" t="s">
        <v>633</v>
      </c>
    </row>
    <row r="669" customFormat="false" ht="15" hidden="false" customHeight="true" outlineLevel="0" collapsed="false">
      <c r="A669" s="1" t="s">
        <v>665</v>
      </c>
      <c r="B669" s="1" t="s">
        <v>87</v>
      </c>
      <c r="C669" s="1" t="s">
        <v>632</v>
      </c>
      <c r="D669" s="1" t="s">
        <v>15</v>
      </c>
      <c r="E669" s="82" t="n">
        <v>1</v>
      </c>
      <c r="F669" s="26" t="n">
        <v>10</v>
      </c>
      <c r="G669" s="26" t="n">
        <v>10</v>
      </c>
      <c r="H669" s="1" t="s">
        <v>633</v>
      </c>
    </row>
    <row r="670" customFormat="false" ht="15" hidden="false" customHeight="true" outlineLevel="0" collapsed="false">
      <c r="A670" s="1" t="s">
        <v>665</v>
      </c>
      <c r="B670" s="1" t="s">
        <v>87</v>
      </c>
      <c r="C670" s="1" t="s">
        <v>632</v>
      </c>
      <c r="D670" s="1" t="s">
        <v>15</v>
      </c>
      <c r="E670" s="82" t="n">
        <v>5</v>
      </c>
      <c r="F670" s="26" t="n">
        <v>50</v>
      </c>
      <c r="G670" s="26" t="n">
        <v>250</v>
      </c>
      <c r="H670" s="1" t="s">
        <v>633</v>
      </c>
    </row>
    <row r="671" customFormat="false" ht="15" hidden="false" customHeight="true" outlineLevel="0" collapsed="false">
      <c r="A671" s="1" t="s">
        <v>665</v>
      </c>
      <c r="B671" s="1" t="s">
        <v>87</v>
      </c>
      <c r="C671" s="1" t="s">
        <v>632</v>
      </c>
      <c r="D671" s="1" t="s">
        <v>13</v>
      </c>
      <c r="E671" s="82" t="n">
        <v>1</v>
      </c>
      <c r="F671" s="26" t="n">
        <v>10</v>
      </c>
      <c r="G671" s="26" t="n">
        <v>10</v>
      </c>
      <c r="H671" s="1" t="s">
        <v>633</v>
      </c>
    </row>
    <row r="672" customFormat="false" ht="15" hidden="false" customHeight="true" outlineLevel="0" collapsed="false">
      <c r="A672" s="1" t="s">
        <v>665</v>
      </c>
      <c r="B672" s="1" t="s">
        <v>87</v>
      </c>
      <c r="C672" s="1" t="s">
        <v>632</v>
      </c>
      <c r="D672" s="1" t="s">
        <v>13</v>
      </c>
      <c r="E672" s="82" t="n">
        <v>2</v>
      </c>
      <c r="F672" s="26" t="n">
        <v>50</v>
      </c>
      <c r="G672" s="26" t="n">
        <v>100</v>
      </c>
      <c r="H672" s="1" t="s">
        <v>633</v>
      </c>
    </row>
    <row r="673" customFormat="false" ht="15" hidden="false" customHeight="true" outlineLevel="0" collapsed="false">
      <c r="A673" s="1" t="s">
        <v>665</v>
      </c>
      <c r="B673" s="1" t="s">
        <v>87</v>
      </c>
      <c r="C673" s="1" t="s">
        <v>632</v>
      </c>
      <c r="D673" s="1" t="s">
        <v>16</v>
      </c>
      <c r="E673" s="82" t="n">
        <v>1</v>
      </c>
      <c r="F673" s="26" t="n">
        <v>50</v>
      </c>
      <c r="G673" s="26" t="n">
        <v>50</v>
      </c>
      <c r="H673" s="1" t="s">
        <v>633</v>
      </c>
    </row>
    <row r="674" customFormat="false" ht="15" hidden="false" customHeight="true" outlineLevel="0" collapsed="false">
      <c r="A674" s="1" t="s">
        <v>665</v>
      </c>
      <c r="B674" s="1" t="s">
        <v>87</v>
      </c>
      <c r="C674" s="1" t="s">
        <v>632</v>
      </c>
      <c r="D674" s="1" t="s">
        <v>17</v>
      </c>
      <c r="E674" s="82" t="n">
        <v>1</v>
      </c>
      <c r="F674" s="26" t="n">
        <v>90</v>
      </c>
      <c r="G674" s="26" t="n">
        <v>90</v>
      </c>
      <c r="H674" s="1" t="s">
        <v>633</v>
      </c>
    </row>
    <row r="675" customFormat="false" ht="15" hidden="false" customHeight="true" outlineLevel="0" collapsed="false">
      <c r="A675" s="1" t="s">
        <v>665</v>
      </c>
      <c r="B675" s="1" t="s">
        <v>87</v>
      </c>
      <c r="C675" s="1" t="s">
        <v>632</v>
      </c>
      <c r="D675" s="1" t="s">
        <v>17</v>
      </c>
      <c r="E675" s="82" t="n">
        <v>2</v>
      </c>
      <c r="F675" s="26" t="n">
        <v>10</v>
      </c>
      <c r="G675" s="26" t="n">
        <v>20</v>
      </c>
      <c r="H675" s="1" t="s">
        <v>633</v>
      </c>
    </row>
    <row r="676" customFormat="false" ht="15" hidden="false" customHeight="true" outlineLevel="0" collapsed="false">
      <c r="A676" s="1" t="s">
        <v>665</v>
      </c>
      <c r="B676" s="1" t="s">
        <v>87</v>
      </c>
      <c r="C676" s="1" t="s">
        <v>632</v>
      </c>
      <c r="D676" s="1" t="s">
        <v>17</v>
      </c>
      <c r="E676" s="82" t="n">
        <v>3</v>
      </c>
      <c r="F676" s="26" t="n">
        <v>50</v>
      </c>
      <c r="G676" s="26" t="n">
        <v>150</v>
      </c>
      <c r="H676" s="1" t="s">
        <v>633</v>
      </c>
    </row>
    <row r="677" customFormat="false" ht="15" hidden="false" customHeight="true" outlineLevel="0" collapsed="false">
      <c r="A677" s="1" t="s">
        <v>665</v>
      </c>
      <c r="B677" s="1" t="s">
        <v>43</v>
      </c>
      <c r="C677" s="1" t="s">
        <v>43</v>
      </c>
      <c r="D677" s="1" t="s">
        <v>10</v>
      </c>
      <c r="E677" s="82" t="n">
        <v>6588</v>
      </c>
      <c r="F677" s="26" t="n">
        <v>0.138361239459827</v>
      </c>
      <c r="G677" s="26" t="n">
        <v>911.52384556134</v>
      </c>
      <c r="H677" s="1" t="s">
        <v>446</v>
      </c>
    </row>
    <row r="678" customFormat="false" ht="15" hidden="false" customHeight="true" outlineLevel="0" collapsed="false">
      <c r="A678" s="1" t="s">
        <v>665</v>
      </c>
      <c r="B678" s="1" t="s">
        <v>43</v>
      </c>
      <c r="C678" s="1" t="s">
        <v>43</v>
      </c>
      <c r="D678" s="1" t="s">
        <v>14</v>
      </c>
      <c r="E678" s="82" t="n">
        <v>3765</v>
      </c>
      <c r="F678" s="26" t="n">
        <v>0.138361239459827</v>
      </c>
      <c r="G678" s="26" t="n">
        <v>520.930066566249</v>
      </c>
      <c r="H678" s="1" t="s">
        <v>446</v>
      </c>
    </row>
    <row r="679" customFormat="false" ht="15" hidden="false" customHeight="true" outlineLevel="0" collapsed="false">
      <c r="A679" s="1" t="s">
        <v>665</v>
      </c>
      <c r="B679" s="1" t="s">
        <v>43</v>
      </c>
      <c r="C679" s="1" t="s">
        <v>43</v>
      </c>
      <c r="D679" s="1" t="s">
        <v>15</v>
      </c>
      <c r="E679" s="82" t="n">
        <v>6568</v>
      </c>
      <c r="F679" s="26" t="n">
        <v>0.138361239459827</v>
      </c>
      <c r="G679" s="26" t="n">
        <v>908.756620772144</v>
      </c>
      <c r="H679" s="1" t="s">
        <v>446</v>
      </c>
    </row>
    <row r="680" customFormat="false" ht="15" hidden="false" customHeight="true" outlineLevel="0" collapsed="false">
      <c r="A680" s="1" t="s">
        <v>665</v>
      </c>
      <c r="B680" s="1" t="s">
        <v>43</v>
      </c>
      <c r="C680" s="1" t="s">
        <v>43</v>
      </c>
      <c r="D680" s="1" t="s">
        <v>13</v>
      </c>
      <c r="E680" s="82" t="n">
        <v>14689</v>
      </c>
      <c r="F680" s="26" t="n">
        <v>0.138361239459827</v>
      </c>
      <c r="G680" s="26" t="n">
        <v>2032.3882464254</v>
      </c>
      <c r="H680" s="1" t="s">
        <v>446</v>
      </c>
    </row>
    <row r="681" customFormat="false" ht="15" hidden="false" customHeight="true" outlineLevel="0" collapsed="false">
      <c r="A681" s="1" t="s">
        <v>665</v>
      </c>
      <c r="B681" s="1" t="s">
        <v>43</v>
      </c>
      <c r="C681" s="1" t="s">
        <v>43</v>
      </c>
      <c r="D681" s="1" t="s">
        <v>16</v>
      </c>
      <c r="E681" s="82" t="n">
        <v>4805</v>
      </c>
      <c r="F681" s="26" t="n">
        <v>0.138361239459827</v>
      </c>
      <c r="G681" s="26" t="n">
        <v>664.825755604469</v>
      </c>
      <c r="H681" s="1" t="s">
        <v>446</v>
      </c>
    </row>
    <row r="682" customFormat="false" ht="15" hidden="false" customHeight="true" outlineLevel="0" collapsed="false">
      <c r="A682" s="1" t="s">
        <v>665</v>
      </c>
      <c r="B682" s="1" t="s">
        <v>43</v>
      </c>
      <c r="C682" s="1" t="s">
        <v>43</v>
      </c>
      <c r="D682" s="1" t="s">
        <v>17</v>
      </c>
      <c r="E682" s="82" t="n">
        <v>4806</v>
      </c>
      <c r="F682" s="26" t="n">
        <v>0.138361239459827</v>
      </c>
      <c r="G682" s="26" t="n">
        <v>664.964116843929</v>
      </c>
      <c r="H682" s="1" t="s">
        <v>446</v>
      </c>
    </row>
    <row r="683" customFormat="false" ht="15" hidden="false" customHeight="true" outlineLevel="0" collapsed="false">
      <c r="A683" s="1" t="s">
        <v>665</v>
      </c>
      <c r="B683" s="1" t="s">
        <v>445</v>
      </c>
      <c r="C683" s="1" t="s">
        <v>86</v>
      </c>
      <c r="D683" s="1" t="s">
        <v>10</v>
      </c>
      <c r="E683" s="82" t="n">
        <v>6588</v>
      </c>
      <c r="F683" s="26" t="n">
        <v>0.146287986778566</v>
      </c>
      <c r="G683" s="26" t="n">
        <v>963.745256897193</v>
      </c>
      <c r="H683" s="1" t="s">
        <v>446</v>
      </c>
    </row>
    <row r="684" customFormat="false" ht="15" hidden="false" customHeight="true" outlineLevel="0" collapsed="false">
      <c r="A684" s="1" t="s">
        <v>665</v>
      </c>
      <c r="B684" s="1" t="s">
        <v>445</v>
      </c>
      <c r="C684" s="1" t="s">
        <v>86</v>
      </c>
      <c r="D684" s="1" t="s">
        <v>14</v>
      </c>
      <c r="E684" s="82" t="n">
        <v>3765</v>
      </c>
      <c r="F684" s="26" t="n">
        <v>0.146287986778566</v>
      </c>
      <c r="G684" s="26" t="n">
        <v>550.774270221301</v>
      </c>
      <c r="H684" s="1" t="s">
        <v>446</v>
      </c>
    </row>
    <row r="685" customFormat="false" ht="15" hidden="false" customHeight="true" outlineLevel="0" collapsed="false">
      <c r="A685" s="1" t="s">
        <v>665</v>
      </c>
      <c r="B685" s="1" t="s">
        <v>445</v>
      </c>
      <c r="C685" s="1" t="s">
        <v>86</v>
      </c>
      <c r="D685" s="1" t="s">
        <v>15</v>
      </c>
      <c r="E685" s="82" t="n">
        <v>6568</v>
      </c>
      <c r="F685" s="26" t="n">
        <v>0.146287986778566</v>
      </c>
      <c r="G685" s="26" t="n">
        <v>960.819497161622</v>
      </c>
      <c r="H685" s="1" t="s">
        <v>446</v>
      </c>
    </row>
    <row r="686" customFormat="false" ht="15" hidden="false" customHeight="true" outlineLevel="0" collapsed="false">
      <c r="A686" s="1" t="s">
        <v>665</v>
      </c>
      <c r="B686" s="1" t="s">
        <v>445</v>
      </c>
      <c r="C686" s="1" t="s">
        <v>86</v>
      </c>
      <c r="D686" s="1" t="s">
        <v>13</v>
      </c>
      <c r="E686" s="82" t="n">
        <v>14689</v>
      </c>
      <c r="F686" s="26" t="n">
        <v>0.146287986778566</v>
      </c>
      <c r="G686" s="26" t="n">
        <v>2148.82423779036</v>
      </c>
      <c r="H686" s="1" t="s">
        <v>446</v>
      </c>
    </row>
    <row r="687" customFormat="false" ht="15" hidden="false" customHeight="true" outlineLevel="0" collapsed="false">
      <c r="A687" s="1" t="s">
        <v>665</v>
      </c>
      <c r="B687" s="1" t="s">
        <v>445</v>
      </c>
      <c r="C687" s="1" t="s">
        <v>86</v>
      </c>
      <c r="D687" s="1" t="s">
        <v>16</v>
      </c>
      <c r="E687" s="82" t="n">
        <v>4805</v>
      </c>
      <c r="F687" s="26" t="n">
        <v>0.146287986778566</v>
      </c>
      <c r="G687" s="26" t="n">
        <v>702.91377647101</v>
      </c>
      <c r="H687" s="1" t="s">
        <v>446</v>
      </c>
    </row>
    <row r="688" customFormat="false" ht="15" hidden="false" customHeight="true" outlineLevel="0" collapsed="false">
      <c r="A688" s="1" t="s">
        <v>665</v>
      </c>
      <c r="B688" s="1" t="s">
        <v>445</v>
      </c>
      <c r="C688" s="1" t="s">
        <v>86</v>
      </c>
      <c r="D688" s="1" t="s">
        <v>17</v>
      </c>
      <c r="E688" s="82" t="n">
        <v>4806</v>
      </c>
      <c r="F688" s="26" t="n">
        <v>0.146287986778566</v>
      </c>
      <c r="G688" s="26" t="n">
        <v>703.060064457788</v>
      </c>
      <c r="H688" s="1" t="s">
        <v>446</v>
      </c>
    </row>
    <row r="689" customFormat="false" ht="15" hidden="false" customHeight="true" outlineLevel="0" collapsed="false">
      <c r="A689" s="1" t="s">
        <v>665</v>
      </c>
      <c r="B689" s="1" t="s">
        <v>81</v>
      </c>
      <c r="C689" s="1" t="s">
        <v>81</v>
      </c>
      <c r="D689" s="1" t="s">
        <v>10</v>
      </c>
      <c r="E689" s="82" t="n">
        <v>6588</v>
      </c>
      <c r="F689" s="26" t="n">
        <v>0.071167700671494</v>
      </c>
      <c r="G689" s="26" t="n">
        <v>468.852812023803</v>
      </c>
      <c r="H689" s="1" t="s">
        <v>446</v>
      </c>
    </row>
    <row r="690" customFormat="false" ht="15" hidden="false" customHeight="true" outlineLevel="0" collapsed="false">
      <c r="A690" s="1" t="s">
        <v>665</v>
      </c>
      <c r="B690" s="1" t="s">
        <v>81</v>
      </c>
      <c r="C690" s="1" t="s">
        <v>81</v>
      </c>
      <c r="D690" s="1" t="s">
        <v>12</v>
      </c>
      <c r="E690" s="82" t="n">
        <v>13530</v>
      </c>
      <c r="F690" s="26" t="n">
        <v>0.071167700671494</v>
      </c>
      <c r="G690" s="26" t="n">
        <v>962.898990085314</v>
      </c>
      <c r="H690" s="1" t="s">
        <v>446</v>
      </c>
    </row>
    <row r="691" customFormat="false" ht="15" hidden="false" customHeight="true" outlineLevel="0" collapsed="false">
      <c r="A691" s="1" t="s">
        <v>665</v>
      </c>
      <c r="B691" s="1" t="s">
        <v>81</v>
      </c>
      <c r="C691" s="1" t="s">
        <v>81</v>
      </c>
      <c r="D691" s="1" t="s">
        <v>14</v>
      </c>
      <c r="E691" s="82" t="n">
        <v>3765</v>
      </c>
      <c r="F691" s="26" t="n">
        <v>0.071167700671494</v>
      </c>
      <c r="G691" s="26" t="n">
        <v>267.946393028175</v>
      </c>
      <c r="H691" s="1" t="s">
        <v>446</v>
      </c>
    </row>
    <row r="692" customFormat="false" ht="15" hidden="false" customHeight="true" outlineLevel="0" collapsed="false">
      <c r="A692" s="1" t="s">
        <v>665</v>
      </c>
      <c r="B692" s="1" t="s">
        <v>81</v>
      </c>
      <c r="C692" s="1" t="s">
        <v>81</v>
      </c>
      <c r="D692" s="1" t="s">
        <v>15</v>
      </c>
      <c r="E692" s="82" t="n">
        <v>6568</v>
      </c>
      <c r="F692" s="26" t="n">
        <v>0.071167700671494</v>
      </c>
      <c r="G692" s="26" t="n">
        <v>467.429458010373</v>
      </c>
      <c r="H692" s="1" t="s">
        <v>446</v>
      </c>
    </row>
    <row r="693" customFormat="false" ht="15" hidden="false" customHeight="true" outlineLevel="0" collapsed="false">
      <c r="A693" s="1" t="s">
        <v>665</v>
      </c>
      <c r="B693" s="1" t="s">
        <v>81</v>
      </c>
      <c r="C693" s="1" t="s">
        <v>81</v>
      </c>
      <c r="D693" s="1" t="s">
        <v>13</v>
      </c>
      <c r="E693" s="82" t="n">
        <v>14689</v>
      </c>
      <c r="F693" s="26" t="n">
        <v>0.071167700671494</v>
      </c>
      <c r="G693" s="26" t="n">
        <v>1045.38235516358</v>
      </c>
      <c r="H693" s="1" t="s">
        <v>446</v>
      </c>
    </row>
    <row r="694" customFormat="false" ht="15" hidden="false" customHeight="true" outlineLevel="0" collapsed="false">
      <c r="A694" s="1" t="s">
        <v>665</v>
      </c>
      <c r="B694" s="1" t="s">
        <v>81</v>
      </c>
      <c r="C694" s="1" t="s">
        <v>81</v>
      </c>
      <c r="D694" s="1" t="s">
        <v>16</v>
      </c>
      <c r="E694" s="82" t="n">
        <v>4805</v>
      </c>
      <c r="F694" s="26" t="n">
        <v>0.071167700671494</v>
      </c>
      <c r="G694" s="26" t="n">
        <v>341.960801726529</v>
      </c>
      <c r="H694" s="1" t="s">
        <v>446</v>
      </c>
    </row>
    <row r="695" customFormat="false" ht="15" hidden="false" customHeight="true" outlineLevel="0" collapsed="false">
      <c r="A695" s="1" t="s">
        <v>665</v>
      </c>
      <c r="B695" s="1" t="s">
        <v>81</v>
      </c>
      <c r="C695" s="1" t="s">
        <v>81</v>
      </c>
      <c r="D695" s="1" t="s">
        <v>17</v>
      </c>
      <c r="E695" s="82" t="n">
        <v>4806</v>
      </c>
      <c r="F695" s="26" t="n">
        <v>0.071167700671494</v>
      </c>
      <c r="G695" s="26" t="n">
        <v>342.0319694272</v>
      </c>
      <c r="H695" s="1" t="s">
        <v>446</v>
      </c>
    </row>
    <row r="696" customFormat="false" ht="15" hidden="false" customHeight="true" outlineLevel="0" collapsed="false">
      <c r="A696" s="1" t="s">
        <v>665</v>
      </c>
      <c r="B696" s="1" t="s">
        <v>36</v>
      </c>
      <c r="C696" s="1" t="s">
        <v>36</v>
      </c>
      <c r="D696" s="1" t="s">
        <v>10</v>
      </c>
      <c r="E696" s="82" t="n">
        <v>6588</v>
      </c>
      <c r="F696" s="26" t="n">
        <v>0.373762045947462</v>
      </c>
      <c r="G696" s="26" t="n">
        <v>2462.34435870188</v>
      </c>
      <c r="H696" s="1" t="s">
        <v>446</v>
      </c>
    </row>
    <row r="697" customFormat="false" ht="15" hidden="false" customHeight="true" outlineLevel="0" collapsed="false">
      <c r="A697" s="1" t="s">
        <v>665</v>
      </c>
      <c r="B697" s="1" t="s">
        <v>36</v>
      </c>
      <c r="C697" s="1" t="s">
        <v>36</v>
      </c>
      <c r="D697" s="1" t="s">
        <v>14</v>
      </c>
      <c r="E697" s="82" t="n">
        <v>3765</v>
      </c>
      <c r="F697" s="26" t="n">
        <v>0.373762045947462</v>
      </c>
      <c r="G697" s="26" t="n">
        <v>1407.21410299219</v>
      </c>
      <c r="H697" s="1" t="s">
        <v>446</v>
      </c>
    </row>
    <row r="698" customFormat="false" ht="15" hidden="false" customHeight="true" outlineLevel="0" collapsed="false">
      <c r="A698" s="1" t="s">
        <v>665</v>
      </c>
      <c r="B698" s="1" t="s">
        <v>36</v>
      </c>
      <c r="C698" s="1" t="s">
        <v>36</v>
      </c>
      <c r="D698" s="1" t="s">
        <v>15</v>
      </c>
      <c r="E698" s="82" t="n">
        <v>6568</v>
      </c>
      <c r="F698" s="26" t="n">
        <v>0.373762045947462</v>
      </c>
      <c r="G698" s="26" t="n">
        <v>2454.86911778293</v>
      </c>
      <c r="H698" s="1" t="s">
        <v>446</v>
      </c>
    </row>
    <row r="699" customFormat="false" ht="15" hidden="false" customHeight="true" outlineLevel="0" collapsed="false">
      <c r="A699" s="1" t="s">
        <v>665</v>
      </c>
      <c r="B699" s="1" t="s">
        <v>36</v>
      </c>
      <c r="C699" s="1" t="s">
        <v>36</v>
      </c>
      <c r="D699" s="1" t="s">
        <v>13</v>
      </c>
      <c r="E699" s="82" t="n">
        <v>14689</v>
      </c>
      <c r="F699" s="26" t="n">
        <v>0.373762045947462</v>
      </c>
      <c r="G699" s="26" t="n">
        <v>5490.19069292227</v>
      </c>
      <c r="H699" s="1" t="s">
        <v>446</v>
      </c>
    </row>
    <row r="700" customFormat="false" ht="15" hidden="false" customHeight="true" outlineLevel="0" collapsed="false">
      <c r="A700" s="1" t="s">
        <v>665</v>
      </c>
      <c r="B700" s="1" t="s">
        <v>36</v>
      </c>
      <c r="C700" s="1" t="s">
        <v>36</v>
      </c>
      <c r="D700" s="1" t="s">
        <v>16</v>
      </c>
      <c r="E700" s="82" t="n">
        <v>4805</v>
      </c>
      <c r="F700" s="26" t="n">
        <v>0.373762045947462</v>
      </c>
      <c r="G700" s="26" t="n">
        <v>1795.92663077756</v>
      </c>
      <c r="H700" s="1" t="s">
        <v>446</v>
      </c>
    </row>
    <row r="701" customFormat="false" ht="15" hidden="false" customHeight="true" outlineLevel="0" collapsed="false">
      <c r="A701" s="1" t="s">
        <v>665</v>
      </c>
      <c r="B701" s="1" t="s">
        <v>36</v>
      </c>
      <c r="C701" s="1" t="s">
        <v>36</v>
      </c>
      <c r="D701" s="1" t="s">
        <v>17</v>
      </c>
      <c r="E701" s="82" t="n">
        <v>4806</v>
      </c>
      <c r="F701" s="26" t="n">
        <v>0.373762045947462</v>
      </c>
      <c r="G701" s="26" t="n">
        <v>1796.3003928235</v>
      </c>
      <c r="H701" s="1" t="s">
        <v>446</v>
      </c>
    </row>
    <row r="702" customFormat="false" ht="15" hidden="false" customHeight="true" outlineLevel="0" collapsed="false">
      <c r="A702" s="1" t="s">
        <v>665</v>
      </c>
      <c r="B702" s="1" t="s">
        <v>83</v>
      </c>
      <c r="C702" s="1" t="s">
        <v>83</v>
      </c>
      <c r="D702" s="1" t="s">
        <v>10</v>
      </c>
      <c r="E702" s="82" t="n">
        <v>6588</v>
      </c>
      <c r="F702" s="26" t="n">
        <v>0.0793753070856763</v>
      </c>
      <c r="G702" s="26" t="n">
        <v>522.924523080436</v>
      </c>
      <c r="H702" s="1" t="s">
        <v>446</v>
      </c>
    </row>
    <row r="703" customFormat="false" ht="15" hidden="false" customHeight="true" outlineLevel="0" collapsed="false">
      <c r="A703" s="1" t="s">
        <v>665</v>
      </c>
      <c r="B703" s="1" t="s">
        <v>83</v>
      </c>
      <c r="C703" s="1" t="s">
        <v>83</v>
      </c>
      <c r="D703" s="1" t="s">
        <v>14</v>
      </c>
      <c r="E703" s="82" t="n">
        <v>3765</v>
      </c>
      <c r="F703" s="26" t="n">
        <v>0.0793753070856763</v>
      </c>
      <c r="G703" s="26" t="n">
        <v>298.848031177571</v>
      </c>
      <c r="H703" s="1" t="s">
        <v>446</v>
      </c>
    </row>
    <row r="704" customFormat="false" ht="15" hidden="false" customHeight="true" outlineLevel="0" collapsed="false">
      <c r="A704" s="1" t="s">
        <v>665</v>
      </c>
      <c r="B704" s="1" t="s">
        <v>83</v>
      </c>
      <c r="C704" s="1" t="s">
        <v>83</v>
      </c>
      <c r="D704" s="1" t="s">
        <v>15</v>
      </c>
      <c r="E704" s="82" t="n">
        <v>6568</v>
      </c>
      <c r="F704" s="26" t="n">
        <v>0.0793753070856763</v>
      </c>
      <c r="G704" s="26" t="n">
        <v>521.337016938722</v>
      </c>
      <c r="H704" s="1" t="s">
        <v>446</v>
      </c>
    </row>
    <row r="705" customFormat="false" ht="15" hidden="false" customHeight="true" outlineLevel="0" collapsed="false">
      <c r="A705" s="1" t="s">
        <v>665</v>
      </c>
      <c r="B705" s="1" t="s">
        <v>83</v>
      </c>
      <c r="C705" s="1" t="s">
        <v>83</v>
      </c>
      <c r="D705" s="1" t="s">
        <v>13</v>
      </c>
      <c r="E705" s="82" t="n">
        <v>14689</v>
      </c>
      <c r="F705" s="26" t="n">
        <v>0.0793753070856763</v>
      </c>
      <c r="G705" s="26" t="n">
        <v>1165.9438857815</v>
      </c>
      <c r="H705" s="1" t="s">
        <v>446</v>
      </c>
    </row>
    <row r="706" customFormat="false" ht="15" hidden="false" customHeight="true" outlineLevel="0" collapsed="false">
      <c r="A706" s="1" t="s">
        <v>665</v>
      </c>
      <c r="B706" s="1" t="s">
        <v>83</v>
      </c>
      <c r="C706" s="1" t="s">
        <v>83</v>
      </c>
      <c r="D706" s="1" t="s">
        <v>16</v>
      </c>
      <c r="E706" s="82" t="n">
        <v>4805</v>
      </c>
      <c r="F706" s="26" t="n">
        <v>0.0793753070856763</v>
      </c>
      <c r="G706" s="26" t="n">
        <v>381.398350546675</v>
      </c>
      <c r="H706" s="1" t="s">
        <v>446</v>
      </c>
    </row>
    <row r="707" customFormat="false" ht="15" hidden="false" customHeight="true" outlineLevel="0" collapsed="false">
      <c r="A707" s="1" t="s">
        <v>665</v>
      </c>
      <c r="B707" s="1" t="s">
        <v>83</v>
      </c>
      <c r="C707" s="1" t="s">
        <v>83</v>
      </c>
      <c r="D707" s="1" t="s">
        <v>17</v>
      </c>
      <c r="E707" s="82" t="n">
        <v>4806</v>
      </c>
      <c r="F707" s="26" t="n">
        <v>0.0793753070856763</v>
      </c>
      <c r="G707" s="26" t="n">
        <v>381.47772585376</v>
      </c>
      <c r="H707" s="1" t="s">
        <v>446</v>
      </c>
    </row>
    <row r="708" customFormat="false" ht="15" hidden="false" customHeight="true" outlineLevel="0" collapsed="false">
      <c r="A708" s="1" t="s">
        <v>665</v>
      </c>
      <c r="B708" s="1" t="s">
        <v>31</v>
      </c>
      <c r="C708" s="1" t="s">
        <v>31</v>
      </c>
      <c r="D708" s="1" t="s">
        <v>10</v>
      </c>
      <c r="E708" s="82" t="n">
        <v>6588</v>
      </c>
      <c r="F708" s="26" t="n">
        <v>0.371854108620236</v>
      </c>
      <c r="G708" s="26" t="n">
        <v>2449.77486759012</v>
      </c>
      <c r="H708" s="1" t="s">
        <v>446</v>
      </c>
    </row>
    <row r="709" customFormat="false" ht="15" hidden="false" customHeight="true" outlineLevel="0" collapsed="false">
      <c r="A709" s="1" t="s">
        <v>665</v>
      </c>
      <c r="B709" s="1" t="s">
        <v>31</v>
      </c>
      <c r="C709" s="1" t="s">
        <v>31</v>
      </c>
      <c r="D709" s="1" t="s">
        <v>12</v>
      </c>
      <c r="E709" s="82" t="n">
        <v>13530</v>
      </c>
      <c r="F709" s="26" t="n">
        <v>0.371854108620236</v>
      </c>
      <c r="G709" s="26" t="n">
        <v>5031.18608963179</v>
      </c>
      <c r="H709" s="1" t="s">
        <v>446</v>
      </c>
    </row>
    <row r="710" customFormat="false" ht="15" hidden="false" customHeight="true" outlineLevel="0" collapsed="false">
      <c r="A710" s="1" t="s">
        <v>665</v>
      </c>
      <c r="B710" s="1" t="s">
        <v>31</v>
      </c>
      <c r="C710" s="1" t="s">
        <v>31</v>
      </c>
      <c r="D710" s="1" t="s">
        <v>14</v>
      </c>
      <c r="E710" s="82" t="n">
        <v>3765</v>
      </c>
      <c r="F710" s="26" t="n">
        <v>0.371854108620236</v>
      </c>
      <c r="G710" s="26" t="n">
        <v>1400.03071895519</v>
      </c>
      <c r="H710" s="1" t="s">
        <v>446</v>
      </c>
    </row>
    <row r="711" customFormat="false" ht="15" hidden="false" customHeight="true" outlineLevel="0" collapsed="false">
      <c r="A711" s="1" t="s">
        <v>665</v>
      </c>
      <c r="B711" s="1" t="s">
        <v>31</v>
      </c>
      <c r="C711" s="1" t="s">
        <v>31</v>
      </c>
      <c r="D711" s="1" t="s">
        <v>15</v>
      </c>
      <c r="E711" s="82" t="n">
        <v>6568</v>
      </c>
      <c r="F711" s="26" t="n">
        <v>0.371854108620236</v>
      </c>
      <c r="G711" s="26" t="n">
        <v>2442.33778541771</v>
      </c>
      <c r="H711" s="1" t="s">
        <v>446</v>
      </c>
    </row>
    <row r="712" customFormat="false" ht="15" hidden="false" customHeight="true" outlineLevel="0" collapsed="false">
      <c r="A712" s="1" t="s">
        <v>665</v>
      </c>
      <c r="B712" s="1" t="s">
        <v>31</v>
      </c>
      <c r="C712" s="1" t="s">
        <v>31</v>
      </c>
      <c r="D712" s="1" t="s">
        <v>13</v>
      </c>
      <c r="E712" s="82" t="n">
        <v>14689</v>
      </c>
      <c r="F712" s="26" t="n">
        <v>0.371854108620236</v>
      </c>
      <c r="G712" s="26" t="n">
        <v>5462.16500152265</v>
      </c>
      <c r="H712" s="1" t="s">
        <v>446</v>
      </c>
    </row>
    <row r="713" customFormat="false" ht="15" hidden="false" customHeight="true" outlineLevel="0" collapsed="false">
      <c r="A713" s="1" t="s">
        <v>665</v>
      </c>
      <c r="B713" s="1" t="s">
        <v>31</v>
      </c>
      <c r="C713" s="1" t="s">
        <v>31</v>
      </c>
      <c r="D713" s="1" t="s">
        <v>16</v>
      </c>
      <c r="E713" s="82" t="n">
        <v>4805</v>
      </c>
      <c r="F713" s="26" t="n">
        <v>0.371854108620236</v>
      </c>
      <c r="G713" s="26" t="n">
        <v>1786.75899192023</v>
      </c>
      <c r="H713" s="1" t="s">
        <v>446</v>
      </c>
    </row>
    <row r="714" customFormat="false" ht="15" hidden="false" customHeight="true" outlineLevel="0" collapsed="false">
      <c r="A714" s="1" t="s">
        <v>665</v>
      </c>
      <c r="B714" s="1" t="s">
        <v>31</v>
      </c>
      <c r="C714" s="1" t="s">
        <v>31</v>
      </c>
      <c r="D714" s="1" t="s">
        <v>17</v>
      </c>
      <c r="E714" s="82" t="n">
        <v>4806</v>
      </c>
      <c r="F714" s="26" t="n">
        <v>0.371854108620236</v>
      </c>
      <c r="G714" s="26" t="n">
        <v>1787.13084602885</v>
      </c>
      <c r="H714" s="1" t="s">
        <v>446</v>
      </c>
    </row>
    <row r="715" customFormat="false" ht="15" hidden="false" customHeight="true" outlineLevel="0" collapsed="false">
      <c r="A715" s="1" t="s">
        <v>665</v>
      </c>
      <c r="B715" s="1" t="s">
        <v>32</v>
      </c>
      <c r="C715" s="1" t="s">
        <v>679</v>
      </c>
      <c r="D715" s="1" t="s">
        <v>10</v>
      </c>
      <c r="E715" s="82" t="n">
        <v>29</v>
      </c>
      <c r="F715" s="26" t="n">
        <v>35.6374549100918</v>
      </c>
      <c r="G715" s="26" t="n">
        <v>1033.486192</v>
      </c>
      <c r="H715" s="1" t="s">
        <v>680</v>
      </c>
    </row>
    <row r="716" customFormat="false" ht="15" hidden="false" customHeight="true" outlineLevel="0" collapsed="false">
      <c r="A716" s="1" t="s">
        <v>665</v>
      </c>
      <c r="B716" s="1" t="s">
        <v>32</v>
      </c>
      <c r="C716" s="1" t="s">
        <v>679</v>
      </c>
      <c r="D716" s="1" t="s">
        <v>14</v>
      </c>
      <c r="E716" s="82" t="n">
        <v>10</v>
      </c>
      <c r="F716" s="26" t="n">
        <v>35.6374549100918</v>
      </c>
      <c r="G716" s="26" t="n">
        <v>356.374549</v>
      </c>
      <c r="H716" s="1" t="s">
        <v>680</v>
      </c>
    </row>
    <row r="717" customFormat="false" ht="15" hidden="false" customHeight="true" outlineLevel="0" collapsed="false">
      <c r="A717" s="1" t="s">
        <v>665</v>
      </c>
      <c r="B717" s="1" t="s">
        <v>32</v>
      </c>
      <c r="C717" s="1" t="s">
        <v>679</v>
      </c>
      <c r="D717" s="1" t="s">
        <v>15</v>
      </c>
      <c r="E717" s="82" t="n">
        <v>43</v>
      </c>
      <c r="F717" s="26" t="n">
        <v>35.6374549100918</v>
      </c>
      <c r="G717" s="26" t="n">
        <v>1532.410561</v>
      </c>
      <c r="H717" s="1" t="s">
        <v>680</v>
      </c>
    </row>
    <row r="718" customFormat="false" ht="15" hidden="false" customHeight="true" outlineLevel="0" collapsed="false">
      <c r="A718" s="1" t="s">
        <v>665</v>
      </c>
      <c r="B718" s="1" t="s">
        <v>32</v>
      </c>
      <c r="C718" s="1" t="s">
        <v>679</v>
      </c>
      <c r="D718" s="1" t="s">
        <v>13</v>
      </c>
      <c r="E718" s="82" t="n">
        <v>45</v>
      </c>
      <c r="F718" s="26" t="n">
        <v>35.6374549100918</v>
      </c>
      <c r="G718" s="26" t="n">
        <v>1603.685471</v>
      </c>
      <c r="H718" s="1" t="s">
        <v>680</v>
      </c>
    </row>
    <row r="719" customFormat="false" ht="15" hidden="false" customHeight="true" outlineLevel="0" collapsed="false">
      <c r="A719" s="1" t="s">
        <v>665</v>
      </c>
      <c r="B719" s="1" t="s">
        <v>32</v>
      </c>
      <c r="C719" s="1" t="s">
        <v>679</v>
      </c>
      <c r="D719" s="1" t="s">
        <v>16</v>
      </c>
      <c r="E719" s="82" t="n">
        <v>18</v>
      </c>
      <c r="F719" s="26" t="n">
        <v>35.6374549100918</v>
      </c>
      <c r="G719" s="26" t="n">
        <v>641.474188</v>
      </c>
      <c r="H719" s="1" t="s">
        <v>680</v>
      </c>
    </row>
    <row r="720" customFormat="false" ht="15" hidden="false" customHeight="true" outlineLevel="0" collapsed="false">
      <c r="A720" s="1" t="s">
        <v>665</v>
      </c>
      <c r="B720" s="1" t="s">
        <v>32</v>
      </c>
      <c r="C720" s="1" t="s">
        <v>679</v>
      </c>
      <c r="D720" s="1" t="s">
        <v>17</v>
      </c>
      <c r="E720" s="82" t="n">
        <v>19</v>
      </c>
      <c r="F720" s="26" t="n">
        <v>35.6374549100918</v>
      </c>
      <c r="G720" s="26" t="n">
        <v>677.111643</v>
      </c>
      <c r="H720" s="1" t="s">
        <v>680</v>
      </c>
    </row>
    <row r="721" customFormat="false" ht="15" hidden="false" customHeight="true" outlineLevel="0" collapsed="false">
      <c r="A721" s="1" t="s">
        <v>665</v>
      </c>
      <c r="B721" s="1" t="s">
        <v>33</v>
      </c>
      <c r="C721" s="1" t="s">
        <v>681</v>
      </c>
      <c r="D721" s="1" t="s">
        <v>10</v>
      </c>
      <c r="E721" s="82" t="n">
        <v>29</v>
      </c>
      <c r="F721" s="26" t="n">
        <v>52.434725412844</v>
      </c>
      <c r="G721" s="26" t="n">
        <v>1520.607037</v>
      </c>
      <c r="H721" s="1" t="s">
        <v>680</v>
      </c>
    </row>
    <row r="722" customFormat="false" ht="15" hidden="false" customHeight="true" outlineLevel="0" collapsed="false">
      <c r="A722" s="1" t="s">
        <v>665</v>
      </c>
      <c r="B722" s="1" t="s">
        <v>33</v>
      </c>
      <c r="C722" s="1" t="s">
        <v>681</v>
      </c>
      <c r="D722" s="1" t="s">
        <v>14</v>
      </c>
      <c r="E722" s="82" t="n">
        <v>10</v>
      </c>
      <c r="F722" s="26" t="n">
        <v>52.434725412844</v>
      </c>
      <c r="G722" s="26" t="n">
        <v>524.347254</v>
      </c>
      <c r="H722" s="1" t="s">
        <v>680</v>
      </c>
    </row>
    <row r="723" customFormat="false" ht="15" hidden="false" customHeight="true" outlineLevel="0" collapsed="false">
      <c r="A723" s="1" t="s">
        <v>665</v>
      </c>
      <c r="B723" s="1" t="s">
        <v>33</v>
      </c>
      <c r="C723" s="1" t="s">
        <v>681</v>
      </c>
      <c r="D723" s="1" t="s">
        <v>15</v>
      </c>
      <c r="E723" s="82" t="n">
        <v>43</v>
      </c>
      <c r="F723" s="26" t="n">
        <v>52.434725412844</v>
      </c>
      <c r="G723" s="26" t="n">
        <v>2254.693193</v>
      </c>
      <c r="H723" s="1" t="s">
        <v>680</v>
      </c>
    </row>
    <row r="724" customFormat="false" ht="15" hidden="false" customHeight="true" outlineLevel="0" collapsed="false">
      <c r="A724" s="1" t="s">
        <v>665</v>
      </c>
      <c r="B724" s="1" t="s">
        <v>33</v>
      </c>
      <c r="C724" s="1" t="s">
        <v>681</v>
      </c>
      <c r="D724" s="1" t="s">
        <v>13</v>
      </c>
      <c r="E724" s="82" t="n">
        <v>45</v>
      </c>
      <c r="F724" s="26" t="n">
        <v>52.434725412844</v>
      </c>
      <c r="G724" s="26" t="n">
        <v>2359.562644</v>
      </c>
      <c r="H724" s="1" t="s">
        <v>680</v>
      </c>
    </row>
    <row r="725" customFormat="false" ht="15" hidden="false" customHeight="true" outlineLevel="0" collapsed="false">
      <c r="A725" s="1" t="s">
        <v>665</v>
      </c>
      <c r="B725" s="1" t="s">
        <v>33</v>
      </c>
      <c r="C725" s="1" t="s">
        <v>681</v>
      </c>
      <c r="D725" s="1" t="s">
        <v>16</v>
      </c>
      <c r="E725" s="82" t="n">
        <v>18</v>
      </c>
      <c r="F725" s="26" t="n">
        <v>52.434725412844</v>
      </c>
      <c r="G725" s="26" t="n">
        <v>943.825057</v>
      </c>
      <c r="H725" s="1" t="s">
        <v>680</v>
      </c>
    </row>
    <row r="726" customFormat="false" ht="15" hidden="false" customHeight="true" outlineLevel="0" collapsed="false">
      <c r="A726" s="1" t="s">
        <v>665</v>
      </c>
      <c r="B726" s="1" t="s">
        <v>33</v>
      </c>
      <c r="C726" s="1" t="s">
        <v>681</v>
      </c>
      <c r="D726" s="1" t="s">
        <v>17</v>
      </c>
      <c r="E726" s="82" t="n">
        <v>19</v>
      </c>
      <c r="F726" s="26" t="n">
        <v>52.434725412844</v>
      </c>
      <c r="G726" s="26" t="n">
        <v>996.259783</v>
      </c>
      <c r="H726" s="1" t="s">
        <v>680</v>
      </c>
    </row>
    <row r="727" customFormat="false" ht="15" hidden="false" customHeight="true" outlineLevel="0" collapsed="false">
      <c r="A727" s="1" t="s">
        <v>665</v>
      </c>
      <c r="B727" s="1" t="s">
        <v>44</v>
      </c>
      <c r="C727" s="1" t="s">
        <v>682</v>
      </c>
      <c r="D727" s="1" t="s">
        <v>10</v>
      </c>
      <c r="E727" s="82" t="n">
        <v>29</v>
      </c>
      <c r="F727" s="26" t="n">
        <v>47.66</v>
      </c>
      <c r="G727" s="26" t="n">
        <v>1382.14</v>
      </c>
      <c r="H727" s="1" t="s">
        <v>683</v>
      </c>
    </row>
    <row r="728" customFormat="false" ht="15" hidden="false" customHeight="true" outlineLevel="0" collapsed="false">
      <c r="A728" s="1" t="s">
        <v>665</v>
      </c>
      <c r="B728" s="1" t="s">
        <v>44</v>
      </c>
      <c r="C728" s="1" t="s">
        <v>682</v>
      </c>
      <c r="D728" s="1" t="s">
        <v>12</v>
      </c>
      <c r="E728" s="82" t="n">
        <v>37</v>
      </c>
      <c r="F728" s="26" t="n">
        <v>47.66</v>
      </c>
      <c r="G728" s="26" t="n">
        <v>1763.42</v>
      </c>
      <c r="H728" s="1" t="s">
        <v>683</v>
      </c>
    </row>
    <row r="729" customFormat="false" ht="15" hidden="false" customHeight="true" outlineLevel="0" collapsed="false">
      <c r="A729" s="1" t="s">
        <v>665</v>
      </c>
      <c r="B729" s="1" t="s">
        <v>44</v>
      </c>
      <c r="C729" s="1" t="s">
        <v>682</v>
      </c>
      <c r="D729" s="1" t="s">
        <v>14</v>
      </c>
      <c r="E729" s="82" t="n">
        <v>10</v>
      </c>
      <c r="F729" s="26" t="n">
        <v>47.66</v>
      </c>
      <c r="G729" s="26" t="n">
        <v>476.6</v>
      </c>
      <c r="H729" s="1" t="s">
        <v>683</v>
      </c>
    </row>
    <row r="730" customFormat="false" ht="15" hidden="false" customHeight="true" outlineLevel="0" collapsed="false">
      <c r="A730" s="1" t="s">
        <v>665</v>
      </c>
      <c r="B730" s="1" t="s">
        <v>44</v>
      </c>
      <c r="C730" s="1" t="s">
        <v>682</v>
      </c>
      <c r="D730" s="1" t="s">
        <v>15</v>
      </c>
      <c r="E730" s="82" t="n">
        <v>43</v>
      </c>
      <c r="F730" s="26" t="n">
        <v>47.66</v>
      </c>
      <c r="G730" s="26" t="n">
        <v>2049.38</v>
      </c>
      <c r="H730" s="1" t="s">
        <v>683</v>
      </c>
    </row>
    <row r="731" customFormat="false" ht="15" hidden="false" customHeight="true" outlineLevel="0" collapsed="false">
      <c r="A731" s="1" t="s">
        <v>665</v>
      </c>
      <c r="B731" s="1" t="s">
        <v>44</v>
      </c>
      <c r="C731" s="1" t="s">
        <v>682</v>
      </c>
      <c r="D731" s="1" t="s">
        <v>13</v>
      </c>
      <c r="E731" s="82" t="n">
        <v>45</v>
      </c>
      <c r="F731" s="26" t="n">
        <v>47.66</v>
      </c>
      <c r="G731" s="26" t="n">
        <v>2144.7</v>
      </c>
      <c r="H731" s="1" t="s">
        <v>683</v>
      </c>
    </row>
    <row r="732" customFormat="false" ht="15" hidden="false" customHeight="true" outlineLevel="0" collapsed="false">
      <c r="A732" s="1" t="s">
        <v>665</v>
      </c>
      <c r="B732" s="1" t="s">
        <v>44</v>
      </c>
      <c r="C732" s="1" t="s">
        <v>682</v>
      </c>
      <c r="D732" s="1" t="s">
        <v>16</v>
      </c>
      <c r="E732" s="82" t="n">
        <v>18</v>
      </c>
      <c r="F732" s="26" t="n">
        <v>47.66</v>
      </c>
      <c r="G732" s="26" t="n">
        <v>857.88</v>
      </c>
      <c r="H732" s="1" t="s">
        <v>683</v>
      </c>
    </row>
    <row r="733" customFormat="false" ht="15" hidden="false" customHeight="true" outlineLevel="0" collapsed="false">
      <c r="A733" s="1" t="s">
        <v>665</v>
      </c>
      <c r="B733" s="1" t="s">
        <v>44</v>
      </c>
      <c r="C733" s="1" t="s">
        <v>682</v>
      </c>
      <c r="D733" s="1" t="s">
        <v>17</v>
      </c>
      <c r="E733" s="82" t="n">
        <v>19</v>
      </c>
      <c r="F733" s="26" t="n">
        <v>47.66</v>
      </c>
      <c r="G733" s="26" t="n">
        <v>905.54</v>
      </c>
      <c r="H733" s="1" t="s">
        <v>683</v>
      </c>
    </row>
    <row r="734" customFormat="false" ht="15" hidden="false" customHeight="true" outlineLevel="0" collapsed="false">
      <c r="A734" s="1" t="s">
        <v>444</v>
      </c>
      <c r="B734" s="1" t="s">
        <v>80</v>
      </c>
      <c r="C734" s="1" t="s">
        <v>80</v>
      </c>
      <c r="D734" s="1" t="s">
        <v>10</v>
      </c>
      <c r="E734" s="82" t="n">
        <v>6280</v>
      </c>
      <c r="F734" s="26" t="n">
        <v>0.154543612417484</v>
      </c>
      <c r="G734" s="26" t="n">
        <v>970.5338859818</v>
      </c>
      <c r="H734" s="1" t="s">
        <v>446</v>
      </c>
    </row>
    <row r="735" customFormat="false" ht="15" hidden="false" customHeight="true" outlineLevel="0" collapsed="false">
      <c r="A735" s="1" t="s">
        <v>444</v>
      </c>
      <c r="B735" s="1" t="s">
        <v>80</v>
      </c>
      <c r="C735" s="1" t="s">
        <v>80</v>
      </c>
      <c r="D735" s="1" t="s">
        <v>13</v>
      </c>
      <c r="E735" s="82" t="n">
        <v>14331</v>
      </c>
      <c r="F735" s="26" t="n">
        <v>0.154543612417484</v>
      </c>
      <c r="G735" s="26" t="n">
        <v>2214.76450955496</v>
      </c>
      <c r="H735" s="1" t="s">
        <v>446</v>
      </c>
    </row>
    <row r="736" customFormat="false" ht="15" hidden="false" customHeight="true" outlineLevel="0" collapsed="false">
      <c r="A736" s="1" t="s">
        <v>444</v>
      </c>
      <c r="B736" s="1" t="s">
        <v>80</v>
      </c>
      <c r="C736" s="1" t="s">
        <v>80</v>
      </c>
      <c r="D736" s="1" t="s">
        <v>14</v>
      </c>
      <c r="E736" s="82" t="n">
        <v>3650</v>
      </c>
      <c r="F736" s="26" t="n">
        <v>0.154543612417484</v>
      </c>
      <c r="G736" s="26" t="n">
        <v>564.084185323817</v>
      </c>
      <c r="H736" s="1" t="s">
        <v>446</v>
      </c>
    </row>
    <row r="737" customFormat="false" ht="15" hidden="false" customHeight="true" outlineLevel="0" collapsed="false">
      <c r="A737" s="1" t="s">
        <v>444</v>
      </c>
      <c r="B737" s="1" t="s">
        <v>80</v>
      </c>
      <c r="C737" s="1" t="s">
        <v>80</v>
      </c>
      <c r="D737" s="1" t="s">
        <v>15</v>
      </c>
      <c r="E737" s="82" t="n">
        <v>6396</v>
      </c>
      <c r="F737" s="26" t="n">
        <v>0.154543612417484</v>
      </c>
      <c r="G737" s="26" t="n">
        <v>988.460945022228</v>
      </c>
      <c r="H737" s="1" t="s">
        <v>446</v>
      </c>
    </row>
    <row r="738" customFormat="false" ht="15" hidden="false" customHeight="true" outlineLevel="0" collapsed="false">
      <c r="A738" s="1" t="s">
        <v>444</v>
      </c>
      <c r="B738" s="1" t="s">
        <v>80</v>
      </c>
      <c r="C738" s="1" t="s">
        <v>80</v>
      </c>
      <c r="D738" s="1" t="s">
        <v>16</v>
      </c>
      <c r="E738" s="82" t="n">
        <v>4730</v>
      </c>
      <c r="F738" s="26" t="n">
        <v>0.154543612417484</v>
      </c>
      <c r="G738" s="26" t="n">
        <v>730.991286734699</v>
      </c>
      <c r="H738" s="1" t="s">
        <v>446</v>
      </c>
    </row>
    <row r="739" customFormat="false" ht="15" hidden="false" customHeight="true" outlineLevel="0" collapsed="false">
      <c r="A739" s="1" t="s">
        <v>444</v>
      </c>
      <c r="B739" s="1" t="s">
        <v>80</v>
      </c>
      <c r="C739" s="1" t="s">
        <v>80</v>
      </c>
      <c r="D739" s="1" t="s">
        <v>17</v>
      </c>
      <c r="E739" s="82" t="n">
        <v>4782</v>
      </c>
      <c r="F739" s="26" t="n">
        <v>0.154543612417484</v>
      </c>
      <c r="G739" s="26" t="n">
        <v>739.027554580408</v>
      </c>
      <c r="H739" s="1" t="s">
        <v>446</v>
      </c>
    </row>
    <row r="740" customFormat="false" ht="15" hidden="false" customHeight="true" outlineLevel="0" collapsed="false">
      <c r="A740" s="1" t="s">
        <v>634</v>
      </c>
      <c r="B740" s="1" t="s">
        <v>80</v>
      </c>
      <c r="C740" s="1" t="s">
        <v>80</v>
      </c>
      <c r="D740" s="1" t="s">
        <v>10</v>
      </c>
      <c r="E740" s="82" t="n">
        <v>6445</v>
      </c>
      <c r="F740" s="26" t="n">
        <v>0.150676625241861</v>
      </c>
      <c r="G740" s="26" t="n">
        <v>971.110849683794</v>
      </c>
      <c r="H740" s="1" t="s">
        <v>446</v>
      </c>
    </row>
    <row r="741" customFormat="false" ht="15" hidden="false" customHeight="true" outlineLevel="0" collapsed="false">
      <c r="A741" s="1" t="s">
        <v>634</v>
      </c>
      <c r="B741" s="1" t="s">
        <v>80</v>
      </c>
      <c r="C741" s="1" t="s">
        <v>80</v>
      </c>
      <c r="D741" s="1" t="s">
        <v>13</v>
      </c>
      <c r="E741" s="82" t="n">
        <v>14441</v>
      </c>
      <c r="F741" s="26" t="n">
        <v>0.150676625241861</v>
      </c>
      <c r="G741" s="26" t="n">
        <v>2175.92114511772</v>
      </c>
      <c r="H741" s="1" t="s">
        <v>446</v>
      </c>
    </row>
    <row r="742" customFormat="false" ht="15" hidden="false" customHeight="true" outlineLevel="0" collapsed="false">
      <c r="A742" s="1" t="s">
        <v>634</v>
      </c>
      <c r="B742" s="1" t="s">
        <v>80</v>
      </c>
      <c r="C742" s="1" t="s">
        <v>80</v>
      </c>
      <c r="D742" s="1" t="s">
        <v>14</v>
      </c>
      <c r="E742" s="82" t="n">
        <v>3704</v>
      </c>
      <c r="F742" s="26" t="n">
        <v>0.150676625241861</v>
      </c>
      <c r="G742" s="26" t="n">
        <v>558.106219895853</v>
      </c>
      <c r="H742" s="1" t="s">
        <v>446</v>
      </c>
    </row>
    <row r="743" customFormat="false" ht="15" hidden="false" customHeight="true" outlineLevel="0" collapsed="false">
      <c r="A743" s="1" t="s">
        <v>634</v>
      </c>
      <c r="B743" s="1" t="s">
        <v>80</v>
      </c>
      <c r="C743" s="1" t="s">
        <v>80</v>
      </c>
      <c r="D743" s="1" t="s">
        <v>15</v>
      </c>
      <c r="E743" s="82" t="n">
        <v>6434</v>
      </c>
      <c r="F743" s="26" t="n">
        <v>0.150676625241861</v>
      </c>
      <c r="G743" s="26" t="n">
        <v>969.453406806134</v>
      </c>
      <c r="H743" s="1" t="s">
        <v>446</v>
      </c>
    </row>
    <row r="744" customFormat="false" ht="15" hidden="false" customHeight="true" outlineLevel="0" collapsed="false">
      <c r="A744" s="1" t="s">
        <v>634</v>
      </c>
      <c r="B744" s="1" t="s">
        <v>80</v>
      </c>
      <c r="C744" s="1" t="s">
        <v>80</v>
      </c>
      <c r="D744" s="1" t="s">
        <v>16</v>
      </c>
      <c r="E744" s="82" t="n">
        <v>4749</v>
      </c>
      <c r="F744" s="26" t="n">
        <v>0.150676625241861</v>
      </c>
      <c r="G744" s="26" t="n">
        <v>715.563293273598</v>
      </c>
      <c r="H744" s="1" t="s">
        <v>446</v>
      </c>
    </row>
    <row r="745" customFormat="false" ht="15" hidden="false" customHeight="true" outlineLevel="0" collapsed="false">
      <c r="A745" s="1" t="s">
        <v>634</v>
      </c>
      <c r="B745" s="1" t="s">
        <v>80</v>
      </c>
      <c r="C745" s="1" t="s">
        <v>80</v>
      </c>
      <c r="D745" s="1" t="s">
        <v>17</v>
      </c>
      <c r="E745" s="82" t="n">
        <v>4795</v>
      </c>
      <c r="F745" s="26" t="n">
        <v>0.150676625241861</v>
      </c>
      <c r="G745" s="26" t="n">
        <v>722.494418034724</v>
      </c>
      <c r="H745" s="1" t="s">
        <v>446</v>
      </c>
    </row>
    <row r="746" customFormat="false" ht="15" hidden="false" customHeight="true" outlineLevel="0" collapsed="false">
      <c r="A746" s="1" t="s">
        <v>665</v>
      </c>
      <c r="B746" s="1" t="s">
        <v>80</v>
      </c>
      <c r="C746" s="1" t="s">
        <v>80</v>
      </c>
      <c r="D746" s="1" t="s">
        <v>10</v>
      </c>
      <c r="E746" s="82" t="n">
        <v>6588</v>
      </c>
      <c r="F746" s="26" t="n">
        <v>0.145289779573281</v>
      </c>
      <c r="G746" s="26" t="n">
        <v>957.169067828775</v>
      </c>
      <c r="H746" s="1" t="s">
        <v>446</v>
      </c>
    </row>
    <row r="747" customFormat="false" ht="15" hidden="false" customHeight="true" outlineLevel="0" collapsed="false">
      <c r="A747" s="1" t="s">
        <v>665</v>
      </c>
      <c r="B747" s="1" t="s">
        <v>80</v>
      </c>
      <c r="C747" s="1" t="s">
        <v>80</v>
      </c>
      <c r="D747" s="1" t="s">
        <v>13</v>
      </c>
      <c r="E747" s="82" t="n">
        <v>14689</v>
      </c>
      <c r="F747" s="26" t="n">
        <v>0.145289779573281</v>
      </c>
      <c r="G747" s="26" t="n">
        <v>2134.16157215193</v>
      </c>
      <c r="H747" s="1" t="s">
        <v>446</v>
      </c>
    </row>
    <row r="748" customFormat="false" ht="15" hidden="false" customHeight="true" outlineLevel="0" collapsed="false">
      <c r="A748" s="1" t="s">
        <v>665</v>
      </c>
      <c r="B748" s="1" t="s">
        <v>80</v>
      </c>
      <c r="C748" s="1" t="s">
        <v>80</v>
      </c>
      <c r="D748" s="1" t="s">
        <v>14</v>
      </c>
      <c r="E748" s="82" t="n">
        <v>3765</v>
      </c>
      <c r="F748" s="26" t="n">
        <v>0.145289779573281</v>
      </c>
      <c r="G748" s="26" t="n">
        <v>547.016020093403</v>
      </c>
      <c r="H748" s="1" t="s">
        <v>446</v>
      </c>
    </row>
    <row r="749" customFormat="false" ht="15" hidden="false" customHeight="true" outlineLevel="0" collapsed="false">
      <c r="A749" s="1" t="s">
        <v>665</v>
      </c>
      <c r="B749" s="1" t="s">
        <v>80</v>
      </c>
      <c r="C749" s="1" t="s">
        <v>80</v>
      </c>
      <c r="D749" s="1" t="s">
        <v>15</v>
      </c>
      <c r="E749" s="82" t="n">
        <v>6568</v>
      </c>
      <c r="F749" s="26" t="n">
        <v>0.145289779573281</v>
      </c>
      <c r="G749" s="26" t="n">
        <v>954.26327223731</v>
      </c>
      <c r="H749" s="1" t="s">
        <v>446</v>
      </c>
    </row>
    <row r="750" customFormat="false" ht="15" hidden="false" customHeight="true" outlineLevel="0" collapsed="false">
      <c r="A750" s="1" t="s">
        <v>665</v>
      </c>
      <c r="B750" s="1" t="s">
        <v>80</v>
      </c>
      <c r="C750" s="1" t="s">
        <v>80</v>
      </c>
      <c r="D750" s="1" t="s">
        <v>16</v>
      </c>
      <c r="E750" s="82" t="n">
        <v>4805</v>
      </c>
      <c r="F750" s="26" t="n">
        <v>0.145289779573281</v>
      </c>
      <c r="G750" s="26" t="n">
        <v>698.117390849615</v>
      </c>
      <c r="H750" s="1" t="s">
        <v>446</v>
      </c>
    </row>
    <row r="751" customFormat="false" ht="15" hidden="false" customHeight="true" outlineLevel="0" collapsed="false">
      <c r="A751" s="1" t="s">
        <v>665</v>
      </c>
      <c r="B751" s="1" t="s">
        <v>80</v>
      </c>
      <c r="C751" s="1" t="s">
        <v>80</v>
      </c>
      <c r="D751" s="1" t="s">
        <v>17</v>
      </c>
      <c r="E751" s="82" t="n">
        <v>4806</v>
      </c>
      <c r="F751" s="26" t="n">
        <v>0.145289779573281</v>
      </c>
      <c r="G751" s="26" t="n">
        <v>698.262680629189</v>
      </c>
      <c r="H751" s="1" t="s">
        <v>446</v>
      </c>
    </row>
    <row r="752" customFormat="false" ht="15" hidden="false" customHeight="true" outlineLevel="0" collapsed="false">
      <c r="A752" s="1" t="s">
        <v>444</v>
      </c>
      <c r="B752" s="1" t="s">
        <v>42</v>
      </c>
      <c r="C752" s="1" t="s">
        <v>42</v>
      </c>
      <c r="D752" s="1" t="s">
        <v>10</v>
      </c>
      <c r="E752" s="82" t="n">
        <v>6280</v>
      </c>
      <c r="F752" s="26" t="n">
        <v>0.145293801710045</v>
      </c>
      <c r="G752" s="26" t="n">
        <v>912.445074739083</v>
      </c>
      <c r="H752" s="1" t="s">
        <v>446</v>
      </c>
    </row>
    <row r="753" customFormat="false" ht="15" hidden="false" customHeight="true" outlineLevel="0" collapsed="false">
      <c r="A753" s="1" t="s">
        <v>444</v>
      </c>
      <c r="B753" s="1" t="s">
        <v>42</v>
      </c>
      <c r="C753" s="1" t="s">
        <v>42</v>
      </c>
      <c r="D753" s="1" t="s">
        <v>13</v>
      </c>
      <c r="E753" s="82" t="n">
        <v>14331</v>
      </c>
      <c r="F753" s="26" t="n">
        <v>0.145293801710045</v>
      </c>
      <c r="G753" s="26" t="n">
        <v>2082.20547230666</v>
      </c>
      <c r="H753" s="1" t="s">
        <v>446</v>
      </c>
    </row>
    <row r="754" customFormat="false" ht="15" hidden="false" customHeight="true" outlineLevel="0" collapsed="false">
      <c r="A754" s="1" t="s">
        <v>444</v>
      </c>
      <c r="B754" s="1" t="s">
        <v>42</v>
      </c>
      <c r="C754" s="1" t="s">
        <v>42</v>
      </c>
      <c r="D754" s="1" t="s">
        <v>14</v>
      </c>
      <c r="E754" s="82" t="n">
        <v>3650</v>
      </c>
      <c r="F754" s="26" t="n">
        <v>0.145293801710045</v>
      </c>
      <c r="G754" s="26" t="n">
        <v>530.322376241664</v>
      </c>
      <c r="H754" s="1" t="s">
        <v>446</v>
      </c>
    </row>
    <row r="755" customFormat="false" ht="15" hidden="false" customHeight="true" outlineLevel="0" collapsed="false">
      <c r="A755" s="1" t="s">
        <v>444</v>
      </c>
      <c r="B755" s="1" t="s">
        <v>42</v>
      </c>
      <c r="C755" s="1" t="s">
        <v>42</v>
      </c>
      <c r="D755" s="1" t="s">
        <v>15</v>
      </c>
      <c r="E755" s="82" t="n">
        <v>6396</v>
      </c>
      <c r="F755" s="26" t="n">
        <v>0.145293801710045</v>
      </c>
      <c r="G755" s="26" t="n">
        <v>929.299155737448</v>
      </c>
      <c r="H755" s="1" t="s">
        <v>446</v>
      </c>
    </row>
    <row r="756" customFormat="false" ht="15" hidden="false" customHeight="true" outlineLevel="0" collapsed="false">
      <c r="A756" s="1" t="s">
        <v>444</v>
      </c>
      <c r="B756" s="1" t="s">
        <v>42</v>
      </c>
      <c r="C756" s="1" t="s">
        <v>42</v>
      </c>
      <c r="D756" s="1" t="s">
        <v>16</v>
      </c>
      <c r="E756" s="82" t="n">
        <v>4730</v>
      </c>
      <c r="F756" s="26" t="n">
        <v>0.145293801710045</v>
      </c>
      <c r="G756" s="26" t="n">
        <v>687.239682088513</v>
      </c>
      <c r="H756" s="1" t="s">
        <v>446</v>
      </c>
    </row>
    <row r="757" customFormat="false" ht="15" hidden="false" customHeight="true" outlineLevel="0" collapsed="false">
      <c r="A757" s="1" t="s">
        <v>444</v>
      </c>
      <c r="B757" s="1" t="s">
        <v>42</v>
      </c>
      <c r="C757" s="1" t="s">
        <v>42</v>
      </c>
      <c r="D757" s="1" t="s">
        <v>17</v>
      </c>
      <c r="E757" s="82" t="n">
        <v>4782</v>
      </c>
      <c r="F757" s="26" t="n">
        <v>0.145293801710045</v>
      </c>
      <c r="G757" s="26" t="n">
        <v>694.794959777435</v>
      </c>
      <c r="H757" s="1" t="s">
        <v>446</v>
      </c>
    </row>
    <row r="758" customFormat="false" ht="15" hidden="false" customHeight="true" outlineLevel="0" collapsed="false">
      <c r="A758" s="1" t="s">
        <v>634</v>
      </c>
      <c r="B758" s="1" t="s">
        <v>42</v>
      </c>
      <c r="C758" s="1" t="s">
        <v>42</v>
      </c>
      <c r="D758" s="1" t="s">
        <v>10</v>
      </c>
      <c r="E758" s="82" t="n">
        <v>6445</v>
      </c>
      <c r="F758" s="26" t="n">
        <v>0.146782423739836</v>
      </c>
      <c r="G758" s="26" t="n">
        <v>946.012721003243</v>
      </c>
      <c r="H758" s="1" t="s">
        <v>446</v>
      </c>
    </row>
    <row r="759" customFormat="false" ht="15" hidden="false" customHeight="true" outlineLevel="0" collapsed="false">
      <c r="A759" s="1" t="s">
        <v>634</v>
      </c>
      <c r="B759" s="1" t="s">
        <v>42</v>
      </c>
      <c r="C759" s="1" t="s">
        <v>42</v>
      </c>
      <c r="D759" s="1" t="s">
        <v>13</v>
      </c>
      <c r="E759" s="82" t="n">
        <v>14441</v>
      </c>
      <c r="F759" s="26" t="n">
        <v>0.146782423739836</v>
      </c>
      <c r="G759" s="26" t="n">
        <v>2119.68498122697</v>
      </c>
      <c r="H759" s="1" t="s">
        <v>446</v>
      </c>
    </row>
    <row r="760" customFormat="false" ht="15" hidden="false" customHeight="true" outlineLevel="0" collapsed="false">
      <c r="A760" s="1" t="s">
        <v>634</v>
      </c>
      <c r="B760" s="1" t="s">
        <v>42</v>
      </c>
      <c r="C760" s="1" t="s">
        <v>42</v>
      </c>
      <c r="D760" s="1" t="s">
        <v>14</v>
      </c>
      <c r="E760" s="82" t="n">
        <v>3704</v>
      </c>
      <c r="F760" s="26" t="n">
        <v>0.146782423739836</v>
      </c>
      <c r="G760" s="26" t="n">
        <v>543.682097532353</v>
      </c>
      <c r="H760" s="1" t="s">
        <v>446</v>
      </c>
    </row>
    <row r="761" customFormat="false" ht="15" hidden="false" customHeight="true" outlineLevel="0" collapsed="false">
      <c r="A761" s="1" t="s">
        <v>634</v>
      </c>
      <c r="B761" s="1" t="s">
        <v>42</v>
      </c>
      <c r="C761" s="1" t="s">
        <v>42</v>
      </c>
      <c r="D761" s="1" t="s">
        <v>15</v>
      </c>
      <c r="E761" s="82" t="n">
        <v>6434</v>
      </c>
      <c r="F761" s="26" t="n">
        <v>0.146782423739836</v>
      </c>
      <c r="G761" s="26" t="n">
        <v>944.398114342105</v>
      </c>
      <c r="H761" s="1" t="s">
        <v>446</v>
      </c>
    </row>
    <row r="762" customFormat="false" ht="15" hidden="false" customHeight="true" outlineLevel="0" collapsed="false">
      <c r="A762" s="1" t="s">
        <v>634</v>
      </c>
      <c r="B762" s="1" t="s">
        <v>42</v>
      </c>
      <c r="C762" s="1" t="s">
        <v>42</v>
      </c>
      <c r="D762" s="1" t="s">
        <v>16</v>
      </c>
      <c r="E762" s="82" t="n">
        <v>4749</v>
      </c>
      <c r="F762" s="26" t="n">
        <v>0.146782423739836</v>
      </c>
      <c r="G762" s="26" t="n">
        <v>697.069730340481</v>
      </c>
      <c r="H762" s="1" t="s">
        <v>446</v>
      </c>
    </row>
    <row r="763" customFormat="false" ht="15" hidden="false" customHeight="true" outlineLevel="0" collapsed="false">
      <c r="A763" s="1" t="s">
        <v>634</v>
      </c>
      <c r="B763" s="1" t="s">
        <v>42</v>
      </c>
      <c r="C763" s="1" t="s">
        <v>42</v>
      </c>
      <c r="D763" s="1" t="s">
        <v>17</v>
      </c>
      <c r="E763" s="82" t="n">
        <v>4795</v>
      </c>
      <c r="F763" s="26" t="n">
        <v>0.146782423739836</v>
      </c>
      <c r="G763" s="26" t="n">
        <v>703.821721832514</v>
      </c>
      <c r="H763" s="1" t="s">
        <v>446</v>
      </c>
    </row>
    <row r="764" customFormat="false" ht="15" hidden="false" customHeight="true" outlineLevel="0" collapsed="false">
      <c r="A764" s="1" t="s">
        <v>665</v>
      </c>
      <c r="B764" s="1" t="s">
        <v>42</v>
      </c>
      <c r="C764" s="1" t="s">
        <v>42</v>
      </c>
      <c r="D764" s="1" t="s">
        <v>10</v>
      </c>
      <c r="E764" s="82" t="n">
        <v>6588</v>
      </c>
      <c r="F764" s="26" t="n">
        <v>0.136978220673766</v>
      </c>
      <c r="G764" s="26" t="n">
        <v>902.41251779877</v>
      </c>
      <c r="H764" s="1" t="s">
        <v>446</v>
      </c>
    </row>
    <row r="765" customFormat="false" ht="15" hidden="false" customHeight="true" outlineLevel="0" collapsed="false">
      <c r="A765" s="1" t="s">
        <v>665</v>
      </c>
      <c r="B765" s="1" t="s">
        <v>42</v>
      </c>
      <c r="C765" s="1" t="s">
        <v>42</v>
      </c>
      <c r="D765" s="1" t="s">
        <v>13</v>
      </c>
      <c r="E765" s="82" t="n">
        <v>14689</v>
      </c>
      <c r="F765" s="26" t="n">
        <v>0.136978220673766</v>
      </c>
      <c r="G765" s="26" t="n">
        <v>2012.07308347695</v>
      </c>
      <c r="H765" s="1" t="s">
        <v>446</v>
      </c>
    </row>
    <row r="766" customFormat="false" ht="15" hidden="false" customHeight="true" outlineLevel="0" collapsed="false">
      <c r="A766" s="1" t="s">
        <v>665</v>
      </c>
      <c r="B766" s="1" t="s">
        <v>42</v>
      </c>
      <c r="C766" s="1" t="s">
        <v>42</v>
      </c>
      <c r="D766" s="1" t="s">
        <v>14</v>
      </c>
      <c r="E766" s="82" t="n">
        <v>3765</v>
      </c>
      <c r="F766" s="26" t="n">
        <v>0.136978220673766</v>
      </c>
      <c r="G766" s="26" t="n">
        <v>515.723000836729</v>
      </c>
      <c r="H766" s="1" t="s">
        <v>446</v>
      </c>
    </row>
    <row r="767" customFormat="false" ht="15" hidden="false" customHeight="true" outlineLevel="0" collapsed="false">
      <c r="A767" s="1" t="s">
        <v>665</v>
      </c>
      <c r="B767" s="1" t="s">
        <v>42</v>
      </c>
      <c r="C767" s="1" t="s">
        <v>42</v>
      </c>
      <c r="D767" s="1" t="s">
        <v>15</v>
      </c>
      <c r="E767" s="82" t="n">
        <v>6568</v>
      </c>
      <c r="F767" s="26" t="n">
        <v>0.136978220673766</v>
      </c>
      <c r="G767" s="26" t="n">
        <v>899.672953385295</v>
      </c>
      <c r="H767" s="1" t="s">
        <v>446</v>
      </c>
    </row>
    <row r="768" customFormat="false" ht="15" hidden="false" customHeight="true" outlineLevel="0" collapsed="false">
      <c r="A768" s="1" t="s">
        <v>665</v>
      </c>
      <c r="B768" s="1" t="s">
        <v>42</v>
      </c>
      <c r="C768" s="1" t="s">
        <v>42</v>
      </c>
      <c r="D768" s="1" t="s">
        <v>16</v>
      </c>
      <c r="E768" s="82" t="n">
        <v>4805</v>
      </c>
      <c r="F768" s="26" t="n">
        <v>0.136978220673766</v>
      </c>
      <c r="G768" s="26" t="n">
        <v>658.180350337446</v>
      </c>
      <c r="H768" s="1" t="s">
        <v>446</v>
      </c>
    </row>
    <row r="769" customFormat="false" ht="15" hidden="false" customHeight="true" outlineLevel="0" collapsed="false">
      <c r="A769" s="1" t="s">
        <v>665</v>
      </c>
      <c r="B769" s="1" t="s">
        <v>42</v>
      </c>
      <c r="C769" s="1" t="s">
        <v>42</v>
      </c>
      <c r="D769" s="1" t="s">
        <v>17</v>
      </c>
      <c r="E769" s="82" t="n">
        <v>4806</v>
      </c>
      <c r="F769" s="26" t="n">
        <v>0.136978220673766</v>
      </c>
      <c r="G769" s="26" t="n">
        <v>658.317328558119</v>
      </c>
      <c r="H769" s="1" t="s">
        <v>446</v>
      </c>
    </row>
    <row r="770" customFormat="false" ht="15" hidden="false" customHeight="true" outlineLevel="0" collapsed="false">
      <c r="A770" s="1" t="s">
        <v>444</v>
      </c>
      <c r="B770" s="1" t="s">
        <v>34</v>
      </c>
      <c r="C770" s="1" t="s">
        <v>34</v>
      </c>
      <c r="D770" s="1" t="s">
        <v>10</v>
      </c>
      <c r="E770" s="82" t="n">
        <v>6280</v>
      </c>
      <c r="F770" s="26" t="n">
        <v>0.184225485974274</v>
      </c>
      <c r="G770" s="26" t="n">
        <v>1156.9360519184</v>
      </c>
      <c r="H770" s="1" t="s">
        <v>446</v>
      </c>
    </row>
    <row r="771" customFormat="false" ht="15" hidden="false" customHeight="true" outlineLevel="0" collapsed="false">
      <c r="A771" s="1" t="s">
        <v>444</v>
      </c>
      <c r="B771" s="1" t="s">
        <v>34</v>
      </c>
      <c r="C771" s="1" t="s">
        <v>34</v>
      </c>
      <c r="D771" s="1" t="s">
        <v>12</v>
      </c>
      <c r="E771" s="82" t="n">
        <v>13402</v>
      </c>
      <c r="F771" s="26" t="n">
        <v>0.184225485974274</v>
      </c>
      <c r="G771" s="26" t="n">
        <v>2468.9899630272</v>
      </c>
      <c r="H771" s="1" t="s">
        <v>446</v>
      </c>
    </row>
    <row r="772" customFormat="false" ht="15" hidden="false" customHeight="true" outlineLevel="0" collapsed="false">
      <c r="A772" s="1" t="s">
        <v>444</v>
      </c>
      <c r="B772" s="1" t="s">
        <v>34</v>
      </c>
      <c r="C772" s="1" t="s">
        <v>34</v>
      </c>
      <c r="D772" s="1" t="s">
        <v>13</v>
      </c>
      <c r="E772" s="82" t="n">
        <v>14331</v>
      </c>
      <c r="F772" s="26" t="n">
        <v>0.184225485974274</v>
      </c>
      <c r="G772" s="26" t="n">
        <v>2640.1354394973</v>
      </c>
      <c r="H772" s="1" t="s">
        <v>446</v>
      </c>
    </row>
    <row r="773" customFormat="false" ht="15" hidden="false" customHeight="true" outlineLevel="0" collapsed="false">
      <c r="A773" s="1" t="s">
        <v>444</v>
      </c>
      <c r="B773" s="1" t="s">
        <v>34</v>
      </c>
      <c r="C773" s="1" t="s">
        <v>34</v>
      </c>
      <c r="D773" s="1" t="s">
        <v>14</v>
      </c>
      <c r="E773" s="82" t="n">
        <v>3650</v>
      </c>
      <c r="F773" s="26" t="n">
        <v>0.184225485974274</v>
      </c>
      <c r="G773" s="26" t="n">
        <v>672.4230238061</v>
      </c>
      <c r="H773" s="1" t="s">
        <v>446</v>
      </c>
    </row>
    <row r="774" customFormat="false" ht="15" hidden="false" customHeight="true" outlineLevel="0" collapsed="false">
      <c r="A774" s="1" t="s">
        <v>444</v>
      </c>
      <c r="B774" s="1" t="s">
        <v>34</v>
      </c>
      <c r="C774" s="1" t="s">
        <v>34</v>
      </c>
      <c r="D774" s="1" t="s">
        <v>15</v>
      </c>
      <c r="E774" s="82" t="n">
        <v>6396</v>
      </c>
      <c r="F774" s="26" t="n">
        <v>0.184225485974274</v>
      </c>
      <c r="G774" s="26" t="n">
        <v>1178.3062082915</v>
      </c>
      <c r="H774" s="1" t="s">
        <v>446</v>
      </c>
    </row>
    <row r="775" customFormat="false" ht="15" hidden="false" customHeight="true" outlineLevel="0" collapsed="false">
      <c r="A775" s="1" t="s">
        <v>444</v>
      </c>
      <c r="B775" s="1" t="s">
        <v>34</v>
      </c>
      <c r="C775" s="1" t="s">
        <v>34</v>
      </c>
      <c r="D775" s="1" t="s">
        <v>16</v>
      </c>
      <c r="E775" s="82" t="n">
        <v>4730</v>
      </c>
      <c r="F775" s="26" t="n">
        <v>0.184225485974274</v>
      </c>
      <c r="G775" s="26" t="n">
        <v>871.3865486583</v>
      </c>
      <c r="H775" s="1" t="s">
        <v>446</v>
      </c>
    </row>
    <row r="776" customFormat="false" ht="15" hidden="false" customHeight="true" outlineLevel="0" collapsed="false">
      <c r="A776" s="1" t="s">
        <v>444</v>
      </c>
      <c r="B776" s="1" t="s">
        <v>34</v>
      </c>
      <c r="C776" s="1" t="s">
        <v>34</v>
      </c>
      <c r="D776" s="1" t="s">
        <v>17</v>
      </c>
      <c r="E776" s="82" t="n">
        <v>4782</v>
      </c>
      <c r="F776" s="26" t="n">
        <v>0.184225485974274</v>
      </c>
      <c r="G776" s="26" t="n">
        <v>880.966273929</v>
      </c>
      <c r="H776" s="1" t="s">
        <v>446</v>
      </c>
    </row>
    <row r="777" customFormat="false" ht="15" hidden="false" customHeight="true" outlineLevel="0" collapsed="false">
      <c r="A777" s="1" t="s">
        <v>634</v>
      </c>
      <c r="B777" s="1" t="s">
        <v>34</v>
      </c>
      <c r="C777" s="1" t="s">
        <v>34</v>
      </c>
      <c r="D777" s="1" t="s">
        <v>10</v>
      </c>
      <c r="E777" s="82" t="n">
        <v>6445</v>
      </c>
      <c r="F777" s="26" t="n">
        <v>0.205567317891841</v>
      </c>
      <c r="G777" s="26" t="n">
        <v>1324.8813638129</v>
      </c>
      <c r="H777" s="1" t="s">
        <v>446</v>
      </c>
    </row>
    <row r="778" customFormat="false" ht="15" hidden="false" customHeight="true" outlineLevel="0" collapsed="false">
      <c r="A778" s="1" t="s">
        <v>634</v>
      </c>
      <c r="B778" s="1" t="s">
        <v>34</v>
      </c>
      <c r="C778" s="1" t="s">
        <v>34</v>
      </c>
      <c r="D778" s="1" t="s">
        <v>12</v>
      </c>
      <c r="E778" s="82" t="n">
        <v>13418</v>
      </c>
      <c r="F778" s="26" t="n">
        <v>0.205567317891841</v>
      </c>
      <c r="G778" s="26" t="n">
        <v>2758.3022714727</v>
      </c>
      <c r="H778" s="1" t="s">
        <v>446</v>
      </c>
    </row>
    <row r="779" customFormat="false" ht="15" hidden="false" customHeight="true" outlineLevel="0" collapsed="false">
      <c r="A779" s="1" t="s">
        <v>634</v>
      </c>
      <c r="B779" s="1" t="s">
        <v>34</v>
      </c>
      <c r="C779" s="1" t="s">
        <v>34</v>
      </c>
      <c r="D779" s="1" t="s">
        <v>13</v>
      </c>
      <c r="E779" s="82" t="n">
        <v>14441</v>
      </c>
      <c r="F779" s="26" t="n">
        <v>0.205567317891841</v>
      </c>
      <c r="G779" s="26" t="n">
        <v>2968.5976376761</v>
      </c>
      <c r="H779" s="1" t="s">
        <v>446</v>
      </c>
    </row>
    <row r="780" customFormat="false" ht="15" hidden="false" customHeight="true" outlineLevel="0" collapsed="false">
      <c r="A780" s="1" t="s">
        <v>634</v>
      </c>
      <c r="B780" s="1" t="s">
        <v>34</v>
      </c>
      <c r="C780" s="1" t="s">
        <v>34</v>
      </c>
      <c r="D780" s="1" t="s">
        <v>14</v>
      </c>
      <c r="E780" s="82" t="n">
        <v>3704</v>
      </c>
      <c r="F780" s="26" t="n">
        <v>0.205567317891841</v>
      </c>
      <c r="G780" s="26" t="n">
        <v>761.4213454714</v>
      </c>
      <c r="H780" s="1" t="s">
        <v>446</v>
      </c>
    </row>
    <row r="781" customFormat="false" ht="15" hidden="false" customHeight="true" outlineLevel="0" collapsed="false">
      <c r="A781" s="1" t="s">
        <v>634</v>
      </c>
      <c r="B781" s="1" t="s">
        <v>34</v>
      </c>
      <c r="C781" s="1" t="s">
        <v>34</v>
      </c>
      <c r="D781" s="1" t="s">
        <v>15</v>
      </c>
      <c r="E781" s="82" t="n">
        <v>6434</v>
      </c>
      <c r="F781" s="26" t="n">
        <v>0.205567317891841</v>
      </c>
      <c r="G781" s="26" t="n">
        <v>1322.6201233161</v>
      </c>
      <c r="H781" s="1" t="s">
        <v>446</v>
      </c>
    </row>
    <row r="782" customFormat="false" ht="15" hidden="false" customHeight="true" outlineLevel="0" collapsed="false">
      <c r="A782" s="1" t="s">
        <v>634</v>
      </c>
      <c r="B782" s="1" t="s">
        <v>34</v>
      </c>
      <c r="C782" s="1" t="s">
        <v>34</v>
      </c>
      <c r="D782" s="1" t="s">
        <v>16</v>
      </c>
      <c r="E782" s="82" t="n">
        <v>4749</v>
      </c>
      <c r="F782" s="26" t="n">
        <v>0.205567317891841</v>
      </c>
      <c r="G782" s="26" t="n">
        <v>976.2391926684</v>
      </c>
      <c r="H782" s="1" t="s">
        <v>446</v>
      </c>
    </row>
    <row r="783" customFormat="false" ht="15" hidden="false" customHeight="true" outlineLevel="0" collapsed="false">
      <c r="A783" s="1" t="s">
        <v>634</v>
      </c>
      <c r="B783" s="1" t="s">
        <v>34</v>
      </c>
      <c r="C783" s="1" t="s">
        <v>34</v>
      </c>
      <c r="D783" s="1" t="s">
        <v>17</v>
      </c>
      <c r="E783" s="82" t="n">
        <v>4795</v>
      </c>
      <c r="F783" s="26" t="n">
        <v>0.205567317891841</v>
      </c>
      <c r="G783" s="26" t="n">
        <v>985.6952892914</v>
      </c>
      <c r="H783" s="1" t="s">
        <v>446</v>
      </c>
    </row>
    <row r="784" customFormat="false" ht="15" hidden="false" customHeight="true" outlineLevel="0" collapsed="false">
      <c r="A784" s="1" t="s">
        <v>665</v>
      </c>
      <c r="B784" s="1" t="s">
        <v>34</v>
      </c>
      <c r="C784" s="1" t="s">
        <v>34</v>
      </c>
      <c r="D784" s="1" t="s">
        <v>10</v>
      </c>
      <c r="E784" s="82" t="n">
        <v>6588</v>
      </c>
      <c r="F784" s="26" t="n">
        <v>0.223794919634128</v>
      </c>
      <c r="G784" s="26" t="n">
        <v>1474.3609305496</v>
      </c>
      <c r="H784" s="1" t="s">
        <v>446</v>
      </c>
    </row>
    <row r="785" customFormat="false" ht="15" hidden="false" customHeight="true" outlineLevel="0" collapsed="false">
      <c r="A785" s="1" t="s">
        <v>665</v>
      </c>
      <c r="B785" s="1" t="s">
        <v>34</v>
      </c>
      <c r="C785" s="1" t="s">
        <v>34</v>
      </c>
      <c r="D785" s="1" t="s">
        <v>12</v>
      </c>
      <c r="E785" s="82" t="n">
        <v>13530</v>
      </c>
      <c r="F785" s="26" t="n">
        <v>0.223794919634128</v>
      </c>
      <c r="G785" s="26" t="n">
        <v>3027.9452626498</v>
      </c>
      <c r="H785" s="1" t="s">
        <v>446</v>
      </c>
    </row>
    <row r="786" customFormat="false" ht="15" hidden="false" customHeight="true" outlineLevel="0" collapsed="false">
      <c r="A786" s="1" t="s">
        <v>665</v>
      </c>
      <c r="B786" s="1" t="s">
        <v>34</v>
      </c>
      <c r="C786" s="1" t="s">
        <v>34</v>
      </c>
      <c r="D786" s="1" t="s">
        <v>13</v>
      </c>
      <c r="E786" s="82" t="n">
        <v>14689</v>
      </c>
      <c r="F786" s="26" t="n">
        <v>0.223794919634128</v>
      </c>
      <c r="G786" s="26" t="n">
        <v>3287.3235745057</v>
      </c>
      <c r="H786" s="1" t="s">
        <v>446</v>
      </c>
    </row>
    <row r="787" customFormat="false" ht="15" hidden="false" customHeight="true" outlineLevel="0" collapsed="false">
      <c r="A787" s="1" t="s">
        <v>665</v>
      </c>
      <c r="B787" s="1" t="s">
        <v>34</v>
      </c>
      <c r="C787" s="1" t="s">
        <v>34</v>
      </c>
      <c r="D787" s="1" t="s">
        <v>14</v>
      </c>
      <c r="E787" s="82" t="n">
        <v>3765</v>
      </c>
      <c r="F787" s="26" t="n">
        <v>0.223794919634128</v>
      </c>
      <c r="G787" s="26" t="n">
        <v>842.5878724225</v>
      </c>
      <c r="H787" s="1" t="s">
        <v>446</v>
      </c>
    </row>
    <row r="788" customFormat="false" ht="15" hidden="false" customHeight="true" outlineLevel="0" collapsed="false">
      <c r="A788" s="1" t="s">
        <v>665</v>
      </c>
      <c r="B788" s="1" t="s">
        <v>34</v>
      </c>
      <c r="C788" s="1" t="s">
        <v>34</v>
      </c>
      <c r="D788" s="1" t="s">
        <v>15</v>
      </c>
      <c r="E788" s="82" t="n">
        <v>6568</v>
      </c>
      <c r="F788" s="26" t="n">
        <v>0.223794919634128</v>
      </c>
      <c r="G788" s="26" t="n">
        <v>1469.885032157</v>
      </c>
      <c r="H788" s="1" t="s">
        <v>446</v>
      </c>
    </row>
    <row r="789" customFormat="false" ht="15" hidden="false" customHeight="true" outlineLevel="0" collapsed="false">
      <c r="A789" s="1" t="s">
        <v>665</v>
      </c>
      <c r="B789" s="1" t="s">
        <v>34</v>
      </c>
      <c r="C789" s="1" t="s">
        <v>34</v>
      </c>
      <c r="D789" s="1" t="s">
        <v>16</v>
      </c>
      <c r="E789" s="82" t="n">
        <v>4805</v>
      </c>
      <c r="F789" s="26" t="n">
        <v>0.223794919634128</v>
      </c>
      <c r="G789" s="26" t="n">
        <v>1075.334588842</v>
      </c>
      <c r="H789" s="1" t="s">
        <v>446</v>
      </c>
    </row>
    <row r="790" customFormat="false" ht="15" hidden="false" customHeight="true" outlineLevel="0" collapsed="false">
      <c r="A790" s="1" t="s">
        <v>665</v>
      </c>
      <c r="B790" s="1" t="s">
        <v>34</v>
      </c>
      <c r="C790" s="1" t="s">
        <v>34</v>
      </c>
      <c r="D790" s="1" t="s">
        <v>17</v>
      </c>
      <c r="E790" s="82" t="n">
        <v>4806</v>
      </c>
      <c r="F790" s="26" t="n">
        <v>0.223794919634128</v>
      </c>
      <c r="G790" s="26" t="n">
        <v>1075.5583837616</v>
      </c>
      <c r="H790" s="1" t="s">
        <v>446</v>
      </c>
    </row>
    <row r="791" customFormat="false" ht="15" hidden="false" customHeight="true" outlineLevel="0" collapsed="false">
      <c r="A791" s="1" t="s">
        <v>444</v>
      </c>
      <c r="B791" s="1" t="s">
        <v>35</v>
      </c>
      <c r="C791" s="1" t="s">
        <v>35</v>
      </c>
      <c r="D791" s="1" t="s">
        <v>10</v>
      </c>
      <c r="E791" s="82" t="n">
        <v>6280</v>
      </c>
      <c r="F791" s="26" t="n">
        <v>0.0855440852571775</v>
      </c>
      <c r="G791" s="26" t="n">
        <v>537.216855415075</v>
      </c>
      <c r="H791" s="1" t="s">
        <v>446</v>
      </c>
    </row>
    <row r="792" customFormat="false" ht="15" hidden="false" customHeight="true" outlineLevel="0" collapsed="false">
      <c r="A792" s="1" t="s">
        <v>444</v>
      </c>
      <c r="B792" s="1" t="s">
        <v>35</v>
      </c>
      <c r="C792" s="1" t="s">
        <v>35</v>
      </c>
      <c r="D792" s="1" t="s">
        <v>13</v>
      </c>
      <c r="E792" s="82" t="n">
        <v>14331</v>
      </c>
      <c r="F792" s="26" t="n">
        <v>0.0855440852571775</v>
      </c>
      <c r="G792" s="26" t="n">
        <v>1225.93228582061</v>
      </c>
      <c r="H792" s="1" t="s">
        <v>446</v>
      </c>
    </row>
    <row r="793" customFormat="false" ht="15" hidden="false" customHeight="true" outlineLevel="0" collapsed="false">
      <c r="A793" s="1" t="s">
        <v>444</v>
      </c>
      <c r="B793" s="1" t="s">
        <v>35</v>
      </c>
      <c r="C793" s="1" t="s">
        <v>35</v>
      </c>
      <c r="D793" s="1" t="s">
        <v>14</v>
      </c>
      <c r="E793" s="82" t="n">
        <v>3650</v>
      </c>
      <c r="F793" s="26" t="n">
        <v>0.0855440852571775</v>
      </c>
      <c r="G793" s="26" t="n">
        <v>312.235911188698</v>
      </c>
      <c r="H793" s="1" t="s">
        <v>446</v>
      </c>
    </row>
    <row r="794" customFormat="false" ht="15" hidden="false" customHeight="true" outlineLevel="0" collapsed="false">
      <c r="A794" s="1" t="s">
        <v>444</v>
      </c>
      <c r="B794" s="1" t="s">
        <v>35</v>
      </c>
      <c r="C794" s="1" t="s">
        <v>35</v>
      </c>
      <c r="D794" s="1" t="s">
        <v>15</v>
      </c>
      <c r="E794" s="82" t="n">
        <v>6396</v>
      </c>
      <c r="F794" s="26" t="n">
        <v>0.0855440852571775</v>
      </c>
      <c r="G794" s="26" t="n">
        <v>547.139969304907</v>
      </c>
      <c r="H794" s="1" t="s">
        <v>446</v>
      </c>
    </row>
    <row r="795" customFormat="false" ht="15" hidden="false" customHeight="true" outlineLevel="0" collapsed="false">
      <c r="A795" s="1" t="s">
        <v>444</v>
      </c>
      <c r="B795" s="1" t="s">
        <v>35</v>
      </c>
      <c r="C795" s="1" t="s">
        <v>35</v>
      </c>
      <c r="D795" s="1" t="s">
        <v>16</v>
      </c>
      <c r="E795" s="82" t="n">
        <v>4730</v>
      </c>
      <c r="F795" s="26" t="n">
        <v>0.0855440852571775</v>
      </c>
      <c r="G795" s="26" t="n">
        <v>404.62352326645</v>
      </c>
      <c r="H795" s="1" t="s">
        <v>446</v>
      </c>
    </row>
    <row r="796" customFormat="false" ht="15" hidden="false" customHeight="true" outlineLevel="0" collapsed="false">
      <c r="A796" s="1" t="s">
        <v>444</v>
      </c>
      <c r="B796" s="1" t="s">
        <v>35</v>
      </c>
      <c r="C796" s="1" t="s">
        <v>35</v>
      </c>
      <c r="D796" s="1" t="s">
        <v>17</v>
      </c>
      <c r="E796" s="82" t="n">
        <v>4782</v>
      </c>
      <c r="F796" s="26" t="n">
        <v>0.0855440852571775</v>
      </c>
      <c r="G796" s="26" t="n">
        <v>409.071815699823</v>
      </c>
      <c r="H796" s="1" t="s">
        <v>446</v>
      </c>
    </row>
    <row r="797" customFormat="false" ht="15" hidden="false" customHeight="true" outlineLevel="0" collapsed="false">
      <c r="A797" s="1" t="s">
        <v>634</v>
      </c>
      <c r="B797" s="1" t="s">
        <v>35</v>
      </c>
      <c r="C797" s="1" t="s">
        <v>35</v>
      </c>
      <c r="D797" s="1" t="s">
        <v>10</v>
      </c>
      <c r="E797" s="82" t="n">
        <v>6445</v>
      </c>
      <c r="F797" s="26" t="n">
        <v>0.0861250796795369</v>
      </c>
      <c r="G797" s="26" t="n">
        <v>555.076138534615</v>
      </c>
      <c r="H797" s="1" t="s">
        <v>446</v>
      </c>
    </row>
    <row r="798" customFormat="false" ht="15" hidden="false" customHeight="true" outlineLevel="0" collapsed="false">
      <c r="A798" s="1" t="s">
        <v>634</v>
      </c>
      <c r="B798" s="1" t="s">
        <v>35</v>
      </c>
      <c r="C798" s="1" t="s">
        <v>35</v>
      </c>
      <c r="D798" s="1" t="s">
        <v>13</v>
      </c>
      <c r="E798" s="82" t="n">
        <v>14441</v>
      </c>
      <c r="F798" s="26" t="n">
        <v>0.0861250796795369</v>
      </c>
      <c r="G798" s="26" t="n">
        <v>1243.73227565219</v>
      </c>
      <c r="H798" s="1" t="s">
        <v>446</v>
      </c>
    </row>
    <row r="799" customFormat="false" ht="15" hidden="false" customHeight="true" outlineLevel="0" collapsed="false">
      <c r="A799" s="1" t="s">
        <v>634</v>
      </c>
      <c r="B799" s="1" t="s">
        <v>35</v>
      </c>
      <c r="C799" s="1" t="s">
        <v>35</v>
      </c>
      <c r="D799" s="1" t="s">
        <v>14</v>
      </c>
      <c r="E799" s="82" t="n">
        <v>3704</v>
      </c>
      <c r="F799" s="26" t="n">
        <v>0.0861250796795369</v>
      </c>
      <c r="G799" s="26" t="n">
        <v>319.007295133005</v>
      </c>
      <c r="H799" s="1" t="s">
        <v>446</v>
      </c>
    </row>
    <row r="800" customFormat="false" ht="15" hidden="false" customHeight="true" outlineLevel="0" collapsed="false">
      <c r="A800" s="1" t="s">
        <v>634</v>
      </c>
      <c r="B800" s="1" t="s">
        <v>35</v>
      </c>
      <c r="C800" s="1" t="s">
        <v>35</v>
      </c>
      <c r="D800" s="1" t="s">
        <v>15</v>
      </c>
      <c r="E800" s="82" t="n">
        <v>6434</v>
      </c>
      <c r="F800" s="26" t="n">
        <v>0.0861250796795369</v>
      </c>
      <c r="G800" s="26" t="n">
        <v>554.12876265814</v>
      </c>
      <c r="H800" s="1" t="s">
        <v>446</v>
      </c>
    </row>
    <row r="801" customFormat="false" ht="15" hidden="false" customHeight="true" outlineLevel="0" collapsed="false">
      <c r="A801" s="1" t="s">
        <v>634</v>
      </c>
      <c r="B801" s="1" t="s">
        <v>35</v>
      </c>
      <c r="C801" s="1" t="s">
        <v>35</v>
      </c>
      <c r="D801" s="1" t="s">
        <v>16</v>
      </c>
      <c r="E801" s="82" t="n">
        <v>4749</v>
      </c>
      <c r="F801" s="26" t="n">
        <v>0.0861250796795369</v>
      </c>
      <c r="G801" s="26" t="n">
        <v>409.008003398121</v>
      </c>
      <c r="H801" s="1" t="s">
        <v>446</v>
      </c>
    </row>
    <row r="802" customFormat="false" ht="15" hidden="false" customHeight="true" outlineLevel="0" collapsed="false">
      <c r="A802" s="1" t="s">
        <v>634</v>
      </c>
      <c r="B802" s="1" t="s">
        <v>35</v>
      </c>
      <c r="C802" s="1" t="s">
        <v>35</v>
      </c>
      <c r="D802" s="1" t="s">
        <v>17</v>
      </c>
      <c r="E802" s="82" t="n">
        <v>4795</v>
      </c>
      <c r="F802" s="26" t="n">
        <v>0.0861250796795369</v>
      </c>
      <c r="G802" s="26" t="n">
        <v>412.96975706338</v>
      </c>
      <c r="H802" s="1" t="s">
        <v>446</v>
      </c>
    </row>
    <row r="803" customFormat="false" ht="15" hidden="false" customHeight="true" outlineLevel="0" collapsed="false">
      <c r="A803" s="1" t="s">
        <v>665</v>
      </c>
      <c r="B803" s="1" t="s">
        <v>35</v>
      </c>
      <c r="C803" s="1" t="s">
        <v>35</v>
      </c>
      <c r="D803" s="1" t="s">
        <v>10</v>
      </c>
      <c r="E803" s="82" t="n">
        <v>6588</v>
      </c>
      <c r="F803" s="26" t="n">
        <v>0.055610036180276</v>
      </c>
      <c r="G803" s="26" t="n">
        <v>366.358918355658</v>
      </c>
      <c r="H803" s="1" t="s">
        <v>446</v>
      </c>
    </row>
    <row r="804" customFormat="false" ht="15" hidden="false" customHeight="true" outlineLevel="0" collapsed="false">
      <c r="A804" s="1" t="s">
        <v>665</v>
      </c>
      <c r="B804" s="1" t="s">
        <v>35</v>
      </c>
      <c r="C804" s="1" t="s">
        <v>35</v>
      </c>
      <c r="D804" s="1" t="s">
        <v>13</v>
      </c>
      <c r="E804" s="82" t="n">
        <v>14689</v>
      </c>
      <c r="F804" s="26" t="n">
        <v>0.055610036180276</v>
      </c>
      <c r="G804" s="26" t="n">
        <v>816.855821452074</v>
      </c>
      <c r="H804" s="1" t="s">
        <v>446</v>
      </c>
    </row>
    <row r="805" customFormat="false" ht="15" hidden="false" customHeight="true" outlineLevel="0" collapsed="false">
      <c r="A805" s="1" t="s">
        <v>665</v>
      </c>
      <c r="B805" s="1" t="s">
        <v>35</v>
      </c>
      <c r="C805" s="1" t="s">
        <v>35</v>
      </c>
      <c r="D805" s="1" t="s">
        <v>14</v>
      </c>
      <c r="E805" s="82" t="n">
        <v>3765</v>
      </c>
      <c r="F805" s="26" t="n">
        <v>0.055610036180276</v>
      </c>
      <c r="G805" s="26" t="n">
        <v>209.371786218739</v>
      </c>
      <c r="H805" s="1" t="s">
        <v>446</v>
      </c>
    </row>
    <row r="806" customFormat="false" ht="15" hidden="false" customHeight="true" outlineLevel="0" collapsed="false">
      <c r="A806" s="1" t="s">
        <v>665</v>
      </c>
      <c r="B806" s="1" t="s">
        <v>35</v>
      </c>
      <c r="C806" s="1" t="s">
        <v>35</v>
      </c>
      <c r="D806" s="1" t="s">
        <v>15</v>
      </c>
      <c r="E806" s="82" t="n">
        <v>6568</v>
      </c>
      <c r="F806" s="26" t="n">
        <v>0.055610036180276</v>
      </c>
      <c r="G806" s="26" t="n">
        <v>365.246717632053</v>
      </c>
      <c r="H806" s="1" t="s">
        <v>446</v>
      </c>
    </row>
    <row r="807" customFormat="false" ht="15" hidden="false" customHeight="true" outlineLevel="0" collapsed="false">
      <c r="A807" s="1" t="s">
        <v>665</v>
      </c>
      <c r="B807" s="1" t="s">
        <v>35</v>
      </c>
      <c r="C807" s="1" t="s">
        <v>35</v>
      </c>
      <c r="D807" s="1" t="s">
        <v>16</v>
      </c>
      <c r="E807" s="82" t="n">
        <v>4805</v>
      </c>
      <c r="F807" s="26" t="n">
        <v>0.055610036180276</v>
      </c>
      <c r="G807" s="26" t="n">
        <v>267.206223846226</v>
      </c>
      <c r="H807" s="1" t="s">
        <v>446</v>
      </c>
    </row>
    <row r="808" customFormat="false" ht="15" hidden="false" customHeight="true" outlineLevel="0" collapsed="false">
      <c r="A808" s="1" t="s">
        <v>665</v>
      </c>
      <c r="B808" s="1" t="s">
        <v>35</v>
      </c>
      <c r="C808" s="1" t="s">
        <v>35</v>
      </c>
      <c r="D808" s="1" t="s">
        <v>17</v>
      </c>
      <c r="E808" s="82" t="n">
        <v>4806</v>
      </c>
      <c r="F808" s="26" t="n">
        <v>0.055610036180276</v>
      </c>
      <c r="G808" s="26" t="n">
        <v>267.261833882406</v>
      </c>
      <c r="H808" s="1" t="s">
        <v>446</v>
      </c>
    </row>
    <row r="809" customFormat="false" ht="15" hidden="false" customHeight="true" outlineLevel="0" collapsed="false">
      <c r="A809" s="1" t="s">
        <v>444</v>
      </c>
      <c r="B809" s="1" t="s">
        <v>614</v>
      </c>
      <c r="C809" s="1" t="s">
        <v>615</v>
      </c>
      <c r="D809" s="1" t="s">
        <v>10</v>
      </c>
      <c r="E809" s="82" t="n">
        <v>6280</v>
      </c>
      <c r="F809" s="26" t="n">
        <v>2.35573300476439</v>
      </c>
      <c r="G809" s="26" t="n">
        <v>14794.00327</v>
      </c>
      <c r="H809" s="1" t="s">
        <v>446</v>
      </c>
    </row>
    <row r="810" customFormat="false" ht="15" hidden="false" customHeight="true" outlineLevel="0" collapsed="false">
      <c r="A810" s="1" t="s">
        <v>444</v>
      </c>
      <c r="B810" s="1" t="s">
        <v>614</v>
      </c>
      <c r="C810" s="1" t="s">
        <v>615</v>
      </c>
      <c r="D810" s="1" t="s">
        <v>13</v>
      </c>
      <c r="E810" s="82" t="n">
        <v>14331</v>
      </c>
      <c r="F810" s="26" t="n">
        <v>2.35573300476439</v>
      </c>
      <c r="G810" s="26" t="n">
        <v>33760.009691</v>
      </c>
      <c r="H810" s="1" t="s">
        <v>446</v>
      </c>
    </row>
    <row r="811" customFormat="false" ht="15" hidden="false" customHeight="true" outlineLevel="0" collapsed="false">
      <c r="A811" s="1" t="s">
        <v>444</v>
      </c>
      <c r="B811" s="1" t="s">
        <v>614</v>
      </c>
      <c r="C811" s="1" t="s">
        <v>615</v>
      </c>
      <c r="D811" s="1" t="s">
        <v>14</v>
      </c>
      <c r="E811" s="82" t="n">
        <v>3650</v>
      </c>
      <c r="F811" s="26" t="n">
        <v>2.35573300476439</v>
      </c>
      <c r="G811" s="26" t="n">
        <v>8598.425467</v>
      </c>
      <c r="H811" s="1" t="s">
        <v>446</v>
      </c>
    </row>
    <row r="812" customFormat="false" ht="15" hidden="false" customHeight="true" outlineLevel="0" collapsed="false">
      <c r="A812" s="1" t="s">
        <v>444</v>
      </c>
      <c r="B812" s="1" t="s">
        <v>614</v>
      </c>
      <c r="C812" s="1" t="s">
        <v>615</v>
      </c>
      <c r="D812" s="1" t="s">
        <v>15</v>
      </c>
      <c r="E812" s="82" t="n">
        <v>6396</v>
      </c>
      <c r="F812" s="26" t="n">
        <v>2.35573300476439</v>
      </c>
      <c r="G812" s="26" t="n">
        <v>15067.268298</v>
      </c>
      <c r="H812" s="1" t="s">
        <v>446</v>
      </c>
    </row>
    <row r="813" customFormat="false" ht="15" hidden="false" customHeight="true" outlineLevel="0" collapsed="false">
      <c r="A813" s="1" t="s">
        <v>444</v>
      </c>
      <c r="B813" s="1" t="s">
        <v>614</v>
      </c>
      <c r="C813" s="1" t="s">
        <v>615</v>
      </c>
      <c r="D813" s="1" t="s">
        <v>16</v>
      </c>
      <c r="E813" s="82" t="n">
        <v>4730</v>
      </c>
      <c r="F813" s="26" t="n">
        <v>2.35573300476439</v>
      </c>
      <c r="G813" s="26" t="n">
        <v>11142.617113</v>
      </c>
      <c r="H813" s="1" t="s">
        <v>446</v>
      </c>
    </row>
    <row r="814" customFormat="false" ht="15" hidden="false" customHeight="true" outlineLevel="0" collapsed="false">
      <c r="A814" s="1" t="s">
        <v>444</v>
      </c>
      <c r="B814" s="1" t="s">
        <v>614</v>
      </c>
      <c r="C814" s="1" t="s">
        <v>615</v>
      </c>
      <c r="D814" s="1" t="s">
        <v>17</v>
      </c>
      <c r="E814" s="82" t="n">
        <v>4782</v>
      </c>
      <c r="F814" s="26" t="n">
        <v>2.35573300476439</v>
      </c>
      <c r="G814" s="26" t="n">
        <v>11265.115229</v>
      </c>
      <c r="H814" s="1" t="s">
        <v>446</v>
      </c>
    </row>
    <row r="815" customFormat="false" ht="15" hidden="false" customHeight="true" outlineLevel="0" collapsed="false">
      <c r="A815" s="1" t="s">
        <v>634</v>
      </c>
      <c r="B815" s="1" t="s">
        <v>614</v>
      </c>
      <c r="C815" s="1" t="s">
        <v>615</v>
      </c>
      <c r="D815" s="1" t="s">
        <v>10</v>
      </c>
      <c r="E815" s="82" t="n">
        <v>6445</v>
      </c>
      <c r="F815" s="26" t="n">
        <v>2.99991610765306</v>
      </c>
      <c r="G815" s="26" t="n">
        <v>19334.459314</v>
      </c>
      <c r="H815" s="1" t="s">
        <v>446</v>
      </c>
    </row>
    <row r="816" customFormat="false" ht="15" hidden="false" customHeight="true" outlineLevel="0" collapsed="false">
      <c r="A816" s="1" t="s">
        <v>634</v>
      </c>
      <c r="B816" s="1" t="s">
        <v>614</v>
      </c>
      <c r="C816" s="1" t="s">
        <v>615</v>
      </c>
      <c r="D816" s="1" t="s">
        <v>13</v>
      </c>
      <c r="E816" s="82" t="n">
        <v>14441</v>
      </c>
      <c r="F816" s="26" t="n">
        <v>2.99991610765306</v>
      </c>
      <c r="G816" s="26" t="n">
        <v>43321.788511</v>
      </c>
      <c r="H816" s="1" t="s">
        <v>446</v>
      </c>
    </row>
    <row r="817" customFormat="false" ht="15" hidden="false" customHeight="true" outlineLevel="0" collapsed="false">
      <c r="A817" s="1" t="s">
        <v>634</v>
      </c>
      <c r="B817" s="1" t="s">
        <v>614</v>
      </c>
      <c r="C817" s="1" t="s">
        <v>615</v>
      </c>
      <c r="D817" s="1" t="s">
        <v>14</v>
      </c>
      <c r="E817" s="82" t="n">
        <v>3704</v>
      </c>
      <c r="F817" s="26" t="n">
        <v>2.99991610765306</v>
      </c>
      <c r="G817" s="26" t="n">
        <v>11111.689263</v>
      </c>
      <c r="H817" s="1" t="s">
        <v>446</v>
      </c>
    </row>
    <row r="818" customFormat="false" ht="15" hidden="false" customHeight="true" outlineLevel="0" collapsed="false">
      <c r="A818" s="1" t="s">
        <v>634</v>
      </c>
      <c r="B818" s="1" t="s">
        <v>614</v>
      </c>
      <c r="C818" s="1" t="s">
        <v>615</v>
      </c>
      <c r="D818" s="1" t="s">
        <v>15</v>
      </c>
      <c r="E818" s="82" t="n">
        <v>6434</v>
      </c>
      <c r="F818" s="26" t="n">
        <v>2.99991610765306</v>
      </c>
      <c r="G818" s="26" t="n">
        <v>19301.460237</v>
      </c>
      <c r="H818" s="1" t="s">
        <v>446</v>
      </c>
    </row>
    <row r="819" customFormat="false" ht="15" hidden="false" customHeight="true" outlineLevel="0" collapsed="false">
      <c r="A819" s="1" t="s">
        <v>634</v>
      </c>
      <c r="B819" s="1" t="s">
        <v>614</v>
      </c>
      <c r="C819" s="1" t="s">
        <v>615</v>
      </c>
      <c r="D819" s="1" t="s">
        <v>16</v>
      </c>
      <c r="E819" s="82" t="n">
        <v>4749</v>
      </c>
      <c r="F819" s="26" t="n">
        <v>2.99991610765306</v>
      </c>
      <c r="G819" s="26" t="n">
        <v>14246.601595</v>
      </c>
      <c r="H819" s="1" t="s">
        <v>446</v>
      </c>
    </row>
    <row r="820" customFormat="false" ht="15" hidden="false" customHeight="true" outlineLevel="0" collapsed="false">
      <c r="A820" s="1" t="s">
        <v>634</v>
      </c>
      <c r="B820" s="1" t="s">
        <v>614</v>
      </c>
      <c r="C820" s="1" t="s">
        <v>615</v>
      </c>
      <c r="D820" s="1" t="s">
        <v>17</v>
      </c>
      <c r="E820" s="82" t="n">
        <v>4795</v>
      </c>
      <c r="F820" s="26" t="n">
        <v>2.99991610765306</v>
      </c>
      <c r="G820" s="26" t="n">
        <v>14384.597736</v>
      </c>
      <c r="H820" s="1" t="s">
        <v>446</v>
      </c>
    </row>
    <row r="821" customFormat="false" ht="15" hidden="false" customHeight="true" outlineLevel="0" collapsed="false">
      <c r="A821" s="1" t="s">
        <v>665</v>
      </c>
      <c r="B821" s="1" t="s">
        <v>614</v>
      </c>
      <c r="C821" s="1" t="s">
        <v>615</v>
      </c>
      <c r="D821" s="1" t="s">
        <v>10</v>
      </c>
      <c r="E821" s="82" t="n">
        <v>6588</v>
      </c>
      <c r="F821" s="26" t="n">
        <v>3.18253026831306</v>
      </c>
      <c r="G821" s="26" t="n">
        <v>20966.509408</v>
      </c>
      <c r="H821" s="1" t="s">
        <v>446</v>
      </c>
    </row>
    <row r="822" customFormat="false" ht="15" hidden="false" customHeight="true" outlineLevel="0" collapsed="false">
      <c r="A822" s="1" t="s">
        <v>665</v>
      </c>
      <c r="B822" s="1" t="s">
        <v>614</v>
      </c>
      <c r="C822" s="1" t="s">
        <v>615</v>
      </c>
      <c r="D822" s="1" t="s">
        <v>13</v>
      </c>
      <c r="E822" s="82" t="n">
        <v>14689</v>
      </c>
      <c r="F822" s="26" t="n">
        <v>3.18253026831306</v>
      </c>
      <c r="G822" s="26" t="n">
        <v>46748.187111</v>
      </c>
      <c r="H822" s="1" t="s">
        <v>446</v>
      </c>
    </row>
    <row r="823" customFormat="false" ht="15" hidden="false" customHeight="true" outlineLevel="0" collapsed="false">
      <c r="A823" s="1" t="s">
        <v>665</v>
      </c>
      <c r="B823" s="1" t="s">
        <v>614</v>
      </c>
      <c r="C823" s="1" t="s">
        <v>615</v>
      </c>
      <c r="D823" s="1" t="s">
        <v>14</v>
      </c>
      <c r="E823" s="82" t="n">
        <v>3765</v>
      </c>
      <c r="F823" s="26" t="n">
        <v>3.18253026831306</v>
      </c>
      <c r="G823" s="26" t="n">
        <v>11982.22646</v>
      </c>
      <c r="H823" s="1" t="s">
        <v>446</v>
      </c>
    </row>
    <row r="824" customFormat="false" ht="15" hidden="false" customHeight="true" outlineLevel="0" collapsed="false">
      <c r="A824" s="1" t="s">
        <v>665</v>
      </c>
      <c r="B824" s="1" t="s">
        <v>614</v>
      </c>
      <c r="C824" s="1" t="s">
        <v>615</v>
      </c>
      <c r="D824" s="1" t="s">
        <v>15</v>
      </c>
      <c r="E824" s="82" t="n">
        <v>6568</v>
      </c>
      <c r="F824" s="26" t="n">
        <v>3.18253026831306</v>
      </c>
      <c r="G824" s="26" t="n">
        <v>20902.858802</v>
      </c>
      <c r="H824" s="1" t="s">
        <v>446</v>
      </c>
    </row>
    <row r="825" customFormat="false" ht="15" hidden="false" customHeight="true" outlineLevel="0" collapsed="false">
      <c r="A825" s="1" t="s">
        <v>665</v>
      </c>
      <c r="B825" s="1" t="s">
        <v>614</v>
      </c>
      <c r="C825" s="1" t="s">
        <v>615</v>
      </c>
      <c r="D825" s="1" t="s">
        <v>16</v>
      </c>
      <c r="E825" s="82" t="n">
        <v>4805</v>
      </c>
      <c r="F825" s="26" t="n">
        <v>3.18253026831306</v>
      </c>
      <c r="G825" s="26" t="n">
        <v>15292.057939</v>
      </c>
      <c r="H825" s="1" t="s">
        <v>446</v>
      </c>
    </row>
    <row r="826" customFormat="false" ht="15" hidden="false" customHeight="true" outlineLevel="0" collapsed="false">
      <c r="A826" s="1" t="s">
        <v>665</v>
      </c>
      <c r="B826" s="1" t="s">
        <v>614</v>
      </c>
      <c r="C826" s="1" t="s">
        <v>615</v>
      </c>
      <c r="D826" s="1" t="s">
        <v>17</v>
      </c>
      <c r="E826" s="82" t="n">
        <v>4806</v>
      </c>
      <c r="F826" s="26" t="n">
        <v>3.18253026831306</v>
      </c>
      <c r="G826" s="26" t="n">
        <v>15295.24047</v>
      </c>
      <c r="H826" s="1" t="s">
        <v>446</v>
      </c>
    </row>
    <row r="827" customFormat="false" ht="15" hidden="false" customHeight="true" outlineLevel="0" collapsed="false">
      <c r="A827" s="1" t="s">
        <v>444</v>
      </c>
      <c r="B827" s="1" t="s">
        <v>141</v>
      </c>
      <c r="C827" s="1" t="s">
        <v>520</v>
      </c>
      <c r="D827" s="1" t="s">
        <v>10</v>
      </c>
      <c r="E827" s="82" t="n">
        <v>6280</v>
      </c>
      <c r="F827" s="26" t="n">
        <v>0.0959225828032635</v>
      </c>
      <c r="G827" s="26" t="n">
        <v>602.39382</v>
      </c>
      <c r="H827" s="1" t="s">
        <v>446</v>
      </c>
    </row>
    <row r="828" customFormat="false" ht="15" hidden="false" customHeight="true" outlineLevel="0" collapsed="false">
      <c r="A828" s="1" t="s">
        <v>444</v>
      </c>
      <c r="B828" s="1" t="s">
        <v>141</v>
      </c>
      <c r="C828" s="1" t="s">
        <v>520</v>
      </c>
      <c r="D828" s="1" t="s">
        <v>13</v>
      </c>
      <c r="E828" s="82" t="n">
        <v>14331</v>
      </c>
      <c r="F828" s="26" t="n">
        <v>0.0959225828032635</v>
      </c>
      <c r="G828" s="26" t="n">
        <v>1374.666534</v>
      </c>
      <c r="H828" s="1" t="s">
        <v>446</v>
      </c>
    </row>
    <row r="829" customFormat="false" ht="15" hidden="false" customHeight="true" outlineLevel="0" collapsed="false">
      <c r="A829" s="1" t="s">
        <v>444</v>
      </c>
      <c r="B829" s="1" t="s">
        <v>141</v>
      </c>
      <c r="C829" s="1" t="s">
        <v>520</v>
      </c>
      <c r="D829" s="1" t="s">
        <v>14</v>
      </c>
      <c r="E829" s="82" t="n">
        <v>3650</v>
      </c>
      <c r="F829" s="26" t="n">
        <v>0.0959225828032635</v>
      </c>
      <c r="G829" s="26" t="n">
        <v>350.117427</v>
      </c>
      <c r="H829" s="1" t="s">
        <v>446</v>
      </c>
    </row>
    <row r="830" customFormat="false" ht="15" hidden="false" customHeight="true" outlineLevel="0" collapsed="false">
      <c r="A830" s="1" t="s">
        <v>444</v>
      </c>
      <c r="B830" s="1" t="s">
        <v>141</v>
      </c>
      <c r="C830" s="1" t="s">
        <v>520</v>
      </c>
      <c r="D830" s="1" t="s">
        <v>15</v>
      </c>
      <c r="E830" s="82" t="n">
        <v>6396</v>
      </c>
      <c r="F830" s="26" t="n">
        <v>0.0959225828032635</v>
      </c>
      <c r="G830" s="26" t="n">
        <v>613.52084</v>
      </c>
      <c r="H830" s="1" t="s">
        <v>446</v>
      </c>
    </row>
    <row r="831" customFormat="false" ht="15" hidden="false" customHeight="true" outlineLevel="0" collapsed="false">
      <c r="A831" s="1" t="s">
        <v>444</v>
      </c>
      <c r="B831" s="1" t="s">
        <v>141</v>
      </c>
      <c r="C831" s="1" t="s">
        <v>520</v>
      </c>
      <c r="D831" s="1" t="s">
        <v>16</v>
      </c>
      <c r="E831" s="82" t="n">
        <v>4730</v>
      </c>
      <c r="F831" s="26" t="n">
        <v>0.0959225828032635</v>
      </c>
      <c r="G831" s="26" t="n">
        <v>453.713817</v>
      </c>
      <c r="H831" s="1" t="s">
        <v>446</v>
      </c>
    </row>
    <row r="832" customFormat="false" ht="15" hidden="false" customHeight="true" outlineLevel="0" collapsed="false">
      <c r="A832" s="1" t="s">
        <v>444</v>
      </c>
      <c r="B832" s="1" t="s">
        <v>141</v>
      </c>
      <c r="C832" s="1" t="s">
        <v>520</v>
      </c>
      <c r="D832" s="1" t="s">
        <v>17</v>
      </c>
      <c r="E832" s="82" t="n">
        <v>4782</v>
      </c>
      <c r="F832" s="26" t="n">
        <v>0.0959225828032635</v>
      </c>
      <c r="G832" s="26" t="n">
        <v>458.701791</v>
      </c>
      <c r="H832" s="1" t="s">
        <v>446</v>
      </c>
    </row>
    <row r="833" customFormat="false" ht="15" hidden="false" customHeight="true" outlineLevel="0" collapsed="false">
      <c r="A833" s="1" t="s">
        <v>634</v>
      </c>
      <c r="B833" s="1" t="s">
        <v>141</v>
      </c>
      <c r="C833" s="1" t="s">
        <v>520</v>
      </c>
      <c r="D833" s="1" t="s">
        <v>10</v>
      </c>
      <c r="E833" s="82" t="n">
        <v>6445</v>
      </c>
      <c r="F833" s="26" t="n">
        <v>0.105895207936646</v>
      </c>
      <c r="G833" s="26" t="n">
        <v>682.494615</v>
      </c>
      <c r="H833" s="1" t="s">
        <v>446</v>
      </c>
    </row>
    <row r="834" customFormat="false" ht="15" hidden="false" customHeight="true" outlineLevel="0" collapsed="false">
      <c r="A834" s="1" t="s">
        <v>634</v>
      </c>
      <c r="B834" s="1" t="s">
        <v>141</v>
      </c>
      <c r="C834" s="1" t="s">
        <v>520</v>
      </c>
      <c r="D834" s="1" t="s">
        <v>13</v>
      </c>
      <c r="E834" s="82" t="n">
        <v>14441</v>
      </c>
      <c r="F834" s="26" t="n">
        <v>0.105895207936646</v>
      </c>
      <c r="G834" s="26" t="n">
        <v>1529.232698</v>
      </c>
      <c r="H834" s="1" t="s">
        <v>446</v>
      </c>
    </row>
    <row r="835" customFormat="false" ht="15" hidden="false" customHeight="true" outlineLevel="0" collapsed="false">
      <c r="A835" s="1" t="s">
        <v>634</v>
      </c>
      <c r="B835" s="1" t="s">
        <v>141</v>
      </c>
      <c r="C835" s="1" t="s">
        <v>520</v>
      </c>
      <c r="D835" s="1" t="s">
        <v>14</v>
      </c>
      <c r="E835" s="82" t="n">
        <v>3704</v>
      </c>
      <c r="F835" s="26" t="n">
        <v>0.105895207936646</v>
      </c>
      <c r="G835" s="26" t="n">
        <v>392.23585</v>
      </c>
      <c r="H835" s="1" t="s">
        <v>446</v>
      </c>
    </row>
    <row r="836" customFormat="false" ht="15" hidden="false" customHeight="true" outlineLevel="0" collapsed="false">
      <c r="A836" s="1" t="s">
        <v>634</v>
      </c>
      <c r="B836" s="1" t="s">
        <v>141</v>
      </c>
      <c r="C836" s="1" t="s">
        <v>520</v>
      </c>
      <c r="D836" s="1" t="s">
        <v>15</v>
      </c>
      <c r="E836" s="82" t="n">
        <v>6434</v>
      </c>
      <c r="F836" s="26" t="n">
        <v>0.105895207936646</v>
      </c>
      <c r="G836" s="26" t="n">
        <v>681.329768</v>
      </c>
      <c r="H836" s="1" t="s">
        <v>446</v>
      </c>
    </row>
    <row r="837" customFormat="false" ht="15" hidden="false" customHeight="true" outlineLevel="0" collapsed="false">
      <c r="A837" s="1" t="s">
        <v>634</v>
      </c>
      <c r="B837" s="1" t="s">
        <v>141</v>
      </c>
      <c r="C837" s="1" t="s">
        <v>520</v>
      </c>
      <c r="D837" s="1" t="s">
        <v>16</v>
      </c>
      <c r="E837" s="82" t="n">
        <v>4749</v>
      </c>
      <c r="F837" s="26" t="n">
        <v>0.105895207936646</v>
      </c>
      <c r="G837" s="26" t="n">
        <v>502.896342</v>
      </c>
      <c r="H837" s="1" t="s">
        <v>446</v>
      </c>
    </row>
    <row r="838" customFormat="false" ht="15" hidden="false" customHeight="true" outlineLevel="0" collapsed="false">
      <c r="A838" s="1" t="s">
        <v>634</v>
      </c>
      <c r="B838" s="1" t="s">
        <v>141</v>
      </c>
      <c r="C838" s="1" t="s">
        <v>520</v>
      </c>
      <c r="D838" s="1" t="s">
        <v>17</v>
      </c>
      <c r="E838" s="82" t="n">
        <v>4795</v>
      </c>
      <c r="F838" s="26" t="n">
        <v>0.105895207936646</v>
      </c>
      <c r="G838" s="26" t="n">
        <v>507.767522</v>
      </c>
      <c r="H838" s="1" t="s">
        <v>446</v>
      </c>
    </row>
    <row r="839" customFormat="false" ht="15" hidden="false" customHeight="true" outlineLevel="0" collapsed="false">
      <c r="A839" s="1" t="s">
        <v>665</v>
      </c>
      <c r="B839" s="1" t="s">
        <v>141</v>
      </c>
      <c r="C839" s="1" t="s">
        <v>520</v>
      </c>
      <c r="D839" s="1" t="s">
        <v>10</v>
      </c>
      <c r="E839" s="82" t="n">
        <v>6588</v>
      </c>
      <c r="F839" s="26" t="n">
        <v>0.101057218436555</v>
      </c>
      <c r="G839" s="26" t="n">
        <v>665.764955</v>
      </c>
      <c r="H839" s="1" t="s">
        <v>446</v>
      </c>
    </row>
    <row r="840" customFormat="false" ht="15" hidden="false" customHeight="true" outlineLevel="0" collapsed="false">
      <c r="A840" s="1" t="s">
        <v>665</v>
      </c>
      <c r="B840" s="1" t="s">
        <v>141</v>
      </c>
      <c r="C840" s="1" t="s">
        <v>520</v>
      </c>
      <c r="D840" s="1" t="s">
        <v>13</v>
      </c>
      <c r="E840" s="82" t="n">
        <v>14689</v>
      </c>
      <c r="F840" s="26" t="n">
        <v>0.101057218436555</v>
      </c>
      <c r="G840" s="26" t="n">
        <v>1484.429482</v>
      </c>
      <c r="H840" s="1" t="s">
        <v>446</v>
      </c>
    </row>
    <row r="841" customFormat="false" ht="15" hidden="false" customHeight="true" outlineLevel="0" collapsed="false">
      <c r="A841" s="1" t="s">
        <v>665</v>
      </c>
      <c r="B841" s="1" t="s">
        <v>141</v>
      </c>
      <c r="C841" s="1" t="s">
        <v>520</v>
      </c>
      <c r="D841" s="1" t="s">
        <v>14</v>
      </c>
      <c r="E841" s="82" t="n">
        <v>3765</v>
      </c>
      <c r="F841" s="26" t="n">
        <v>0.101057218436555</v>
      </c>
      <c r="G841" s="26" t="n">
        <v>380.480427</v>
      </c>
      <c r="H841" s="1" t="s">
        <v>446</v>
      </c>
    </row>
    <row r="842" customFormat="false" ht="15" hidden="false" customHeight="true" outlineLevel="0" collapsed="false">
      <c r="A842" s="1" t="s">
        <v>665</v>
      </c>
      <c r="B842" s="1" t="s">
        <v>141</v>
      </c>
      <c r="C842" s="1" t="s">
        <v>520</v>
      </c>
      <c r="D842" s="1" t="s">
        <v>15</v>
      </c>
      <c r="E842" s="82" t="n">
        <v>6568</v>
      </c>
      <c r="F842" s="26" t="n">
        <v>0.101057218436555</v>
      </c>
      <c r="G842" s="26" t="n">
        <v>663.743811</v>
      </c>
      <c r="H842" s="1" t="s">
        <v>446</v>
      </c>
    </row>
    <row r="843" customFormat="false" ht="15" hidden="false" customHeight="true" outlineLevel="0" collapsed="false">
      <c r="A843" s="1" t="s">
        <v>665</v>
      </c>
      <c r="B843" s="1" t="s">
        <v>141</v>
      </c>
      <c r="C843" s="1" t="s">
        <v>520</v>
      </c>
      <c r="D843" s="1" t="s">
        <v>16</v>
      </c>
      <c r="E843" s="82" t="n">
        <v>4805</v>
      </c>
      <c r="F843" s="26" t="n">
        <v>0.101057218436555</v>
      </c>
      <c r="G843" s="26" t="n">
        <v>485.579935</v>
      </c>
      <c r="H843" s="1" t="s">
        <v>446</v>
      </c>
    </row>
    <row r="844" customFormat="false" ht="15" hidden="false" customHeight="true" outlineLevel="0" collapsed="false">
      <c r="A844" s="1" t="s">
        <v>665</v>
      </c>
      <c r="B844" s="1" t="s">
        <v>141</v>
      </c>
      <c r="C844" s="1" t="s">
        <v>520</v>
      </c>
      <c r="D844" s="1" t="s">
        <v>17</v>
      </c>
      <c r="E844" s="82" t="n">
        <v>4806</v>
      </c>
      <c r="F844" s="26" t="n">
        <v>0.101057218436555</v>
      </c>
      <c r="G844" s="26" t="n">
        <v>485.680992</v>
      </c>
      <c r="H844" s="1" t="s">
        <v>446</v>
      </c>
    </row>
    <row r="845" customFormat="false" ht="15" hidden="false" customHeight="true" outlineLevel="0" collapsed="false">
      <c r="A845" s="1" t="s">
        <v>444</v>
      </c>
      <c r="B845" s="1" t="s">
        <v>40</v>
      </c>
      <c r="C845" s="1" t="s">
        <v>40</v>
      </c>
      <c r="D845" s="1" t="s">
        <v>10</v>
      </c>
      <c r="E845" s="82" t="n">
        <v>6280</v>
      </c>
      <c r="F845" s="26" t="n">
        <v>0.142966123730576</v>
      </c>
      <c r="G845" s="26" t="n">
        <v>897.827257</v>
      </c>
      <c r="H845" s="1" t="s">
        <v>446</v>
      </c>
    </row>
    <row r="846" customFormat="false" ht="15" hidden="false" customHeight="true" outlineLevel="0" collapsed="false">
      <c r="A846" s="1" t="s">
        <v>444</v>
      </c>
      <c r="B846" s="1" t="s">
        <v>40</v>
      </c>
      <c r="C846" s="1" t="s">
        <v>40</v>
      </c>
      <c r="D846" s="1" t="s">
        <v>13</v>
      </c>
      <c r="E846" s="82" t="n">
        <v>14331</v>
      </c>
      <c r="F846" s="26" t="n">
        <v>0.142966123730576</v>
      </c>
      <c r="G846" s="26" t="n">
        <v>2048.847519</v>
      </c>
      <c r="H846" s="1" t="s">
        <v>446</v>
      </c>
    </row>
    <row r="847" customFormat="false" ht="15" hidden="false" customHeight="true" outlineLevel="0" collapsed="false">
      <c r="A847" s="1" t="s">
        <v>444</v>
      </c>
      <c r="B847" s="1" t="s">
        <v>40</v>
      </c>
      <c r="C847" s="1" t="s">
        <v>40</v>
      </c>
      <c r="D847" s="1" t="s">
        <v>14</v>
      </c>
      <c r="E847" s="82" t="n">
        <v>3650</v>
      </c>
      <c r="F847" s="26" t="n">
        <v>0.142966123730576</v>
      </c>
      <c r="G847" s="26" t="n">
        <v>521.826352</v>
      </c>
      <c r="H847" s="1" t="s">
        <v>446</v>
      </c>
    </row>
    <row r="848" customFormat="false" ht="15" hidden="false" customHeight="true" outlineLevel="0" collapsed="false">
      <c r="A848" s="1" t="s">
        <v>444</v>
      </c>
      <c r="B848" s="1" t="s">
        <v>40</v>
      </c>
      <c r="C848" s="1" t="s">
        <v>40</v>
      </c>
      <c r="D848" s="1" t="s">
        <v>15</v>
      </c>
      <c r="E848" s="82" t="n">
        <v>6396</v>
      </c>
      <c r="F848" s="26" t="n">
        <v>0.142966123730576</v>
      </c>
      <c r="G848" s="26" t="n">
        <v>914.411327</v>
      </c>
      <c r="H848" s="1" t="s">
        <v>446</v>
      </c>
    </row>
    <row r="849" customFormat="false" ht="15" hidden="false" customHeight="true" outlineLevel="0" collapsed="false">
      <c r="A849" s="1" t="s">
        <v>444</v>
      </c>
      <c r="B849" s="1" t="s">
        <v>40</v>
      </c>
      <c r="C849" s="1" t="s">
        <v>40</v>
      </c>
      <c r="D849" s="1" t="s">
        <v>16</v>
      </c>
      <c r="E849" s="82" t="n">
        <v>4730</v>
      </c>
      <c r="F849" s="26" t="n">
        <v>0.142966123730576</v>
      </c>
      <c r="G849" s="26" t="n">
        <v>676.229765</v>
      </c>
      <c r="H849" s="1" t="s">
        <v>446</v>
      </c>
    </row>
    <row r="850" customFormat="false" ht="15" hidden="false" customHeight="true" outlineLevel="0" collapsed="false">
      <c r="A850" s="1" t="s">
        <v>444</v>
      </c>
      <c r="B850" s="1" t="s">
        <v>40</v>
      </c>
      <c r="C850" s="1" t="s">
        <v>40</v>
      </c>
      <c r="D850" s="1" t="s">
        <v>17</v>
      </c>
      <c r="E850" s="82" t="n">
        <v>4782</v>
      </c>
      <c r="F850" s="26" t="n">
        <v>0.142966123730576</v>
      </c>
      <c r="G850" s="26" t="n">
        <v>683.664004</v>
      </c>
      <c r="H850" s="1" t="s">
        <v>446</v>
      </c>
    </row>
    <row r="851" customFormat="false" ht="15" hidden="false" customHeight="true" outlineLevel="0" collapsed="false">
      <c r="A851" s="1" t="s">
        <v>634</v>
      </c>
      <c r="B851" s="1" t="s">
        <v>40</v>
      </c>
      <c r="C851" s="1" t="s">
        <v>40</v>
      </c>
      <c r="D851" s="1" t="s">
        <v>10</v>
      </c>
      <c r="E851" s="82" t="n">
        <v>6445</v>
      </c>
      <c r="F851" s="26" t="n">
        <v>0.193641774947009</v>
      </c>
      <c r="G851" s="26" t="n">
        <v>1248.02124</v>
      </c>
      <c r="H851" s="1" t="s">
        <v>446</v>
      </c>
    </row>
    <row r="852" customFormat="false" ht="15" hidden="false" customHeight="true" outlineLevel="0" collapsed="false">
      <c r="A852" s="1" t="s">
        <v>634</v>
      </c>
      <c r="B852" s="1" t="s">
        <v>40</v>
      </c>
      <c r="C852" s="1" t="s">
        <v>40</v>
      </c>
      <c r="D852" s="1" t="s">
        <v>13</v>
      </c>
      <c r="E852" s="82" t="n">
        <v>14441</v>
      </c>
      <c r="F852" s="26" t="n">
        <v>0.193641774947009</v>
      </c>
      <c r="G852" s="26" t="n">
        <v>2796.380872</v>
      </c>
      <c r="H852" s="1" t="s">
        <v>446</v>
      </c>
    </row>
    <row r="853" customFormat="false" ht="15" hidden="false" customHeight="true" outlineLevel="0" collapsed="false">
      <c r="A853" s="1" t="s">
        <v>634</v>
      </c>
      <c r="B853" s="1" t="s">
        <v>40</v>
      </c>
      <c r="C853" s="1" t="s">
        <v>40</v>
      </c>
      <c r="D853" s="1" t="s">
        <v>14</v>
      </c>
      <c r="E853" s="82" t="n">
        <v>3704</v>
      </c>
      <c r="F853" s="26" t="n">
        <v>0.193641774947009</v>
      </c>
      <c r="G853" s="26" t="n">
        <v>717.249134</v>
      </c>
      <c r="H853" s="1" t="s">
        <v>446</v>
      </c>
    </row>
    <row r="854" customFormat="false" ht="15" hidden="false" customHeight="true" outlineLevel="0" collapsed="false">
      <c r="A854" s="1" t="s">
        <v>634</v>
      </c>
      <c r="B854" s="1" t="s">
        <v>40</v>
      </c>
      <c r="C854" s="1" t="s">
        <v>40</v>
      </c>
      <c r="D854" s="1" t="s">
        <v>15</v>
      </c>
      <c r="E854" s="82" t="n">
        <v>6434</v>
      </c>
      <c r="F854" s="26" t="n">
        <v>0.193641774947009</v>
      </c>
      <c r="G854" s="26" t="n">
        <v>1245.89118</v>
      </c>
      <c r="H854" s="1" t="s">
        <v>446</v>
      </c>
    </row>
    <row r="855" customFormat="false" ht="15" hidden="false" customHeight="true" outlineLevel="0" collapsed="false">
      <c r="A855" s="1" t="s">
        <v>634</v>
      </c>
      <c r="B855" s="1" t="s">
        <v>40</v>
      </c>
      <c r="C855" s="1" t="s">
        <v>40</v>
      </c>
      <c r="D855" s="1" t="s">
        <v>16</v>
      </c>
      <c r="E855" s="82" t="n">
        <v>4749</v>
      </c>
      <c r="F855" s="26" t="n">
        <v>0.193641774947009</v>
      </c>
      <c r="G855" s="26" t="n">
        <v>919.604789</v>
      </c>
      <c r="H855" s="1" t="s">
        <v>446</v>
      </c>
    </row>
    <row r="856" customFormat="false" ht="15" hidden="false" customHeight="true" outlineLevel="0" collapsed="false">
      <c r="A856" s="1" t="s">
        <v>634</v>
      </c>
      <c r="B856" s="1" t="s">
        <v>40</v>
      </c>
      <c r="C856" s="1" t="s">
        <v>40</v>
      </c>
      <c r="D856" s="1" t="s">
        <v>17</v>
      </c>
      <c r="E856" s="82" t="n">
        <v>4795</v>
      </c>
      <c r="F856" s="26" t="n">
        <v>0.193641774947009</v>
      </c>
      <c r="G856" s="26" t="n">
        <v>928.512311</v>
      </c>
      <c r="H856" s="1" t="s">
        <v>446</v>
      </c>
    </row>
    <row r="857" customFormat="false" ht="15" hidden="false" customHeight="true" outlineLevel="0" collapsed="false">
      <c r="A857" s="1" t="s">
        <v>665</v>
      </c>
      <c r="B857" s="1" t="s">
        <v>40</v>
      </c>
      <c r="C857" s="1" t="s">
        <v>40</v>
      </c>
      <c r="D857" s="1" t="s">
        <v>10</v>
      </c>
      <c r="E857" s="82" t="n">
        <v>6588</v>
      </c>
      <c r="F857" s="26" t="n">
        <v>0.182358458491943</v>
      </c>
      <c r="G857" s="26" t="n">
        <v>1201.377525</v>
      </c>
      <c r="H857" s="1" t="s">
        <v>446</v>
      </c>
    </row>
    <row r="858" customFormat="false" ht="15" hidden="false" customHeight="true" outlineLevel="0" collapsed="false">
      <c r="A858" s="1" t="s">
        <v>665</v>
      </c>
      <c r="B858" s="1" t="s">
        <v>40</v>
      </c>
      <c r="C858" s="1" t="s">
        <v>40</v>
      </c>
      <c r="D858" s="1" t="s">
        <v>13</v>
      </c>
      <c r="E858" s="82" t="n">
        <v>14689</v>
      </c>
      <c r="F858" s="26" t="n">
        <v>0.182358458491943</v>
      </c>
      <c r="G858" s="26" t="n">
        <v>2678.663397</v>
      </c>
      <c r="H858" s="1" t="s">
        <v>446</v>
      </c>
    </row>
    <row r="859" customFormat="false" ht="15" hidden="false" customHeight="true" outlineLevel="0" collapsed="false">
      <c r="A859" s="1" t="s">
        <v>665</v>
      </c>
      <c r="B859" s="1" t="s">
        <v>40</v>
      </c>
      <c r="C859" s="1" t="s">
        <v>40</v>
      </c>
      <c r="D859" s="1" t="s">
        <v>14</v>
      </c>
      <c r="E859" s="82" t="n">
        <v>3765</v>
      </c>
      <c r="F859" s="26" t="n">
        <v>0.182358458491943</v>
      </c>
      <c r="G859" s="26" t="n">
        <v>686.579596</v>
      </c>
      <c r="H859" s="1" t="s">
        <v>446</v>
      </c>
    </row>
    <row r="860" customFormat="false" ht="15" hidden="false" customHeight="true" outlineLevel="0" collapsed="false">
      <c r="A860" s="1" t="s">
        <v>665</v>
      </c>
      <c r="B860" s="1" t="s">
        <v>40</v>
      </c>
      <c r="C860" s="1" t="s">
        <v>40</v>
      </c>
      <c r="D860" s="1" t="s">
        <v>15</v>
      </c>
      <c r="E860" s="82" t="n">
        <v>6568</v>
      </c>
      <c r="F860" s="26" t="n">
        <v>0.182358458491943</v>
      </c>
      <c r="G860" s="26" t="n">
        <v>1197.730355</v>
      </c>
      <c r="H860" s="1" t="s">
        <v>446</v>
      </c>
    </row>
    <row r="861" customFormat="false" ht="15" hidden="false" customHeight="true" outlineLevel="0" collapsed="false">
      <c r="A861" s="1" t="s">
        <v>665</v>
      </c>
      <c r="B861" s="1" t="s">
        <v>40</v>
      </c>
      <c r="C861" s="1" t="s">
        <v>40</v>
      </c>
      <c r="D861" s="1" t="s">
        <v>16</v>
      </c>
      <c r="E861" s="82" t="n">
        <v>4805</v>
      </c>
      <c r="F861" s="26" t="n">
        <v>0.182358458491943</v>
      </c>
      <c r="G861" s="26" t="n">
        <v>876.232393</v>
      </c>
      <c r="H861" s="1" t="s">
        <v>446</v>
      </c>
    </row>
    <row r="862" customFormat="false" ht="15" hidden="false" customHeight="true" outlineLevel="0" collapsed="false">
      <c r="A862" s="1" t="s">
        <v>665</v>
      </c>
      <c r="B862" s="1" t="s">
        <v>40</v>
      </c>
      <c r="C862" s="1" t="s">
        <v>40</v>
      </c>
      <c r="D862" s="1" t="s">
        <v>17</v>
      </c>
      <c r="E862" s="82" t="n">
        <v>4806</v>
      </c>
      <c r="F862" s="26" t="n">
        <v>0.182358458491943</v>
      </c>
      <c r="G862" s="26" t="n">
        <v>876.414752</v>
      </c>
      <c r="H862" s="1" t="s">
        <v>446</v>
      </c>
    </row>
    <row r="863" customFormat="false" ht="15" hidden="false" customHeight="true" outlineLevel="0" collapsed="false">
      <c r="A863" s="1" t="s">
        <v>444</v>
      </c>
      <c r="B863" s="1" t="s">
        <v>87</v>
      </c>
      <c r="C863" s="1" t="s">
        <v>684</v>
      </c>
      <c r="D863" s="1" t="s">
        <v>10</v>
      </c>
      <c r="E863" s="82" t="n">
        <v>6280</v>
      </c>
      <c r="F863" s="26" t="n">
        <v>0.148830177998923</v>
      </c>
      <c r="G863" s="26" t="n">
        <v>934.653518</v>
      </c>
      <c r="H863" s="1" t="s">
        <v>446</v>
      </c>
    </row>
    <row r="864" customFormat="false" ht="15" hidden="false" customHeight="true" outlineLevel="0" collapsed="false">
      <c r="A864" s="1" t="s">
        <v>444</v>
      </c>
      <c r="B864" s="1" t="s">
        <v>87</v>
      </c>
      <c r="C864" s="1" t="s">
        <v>684</v>
      </c>
      <c r="D864" s="1" t="s">
        <v>13</v>
      </c>
      <c r="E864" s="82" t="n">
        <v>14331</v>
      </c>
      <c r="F864" s="26" t="n">
        <v>0.148830177998923</v>
      </c>
      <c r="G864" s="26" t="n">
        <v>2132.885281</v>
      </c>
      <c r="H864" s="1" t="s">
        <v>446</v>
      </c>
    </row>
    <row r="865" customFormat="false" ht="15" hidden="false" customHeight="true" outlineLevel="0" collapsed="false">
      <c r="A865" s="1" t="s">
        <v>444</v>
      </c>
      <c r="B865" s="1" t="s">
        <v>87</v>
      </c>
      <c r="C865" s="1" t="s">
        <v>684</v>
      </c>
      <c r="D865" s="1" t="s">
        <v>14</v>
      </c>
      <c r="E865" s="82" t="n">
        <v>3650</v>
      </c>
      <c r="F865" s="26" t="n">
        <v>0.148830177998923</v>
      </c>
      <c r="G865" s="26" t="n">
        <v>543.23015</v>
      </c>
      <c r="H865" s="1" t="s">
        <v>446</v>
      </c>
    </row>
    <row r="866" customFormat="false" ht="15" hidden="false" customHeight="true" outlineLevel="0" collapsed="false">
      <c r="A866" s="1" t="s">
        <v>444</v>
      </c>
      <c r="B866" s="1" t="s">
        <v>87</v>
      </c>
      <c r="C866" s="1" t="s">
        <v>684</v>
      </c>
      <c r="D866" s="1" t="s">
        <v>15</v>
      </c>
      <c r="E866" s="82" t="n">
        <v>6396</v>
      </c>
      <c r="F866" s="26" t="n">
        <v>0.148830177998923</v>
      </c>
      <c r="G866" s="26" t="n">
        <v>951.917818</v>
      </c>
      <c r="H866" s="1" t="s">
        <v>446</v>
      </c>
    </row>
    <row r="867" customFormat="false" ht="15" hidden="false" customHeight="true" outlineLevel="0" collapsed="false">
      <c r="A867" s="1" t="s">
        <v>444</v>
      </c>
      <c r="B867" s="1" t="s">
        <v>87</v>
      </c>
      <c r="C867" s="1" t="s">
        <v>684</v>
      </c>
      <c r="D867" s="1" t="s">
        <v>16</v>
      </c>
      <c r="E867" s="82" t="n">
        <v>4730</v>
      </c>
      <c r="F867" s="26" t="n">
        <v>0.148830177998923</v>
      </c>
      <c r="G867" s="26" t="n">
        <v>703.966742</v>
      </c>
      <c r="H867" s="1" t="s">
        <v>446</v>
      </c>
    </row>
    <row r="868" customFormat="false" ht="15" hidden="false" customHeight="true" outlineLevel="0" collapsed="false">
      <c r="A868" s="1" t="s">
        <v>444</v>
      </c>
      <c r="B868" s="1" t="s">
        <v>87</v>
      </c>
      <c r="C868" s="1" t="s">
        <v>684</v>
      </c>
      <c r="D868" s="1" t="s">
        <v>17</v>
      </c>
      <c r="E868" s="82" t="n">
        <v>4782</v>
      </c>
      <c r="F868" s="26" t="n">
        <v>0.148830177998923</v>
      </c>
      <c r="G868" s="26" t="n">
        <v>711.705911</v>
      </c>
      <c r="H868" s="1" t="s">
        <v>446</v>
      </c>
    </row>
    <row r="869" customFormat="false" ht="15" hidden="false" customHeight="true" outlineLevel="0" collapsed="false">
      <c r="A869" s="1" t="s">
        <v>634</v>
      </c>
      <c r="B869" s="1" t="s">
        <v>87</v>
      </c>
      <c r="C869" s="1" t="s">
        <v>684</v>
      </c>
      <c r="D869" s="1" t="s">
        <v>10</v>
      </c>
      <c r="E869" s="82" t="n">
        <v>6445</v>
      </c>
      <c r="F869" s="26" t="n">
        <v>0.165505113968682</v>
      </c>
      <c r="G869" s="26" t="n">
        <v>1066.68046</v>
      </c>
      <c r="H869" s="1" t="s">
        <v>446</v>
      </c>
    </row>
    <row r="870" customFormat="false" ht="15" hidden="false" customHeight="true" outlineLevel="0" collapsed="false">
      <c r="A870" s="1" t="s">
        <v>634</v>
      </c>
      <c r="B870" s="1" t="s">
        <v>87</v>
      </c>
      <c r="C870" s="1" t="s">
        <v>684</v>
      </c>
      <c r="D870" s="1" t="s">
        <v>13</v>
      </c>
      <c r="E870" s="82" t="n">
        <v>14441</v>
      </c>
      <c r="F870" s="26" t="n">
        <v>0.165505113968682</v>
      </c>
      <c r="G870" s="26" t="n">
        <v>2390.059351</v>
      </c>
      <c r="H870" s="1" t="s">
        <v>446</v>
      </c>
    </row>
    <row r="871" customFormat="false" ht="15" hidden="false" customHeight="true" outlineLevel="0" collapsed="false">
      <c r="A871" s="1" t="s">
        <v>634</v>
      </c>
      <c r="B871" s="1" t="s">
        <v>87</v>
      </c>
      <c r="C871" s="1" t="s">
        <v>684</v>
      </c>
      <c r="D871" s="1" t="s">
        <v>14</v>
      </c>
      <c r="E871" s="82" t="n">
        <v>3704</v>
      </c>
      <c r="F871" s="26" t="n">
        <v>0.165505113968682</v>
      </c>
      <c r="G871" s="26" t="n">
        <v>613.030942</v>
      </c>
      <c r="H871" s="1" t="s">
        <v>446</v>
      </c>
    </row>
    <row r="872" customFormat="false" ht="15" hidden="false" customHeight="true" outlineLevel="0" collapsed="false">
      <c r="A872" s="1" t="s">
        <v>634</v>
      </c>
      <c r="B872" s="1" t="s">
        <v>87</v>
      </c>
      <c r="C872" s="1" t="s">
        <v>684</v>
      </c>
      <c r="D872" s="1" t="s">
        <v>15</v>
      </c>
      <c r="E872" s="82" t="n">
        <v>6434</v>
      </c>
      <c r="F872" s="26" t="n">
        <v>0.165505113968682</v>
      </c>
      <c r="G872" s="26" t="n">
        <v>1064.859903</v>
      </c>
      <c r="H872" s="1" t="s">
        <v>446</v>
      </c>
    </row>
    <row r="873" customFormat="false" ht="15" hidden="false" customHeight="true" outlineLevel="0" collapsed="false">
      <c r="A873" s="1" t="s">
        <v>634</v>
      </c>
      <c r="B873" s="1" t="s">
        <v>87</v>
      </c>
      <c r="C873" s="1" t="s">
        <v>684</v>
      </c>
      <c r="D873" s="1" t="s">
        <v>16</v>
      </c>
      <c r="E873" s="82" t="n">
        <v>4749</v>
      </c>
      <c r="F873" s="26" t="n">
        <v>0.165505113968682</v>
      </c>
      <c r="G873" s="26" t="n">
        <v>785.983786</v>
      </c>
      <c r="H873" s="1" t="s">
        <v>446</v>
      </c>
    </row>
    <row r="874" customFormat="false" ht="15" hidden="false" customHeight="true" outlineLevel="0" collapsed="false">
      <c r="A874" s="1" t="s">
        <v>634</v>
      </c>
      <c r="B874" s="1" t="s">
        <v>87</v>
      </c>
      <c r="C874" s="1" t="s">
        <v>684</v>
      </c>
      <c r="D874" s="1" t="s">
        <v>17</v>
      </c>
      <c r="E874" s="82" t="n">
        <v>4795</v>
      </c>
      <c r="F874" s="26" t="n">
        <v>0.165505113968682</v>
      </c>
      <c r="G874" s="26" t="n">
        <v>793.597021</v>
      </c>
      <c r="H874" s="1" t="s">
        <v>446</v>
      </c>
    </row>
    <row r="875" customFormat="false" ht="15" hidden="false" customHeight="true" outlineLevel="0" collapsed="false">
      <c r="A875" s="1" t="s">
        <v>665</v>
      </c>
      <c r="B875" s="1" t="s">
        <v>87</v>
      </c>
      <c r="C875" s="1" t="s">
        <v>684</v>
      </c>
      <c r="D875" s="1" t="s">
        <v>10</v>
      </c>
      <c r="E875" s="82" t="n">
        <v>6588</v>
      </c>
      <c r="F875" s="26" t="n">
        <v>0.170974700825347</v>
      </c>
      <c r="G875" s="26" t="n">
        <v>1126.381329</v>
      </c>
      <c r="H875" s="1" t="s">
        <v>446</v>
      </c>
    </row>
    <row r="876" customFormat="false" ht="15" hidden="false" customHeight="true" outlineLevel="0" collapsed="false">
      <c r="A876" s="1" t="s">
        <v>665</v>
      </c>
      <c r="B876" s="1" t="s">
        <v>87</v>
      </c>
      <c r="C876" s="1" t="s">
        <v>684</v>
      </c>
      <c r="D876" s="1" t="s">
        <v>13</v>
      </c>
      <c r="E876" s="82" t="n">
        <v>14689</v>
      </c>
      <c r="F876" s="26" t="n">
        <v>0.170974700825347</v>
      </c>
      <c r="G876" s="26" t="n">
        <v>2511.44738</v>
      </c>
      <c r="H876" s="1" t="s">
        <v>446</v>
      </c>
    </row>
    <row r="877" customFormat="false" ht="15" hidden="false" customHeight="true" outlineLevel="0" collapsed="false">
      <c r="A877" s="1" t="s">
        <v>665</v>
      </c>
      <c r="B877" s="1" t="s">
        <v>87</v>
      </c>
      <c r="C877" s="1" t="s">
        <v>684</v>
      </c>
      <c r="D877" s="1" t="s">
        <v>14</v>
      </c>
      <c r="E877" s="82" t="n">
        <v>3765</v>
      </c>
      <c r="F877" s="26" t="n">
        <v>0.170974700825347</v>
      </c>
      <c r="G877" s="26" t="n">
        <v>643.719749</v>
      </c>
      <c r="H877" s="1" t="s">
        <v>446</v>
      </c>
    </row>
    <row r="878" customFormat="false" ht="15" hidden="false" customHeight="true" outlineLevel="0" collapsed="false">
      <c r="A878" s="1" t="s">
        <v>665</v>
      </c>
      <c r="B878" s="1" t="s">
        <v>87</v>
      </c>
      <c r="C878" s="1" t="s">
        <v>684</v>
      </c>
      <c r="D878" s="1" t="s">
        <v>15</v>
      </c>
      <c r="E878" s="82" t="n">
        <v>6568</v>
      </c>
      <c r="F878" s="26" t="n">
        <v>0.170974700825347</v>
      </c>
      <c r="G878" s="26" t="n">
        <v>1122.961835</v>
      </c>
      <c r="H878" s="1" t="s">
        <v>446</v>
      </c>
    </row>
    <row r="879" customFormat="false" ht="15" hidden="false" customHeight="true" outlineLevel="0" collapsed="false">
      <c r="A879" s="1" t="s">
        <v>665</v>
      </c>
      <c r="B879" s="1" t="s">
        <v>87</v>
      </c>
      <c r="C879" s="1" t="s">
        <v>684</v>
      </c>
      <c r="D879" s="1" t="s">
        <v>16</v>
      </c>
      <c r="E879" s="82" t="n">
        <v>4805</v>
      </c>
      <c r="F879" s="26" t="n">
        <v>0.170974700825347</v>
      </c>
      <c r="G879" s="26" t="n">
        <v>821.533437</v>
      </c>
      <c r="H879" s="1" t="s">
        <v>446</v>
      </c>
    </row>
    <row r="880" customFormat="false" ht="15" hidden="false" customHeight="true" outlineLevel="0" collapsed="false">
      <c r="A880" s="1" t="s">
        <v>665</v>
      </c>
      <c r="B880" s="1" t="s">
        <v>87</v>
      </c>
      <c r="C880" s="1" t="s">
        <v>684</v>
      </c>
      <c r="D880" s="1" t="s">
        <v>17</v>
      </c>
      <c r="E880" s="82" t="n">
        <v>4806</v>
      </c>
      <c r="F880" s="26" t="n">
        <v>0.170974700825347</v>
      </c>
      <c r="G880" s="26" t="n">
        <v>821.704412</v>
      </c>
      <c r="H880" s="1" t="s">
        <v>446</v>
      </c>
    </row>
    <row r="881" customFormat="false" ht="15" hidden="false" customHeight="true" outlineLevel="0" collapsed="false">
      <c r="A881" s="1" t="s">
        <v>444</v>
      </c>
      <c r="B881" s="1" t="s">
        <v>85</v>
      </c>
      <c r="C881" s="1" t="s">
        <v>685</v>
      </c>
      <c r="D881" s="1" t="s">
        <v>10</v>
      </c>
      <c r="E881" s="82" t="n">
        <v>6280</v>
      </c>
      <c r="F881" s="26" t="n">
        <v>0.319464004034977</v>
      </c>
      <c r="G881" s="26" t="n">
        <v>2006.233945</v>
      </c>
      <c r="H881" s="1" t="s">
        <v>446</v>
      </c>
    </row>
    <row r="882" customFormat="false" ht="15" hidden="false" customHeight="true" outlineLevel="0" collapsed="false">
      <c r="A882" s="1" t="s">
        <v>444</v>
      </c>
      <c r="B882" s="1" t="s">
        <v>85</v>
      </c>
      <c r="C882" s="1" t="s">
        <v>685</v>
      </c>
      <c r="D882" s="1" t="s">
        <v>12</v>
      </c>
      <c r="E882" s="82" t="n">
        <v>13402</v>
      </c>
      <c r="F882" s="26" t="n">
        <v>0.319464004034977</v>
      </c>
      <c r="G882" s="26" t="n">
        <v>4281.456582</v>
      </c>
      <c r="H882" s="1" t="s">
        <v>446</v>
      </c>
    </row>
    <row r="883" customFormat="false" ht="15" hidden="false" customHeight="true" outlineLevel="0" collapsed="false">
      <c r="A883" s="1" t="s">
        <v>444</v>
      </c>
      <c r="B883" s="1" t="s">
        <v>85</v>
      </c>
      <c r="C883" s="1" t="s">
        <v>685</v>
      </c>
      <c r="D883" s="1" t="s">
        <v>13</v>
      </c>
      <c r="E883" s="82" t="n">
        <v>14331</v>
      </c>
      <c r="F883" s="26" t="n">
        <v>0.319464004034977</v>
      </c>
      <c r="G883" s="26" t="n">
        <v>4578.238642</v>
      </c>
      <c r="H883" s="1" t="s">
        <v>446</v>
      </c>
    </row>
    <row r="884" customFormat="false" ht="15" hidden="false" customHeight="true" outlineLevel="0" collapsed="false">
      <c r="A884" s="1" t="s">
        <v>444</v>
      </c>
      <c r="B884" s="1" t="s">
        <v>85</v>
      </c>
      <c r="C884" s="1" t="s">
        <v>685</v>
      </c>
      <c r="D884" s="1" t="s">
        <v>14</v>
      </c>
      <c r="E884" s="82" t="n">
        <v>3650</v>
      </c>
      <c r="F884" s="26" t="n">
        <v>0.319464004034977</v>
      </c>
      <c r="G884" s="26" t="n">
        <v>1166.043615</v>
      </c>
      <c r="H884" s="1" t="s">
        <v>446</v>
      </c>
    </row>
    <row r="885" customFormat="false" ht="15" hidden="false" customHeight="true" outlineLevel="0" collapsed="false">
      <c r="A885" s="1" t="s">
        <v>444</v>
      </c>
      <c r="B885" s="1" t="s">
        <v>85</v>
      </c>
      <c r="C885" s="1" t="s">
        <v>685</v>
      </c>
      <c r="D885" s="1" t="s">
        <v>15</v>
      </c>
      <c r="E885" s="82" t="n">
        <v>6396</v>
      </c>
      <c r="F885" s="26" t="n">
        <v>0.319464004034977</v>
      </c>
      <c r="G885" s="26" t="n">
        <v>2043.29177</v>
      </c>
      <c r="H885" s="1" t="s">
        <v>446</v>
      </c>
    </row>
    <row r="886" customFormat="false" ht="15" hidden="false" customHeight="true" outlineLevel="0" collapsed="false">
      <c r="A886" s="1" t="s">
        <v>444</v>
      </c>
      <c r="B886" s="1" t="s">
        <v>85</v>
      </c>
      <c r="C886" s="1" t="s">
        <v>685</v>
      </c>
      <c r="D886" s="1" t="s">
        <v>16</v>
      </c>
      <c r="E886" s="82" t="n">
        <v>4730</v>
      </c>
      <c r="F886" s="26" t="n">
        <v>0.319464004034977</v>
      </c>
      <c r="G886" s="26" t="n">
        <v>1511.064739</v>
      </c>
      <c r="H886" s="1" t="s">
        <v>446</v>
      </c>
    </row>
    <row r="887" customFormat="false" ht="15" hidden="false" customHeight="true" outlineLevel="0" collapsed="false">
      <c r="A887" s="1" t="s">
        <v>444</v>
      </c>
      <c r="B887" s="1" t="s">
        <v>85</v>
      </c>
      <c r="C887" s="1" t="s">
        <v>685</v>
      </c>
      <c r="D887" s="1" t="s">
        <v>17</v>
      </c>
      <c r="E887" s="82" t="n">
        <v>4782</v>
      </c>
      <c r="F887" s="26" t="n">
        <v>0.319464004034977</v>
      </c>
      <c r="G887" s="26" t="n">
        <v>1527.676867</v>
      </c>
      <c r="H887" s="1" t="s">
        <v>446</v>
      </c>
    </row>
    <row r="888" customFormat="false" ht="15" hidden="false" customHeight="true" outlineLevel="0" collapsed="false">
      <c r="A888" s="1" t="s">
        <v>634</v>
      </c>
      <c r="B888" s="1" t="s">
        <v>85</v>
      </c>
      <c r="C888" s="1" t="s">
        <v>685</v>
      </c>
      <c r="D888" s="1" t="s">
        <v>10</v>
      </c>
      <c r="E888" s="82" t="n">
        <v>6445</v>
      </c>
      <c r="F888" s="26" t="n">
        <v>0.293099708996474</v>
      </c>
      <c r="G888" s="26" t="n">
        <v>1889.027624</v>
      </c>
      <c r="H888" s="1" t="s">
        <v>446</v>
      </c>
    </row>
    <row r="889" customFormat="false" ht="15" hidden="false" customHeight="true" outlineLevel="0" collapsed="false">
      <c r="A889" s="1" t="s">
        <v>634</v>
      </c>
      <c r="B889" s="1" t="s">
        <v>85</v>
      </c>
      <c r="C889" s="1" t="s">
        <v>685</v>
      </c>
      <c r="D889" s="1" t="s">
        <v>12</v>
      </c>
      <c r="E889" s="82" t="n">
        <v>13418</v>
      </c>
      <c r="F889" s="26" t="n">
        <v>0.293099708996474</v>
      </c>
      <c r="G889" s="26" t="n">
        <v>3932.811895</v>
      </c>
      <c r="H889" s="1" t="s">
        <v>446</v>
      </c>
    </row>
    <row r="890" customFormat="false" ht="15" hidden="false" customHeight="true" outlineLevel="0" collapsed="false">
      <c r="A890" s="1" t="s">
        <v>634</v>
      </c>
      <c r="B890" s="1" t="s">
        <v>85</v>
      </c>
      <c r="C890" s="1" t="s">
        <v>685</v>
      </c>
      <c r="D890" s="1" t="s">
        <v>13</v>
      </c>
      <c r="E890" s="82" t="n">
        <v>14441</v>
      </c>
      <c r="F890" s="26" t="n">
        <v>0.293099708996474</v>
      </c>
      <c r="G890" s="26" t="n">
        <v>4232.652898</v>
      </c>
      <c r="H890" s="1" t="s">
        <v>446</v>
      </c>
    </row>
    <row r="891" customFormat="false" ht="15" hidden="false" customHeight="true" outlineLevel="0" collapsed="false">
      <c r="A891" s="1" t="s">
        <v>634</v>
      </c>
      <c r="B891" s="1" t="s">
        <v>85</v>
      </c>
      <c r="C891" s="1" t="s">
        <v>685</v>
      </c>
      <c r="D891" s="1" t="s">
        <v>14</v>
      </c>
      <c r="E891" s="82" t="n">
        <v>3704</v>
      </c>
      <c r="F891" s="26" t="n">
        <v>0.293099708996474</v>
      </c>
      <c r="G891" s="26" t="n">
        <v>1085.641322</v>
      </c>
      <c r="H891" s="1" t="s">
        <v>446</v>
      </c>
    </row>
    <row r="892" customFormat="false" ht="15" hidden="false" customHeight="true" outlineLevel="0" collapsed="false">
      <c r="A892" s="1" t="s">
        <v>634</v>
      </c>
      <c r="B892" s="1" t="s">
        <v>85</v>
      </c>
      <c r="C892" s="1" t="s">
        <v>685</v>
      </c>
      <c r="D892" s="1" t="s">
        <v>15</v>
      </c>
      <c r="E892" s="82" t="n">
        <v>6434</v>
      </c>
      <c r="F892" s="26" t="n">
        <v>0.293099708996474</v>
      </c>
      <c r="G892" s="26" t="n">
        <v>1885.803528</v>
      </c>
      <c r="H892" s="1" t="s">
        <v>446</v>
      </c>
    </row>
    <row r="893" customFormat="false" ht="15" hidden="false" customHeight="true" outlineLevel="0" collapsed="false">
      <c r="A893" s="1" t="s">
        <v>634</v>
      </c>
      <c r="B893" s="1" t="s">
        <v>85</v>
      </c>
      <c r="C893" s="1" t="s">
        <v>685</v>
      </c>
      <c r="D893" s="1" t="s">
        <v>16</v>
      </c>
      <c r="E893" s="82" t="n">
        <v>4749</v>
      </c>
      <c r="F893" s="26" t="n">
        <v>0.293099708996474</v>
      </c>
      <c r="G893" s="26" t="n">
        <v>1391.930518</v>
      </c>
      <c r="H893" s="1" t="s">
        <v>446</v>
      </c>
    </row>
    <row r="894" customFormat="false" ht="15" hidden="false" customHeight="true" outlineLevel="0" collapsed="false">
      <c r="A894" s="1" t="s">
        <v>634</v>
      </c>
      <c r="B894" s="1" t="s">
        <v>85</v>
      </c>
      <c r="C894" s="1" t="s">
        <v>685</v>
      </c>
      <c r="D894" s="1" t="s">
        <v>17</v>
      </c>
      <c r="E894" s="82" t="n">
        <v>4795</v>
      </c>
      <c r="F894" s="26" t="n">
        <v>0.293099708996474</v>
      </c>
      <c r="G894" s="26" t="n">
        <v>1405.413105</v>
      </c>
      <c r="H894" s="1" t="s">
        <v>446</v>
      </c>
    </row>
    <row r="895" customFormat="false" ht="15" hidden="false" customHeight="true" outlineLevel="0" collapsed="false">
      <c r="A895" s="1" t="s">
        <v>665</v>
      </c>
      <c r="B895" s="1" t="s">
        <v>85</v>
      </c>
      <c r="C895" s="1" t="s">
        <v>685</v>
      </c>
      <c r="D895" s="1" t="s">
        <v>10</v>
      </c>
      <c r="E895" s="82" t="n">
        <v>6588</v>
      </c>
      <c r="F895" s="26" t="n">
        <v>0.299382438917867</v>
      </c>
      <c r="G895" s="26" t="n">
        <v>1972.331508</v>
      </c>
      <c r="H895" s="1" t="s">
        <v>446</v>
      </c>
    </row>
    <row r="896" customFormat="false" ht="15" hidden="false" customHeight="true" outlineLevel="0" collapsed="false">
      <c r="A896" s="1" t="s">
        <v>665</v>
      </c>
      <c r="B896" s="1" t="s">
        <v>85</v>
      </c>
      <c r="C896" s="1" t="s">
        <v>685</v>
      </c>
      <c r="D896" s="1" t="s">
        <v>12</v>
      </c>
      <c r="E896" s="82" t="n">
        <v>13530</v>
      </c>
      <c r="F896" s="26" t="n">
        <v>0.299382438917867</v>
      </c>
      <c r="G896" s="26" t="n">
        <v>4050.644399</v>
      </c>
      <c r="H896" s="1" t="s">
        <v>446</v>
      </c>
    </row>
    <row r="897" customFormat="false" ht="15" hidden="false" customHeight="true" outlineLevel="0" collapsed="false">
      <c r="A897" s="1" t="s">
        <v>665</v>
      </c>
      <c r="B897" s="1" t="s">
        <v>85</v>
      </c>
      <c r="C897" s="1" t="s">
        <v>685</v>
      </c>
      <c r="D897" s="1" t="s">
        <v>13</v>
      </c>
      <c r="E897" s="82" t="n">
        <v>14689</v>
      </c>
      <c r="F897" s="26" t="n">
        <v>0.299382438917867</v>
      </c>
      <c r="G897" s="26" t="n">
        <v>4397.628645</v>
      </c>
      <c r="H897" s="1" t="s">
        <v>446</v>
      </c>
    </row>
    <row r="898" customFormat="false" ht="15" hidden="false" customHeight="true" outlineLevel="0" collapsed="false">
      <c r="A898" s="1" t="s">
        <v>665</v>
      </c>
      <c r="B898" s="1" t="s">
        <v>85</v>
      </c>
      <c r="C898" s="1" t="s">
        <v>685</v>
      </c>
      <c r="D898" s="1" t="s">
        <v>14</v>
      </c>
      <c r="E898" s="82" t="n">
        <v>3765</v>
      </c>
      <c r="F898" s="26" t="n">
        <v>0.299382438917867</v>
      </c>
      <c r="G898" s="26" t="n">
        <v>1127.174883</v>
      </c>
      <c r="H898" s="1" t="s">
        <v>446</v>
      </c>
    </row>
    <row r="899" customFormat="false" ht="15" hidden="false" customHeight="true" outlineLevel="0" collapsed="false">
      <c r="A899" s="1" t="s">
        <v>665</v>
      </c>
      <c r="B899" s="1" t="s">
        <v>85</v>
      </c>
      <c r="C899" s="1" t="s">
        <v>685</v>
      </c>
      <c r="D899" s="1" t="s">
        <v>15</v>
      </c>
      <c r="E899" s="82" t="n">
        <v>6568</v>
      </c>
      <c r="F899" s="26" t="n">
        <v>0.299382438917867</v>
      </c>
      <c r="G899" s="26" t="n">
        <v>1966.343859</v>
      </c>
      <c r="H899" s="1" t="s">
        <v>446</v>
      </c>
    </row>
    <row r="900" customFormat="false" ht="15" hidden="false" customHeight="true" outlineLevel="0" collapsed="false">
      <c r="A900" s="1" t="s">
        <v>665</v>
      </c>
      <c r="B900" s="1" t="s">
        <v>85</v>
      </c>
      <c r="C900" s="1" t="s">
        <v>685</v>
      </c>
      <c r="D900" s="1" t="s">
        <v>16</v>
      </c>
      <c r="E900" s="82" t="n">
        <v>4805</v>
      </c>
      <c r="F900" s="26" t="n">
        <v>0.299382438917867</v>
      </c>
      <c r="G900" s="26" t="n">
        <v>1438.532619</v>
      </c>
      <c r="H900" s="1" t="s">
        <v>446</v>
      </c>
    </row>
    <row r="901" customFormat="false" ht="15" hidden="false" customHeight="true" outlineLevel="0" collapsed="false">
      <c r="A901" s="1" t="s">
        <v>665</v>
      </c>
      <c r="B901" s="1" t="s">
        <v>85</v>
      </c>
      <c r="C901" s="1" t="s">
        <v>685</v>
      </c>
      <c r="D901" s="1" t="s">
        <v>17</v>
      </c>
      <c r="E901" s="82" t="n">
        <v>4806</v>
      </c>
      <c r="F901" s="26" t="n">
        <v>0.299382438917867</v>
      </c>
      <c r="G901" s="26" t="n">
        <v>1438.832001</v>
      </c>
      <c r="H901" s="1" t="s">
        <v>446</v>
      </c>
    </row>
    <row r="902" customFormat="false" ht="15" hidden="false" customHeight="true" outlineLevel="0" collapsed="false">
      <c r="A902" s="1" t="s">
        <v>444</v>
      </c>
      <c r="B902" s="1" t="s">
        <v>55</v>
      </c>
      <c r="C902" s="1" t="s">
        <v>686</v>
      </c>
      <c r="D902" s="1" t="s">
        <v>10</v>
      </c>
      <c r="E902" s="1" t="n">
        <v>35</v>
      </c>
      <c r="F902" s="1" t="n">
        <v>22.5794396961064</v>
      </c>
      <c r="G902" s="1" t="n">
        <v>790.280389</v>
      </c>
      <c r="H902" s="1" t="s">
        <v>680</v>
      </c>
    </row>
    <row r="903" customFormat="false" ht="15" hidden="false" customHeight="true" outlineLevel="0" collapsed="false">
      <c r="A903" s="1" t="s">
        <v>444</v>
      </c>
      <c r="B903" s="1" t="s">
        <v>55</v>
      </c>
      <c r="C903" s="1" t="s">
        <v>686</v>
      </c>
      <c r="D903" s="1" t="s">
        <v>12</v>
      </c>
      <c r="E903" s="1" t="n">
        <v>35</v>
      </c>
      <c r="F903" s="1" t="n">
        <v>22.5794396961064</v>
      </c>
      <c r="G903" s="1" t="n">
        <v>790.280389</v>
      </c>
      <c r="H903" s="1" t="s">
        <v>680</v>
      </c>
    </row>
    <row r="904" customFormat="false" ht="15" hidden="false" customHeight="true" outlineLevel="0" collapsed="false">
      <c r="A904" s="1" t="s">
        <v>444</v>
      </c>
      <c r="B904" s="1" t="s">
        <v>55</v>
      </c>
      <c r="C904" s="1" t="s">
        <v>686</v>
      </c>
      <c r="D904" s="1" t="s">
        <v>13</v>
      </c>
      <c r="E904" s="1" t="n">
        <v>42</v>
      </c>
      <c r="F904" s="1" t="n">
        <v>22.5794396961064</v>
      </c>
      <c r="G904" s="1" t="n">
        <v>948.336467</v>
      </c>
      <c r="H904" s="1" t="s">
        <v>680</v>
      </c>
    </row>
    <row r="905" customFormat="false" ht="15" hidden="false" customHeight="true" outlineLevel="0" collapsed="false">
      <c r="A905" s="1" t="s">
        <v>444</v>
      </c>
      <c r="B905" s="1" t="s">
        <v>55</v>
      </c>
      <c r="C905" s="1" t="s">
        <v>686</v>
      </c>
      <c r="D905" s="1" t="s">
        <v>14</v>
      </c>
      <c r="E905" s="1" t="n">
        <v>11</v>
      </c>
      <c r="F905" s="1" t="n">
        <v>22.5794396961064</v>
      </c>
      <c r="G905" s="1" t="n">
        <v>248.373837</v>
      </c>
      <c r="H905" s="1" t="s">
        <v>680</v>
      </c>
    </row>
    <row r="906" customFormat="false" ht="15" hidden="false" customHeight="true" outlineLevel="0" collapsed="false">
      <c r="A906" s="1" t="s">
        <v>444</v>
      </c>
      <c r="B906" s="1" t="s">
        <v>55</v>
      </c>
      <c r="C906" s="1" t="s">
        <v>686</v>
      </c>
      <c r="D906" s="1" t="s">
        <v>15</v>
      </c>
      <c r="E906" s="1" t="n">
        <v>42</v>
      </c>
      <c r="F906" s="1" t="n">
        <v>22.5794396961064</v>
      </c>
      <c r="G906" s="1" t="n">
        <v>948.336467</v>
      </c>
      <c r="H906" s="1" t="s">
        <v>680</v>
      </c>
    </row>
    <row r="907" customFormat="false" ht="15" hidden="false" customHeight="true" outlineLevel="0" collapsed="false">
      <c r="A907" s="1" t="s">
        <v>444</v>
      </c>
      <c r="B907" s="1" t="s">
        <v>55</v>
      </c>
      <c r="C907" s="1" t="s">
        <v>686</v>
      </c>
      <c r="D907" s="1" t="s">
        <v>16</v>
      </c>
      <c r="E907" s="1" t="n">
        <v>18</v>
      </c>
      <c r="F907" s="1" t="n">
        <v>22.5794396961064</v>
      </c>
      <c r="G907" s="1" t="n">
        <v>406.429915</v>
      </c>
      <c r="H907" s="1" t="s">
        <v>680</v>
      </c>
    </row>
    <row r="908" customFormat="false" ht="15" hidden="false" customHeight="true" outlineLevel="0" collapsed="false">
      <c r="A908" s="1" t="s">
        <v>444</v>
      </c>
      <c r="B908" s="1" t="s">
        <v>55</v>
      </c>
      <c r="C908" s="1" t="s">
        <v>686</v>
      </c>
      <c r="D908" s="1" t="s">
        <v>17</v>
      </c>
      <c r="E908" s="1" t="n">
        <v>20</v>
      </c>
      <c r="F908" s="1" t="n">
        <v>22.5794396961064</v>
      </c>
      <c r="G908" s="1" t="n">
        <v>451.588794</v>
      </c>
      <c r="H908" s="1" t="s">
        <v>680</v>
      </c>
    </row>
    <row r="909" customFormat="false" ht="15" hidden="false" customHeight="true" outlineLevel="0" collapsed="false">
      <c r="A909" s="1" t="s">
        <v>634</v>
      </c>
      <c r="B909" s="1" t="s">
        <v>55</v>
      </c>
      <c r="C909" s="1" t="s">
        <v>686</v>
      </c>
      <c r="D909" s="1" t="s">
        <v>10</v>
      </c>
      <c r="E909" s="1" t="n">
        <v>34</v>
      </c>
      <c r="F909" s="1" t="n">
        <v>22.6655386081983</v>
      </c>
      <c r="G909" s="1" t="n">
        <v>770.628313</v>
      </c>
      <c r="H909" s="1" t="s">
        <v>680</v>
      </c>
    </row>
    <row r="910" customFormat="false" ht="15" hidden="false" customHeight="true" outlineLevel="0" collapsed="false">
      <c r="A910" s="1" t="s">
        <v>634</v>
      </c>
      <c r="B910" s="1" t="s">
        <v>55</v>
      </c>
      <c r="C910" s="1" t="s">
        <v>686</v>
      </c>
      <c r="D910" s="1" t="s">
        <v>12</v>
      </c>
      <c r="E910" s="1" t="n">
        <v>32</v>
      </c>
      <c r="F910" s="1" t="n">
        <v>22.6655386081983</v>
      </c>
      <c r="G910" s="1" t="n">
        <v>725.297235</v>
      </c>
      <c r="H910" s="1" t="s">
        <v>680</v>
      </c>
    </row>
    <row r="911" customFormat="false" ht="15" hidden="false" customHeight="true" outlineLevel="0" collapsed="false">
      <c r="A911" s="1" t="s">
        <v>634</v>
      </c>
      <c r="B911" s="1" t="s">
        <v>55</v>
      </c>
      <c r="C911" s="1" t="s">
        <v>686</v>
      </c>
      <c r="D911" s="1" t="s">
        <v>13</v>
      </c>
      <c r="E911" s="1" t="n">
        <v>42</v>
      </c>
      <c r="F911" s="1" t="n">
        <v>22.6655386081983</v>
      </c>
      <c r="G911" s="1" t="n">
        <v>951.952622</v>
      </c>
      <c r="H911" s="1" t="s">
        <v>680</v>
      </c>
    </row>
    <row r="912" customFormat="false" ht="15" hidden="false" customHeight="true" outlineLevel="0" collapsed="false">
      <c r="A912" s="1" t="s">
        <v>634</v>
      </c>
      <c r="B912" s="1" t="s">
        <v>55</v>
      </c>
      <c r="C912" s="1" t="s">
        <v>686</v>
      </c>
      <c r="D912" s="1" t="s">
        <v>14</v>
      </c>
      <c r="E912" s="1" t="n">
        <v>11</v>
      </c>
      <c r="F912" s="1" t="n">
        <v>22.6655386081983</v>
      </c>
      <c r="G912" s="1" t="n">
        <v>249.320925</v>
      </c>
      <c r="H912" s="1" t="s">
        <v>680</v>
      </c>
    </row>
    <row r="913" customFormat="false" ht="15" hidden="false" customHeight="true" outlineLevel="0" collapsed="false">
      <c r="A913" s="1" t="s">
        <v>634</v>
      </c>
      <c r="B913" s="1" t="s">
        <v>55</v>
      </c>
      <c r="C913" s="1" t="s">
        <v>686</v>
      </c>
      <c r="D913" s="1" t="s">
        <v>15</v>
      </c>
      <c r="E913" s="1" t="n">
        <v>42</v>
      </c>
      <c r="F913" s="1" t="n">
        <v>22.6655386081983</v>
      </c>
      <c r="G913" s="1" t="n">
        <v>951.952622</v>
      </c>
      <c r="H913" s="1" t="s">
        <v>680</v>
      </c>
    </row>
    <row r="914" customFormat="false" ht="15" hidden="false" customHeight="true" outlineLevel="0" collapsed="false">
      <c r="A914" s="1" t="s">
        <v>634</v>
      </c>
      <c r="B914" s="1" t="s">
        <v>55</v>
      </c>
      <c r="C914" s="1" t="s">
        <v>686</v>
      </c>
      <c r="D914" s="1" t="s">
        <v>16</v>
      </c>
      <c r="E914" s="1" t="n">
        <v>18</v>
      </c>
      <c r="F914" s="1" t="n">
        <v>22.6655386081983</v>
      </c>
      <c r="G914" s="1" t="n">
        <v>407.979695</v>
      </c>
      <c r="H914" s="1" t="s">
        <v>680</v>
      </c>
    </row>
    <row r="915" customFormat="false" ht="15" hidden="false" customHeight="true" outlineLevel="0" collapsed="false">
      <c r="A915" s="1" t="s">
        <v>634</v>
      </c>
      <c r="B915" s="1" t="s">
        <v>55</v>
      </c>
      <c r="C915" s="1" t="s">
        <v>686</v>
      </c>
      <c r="D915" s="1" t="s">
        <v>17</v>
      </c>
      <c r="E915" s="1" t="n">
        <v>17</v>
      </c>
      <c r="F915" s="1" t="n">
        <v>22.6655386081983</v>
      </c>
      <c r="G915" s="1" t="n">
        <v>385.314156</v>
      </c>
      <c r="H915" s="1" t="s">
        <v>680</v>
      </c>
    </row>
    <row r="916" customFormat="false" ht="15" hidden="false" customHeight="true" outlineLevel="0" collapsed="false">
      <c r="A916" s="1" t="s">
        <v>665</v>
      </c>
      <c r="B916" s="1" t="s">
        <v>55</v>
      </c>
      <c r="C916" s="1" t="s">
        <v>686</v>
      </c>
      <c r="D916" s="1" t="s">
        <v>10</v>
      </c>
      <c r="E916" s="1" t="n">
        <v>34</v>
      </c>
      <c r="F916" s="1" t="n">
        <v>21.8129266055046</v>
      </c>
      <c r="G916" s="1" t="n">
        <v>741.639505</v>
      </c>
      <c r="H916" s="1" t="s">
        <v>680</v>
      </c>
    </row>
    <row r="917" customFormat="false" ht="15" hidden="false" customHeight="true" outlineLevel="0" collapsed="false">
      <c r="A917" s="1" t="s">
        <v>665</v>
      </c>
      <c r="B917" s="1" t="s">
        <v>55</v>
      </c>
      <c r="C917" s="1" t="s">
        <v>686</v>
      </c>
      <c r="D917" s="1" t="s">
        <v>12</v>
      </c>
      <c r="H917" s="1" t="s">
        <v>687</v>
      </c>
    </row>
    <row r="918" customFormat="false" ht="15" hidden="false" customHeight="true" outlineLevel="0" collapsed="false">
      <c r="A918" s="1" t="s">
        <v>665</v>
      </c>
      <c r="B918" s="1" t="s">
        <v>55</v>
      </c>
      <c r="C918" s="1" t="s">
        <v>686</v>
      </c>
      <c r="D918" s="1" t="s">
        <v>13</v>
      </c>
      <c r="E918" s="1" t="n">
        <v>47</v>
      </c>
      <c r="F918" s="1" t="n">
        <v>21.8129266055046</v>
      </c>
      <c r="G918" s="1" t="n">
        <v>1025.20755</v>
      </c>
      <c r="H918" s="1" t="s">
        <v>680</v>
      </c>
    </row>
    <row r="919" customFormat="false" ht="15" hidden="false" customHeight="true" outlineLevel="0" collapsed="false">
      <c r="A919" s="1" t="s">
        <v>665</v>
      </c>
      <c r="B919" s="1" t="s">
        <v>55</v>
      </c>
      <c r="C919" s="1" t="s">
        <v>686</v>
      </c>
      <c r="D919" s="1" t="s">
        <v>14</v>
      </c>
      <c r="E919" s="1" t="n">
        <v>11</v>
      </c>
      <c r="F919" s="1" t="n">
        <v>21.8129266055046</v>
      </c>
      <c r="G919" s="1" t="n">
        <v>239.942193</v>
      </c>
      <c r="H919" s="1" t="s">
        <v>680</v>
      </c>
    </row>
    <row r="920" customFormat="false" ht="15" hidden="false" customHeight="true" outlineLevel="0" collapsed="false">
      <c r="A920" s="1" t="s">
        <v>665</v>
      </c>
      <c r="B920" s="1" t="s">
        <v>55</v>
      </c>
      <c r="C920" s="1" t="s">
        <v>686</v>
      </c>
      <c r="D920" s="1" t="s">
        <v>15</v>
      </c>
      <c r="E920" s="1" t="n">
        <v>50</v>
      </c>
      <c r="F920" s="1" t="n">
        <v>21.8129266055046</v>
      </c>
      <c r="G920" s="1" t="n">
        <v>1090.64633</v>
      </c>
      <c r="H920" s="1" t="s">
        <v>680</v>
      </c>
    </row>
    <row r="921" customFormat="false" ht="15" hidden="false" customHeight="true" outlineLevel="0" collapsed="false">
      <c r="A921" s="1" t="s">
        <v>665</v>
      </c>
      <c r="B921" s="1" t="s">
        <v>55</v>
      </c>
      <c r="C921" s="1" t="s">
        <v>686</v>
      </c>
      <c r="D921" s="1" t="s">
        <v>16</v>
      </c>
      <c r="E921" s="1" t="n">
        <v>18</v>
      </c>
      <c r="F921" s="1" t="n">
        <v>21.8129266055046</v>
      </c>
      <c r="G921" s="1" t="n">
        <v>392.632679</v>
      </c>
      <c r="H921" s="1" t="s">
        <v>680</v>
      </c>
    </row>
    <row r="922" customFormat="false" ht="15" hidden="false" customHeight="true" outlineLevel="0" collapsed="false">
      <c r="A922" s="1" t="s">
        <v>665</v>
      </c>
      <c r="B922" s="1" t="s">
        <v>55</v>
      </c>
      <c r="C922" s="1" t="s">
        <v>686</v>
      </c>
      <c r="D922" s="1" t="s">
        <v>17</v>
      </c>
      <c r="E922" s="1" t="n">
        <v>24</v>
      </c>
      <c r="F922" s="1" t="n">
        <v>21.8129266055046</v>
      </c>
      <c r="G922" s="1" t="n">
        <v>523.510239</v>
      </c>
      <c r="H922" s="1" t="s">
        <v>680</v>
      </c>
    </row>
    <row r="923" customFormat="false" ht="15" hidden="false" customHeight="true" outlineLevel="0" collapsed="false">
      <c r="A923" s="1" t="s">
        <v>444</v>
      </c>
      <c r="B923" s="1" t="s">
        <v>55</v>
      </c>
      <c r="C923" s="1" t="s">
        <v>688</v>
      </c>
      <c r="D923" s="1" t="s">
        <v>10</v>
      </c>
      <c r="E923" s="1" t="n">
        <v>1</v>
      </c>
      <c r="F923" s="1" t="n">
        <v>32179.26</v>
      </c>
      <c r="G923" s="1" t="n">
        <v>32179.26</v>
      </c>
      <c r="H923" s="1" t="s">
        <v>689</v>
      </c>
    </row>
    <row r="924" customFormat="false" ht="15" hidden="false" customHeight="true" outlineLevel="0" collapsed="false">
      <c r="A924" s="1" t="s">
        <v>444</v>
      </c>
      <c r="B924" s="1" t="s">
        <v>55</v>
      </c>
      <c r="C924" s="1" t="s">
        <v>688</v>
      </c>
      <c r="D924" s="1" t="s">
        <v>14</v>
      </c>
      <c r="E924" s="1" t="n">
        <v>1</v>
      </c>
      <c r="F924" s="1" t="n">
        <v>18442.4</v>
      </c>
      <c r="G924" s="1" t="n">
        <v>18442.4</v>
      </c>
      <c r="H924" s="1" t="s">
        <v>689</v>
      </c>
    </row>
    <row r="925" customFormat="false" ht="15" hidden="false" customHeight="true" outlineLevel="0" collapsed="false">
      <c r="A925" s="1" t="s">
        <v>444</v>
      </c>
      <c r="B925" s="1" t="s">
        <v>55</v>
      </c>
      <c r="C925" s="1" t="s">
        <v>688</v>
      </c>
      <c r="D925" s="1" t="s">
        <v>15</v>
      </c>
      <c r="E925" s="1" t="n">
        <v>1</v>
      </c>
      <c r="F925" s="1" t="n">
        <v>38121.52</v>
      </c>
      <c r="G925" s="1" t="n">
        <v>38121.52</v>
      </c>
      <c r="H925" s="1" t="s">
        <v>689</v>
      </c>
    </row>
    <row r="926" customFormat="false" ht="15" hidden="false" customHeight="true" outlineLevel="0" collapsed="false">
      <c r="A926" s="1" t="s">
        <v>444</v>
      </c>
      <c r="B926" s="1" t="s">
        <v>55</v>
      </c>
      <c r="C926" s="1" t="s">
        <v>688</v>
      </c>
      <c r="D926" s="1" t="s">
        <v>13</v>
      </c>
      <c r="E926" s="1" t="n">
        <v>1</v>
      </c>
      <c r="F926" s="1" t="n">
        <v>81174.19</v>
      </c>
      <c r="G926" s="1" t="n">
        <v>81174.19</v>
      </c>
      <c r="H926" s="1" t="s">
        <v>689</v>
      </c>
    </row>
    <row r="927" customFormat="false" ht="15" hidden="false" customHeight="true" outlineLevel="0" collapsed="false">
      <c r="A927" s="1" t="s">
        <v>444</v>
      </c>
      <c r="B927" s="1" t="s">
        <v>55</v>
      </c>
      <c r="C927" s="1" t="s">
        <v>688</v>
      </c>
      <c r="D927" s="1" t="s">
        <v>16</v>
      </c>
      <c r="E927" s="1" t="n">
        <v>1</v>
      </c>
      <c r="F927" s="1" t="n">
        <v>24421.33</v>
      </c>
      <c r="G927" s="1" t="n">
        <v>24421.33</v>
      </c>
      <c r="H927" s="1" t="s">
        <v>689</v>
      </c>
    </row>
    <row r="928" customFormat="false" ht="15" hidden="false" customHeight="true" outlineLevel="0" collapsed="false">
      <c r="A928" s="1" t="s">
        <v>444</v>
      </c>
      <c r="B928" s="1" t="s">
        <v>55</v>
      </c>
      <c r="C928" s="1" t="s">
        <v>688</v>
      </c>
      <c r="D928" s="1" t="s">
        <v>17</v>
      </c>
      <c r="E928" s="1" t="n">
        <v>1</v>
      </c>
      <c r="F928" s="1" t="n">
        <v>29324.31</v>
      </c>
      <c r="G928" s="1" t="n">
        <v>29324.31</v>
      </c>
      <c r="H928" s="1" t="s">
        <v>689</v>
      </c>
    </row>
    <row r="929" customFormat="false" ht="15" hidden="false" customHeight="true" outlineLevel="0" collapsed="false">
      <c r="A929" s="1" t="s">
        <v>634</v>
      </c>
      <c r="B929" s="1" t="s">
        <v>55</v>
      </c>
      <c r="C929" s="1" t="s">
        <v>688</v>
      </c>
      <c r="D929" s="1" t="s">
        <v>10</v>
      </c>
      <c r="E929" s="1" t="n">
        <v>1</v>
      </c>
      <c r="F929" s="1" t="n">
        <v>33737.43</v>
      </c>
      <c r="G929" s="1" t="n">
        <v>33737.43</v>
      </c>
      <c r="H929" s="1" t="s">
        <v>689</v>
      </c>
    </row>
    <row r="930" customFormat="false" ht="15" hidden="false" customHeight="true" outlineLevel="0" collapsed="false">
      <c r="A930" s="1" t="s">
        <v>634</v>
      </c>
      <c r="B930" s="1" t="s">
        <v>55</v>
      </c>
      <c r="C930" s="1" t="s">
        <v>688</v>
      </c>
      <c r="D930" s="1" t="s">
        <v>14</v>
      </c>
      <c r="E930" s="1" t="n">
        <v>1</v>
      </c>
      <c r="F930" s="1" t="n">
        <v>20747.18</v>
      </c>
      <c r="G930" s="1" t="n">
        <v>20747.18</v>
      </c>
      <c r="H930" s="1" t="s">
        <v>689</v>
      </c>
    </row>
    <row r="931" customFormat="false" ht="15" hidden="false" customHeight="true" outlineLevel="0" collapsed="false">
      <c r="A931" s="1" t="s">
        <v>634</v>
      </c>
      <c r="B931" s="1" t="s">
        <v>55</v>
      </c>
      <c r="C931" s="1" t="s">
        <v>688</v>
      </c>
      <c r="D931" s="1" t="s">
        <v>15</v>
      </c>
      <c r="E931" s="1" t="n">
        <v>1</v>
      </c>
      <c r="F931" s="1" t="n">
        <v>40834.77</v>
      </c>
      <c r="G931" s="1" t="n">
        <v>40834.77</v>
      </c>
      <c r="H931" s="1" t="s">
        <v>689</v>
      </c>
    </row>
    <row r="932" customFormat="false" ht="15" hidden="false" customHeight="true" outlineLevel="0" collapsed="false">
      <c r="A932" s="1" t="s">
        <v>634</v>
      </c>
      <c r="B932" s="1" t="s">
        <v>55</v>
      </c>
      <c r="C932" s="1" t="s">
        <v>688</v>
      </c>
      <c r="D932" s="1" t="s">
        <v>13</v>
      </c>
      <c r="E932" s="1" t="n">
        <v>1</v>
      </c>
      <c r="F932" s="1" t="n">
        <v>88540.29</v>
      </c>
      <c r="G932" s="1" t="n">
        <v>88540.29</v>
      </c>
      <c r="H932" s="1" t="s">
        <v>689</v>
      </c>
    </row>
    <row r="933" customFormat="false" ht="15" hidden="false" customHeight="true" outlineLevel="0" collapsed="false">
      <c r="A933" s="1" t="s">
        <v>634</v>
      </c>
      <c r="B933" s="1" t="s">
        <v>55</v>
      </c>
      <c r="C933" s="1" t="s">
        <v>688</v>
      </c>
      <c r="D933" s="1" t="s">
        <v>16</v>
      </c>
      <c r="E933" s="1" t="n">
        <v>1</v>
      </c>
      <c r="F933" s="1" t="n">
        <v>26681.82</v>
      </c>
      <c r="G933" s="1" t="n">
        <v>26681.82</v>
      </c>
      <c r="H933" s="1" t="s">
        <v>689</v>
      </c>
    </row>
    <row r="934" customFormat="false" ht="15" hidden="false" customHeight="true" outlineLevel="0" collapsed="false">
      <c r="A934" s="1" t="s">
        <v>634</v>
      </c>
      <c r="B934" s="1" t="s">
        <v>55</v>
      </c>
      <c r="C934" s="1" t="s">
        <v>688</v>
      </c>
      <c r="D934" s="1" t="s">
        <v>17</v>
      </c>
      <c r="E934" s="1" t="n">
        <v>1</v>
      </c>
      <c r="F934" s="1" t="n">
        <v>31624.98</v>
      </c>
      <c r="G934" s="1" t="n">
        <v>31624.98</v>
      </c>
      <c r="H934" s="1" t="s">
        <v>689</v>
      </c>
    </row>
    <row r="935" customFormat="false" ht="15" hidden="false" customHeight="true" outlineLevel="0" collapsed="false">
      <c r="A935" s="1" t="s">
        <v>665</v>
      </c>
      <c r="B935" s="1" t="s">
        <v>55</v>
      </c>
      <c r="C935" s="1" t="s">
        <v>688</v>
      </c>
      <c r="D935" s="1" t="s">
        <v>10</v>
      </c>
      <c r="E935" s="1" t="n">
        <v>1</v>
      </c>
      <c r="F935" s="1" t="n">
        <v>37628.98</v>
      </c>
      <c r="G935" s="1" t="n">
        <v>37628.98</v>
      </c>
      <c r="H935" s="1" t="s">
        <v>689</v>
      </c>
    </row>
    <row r="936" customFormat="false" ht="15" hidden="false" customHeight="true" outlineLevel="0" collapsed="false">
      <c r="A936" s="1" t="s">
        <v>665</v>
      </c>
      <c r="B936" s="1" t="s">
        <v>55</v>
      </c>
      <c r="C936" s="1" t="s">
        <v>688</v>
      </c>
      <c r="D936" s="1" t="s">
        <v>14</v>
      </c>
      <c r="E936" s="1" t="n">
        <v>1</v>
      </c>
      <c r="F936" s="1" t="n">
        <v>21544.9</v>
      </c>
      <c r="G936" s="1" t="n">
        <v>21544.9</v>
      </c>
      <c r="H936" s="1" t="s">
        <v>689</v>
      </c>
    </row>
    <row r="937" customFormat="false" ht="15" hidden="false" customHeight="true" outlineLevel="0" collapsed="false">
      <c r="A937" s="1" t="s">
        <v>665</v>
      </c>
      <c r="B937" s="1" t="s">
        <v>55</v>
      </c>
      <c r="C937" s="1" t="s">
        <v>688</v>
      </c>
      <c r="D937" s="1" t="s">
        <v>15</v>
      </c>
      <c r="E937" s="1" t="n">
        <v>1</v>
      </c>
      <c r="F937" s="1" t="n">
        <v>41387.02</v>
      </c>
      <c r="G937" s="1" t="n">
        <v>41387.02</v>
      </c>
      <c r="H937" s="1" t="s">
        <v>689</v>
      </c>
    </row>
    <row r="938" customFormat="false" ht="15" hidden="false" customHeight="true" outlineLevel="0" collapsed="false">
      <c r="A938" s="1" t="s">
        <v>665</v>
      </c>
      <c r="B938" s="1" t="s">
        <v>55</v>
      </c>
      <c r="C938" s="1" t="s">
        <v>688</v>
      </c>
      <c r="D938" s="1" t="s">
        <v>13</v>
      </c>
      <c r="E938" s="1" t="n">
        <v>1</v>
      </c>
      <c r="F938" s="1" t="n">
        <v>90134.89</v>
      </c>
      <c r="G938" s="1" t="n">
        <v>90134.89</v>
      </c>
      <c r="H938" s="1" t="s">
        <v>689</v>
      </c>
    </row>
    <row r="939" customFormat="false" ht="15" hidden="false" customHeight="true" outlineLevel="0" collapsed="false">
      <c r="A939" s="1" t="s">
        <v>665</v>
      </c>
      <c r="B939" s="1" t="s">
        <v>55</v>
      </c>
      <c r="C939" s="1" t="s">
        <v>688</v>
      </c>
      <c r="D939" s="1" t="s">
        <v>16</v>
      </c>
      <c r="E939" s="1" t="n">
        <v>1</v>
      </c>
      <c r="F939" s="1" t="n">
        <v>26769.64</v>
      </c>
      <c r="G939" s="1" t="n">
        <v>26769.64</v>
      </c>
      <c r="H939" s="1" t="s">
        <v>689</v>
      </c>
    </row>
    <row r="940" customFormat="false" ht="15" hidden="false" customHeight="true" outlineLevel="0" collapsed="false">
      <c r="A940" s="1" t="s">
        <v>665</v>
      </c>
      <c r="B940" s="1" t="s">
        <v>55</v>
      </c>
      <c r="C940" s="1" t="s">
        <v>688</v>
      </c>
      <c r="D940" s="1" t="s">
        <v>17</v>
      </c>
      <c r="E940" s="1" t="n">
        <v>1</v>
      </c>
      <c r="F940" s="1" t="n">
        <v>31924.42</v>
      </c>
      <c r="G940" s="1" t="n">
        <v>31924.42</v>
      </c>
      <c r="H940" s="1" t="s">
        <v>689</v>
      </c>
    </row>
    <row r="941" customFormat="false" ht="15" hidden="false" customHeight="true" outlineLevel="0" collapsed="false">
      <c r="A941" s="1" t="s">
        <v>444</v>
      </c>
      <c r="B941" s="1" t="s">
        <v>41</v>
      </c>
      <c r="C941" s="1" t="s">
        <v>41</v>
      </c>
      <c r="D941" s="1" t="s">
        <v>10</v>
      </c>
      <c r="E941" s="1" t="n">
        <v>6280</v>
      </c>
      <c r="F941" s="1" t="n">
        <v>0.0950854396452147</v>
      </c>
      <c r="G941" s="1" t="n">
        <v>597.136560971948</v>
      </c>
      <c r="H941" s="1" t="s">
        <v>446</v>
      </c>
    </row>
    <row r="942" customFormat="false" ht="15" hidden="false" customHeight="true" outlineLevel="0" collapsed="false">
      <c r="A942" s="1" t="s">
        <v>444</v>
      </c>
      <c r="B942" s="1" t="s">
        <v>41</v>
      </c>
      <c r="C942" s="1" t="s">
        <v>41</v>
      </c>
      <c r="D942" s="1" t="s">
        <v>13</v>
      </c>
      <c r="E942" s="1" t="n">
        <v>14331</v>
      </c>
      <c r="F942" s="1" t="n">
        <v>0.0950854396452147</v>
      </c>
      <c r="G942" s="1" t="n">
        <v>1362.66943555557</v>
      </c>
      <c r="H942" s="1" t="s">
        <v>446</v>
      </c>
    </row>
    <row r="943" customFormat="false" ht="15" hidden="false" customHeight="true" outlineLevel="0" collapsed="false">
      <c r="A943" s="1" t="s">
        <v>444</v>
      </c>
      <c r="B943" s="1" t="s">
        <v>41</v>
      </c>
      <c r="C943" s="1" t="s">
        <v>41</v>
      </c>
      <c r="D943" s="1" t="s">
        <v>14</v>
      </c>
      <c r="E943" s="1" t="n">
        <v>3650</v>
      </c>
      <c r="F943" s="1" t="n">
        <v>0.0950854396452147</v>
      </c>
      <c r="G943" s="1" t="n">
        <v>347.061854705034</v>
      </c>
      <c r="H943" s="1" t="s">
        <v>446</v>
      </c>
    </row>
    <row r="944" customFormat="false" ht="15" hidden="false" customHeight="true" outlineLevel="0" collapsed="false">
      <c r="A944" s="1" t="s">
        <v>444</v>
      </c>
      <c r="B944" s="1" t="s">
        <v>41</v>
      </c>
      <c r="C944" s="1" t="s">
        <v>41</v>
      </c>
      <c r="D944" s="1" t="s">
        <v>15</v>
      </c>
      <c r="E944" s="1" t="n">
        <v>6396</v>
      </c>
      <c r="F944" s="1" t="n">
        <v>0.0950854396452147</v>
      </c>
      <c r="G944" s="1" t="n">
        <v>608.166471970793</v>
      </c>
      <c r="H944" s="1" t="s">
        <v>446</v>
      </c>
    </row>
    <row r="945" customFormat="false" ht="15" hidden="false" customHeight="true" outlineLevel="0" collapsed="false">
      <c r="A945" s="1" t="s">
        <v>444</v>
      </c>
      <c r="B945" s="1" t="s">
        <v>41</v>
      </c>
      <c r="C945" s="1" t="s">
        <v>41</v>
      </c>
      <c r="D945" s="1" t="s">
        <v>16</v>
      </c>
      <c r="E945" s="1" t="n">
        <v>4730</v>
      </c>
      <c r="F945" s="1" t="n">
        <v>0.0950854396452147</v>
      </c>
      <c r="G945" s="1" t="n">
        <v>449.754129521866</v>
      </c>
      <c r="H945" s="1" t="s">
        <v>446</v>
      </c>
    </row>
    <row r="946" customFormat="false" ht="15" hidden="false" customHeight="true" outlineLevel="0" collapsed="false">
      <c r="A946" s="1" t="s">
        <v>444</v>
      </c>
      <c r="B946" s="1" t="s">
        <v>41</v>
      </c>
      <c r="C946" s="1" t="s">
        <v>41</v>
      </c>
      <c r="D946" s="1" t="s">
        <v>17</v>
      </c>
      <c r="E946" s="1" t="n">
        <v>4782</v>
      </c>
      <c r="F946" s="1" t="n">
        <v>0.0950854396452147</v>
      </c>
      <c r="G946" s="1" t="n">
        <v>454.698572383417</v>
      </c>
      <c r="H946" s="1" t="s">
        <v>446</v>
      </c>
    </row>
    <row r="947" customFormat="false" ht="15" hidden="false" customHeight="true" outlineLevel="0" collapsed="false">
      <c r="A947" s="1" t="s">
        <v>634</v>
      </c>
      <c r="B947" s="1" t="s">
        <v>41</v>
      </c>
      <c r="C947" s="1" t="s">
        <v>41</v>
      </c>
      <c r="D947" s="1" t="s">
        <v>10</v>
      </c>
      <c r="E947" s="1" t="n">
        <v>6445</v>
      </c>
      <c r="F947" s="1" t="n">
        <v>0.0926479707456773</v>
      </c>
      <c r="G947" s="1" t="n">
        <v>597.11617145589</v>
      </c>
      <c r="H947" s="1" t="s">
        <v>446</v>
      </c>
    </row>
    <row r="948" customFormat="false" ht="15" hidden="false" customHeight="true" outlineLevel="0" collapsed="false">
      <c r="A948" s="1" t="s">
        <v>634</v>
      </c>
      <c r="B948" s="1" t="s">
        <v>41</v>
      </c>
      <c r="C948" s="1" t="s">
        <v>41</v>
      </c>
      <c r="D948" s="1" t="s">
        <v>13</v>
      </c>
      <c r="E948" s="1" t="n">
        <v>14441</v>
      </c>
      <c r="F948" s="1" t="n">
        <v>0.0926479707456773</v>
      </c>
      <c r="G948" s="1" t="n">
        <v>1337.92934553833</v>
      </c>
      <c r="H948" s="1" t="s">
        <v>446</v>
      </c>
    </row>
    <row r="949" customFormat="false" ht="15" hidden="false" customHeight="true" outlineLevel="0" collapsed="false">
      <c r="A949" s="1" t="s">
        <v>634</v>
      </c>
      <c r="B949" s="1" t="s">
        <v>41</v>
      </c>
      <c r="C949" s="1" t="s">
        <v>41</v>
      </c>
      <c r="D949" s="1" t="s">
        <v>14</v>
      </c>
      <c r="E949" s="1" t="n">
        <v>3704</v>
      </c>
      <c r="F949" s="1" t="n">
        <v>0.0926479707456773</v>
      </c>
      <c r="G949" s="1" t="n">
        <v>343.168083641989</v>
      </c>
      <c r="H949" s="1" t="s">
        <v>446</v>
      </c>
    </row>
    <row r="950" customFormat="false" ht="15" hidden="false" customHeight="true" outlineLevel="0" collapsed="false">
      <c r="A950" s="1" t="s">
        <v>634</v>
      </c>
      <c r="B950" s="1" t="s">
        <v>41</v>
      </c>
      <c r="C950" s="1" t="s">
        <v>41</v>
      </c>
      <c r="D950" s="1" t="s">
        <v>15</v>
      </c>
      <c r="E950" s="1" t="n">
        <v>6434</v>
      </c>
      <c r="F950" s="1" t="n">
        <v>0.0926479707456773</v>
      </c>
      <c r="G950" s="1" t="n">
        <v>596.097043777688</v>
      </c>
      <c r="H950" s="1" t="s">
        <v>446</v>
      </c>
    </row>
    <row r="951" customFormat="false" ht="15" hidden="false" customHeight="true" outlineLevel="0" collapsed="false">
      <c r="A951" s="1" t="s">
        <v>634</v>
      </c>
      <c r="B951" s="1" t="s">
        <v>41</v>
      </c>
      <c r="C951" s="1" t="s">
        <v>41</v>
      </c>
      <c r="D951" s="1" t="s">
        <v>16</v>
      </c>
      <c r="E951" s="1" t="n">
        <v>4749</v>
      </c>
      <c r="F951" s="1" t="n">
        <v>0.0926479707456773</v>
      </c>
      <c r="G951" s="1" t="n">
        <v>439.985213071222</v>
      </c>
      <c r="H951" s="1" t="s">
        <v>446</v>
      </c>
    </row>
    <row r="952" customFormat="false" ht="15" hidden="false" customHeight="true" outlineLevel="0" collapsed="false">
      <c r="A952" s="1" t="s">
        <v>634</v>
      </c>
      <c r="B952" s="1" t="s">
        <v>41</v>
      </c>
      <c r="C952" s="1" t="s">
        <v>41</v>
      </c>
      <c r="D952" s="1" t="s">
        <v>17</v>
      </c>
      <c r="E952" s="1" t="n">
        <v>4795</v>
      </c>
      <c r="F952" s="1" t="n">
        <v>0.0926479707456773</v>
      </c>
      <c r="G952" s="1" t="n">
        <v>444.247019725523</v>
      </c>
      <c r="H952" s="1" t="s">
        <v>446</v>
      </c>
    </row>
    <row r="953" customFormat="false" ht="15" hidden="false" customHeight="true" outlineLevel="0" collapsed="false">
      <c r="A953" s="1" t="s">
        <v>665</v>
      </c>
      <c r="B953" s="1" t="s">
        <v>41</v>
      </c>
      <c r="C953" s="1" t="s">
        <v>41</v>
      </c>
      <c r="D953" s="1" t="s">
        <v>10</v>
      </c>
      <c r="E953" s="1" t="n">
        <v>6588</v>
      </c>
      <c r="F953" s="1" t="n">
        <v>0.0997407208857964</v>
      </c>
      <c r="G953" s="1" t="n">
        <v>657.091869195627</v>
      </c>
      <c r="H953" s="1" t="s">
        <v>446</v>
      </c>
    </row>
    <row r="954" customFormat="false" ht="15" hidden="false" customHeight="true" outlineLevel="0" collapsed="false">
      <c r="A954" s="1" t="s">
        <v>665</v>
      </c>
      <c r="B954" s="1" t="s">
        <v>41</v>
      </c>
      <c r="C954" s="1" t="s">
        <v>41</v>
      </c>
      <c r="D954" s="1" t="s">
        <v>13</v>
      </c>
      <c r="E954" s="1" t="n">
        <v>14689</v>
      </c>
      <c r="F954" s="1" t="n">
        <v>0.0997407208857964</v>
      </c>
      <c r="G954" s="1" t="n">
        <v>1465.09144909146</v>
      </c>
      <c r="H954" s="1" t="s">
        <v>446</v>
      </c>
    </row>
    <row r="955" customFormat="false" ht="15" hidden="false" customHeight="true" outlineLevel="0" collapsed="false">
      <c r="A955" s="1" t="s">
        <v>665</v>
      </c>
      <c r="B955" s="1" t="s">
        <v>41</v>
      </c>
      <c r="C955" s="1" t="s">
        <v>41</v>
      </c>
      <c r="D955" s="1" t="s">
        <v>14</v>
      </c>
      <c r="E955" s="1" t="n">
        <v>3765</v>
      </c>
      <c r="F955" s="1" t="n">
        <v>0.0997407208857964</v>
      </c>
      <c r="G955" s="1" t="n">
        <v>375.523814135023</v>
      </c>
      <c r="H955" s="1" t="s">
        <v>446</v>
      </c>
    </row>
    <row r="956" customFormat="false" ht="15" hidden="false" customHeight="true" outlineLevel="0" collapsed="false">
      <c r="A956" s="1" t="s">
        <v>665</v>
      </c>
      <c r="B956" s="1" t="s">
        <v>41</v>
      </c>
      <c r="C956" s="1" t="s">
        <v>41</v>
      </c>
      <c r="D956" s="1" t="s">
        <v>15</v>
      </c>
      <c r="E956" s="1" t="n">
        <v>6568</v>
      </c>
      <c r="F956" s="1" t="n">
        <v>0.0997407208857964</v>
      </c>
      <c r="G956" s="1" t="n">
        <v>655.097054777911</v>
      </c>
      <c r="H956" s="1" t="s">
        <v>446</v>
      </c>
    </row>
    <row r="957" customFormat="false" ht="15" hidden="false" customHeight="true" outlineLevel="0" collapsed="false">
      <c r="A957" s="1" t="s">
        <v>665</v>
      </c>
      <c r="B957" s="1" t="s">
        <v>41</v>
      </c>
      <c r="C957" s="1" t="s">
        <v>41</v>
      </c>
      <c r="D957" s="1" t="s">
        <v>16</v>
      </c>
      <c r="E957" s="1" t="n">
        <v>4805</v>
      </c>
      <c r="F957" s="1" t="n">
        <v>0.0997407208857964</v>
      </c>
      <c r="G957" s="1" t="n">
        <v>479.254163856252</v>
      </c>
      <c r="H957" s="1" t="s">
        <v>446</v>
      </c>
    </row>
    <row r="958" customFormat="false" ht="15" hidden="false" customHeight="true" outlineLevel="0" collapsed="false">
      <c r="A958" s="1" t="s">
        <v>665</v>
      </c>
      <c r="B958" s="1" t="s">
        <v>41</v>
      </c>
      <c r="C958" s="1" t="s">
        <v>41</v>
      </c>
      <c r="D958" s="1" t="s">
        <v>17</v>
      </c>
      <c r="E958" s="1" t="n">
        <v>4806</v>
      </c>
      <c r="F958" s="1" t="n">
        <v>0.0997407208857964</v>
      </c>
      <c r="G958" s="1" t="n">
        <v>479.353904577138</v>
      </c>
      <c r="H958" s="1" t="s">
        <v>446</v>
      </c>
    </row>
    <row r="959" customFormat="false" ht="15" hidden="false" customHeight="true" outlineLevel="0" collapsed="false">
      <c r="A959" s="1" t="s">
        <v>690</v>
      </c>
      <c r="B959" s="1" t="s">
        <v>43</v>
      </c>
      <c r="C959" s="1" t="s">
        <v>43</v>
      </c>
      <c r="D959" s="1" t="s">
        <v>10</v>
      </c>
      <c r="E959" s="1" t="n">
        <v>6711</v>
      </c>
      <c r="F959" s="1" t="n">
        <v>0.133549418333057</v>
      </c>
      <c r="G959" s="1" t="n">
        <v>896.250146433146</v>
      </c>
      <c r="H959" s="1" t="s">
        <v>446</v>
      </c>
    </row>
    <row r="960" customFormat="false" ht="15" hidden="false" customHeight="true" outlineLevel="0" collapsed="false">
      <c r="A960" s="1" t="s">
        <v>690</v>
      </c>
      <c r="B960" s="1" t="s">
        <v>43</v>
      </c>
      <c r="C960" s="1" t="s">
        <v>43</v>
      </c>
      <c r="D960" s="1" t="s">
        <v>14</v>
      </c>
      <c r="E960" s="1" t="n">
        <v>3823</v>
      </c>
      <c r="F960" s="1" t="n">
        <v>0.133549418333057</v>
      </c>
      <c r="G960" s="1" t="n">
        <v>510.559426287277</v>
      </c>
      <c r="H960" s="1" t="s">
        <v>446</v>
      </c>
    </row>
    <row r="961" customFormat="false" ht="15" hidden="false" customHeight="true" outlineLevel="0" collapsed="false">
      <c r="A961" s="1" t="s">
        <v>690</v>
      </c>
      <c r="B961" s="1" t="s">
        <v>43</v>
      </c>
      <c r="C961" s="1" t="s">
        <v>43</v>
      </c>
      <c r="D961" s="1" t="s">
        <v>15</v>
      </c>
      <c r="E961" s="1" t="n">
        <v>6701</v>
      </c>
      <c r="F961" s="1" t="n">
        <v>0.133549418333057</v>
      </c>
      <c r="G961" s="1" t="n">
        <v>894.914652249815</v>
      </c>
      <c r="H961" s="1" t="s">
        <v>446</v>
      </c>
    </row>
    <row r="962" customFormat="false" ht="15" hidden="false" customHeight="true" outlineLevel="0" collapsed="false">
      <c r="A962" s="1" t="s">
        <v>690</v>
      </c>
      <c r="B962" s="1" t="s">
        <v>43</v>
      </c>
      <c r="C962" s="1" t="s">
        <v>43</v>
      </c>
      <c r="D962" s="1" t="s">
        <v>13</v>
      </c>
      <c r="E962" s="1" t="n">
        <v>14824</v>
      </c>
      <c r="F962" s="1" t="n">
        <v>0.133549418333057</v>
      </c>
      <c r="G962" s="1" t="n">
        <v>1979.73657736924</v>
      </c>
      <c r="H962" s="1" t="s">
        <v>446</v>
      </c>
    </row>
    <row r="963" customFormat="false" ht="15" hidden="false" customHeight="true" outlineLevel="0" collapsed="false">
      <c r="A963" s="1" t="s">
        <v>690</v>
      </c>
      <c r="B963" s="1" t="s">
        <v>43</v>
      </c>
      <c r="C963" s="1" t="s">
        <v>43</v>
      </c>
      <c r="D963" s="1" t="s">
        <v>16</v>
      </c>
      <c r="E963" s="1" t="n">
        <v>4839</v>
      </c>
      <c r="F963" s="1" t="n">
        <v>0.133549418333057</v>
      </c>
      <c r="G963" s="1" t="n">
        <v>646.245635313663</v>
      </c>
      <c r="H963" s="1" t="s">
        <v>446</v>
      </c>
    </row>
    <row r="964" customFormat="false" ht="15" hidden="false" customHeight="true" outlineLevel="0" collapsed="false">
      <c r="A964" s="1" t="s">
        <v>690</v>
      </c>
      <c r="B964" s="1" t="s">
        <v>43</v>
      </c>
      <c r="C964" s="1" t="s">
        <v>43</v>
      </c>
      <c r="D964" s="1" t="s">
        <v>17</v>
      </c>
      <c r="E964" s="1" t="n">
        <v>4839</v>
      </c>
      <c r="F964" s="1" t="n">
        <v>0.133549418333057</v>
      </c>
      <c r="G964" s="1" t="n">
        <v>646.245635313663</v>
      </c>
      <c r="H964" s="1" t="s">
        <v>446</v>
      </c>
    </row>
    <row r="965" customFormat="false" ht="15" hidden="false" customHeight="true" outlineLevel="0" collapsed="false">
      <c r="A965" s="1" t="s">
        <v>690</v>
      </c>
      <c r="B965" s="1" t="s">
        <v>31</v>
      </c>
      <c r="C965" s="1" t="s">
        <v>31</v>
      </c>
      <c r="D965" s="1" t="s">
        <v>10</v>
      </c>
      <c r="E965" s="1" t="n">
        <v>6711</v>
      </c>
      <c r="F965" s="1" t="n">
        <v>0.2292008608622</v>
      </c>
      <c r="G965" s="1" t="n">
        <v>1538.16697724622</v>
      </c>
      <c r="H965" s="1" t="s">
        <v>446</v>
      </c>
    </row>
    <row r="966" customFormat="false" ht="15" hidden="false" customHeight="true" outlineLevel="0" collapsed="false">
      <c r="A966" s="1" t="s">
        <v>690</v>
      </c>
      <c r="B966" s="1" t="s">
        <v>31</v>
      </c>
      <c r="C966" s="1" t="s">
        <v>31</v>
      </c>
      <c r="D966" s="1" t="s">
        <v>12</v>
      </c>
      <c r="E966" s="1" t="n">
        <v>13611</v>
      </c>
      <c r="F966" s="1" t="n">
        <v>0.2292008608622</v>
      </c>
      <c r="G966" s="1" t="n">
        <v>3119.6529171954</v>
      </c>
      <c r="H966" s="1" t="s">
        <v>446</v>
      </c>
    </row>
    <row r="967" customFormat="false" ht="15" hidden="false" customHeight="true" outlineLevel="0" collapsed="false">
      <c r="A967" s="1" t="s">
        <v>690</v>
      </c>
      <c r="B967" s="1" t="s">
        <v>31</v>
      </c>
      <c r="C967" s="1" t="s">
        <v>31</v>
      </c>
      <c r="D967" s="1" t="s">
        <v>14</v>
      </c>
      <c r="E967" s="1" t="n">
        <v>3823</v>
      </c>
      <c r="F967" s="1" t="n">
        <v>0.2292008608622</v>
      </c>
      <c r="G967" s="1" t="n">
        <v>876.234891076191</v>
      </c>
      <c r="H967" s="1" t="s">
        <v>446</v>
      </c>
    </row>
    <row r="968" customFormat="false" ht="15" hidden="false" customHeight="true" outlineLevel="0" collapsed="false">
      <c r="A968" s="1" t="s">
        <v>690</v>
      </c>
      <c r="B968" s="1" t="s">
        <v>31</v>
      </c>
      <c r="C968" s="1" t="s">
        <v>31</v>
      </c>
      <c r="D968" s="1" t="s">
        <v>15</v>
      </c>
      <c r="E968" s="1" t="n">
        <v>6701</v>
      </c>
      <c r="F968" s="1" t="n">
        <v>0.2292008608622</v>
      </c>
      <c r="G968" s="1" t="n">
        <v>1535.8749686376</v>
      </c>
      <c r="H968" s="1" t="s">
        <v>446</v>
      </c>
    </row>
    <row r="969" customFormat="false" ht="15" hidden="false" customHeight="true" outlineLevel="0" collapsed="false">
      <c r="A969" s="1" t="s">
        <v>690</v>
      </c>
      <c r="B969" s="1" t="s">
        <v>31</v>
      </c>
      <c r="C969" s="1" t="s">
        <v>31</v>
      </c>
      <c r="D969" s="1" t="s">
        <v>13</v>
      </c>
      <c r="E969" s="1" t="n">
        <v>14824</v>
      </c>
      <c r="F969" s="1" t="n">
        <v>0.2292008608622</v>
      </c>
      <c r="G969" s="1" t="n">
        <v>3397.67356142125</v>
      </c>
      <c r="H969" s="1" t="s">
        <v>446</v>
      </c>
    </row>
    <row r="970" customFormat="false" ht="15" hidden="false" customHeight="true" outlineLevel="0" collapsed="false">
      <c r="A970" s="1" t="s">
        <v>690</v>
      </c>
      <c r="B970" s="1" t="s">
        <v>31</v>
      </c>
      <c r="C970" s="1" t="s">
        <v>31</v>
      </c>
      <c r="D970" s="1" t="s">
        <v>16</v>
      </c>
      <c r="E970" s="1" t="n">
        <v>4839</v>
      </c>
      <c r="F970" s="1" t="n">
        <v>0.2292008608622</v>
      </c>
      <c r="G970" s="1" t="n">
        <v>1109.10296571219</v>
      </c>
      <c r="H970" s="1" t="s">
        <v>446</v>
      </c>
    </row>
    <row r="971" customFormat="false" ht="15" hidden="false" customHeight="true" outlineLevel="0" collapsed="false">
      <c r="A971" s="1" t="s">
        <v>690</v>
      </c>
      <c r="B971" s="1" t="s">
        <v>31</v>
      </c>
      <c r="C971" s="1" t="s">
        <v>31</v>
      </c>
      <c r="D971" s="1" t="s">
        <v>17</v>
      </c>
      <c r="E971" s="1" t="n">
        <v>4839</v>
      </c>
      <c r="F971" s="1" t="n">
        <v>0.2292008608622</v>
      </c>
      <c r="G971" s="1" t="n">
        <v>1109.10296571219</v>
      </c>
      <c r="H971" s="1" t="s">
        <v>446</v>
      </c>
    </row>
    <row r="972" customFormat="false" ht="15" hidden="false" customHeight="true" outlineLevel="0" collapsed="false">
      <c r="A972" s="1" t="s">
        <v>690</v>
      </c>
      <c r="B972" s="1" t="s">
        <v>445</v>
      </c>
      <c r="C972" s="1" t="s">
        <v>86</v>
      </c>
      <c r="D972" s="1" t="s">
        <v>10</v>
      </c>
      <c r="E972" s="1" t="n">
        <v>6711</v>
      </c>
      <c r="F972" s="1" t="n">
        <v>0.234537095631573</v>
      </c>
      <c r="G972" s="1" t="n">
        <v>1573.97844878349</v>
      </c>
      <c r="H972" s="1" t="s">
        <v>446</v>
      </c>
    </row>
    <row r="973" customFormat="false" ht="15" hidden="false" customHeight="true" outlineLevel="0" collapsed="false">
      <c r="A973" s="1" t="s">
        <v>690</v>
      </c>
      <c r="B973" s="1" t="s">
        <v>445</v>
      </c>
      <c r="C973" s="1" t="s">
        <v>86</v>
      </c>
      <c r="D973" s="1" t="s">
        <v>12</v>
      </c>
      <c r="E973" s="1" t="n">
        <v>13611</v>
      </c>
      <c r="F973" s="1" t="n">
        <v>0.234537095631573</v>
      </c>
      <c r="G973" s="1" t="n">
        <v>3192.28440864134</v>
      </c>
      <c r="H973" s="1" t="s">
        <v>446</v>
      </c>
    </row>
    <row r="974" customFormat="false" ht="15" hidden="false" customHeight="true" outlineLevel="0" collapsed="false">
      <c r="A974" s="1" t="s">
        <v>690</v>
      </c>
      <c r="B974" s="1" t="s">
        <v>445</v>
      </c>
      <c r="C974" s="1" t="s">
        <v>86</v>
      </c>
      <c r="D974" s="1" t="s">
        <v>14</v>
      </c>
      <c r="E974" s="1" t="n">
        <v>3823</v>
      </c>
      <c r="F974" s="1" t="n">
        <v>0.234537095631573</v>
      </c>
      <c r="G974" s="1" t="n">
        <v>896.635316599504</v>
      </c>
      <c r="H974" s="1" t="s">
        <v>446</v>
      </c>
    </row>
    <row r="975" customFormat="false" ht="15" hidden="false" customHeight="true" outlineLevel="0" collapsed="false">
      <c r="A975" s="1" t="s">
        <v>690</v>
      </c>
      <c r="B975" s="1" t="s">
        <v>445</v>
      </c>
      <c r="C975" s="1" t="s">
        <v>86</v>
      </c>
      <c r="D975" s="1" t="s">
        <v>15</v>
      </c>
      <c r="E975" s="1" t="n">
        <v>6701</v>
      </c>
      <c r="F975" s="1" t="n">
        <v>0.234537095631573</v>
      </c>
      <c r="G975" s="1" t="n">
        <v>1571.63307782717</v>
      </c>
      <c r="H975" s="1" t="s">
        <v>446</v>
      </c>
    </row>
    <row r="976" customFormat="false" ht="15" hidden="false" customHeight="true" outlineLevel="0" collapsed="false">
      <c r="A976" s="1" t="s">
        <v>690</v>
      </c>
      <c r="B976" s="1" t="s">
        <v>445</v>
      </c>
      <c r="C976" s="1" t="s">
        <v>86</v>
      </c>
      <c r="D976" s="1" t="s">
        <v>13</v>
      </c>
      <c r="E976" s="1" t="n">
        <v>14824</v>
      </c>
      <c r="F976" s="1" t="n">
        <v>0.234537095631573</v>
      </c>
      <c r="G976" s="1" t="n">
        <v>3476.77790564244</v>
      </c>
      <c r="H976" s="1" t="s">
        <v>446</v>
      </c>
    </row>
    <row r="977" customFormat="false" ht="15" hidden="false" customHeight="true" outlineLevel="0" collapsed="false">
      <c r="A977" s="1" t="s">
        <v>690</v>
      </c>
      <c r="B977" s="1" t="s">
        <v>445</v>
      </c>
      <c r="C977" s="1" t="s">
        <v>86</v>
      </c>
      <c r="D977" s="1" t="s">
        <v>16</v>
      </c>
      <c r="E977" s="1" t="n">
        <v>4839</v>
      </c>
      <c r="F977" s="1" t="n">
        <v>0.234537095631573</v>
      </c>
      <c r="G977" s="1" t="n">
        <v>1134.92500576118</v>
      </c>
      <c r="H977" s="1" t="s">
        <v>446</v>
      </c>
    </row>
    <row r="978" customFormat="false" ht="15" hidden="false" customHeight="true" outlineLevel="0" collapsed="false">
      <c r="A978" s="1" t="s">
        <v>690</v>
      </c>
      <c r="B978" s="1" t="s">
        <v>445</v>
      </c>
      <c r="C978" s="1" t="s">
        <v>86</v>
      </c>
      <c r="D978" s="1" t="s">
        <v>17</v>
      </c>
      <c r="E978" s="1" t="n">
        <v>4839</v>
      </c>
      <c r="F978" s="1" t="n">
        <v>0.234537095631573</v>
      </c>
      <c r="G978" s="1" t="n">
        <v>1134.92500576118</v>
      </c>
      <c r="H978" s="1" t="s">
        <v>446</v>
      </c>
    </row>
    <row r="979" customFormat="false" ht="15" hidden="false" customHeight="true" outlineLevel="0" collapsed="false">
      <c r="A979" s="1" t="s">
        <v>690</v>
      </c>
      <c r="B979" s="1" t="s">
        <v>81</v>
      </c>
      <c r="C979" s="1" t="s">
        <v>81</v>
      </c>
      <c r="D979" s="1" t="s">
        <v>10</v>
      </c>
      <c r="E979" s="1" t="n">
        <v>6711</v>
      </c>
      <c r="F979" s="1" t="n">
        <v>0.0755298089150293</v>
      </c>
      <c r="G979" s="1" t="n">
        <v>506.880547628762</v>
      </c>
      <c r="H979" s="1" t="s">
        <v>446</v>
      </c>
    </row>
    <row r="980" customFormat="false" ht="15" hidden="false" customHeight="true" outlineLevel="0" collapsed="false">
      <c r="A980" s="1" t="s">
        <v>690</v>
      </c>
      <c r="B980" s="1" t="s">
        <v>81</v>
      </c>
      <c r="C980" s="1" t="s">
        <v>81</v>
      </c>
      <c r="D980" s="1" t="s">
        <v>12</v>
      </c>
      <c r="E980" s="1" t="n">
        <v>13611</v>
      </c>
      <c r="F980" s="1" t="n">
        <v>0.0755298089150293</v>
      </c>
      <c r="G980" s="1" t="n">
        <v>1028.03622914246</v>
      </c>
      <c r="H980" s="1" t="s">
        <v>446</v>
      </c>
    </row>
    <row r="981" customFormat="false" ht="15" hidden="false" customHeight="true" outlineLevel="0" collapsed="false">
      <c r="A981" s="1" t="s">
        <v>690</v>
      </c>
      <c r="B981" s="1" t="s">
        <v>81</v>
      </c>
      <c r="C981" s="1" t="s">
        <v>81</v>
      </c>
      <c r="D981" s="1" t="s">
        <v>14</v>
      </c>
      <c r="E981" s="1" t="n">
        <v>3823</v>
      </c>
      <c r="F981" s="1" t="n">
        <v>0.0755298089150293</v>
      </c>
      <c r="G981" s="1" t="n">
        <v>288.750459482157</v>
      </c>
      <c r="H981" s="1" t="s">
        <v>446</v>
      </c>
    </row>
    <row r="982" customFormat="false" ht="15" hidden="false" customHeight="true" outlineLevel="0" collapsed="false">
      <c r="A982" s="1" t="s">
        <v>690</v>
      </c>
      <c r="B982" s="1" t="s">
        <v>81</v>
      </c>
      <c r="C982" s="1" t="s">
        <v>81</v>
      </c>
      <c r="D982" s="1" t="s">
        <v>15</v>
      </c>
      <c r="E982" s="1" t="n">
        <v>6701</v>
      </c>
      <c r="F982" s="1" t="n">
        <v>0.0755298089150293</v>
      </c>
      <c r="G982" s="1" t="n">
        <v>506.125249539611</v>
      </c>
      <c r="H982" s="1" t="s">
        <v>446</v>
      </c>
    </row>
    <row r="983" customFormat="false" ht="15" hidden="false" customHeight="true" outlineLevel="0" collapsed="false">
      <c r="A983" s="1" t="s">
        <v>690</v>
      </c>
      <c r="B983" s="1" t="s">
        <v>81</v>
      </c>
      <c r="C983" s="1" t="s">
        <v>81</v>
      </c>
      <c r="D983" s="1" t="s">
        <v>13</v>
      </c>
      <c r="E983" s="1" t="n">
        <v>14824</v>
      </c>
      <c r="F983" s="1" t="n">
        <v>0.0755298089150293</v>
      </c>
      <c r="G983" s="1" t="n">
        <v>1119.6538873564</v>
      </c>
      <c r="H983" s="1" t="s">
        <v>446</v>
      </c>
    </row>
    <row r="984" customFormat="false" ht="15" hidden="false" customHeight="true" outlineLevel="0" collapsed="false">
      <c r="A984" s="1" t="s">
        <v>690</v>
      </c>
      <c r="B984" s="1" t="s">
        <v>81</v>
      </c>
      <c r="C984" s="1" t="s">
        <v>81</v>
      </c>
      <c r="D984" s="1" t="s">
        <v>16</v>
      </c>
      <c r="E984" s="1" t="n">
        <v>4839</v>
      </c>
      <c r="F984" s="1" t="n">
        <v>0.0755298089150293</v>
      </c>
      <c r="G984" s="1" t="n">
        <v>365.488745339827</v>
      </c>
      <c r="H984" s="1" t="s">
        <v>446</v>
      </c>
    </row>
    <row r="985" customFormat="false" ht="15" hidden="false" customHeight="true" outlineLevel="0" collapsed="false">
      <c r="A985" s="1" t="s">
        <v>690</v>
      </c>
      <c r="B985" s="1" t="s">
        <v>81</v>
      </c>
      <c r="C985" s="1" t="s">
        <v>81</v>
      </c>
      <c r="D985" s="1" t="s">
        <v>17</v>
      </c>
      <c r="E985" s="1" t="n">
        <v>4839</v>
      </c>
      <c r="F985" s="1" t="n">
        <v>0.0755298089150293</v>
      </c>
      <c r="G985" s="1" t="n">
        <v>365.488745339827</v>
      </c>
      <c r="H985" s="1" t="s">
        <v>446</v>
      </c>
    </row>
    <row r="986" customFormat="false" ht="15" hidden="false" customHeight="true" outlineLevel="0" collapsed="false">
      <c r="A986" s="1" t="s">
        <v>690</v>
      </c>
      <c r="B986" s="1" t="s">
        <v>85</v>
      </c>
      <c r="C986" s="1" t="s">
        <v>685</v>
      </c>
      <c r="D986" s="1" t="s">
        <v>10</v>
      </c>
      <c r="E986" s="1" t="n">
        <v>6711</v>
      </c>
      <c r="F986" s="1" t="n">
        <v>0.354864617185628</v>
      </c>
      <c r="G986" s="1" t="n">
        <v>2381.49644593275</v>
      </c>
      <c r="H986" s="1" t="s">
        <v>446</v>
      </c>
    </row>
    <row r="987" customFormat="false" ht="15" hidden="false" customHeight="true" outlineLevel="0" collapsed="false">
      <c r="A987" s="1" t="s">
        <v>690</v>
      </c>
      <c r="B987" s="1" t="s">
        <v>85</v>
      </c>
      <c r="C987" s="1" t="s">
        <v>685</v>
      </c>
      <c r="D987" s="1" t="s">
        <v>12</v>
      </c>
      <c r="E987" s="1" t="n">
        <v>13611</v>
      </c>
      <c r="F987" s="1" t="n">
        <v>0.354864617185628</v>
      </c>
      <c r="G987" s="1" t="n">
        <v>4830.06230451358</v>
      </c>
      <c r="H987" s="1" t="s">
        <v>446</v>
      </c>
    </row>
    <row r="988" customFormat="false" ht="15" hidden="false" customHeight="true" outlineLevel="0" collapsed="false">
      <c r="A988" s="1" t="s">
        <v>690</v>
      </c>
      <c r="B988" s="1" t="s">
        <v>85</v>
      </c>
      <c r="C988" s="1" t="s">
        <v>685</v>
      </c>
      <c r="D988" s="1" t="s">
        <v>14</v>
      </c>
      <c r="E988" s="1" t="n">
        <v>3823</v>
      </c>
      <c r="F988" s="1" t="n">
        <v>0.354864617185628</v>
      </c>
      <c r="G988" s="1" t="n">
        <v>1356.64743150066</v>
      </c>
      <c r="H988" s="1" t="s">
        <v>446</v>
      </c>
    </row>
    <row r="989" customFormat="false" ht="15" hidden="false" customHeight="true" outlineLevel="0" collapsed="false">
      <c r="A989" s="1" t="s">
        <v>690</v>
      </c>
      <c r="B989" s="1" t="s">
        <v>85</v>
      </c>
      <c r="C989" s="1" t="s">
        <v>685</v>
      </c>
      <c r="D989" s="1" t="s">
        <v>15</v>
      </c>
      <c r="E989" s="1" t="n">
        <v>6701</v>
      </c>
      <c r="F989" s="1" t="n">
        <v>0.354864617185628</v>
      </c>
      <c r="G989" s="1" t="n">
        <v>2377.94779976089</v>
      </c>
      <c r="H989" s="1" t="s">
        <v>446</v>
      </c>
    </row>
    <row r="990" customFormat="false" ht="15" hidden="false" customHeight="true" outlineLevel="0" collapsed="false">
      <c r="A990" s="1" t="s">
        <v>690</v>
      </c>
      <c r="B990" s="1" t="s">
        <v>85</v>
      </c>
      <c r="C990" s="1" t="s">
        <v>685</v>
      </c>
      <c r="D990" s="1" t="s">
        <v>13</v>
      </c>
      <c r="E990" s="1" t="n">
        <v>14824</v>
      </c>
      <c r="F990" s="1" t="n">
        <v>0.354864617185628</v>
      </c>
      <c r="G990" s="1" t="n">
        <v>5260.51308515975</v>
      </c>
      <c r="H990" s="1" t="s">
        <v>446</v>
      </c>
    </row>
    <row r="991" customFormat="false" ht="15" hidden="false" customHeight="true" outlineLevel="0" collapsed="false">
      <c r="A991" s="1" t="s">
        <v>690</v>
      </c>
      <c r="B991" s="1" t="s">
        <v>85</v>
      </c>
      <c r="C991" s="1" t="s">
        <v>685</v>
      </c>
      <c r="D991" s="1" t="s">
        <v>16</v>
      </c>
      <c r="E991" s="1" t="n">
        <v>4839</v>
      </c>
      <c r="F991" s="1" t="n">
        <v>0.354864617185628</v>
      </c>
      <c r="G991" s="1" t="n">
        <v>1717.18988256125</v>
      </c>
      <c r="H991" s="1" t="s">
        <v>446</v>
      </c>
    </row>
    <row r="992" customFormat="false" ht="15" hidden="false" customHeight="true" outlineLevel="0" collapsed="false">
      <c r="A992" s="1" t="s">
        <v>690</v>
      </c>
      <c r="B992" s="1" t="s">
        <v>85</v>
      </c>
      <c r="C992" s="1" t="s">
        <v>685</v>
      </c>
      <c r="D992" s="1" t="s">
        <v>17</v>
      </c>
      <c r="E992" s="1" t="n">
        <v>4839</v>
      </c>
      <c r="F992" s="1" t="n">
        <v>0.354864617185628</v>
      </c>
      <c r="G992" s="1" t="n">
        <v>1717.18988256125</v>
      </c>
      <c r="H992" s="1" t="s">
        <v>446</v>
      </c>
    </row>
    <row r="993" customFormat="false" ht="15" hidden="false" customHeight="true" outlineLevel="0" collapsed="false">
      <c r="A993" s="1" t="s">
        <v>690</v>
      </c>
      <c r="B993" s="1" t="s">
        <v>87</v>
      </c>
      <c r="C993" s="1" t="s">
        <v>684</v>
      </c>
      <c r="D993" s="1" t="s">
        <v>10</v>
      </c>
      <c r="E993" s="1" t="n">
        <v>6711</v>
      </c>
      <c r="F993" s="1" t="n">
        <v>0.189483363159789</v>
      </c>
      <c r="G993" s="1" t="n">
        <v>1271.62285016534</v>
      </c>
      <c r="H993" s="1" t="s">
        <v>446</v>
      </c>
    </row>
    <row r="994" customFormat="false" ht="15" hidden="false" customHeight="true" outlineLevel="0" collapsed="false">
      <c r="A994" s="1" t="s">
        <v>690</v>
      </c>
      <c r="B994" s="1" t="s">
        <v>87</v>
      </c>
      <c r="C994" s="1" t="s">
        <v>684</v>
      </c>
      <c r="D994" s="1" t="s">
        <v>14</v>
      </c>
      <c r="E994" s="1" t="n">
        <v>3823</v>
      </c>
      <c r="F994" s="1" t="n">
        <v>0.189483363159789</v>
      </c>
      <c r="G994" s="1" t="n">
        <v>724.394897359873</v>
      </c>
      <c r="H994" s="1" t="s">
        <v>446</v>
      </c>
    </row>
    <row r="995" customFormat="false" ht="15" hidden="false" customHeight="true" outlineLevel="0" collapsed="false">
      <c r="A995" s="1" t="s">
        <v>690</v>
      </c>
      <c r="B995" s="1" t="s">
        <v>87</v>
      </c>
      <c r="C995" s="1" t="s">
        <v>684</v>
      </c>
      <c r="D995" s="1" t="s">
        <v>15</v>
      </c>
      <c r="E995" s="1" t="n">
        <v>6701</v>
      </c>
      <c r="F995" s="1" t="n">
        <v>0.189483363159789</v>
      </c>
      <c r="G995" s="1" t="n">
        <v>1269.72801653375</v>
      </c>
      <c r="H995" s="1" t="s">
        <v>446</v>
      </c>
    </row>
    <row r="996" customFormat="false" ht="15" hidden="false" customHeight="true" outlineLevel="0" collapsed="false">
      <c r="A996" s="1" t="s">
        <v>690</v>
      </c>
      <c r="B996" s="1" t="s">
        <v>87</v>
      </c>
      <c r="C996" s="1" t="s">
        <v>684</v>
      </c>
      <c r="D996" s="1" t="s">
        <v>13</v>
      </c>
      <c r="E996" s="1" t="n">
        <v>14824</v>
      </c>
      <c r="F996" s="1" t="n">
        <v>0.189483363159789</v>
      </c>
      <c r="G996" s="1" t="n">
        <v>2808.90137548071</v>
      </c>
      <c r="H996" s="1" t="s">
        <v>446</v>
      </c>
    </row>
    <row r="997" customFormat="false" ht="15" hidden="false" customHeight="true" outlineLevel="0" collapsed="false">
      <c r="A997" s="1" t="s">
        <v>690</v>
      </c>
      <c r="B997" s="1" t="s">
        <v>87</v>
      </c>
      <c r="C997" s="1" t="s">
        <v>684</v>
      </c>
      <c r="D997" s="1" t="s">
        <v>16</v>
      </c>
      <c r="E997" s="1" t="n">
        <v>4839</v>
      </c>
      <c r="F997" s="1" t="n">
        <v>0.189483363159789</v>
      </c>
      <c r="G997" s="1" t="n">
        <v>916.909994330219</v>
      </c>
      <c r="H997" s="1" t="s">
        <v>446</v>
      </c>
    </row>
    <row r="998" customFormat="false" ht="15" hidden="false" customHeight="true" outlineLevel="0" collapsed="false">
      <c r="A998" s="1" t="s">
        <v>690</v>
      </c>
      <c r="B998" s="1" t="s">
        <v>87</v>
      </c>
      <c r="C998" s="1" t="s">
        <v>684</v>
      </c>
      <c r="D998" s="1" t="s">
        <v>17</v>
      </c>
      <c r="E998" s="1" t="n">
        <v>4839</v>
      </c>
      <c r="F998" s="1" t="n">
        <v>0.189483363159789</v>
      </c>
      <c r="G998" s="1" t="n">
        <v>916.909994330219</v>
      </c>
      <c r="H998" s="1" t="s">
        <v>446</v>
      </c>
    </row>
    <row r="999" customFormat="false" ht="15" hidden="false" customHeight="true" outlineLevel="0" collapsed="false">
      <c r="A999" s="1" t="s">
        <v>690</v>
      </c>
      <c r="B999" s="1" t="s">
        <v>35</v>
      </c>
      <c r="C999" s="1" t="s">
        <v>35</v>
      </c>
      <c r="D999" s="1" t="s">
        <v>10</v>
      </c>
      <c r="E999" s="1" t="n">
        <v>6711</v>
      </c>
      <c r="F999" s="1" t="n">
        <v>0.121489966963165</v>
      </c>
      <c r="G999" s="1" t="n">
        <v>815.3191682898</v>
      </c>
      <c r="H999" s="1" t="s">
        <v>446</v>
      </c>
    </row>
    <row r="1000" customFormat="false" ht="15" hidden="false" customHeight="true" outlineLevel="0" collapsed="false">
      <c r="A1000" s="1" t="s">
        <v>690</v>
      </c>
      <c r="B1000" s="1" t="s">
        <v>35</v>
      </c>
      <c r="C1000" s="1" t="s">
        <v>35</v>
      </c>
      <c r="D1000" s="1" t="s">
        <v>14</v>
      </c>
      <c r="E1000" s="1" t="n">
        <v>3823</v>
      </c>
      <c r="F1000" s="1" t="n">
        <v>0.121489966963165</v>
      </c>
      <c r="G1000" s="1" t="n">
        <v>464.45614370018</v>
      </c>
      <c r="H1000" s="1" t="s">
        <v>446</v>
      </c>
    </row>
    <row r="1001" customFormat="false" ht="15" hidden="false" customHeight="true" outlineLevel="0" collapsed="false">
      <c r="A1001" s="1" t="s">
        <v>690</v>
      </c>
      <c r="B1001" s="1" t="s">
        <v>35</v>
      </c>
      <c r="C1001" s="1" t="s">
        <v>35</v>
      </c>
      <c r="D1001" s="1" t="s">
        <v>15</v>
      </c>
      <c r="E1001" s="1" t="n">
        <v>6701</v>
      </c>
      <c r="F1001" s="1" t="n">
        <v>0.121489966963165</v>
      </c>
      <c r="G1001" s="1" t="n">
        <v>814.104268620169</v>
      </c>
      <c r="H1001" s="1" t="s">
        <v>446</v>
      </c>
    </row>
    <row r="1002" customFormat="false" ht="15" hidden="false" customHeight="true" outlineLevel="0" collapsed="false">
      <c r="A1002" s="1" t="s">
        <v>690</v>
      </c>
      <c r="B1002" s="1" t="s">
        <v>35</v>
      </c>
      <c r="C1002" s="1" t="s">
        <v>35</v>
      </c>
      <c r="D1002" s="1" t="s">
        <v>13</v>
      </c>
      <c r="E1002" s="1" t="n">
        <v>14824</v>
      </c>
      <c r="F1002" s="1" t="n">
        <v>0.121489966963165</v>
      </c>
      <c r="G1002" s="1" t="n">
        <v>1800.96727026196</v>
      </c>
      <c r="H1002" s="1" t="s">
        <v>446</v>
      </c>
    </row>
    <row r="1003" customFormat="false" ht="15" hidden="false" customHeight="true" outlineLevel="0" collapsed="false">
      <c r="A1003" s="1" t="s">
        <v>690</v>
      </c>
      <c r="B1003" s="1" t="s">
        <v>35</v>
      </c>
      <c r="C1003" s="1" t="s">
        <v>35</v>
      </c>
      <c r="D1003" s="1" t="s">
        <v>16</v>
      </c>
      <c r="E1003" s="1" t="n">
        <v>4839</v>
      </c>
      <c r="F1003" s="1" t="n">
        <v>0.121489966963165</v>
      </c>
      <c r="G1003" s="1" t="n">
        <v>587.889950134755</v>
      </c>
      <c r="H1003" s="1" t="s">
        <v>446</v>
      </c>
    </row>
    <row r="1004" customFormat="false" ht="15" hidden="false" customHeight="true" outlineLevel="0" collapsed="false">
      <c r="A1004" s="1" t="s">
        <v>690</v>
      </c>
      <c r="B1004" s="1" t="s">
        <v>35</v>
      </c>
      <c r="C1004" s="1" t="s">
        <v>35</v>
      </c>
      <c r="D1004" s="1" t="s">
        <v>17</v>
      </c>
      <c r="E1004" s="1" t="n">
        <v>4839</v>
      </c>
      <c r="F1004" s="1" t="n">
        <v>0.121489966963165</v>
      </c>
      <c r="G1004" s="1" t="n">
        <v>587.889950134755</v>
      </c>
      <c r="H1004" s="1" t="s">
        <v>446</v>
      </c>
    </row>
    <row r="1005" customFormat="false" ht="15" hidden="false" customHeight="true" outlineLevel="0" collapsed="false">
      <c r="A1005" s="1" t="s">
        <v>690</v>
      </c>
      <c r="B1005" s="1" t="s">
        <v>40</v>
      </c>
      <c r="C1005" s="1" t="s">
        <v>40</v>
      </c>
      <c r="D1005" s="1" t="s">
        <v>10</v>
      </c>
      <c r="E1005" s="1" t="n">
        <v>6711</v>
      </c>
      <c r="F1005" s="1" t="n">
        <v>0.206774854369887</v>
      </c>
      <c r="G1005" s="1" t="n">
        <v>1387.66604767631</v>
      </c>
      <c r="H1005" s="1" t="s">
        <v>446</v>
      </c>
    </row>
    <row r="1006" customFormat="false" ht="15" hidden="false" customHeight="true" outlineLevel="0" collapsed="false">
      <c r="A1006" s="1" t="s">
        <v>690</v>
      </c>
      <c r="B1006" s="1" t="s">
        <v>40</v>
      </c>
      <c r="C1006" s="1" t="s">
        <v>40</v>
      </c>
      <c r="D1006" s="1" t="s">
        <v>14</v>
      </c>
      <c r="E1006" s="1" t="n">
        <v>3823</v>
      </c>
      <c r="F1006" s="1" t="n">
        <v>0.206774854369887</v>
      </c>
      <c r="G1006" s="1" t="n">
        <v>790.500268256078</v>
      </c>
      <c r="H1006" s="1" t="s">
        <v>446</v>
      </c>
    </row>
    <row r="1007" customFormat="false" ht="15" hidden="false" customHeight="true" outlineLevel="0" collapsed="false">
      <c r="A1007" s="1" t="s">
        <v>690</v>
      </c>
      <c r="B1007" s="1" t="s">
        <v>40</v>
      </c>
      <c r="C1007" s="1" t="s">
        <v>40</v>
      </c>
      <c r="D1007" s="1" t="s">
        <v>15</v>
      </c>
      <c r="E1007" s="1" t="n">
        <v>6701</v>
      </c>
      <c r="F1007" s="1" t="n">
        <v>0.206774854369887</v>
      </c>
      <c r="G1007" s="1" t="n">
        <v>1385.59829913261</v>
      </c>
      <c r="H1007" s="1" t="s">
        <v>446</v>
      </c>
    </row>
    <row r="1008" customFormat="false" ht="15" hidden="false" customHeight="true" outlineLevel="0" collapsed="false">
      <c r="A1008" s="1" t="s">
        <v>690</v>
      </c>
      <c r="B1008" s="1" t="s">
        <v>40</v>
      </c>
      <c r="C1008" s="1" t="s">
        <v>40</v>
      </c>
      <c r="D1008" s="1" t="s">
        <v>13</v>
      </c>
      <c r="E1008" s="1" t="n">
        <v>14824</v>
      </c>
      <c r="F1008" s="1" t="n">
        <v>0.206774854369887</v>
      </c>
      <c r="G1008" s="1" t="n">
        <v>3065.23044117921</v>
      </c>
      <c r="H1008" s="1" t="s">
        <v>446</v>
      </c>
    </row>
    <row r="1009" customFormat="false" ht="15" hidden="false" customHeight="true" outlineLevel="0" collapsed="false">
      <c r="A1009" s="1" t="s">
        <v>690</v>
      </c>
      <c r="B1009" s="1" t="s">
        <v>40</v>
      </c>
      <c r="C1009" s="1" t="s">
        <v>40</v>
      </c>
      <c r="D1009" s="1" t="s">
        <v>16</v>
      </c>
      <c r="E1009" s="1" t="n">
        <v>4839</v>
      </c>
      <c r="F1009" s="1" t="n">
        <v>0.206774854369887</v>
      </c>
      <c r="G1009" s="1" t="n">
        <v>1000.58352029588</v>
      </c>
      <c r="H1009" s="1" t="s">
        <v>446</v>
      </c>
    </row>
    <row r="1010" customFormat="false" ht="15" hidden="false" customHeight="true" outlineLevel="0" collapsed="false">
      <c r="A1010" s="1" t="s">
        <v>690</v>
      </c>
      <c r="B1010" s="1" t="s">
        <v>40</v>
      </c>
      <c r="C1010" s="1" t="s">
        <v>40</v>
      </c>
      <c r="D1010" s="1" t="s">
        <v>17</v>
      </c>
      <c r="E1010" s="1" t="n">
        <v>4839</v>
      </c>
      <c r="F1010" s="1" t="n">
        <v>0.206774854369887</v>
      </c>
      <c r="G1010" s="1" t="n">
        <v>1000.58352029588</v>
      </c>
      <c r="H1010" s="1" t="s">
        <v>446</v>
      </c>
    </row>
    <row r="1011" customFormat="false" ht="15" hidden="false" customHeight="true" outlineLevel="0" collapsed="false">
      <c r="A1011" s="1" t="s">
        <v>690</v>
      </c>
      <c r="B1011" s="1" t="s">
        <v>41</v>
      </c>
      <c r="C1011" s="1" t="s">
        <v>41</v>
      </c>
      <c r="D1011" s="1" t="s">
        <v>10</v>
      </c>
      <c r="E1011" s="1" t="n">
        <v>6711</v>
      </c>
      <c r="F1011" s="1" t="n">
        <v>0.100200858026981</v>
      </c>
      <c r="G1011" s="1" t="n">
        <v>672.44795821907</v>
      </c>
      <c r="H1011" s="1" t="s">
        <v>446</v>
      </c>
    </row>
    <row r="1012" customFormat="false" ht="15" hidden="false" customHeight="true" outlineLevel="0" collapsed="false">
      <c r="A1012" s="1" t="s">
        <v>690</v>
      </c>
      <c r="B1012" s="1" t="s">
        <v>41</v>
      </c>
      <c r="C1012" s="1" t="s">
        <v>41</v>
      </c>
      <c r="D1012" s="1" t="s">
        <v>14</v>
      </c>
      <c r="E1012" s="1" t="n">
        <v>3823</v>
      </c>
      <c r="F1012" s="1" t="n">
        <v>0.100200858026981</v>
      </c>
      <c r="G1012" s="1" t="n">
        <v>383.067880237148</v>
      </c>
      <c r="H1012" s="1" t="s">
        <v>446</v>
      </c>
    </row>
    <row r="1013" customFormat="false" ht="15" hidden="false" customHeight="true" outlineLevel="0" collapsed="false">
      <c r="A1013" s="1" t="s">
        <v>690</v>
      </c>
      <c r="B1013" s="1" t="s">
        <v>41</v>
      </c>
      <c r="C1013" s="1" t="s">
        <v>41</v>
      </c>
      <c r="D1013" s="1" t="s">
        <v>15</v>
      </c>
      <c r="E1013" s="1" t="n">
        <v>6701</v>
      </c>
      <c r="F1013" s="1" t="n">
        <v>0.100200858026981</v>
      </c>
      <c r="G1013" s="1" t="n">
        <v>671.4459496388</v>
      </c>
      <c r="H1013" s="1" t="s">
        <v>446</v>
      </c>
    </row>
    <row r="1014" customFormat="false" ht="15" hidden="false" customHeight="true" outlineLevel="0" collapsed="false">
      <c r="A1014" s="1" t="s">
        <v>690</v>
      </c>
      <c r="B1014" s="1" t="s">
        <v>41</v>
      </c>
      <c r="C1014" s="1" t="s">
        <v>41</v>
      </c>
      <c r="D1014" s="1" t="s">
        <v>13</v>
      </c>
      <c r="E1014" s="1" t="n">
        <v>14824</v>
      </c>
      <c r="F1014" s="1" t="n">
        <v>0.100200858026981</v>
      </c>
      <c r="G1014" s="1" t="n">
        <v>1485.37751939197</v>
      </c>
      <c r="H1014" s="1" t="s">
        <v>446</v>
      </c>
    </row>
    <row r="1015" customFormat="false" ht="15" hidden="false" customHeight="true" outlineLevel="0" collapsed="false">
      <c r="A1015" s="1" t="s">
        <v>690</v>
      </c>
      <c r="B1015" s="1" t="s">
        <v>41</v>
      </c>
      <c r="C1015" s="1" t="s">
        <v>41</v>
      </c>
      <c r="D1015" s="1" t="s">
        <v>16</v>
      </c>
      <c r="E1015" s="1" t="n">
        <v>4839</v>
      </c>
      <c r="F1015" s="1" t="n">
        <v>0.100200858026981</v>
      </c>
      <c r="G1015" s="1" t="n">
        <v>484.871951992561</v>
      </c>
      <c r="H1015" s="1" t="s">
        <v>446</v>
      </c>
    </row>
    <row r="1016" customFormat="false" ht="15" hidden="false" customHeight="true" outlineLevel="0" collapsed="false">
      <c r="A1016" s="1" t="s">
        <v>690</v>
      </c>
      <c r="B1016" s="1" t="s">
        <v>41</v>
      </c>
      <c r="C1016" s="1" t="s">
        <v>41</v>
      </c>
      <c r="D1016" s="1" t="s">
        <v>17</v>
      </c>
      <c r="E1016" s="1" t="n">
        <v>4839</v>
      </c>
      <c r="F1016" s="1" t="n">
        <v>0.100200858026981</v>
      </c>
      <c r="G1016" s="1" t="n">
        <v>484.871951992561</v>
      </c>
      <c r="H1016" s="1" t="s">
        <v>446</v>
      </c>
    </row>
    <row r="1017" customFormat="false" ht="15" hidden="false" customHeight="true" outlineLevel="0" collapsed="false">
      <c r="A1017" s="1" t="s">
        <v>690</v>
      </c>
      <c r="B1017" s="1" t="s">
        <v>141</v>
      </c>
      <c r="C1017" s="1" t="s">
        <v>520</v>
      </c>
      <c r="D1017" s="1" t="s">
        <v>10</v>
      </c>
      <c r="E1017" s="1" t="n">
        <v>6711</v>
      </c>
      <c r="F1017" s="1" t="n">
        <v>0.127886007343671</v>
      </c>
      <c r="G1017" s="1" t="n">
        <v>858.242995283376</v>
      </c>
      <c r="H1017" s="1" t="s">
        <v>446</v>
      </c>
    </row>
    <row r="1018" customFormat="false" ht="15" hidden="false" customHeight="true" outlineLevel="0" collapsed="false">
      <c r="A1018" s="1" t="s">
        <v>690</v>
      </c>
      <c r="B1018" s="1" t="s">
        <v>141</v>
      </c>
      <c r="C1018" s="1" t="s">
        <v>520</v>
      </c>
      <c r="D1018" s="1" t="s">
        <v>12</v>
      </c>
      <c r="E1018" s="1" t="n">
        <v>13611</v>
      </c>
      <c r="F1018" s="1" t="n">
        <v>0.127886007343671</v>
      </c>
      <c r="G1018" s="1" t="n">
        <v>1740.65644595471</v>
      </c>
      <c r="H1018" s="1" t="s">
        <v>446</v>
      </c>
    </row>
    <row r="1019" customFormat="false" ht="15" hidden="false" customHeight="true" outlineLevel="0" collapsed="false">
      <c r="A1019" s="1" t="s">
        <v>690</v>
      </c>
      <c r="B1019" s="1" t="s">
        <v>141</v>
      </c>
      <c r="C1019" s="1" t="s">
        <v>520</v>
      </c>
      <c r="D1019" s="1" t="s">
        <v>14</v>
      </c>
      <c r="E1019" s="1" t="n">
        <v>3823</v>
      </c>
      <c r="F1019" s="1" t="n">
        <v>0.127886007343671</v>
      </c>
      <c r="G1019" s="1" t="n">
        <v>488.908206074854</v>
      </c>
      <c r="H1019" s="1" t="s">
        <v>446</v>
      </c>
    </row>
    <row r="1020" customFormat="false" ht="15" hidden="false" customHeight="true" outlineLevel="0" collapsed="false">
      <c r="A1020" s="1" t="s">
        <v>690</v>
      </c>
      <c r="B1020" s="1" t="s">
        <v>141</v>
      </c>
      <c r="C1020" s="1" t="s">
        <v>520</v>
      </c>
      <c r="D1020" s="1" t="s">
        <v>15</v>
      </c>
      <c r="E1020" s="1" t="n">
        <v>6701</v>
      </c>
      <c r="F1020" s="1" t="n">
        <v>0.127886007343671</v>
      </c>
      <c r="G1020" s="1" t="n">
        <v>856.964135209939</v>
      </c>
      <c r="H1020" s="1" t="s">
        <v>446</v>
      </c>
    </row>
    <row r="1021" customFormat="false" ht="15" hidden="false" customHeight="true" outlineLevel="0" collapsed="false">
      <c r="A1021" s="1" t="s">
        <v>690</v>
      </c>
      <c r="B1021" s="1" t="s">
        <v>141</v>
      </c>
      <c r="C1021" s="1" t="s">
        <v>520</v>
      </c>
      <c r="D1021" s="1" t="s">
        <v>13</v>
      </c>
      <c r="E1021" s="1" t="n">
        <v>14824</v>
      </c>
      <c r="F1021" s="1" t="n">
        <v>0.127886007343671</v>
      </c>
      <c r="G1021" s="1" t="n">
        <v>1895.78217286258</v>
      </c>
      <c r="H1021" s="1" t="s">
        <v>446</v>
      </c>
    </row>
    <row r="1022" customFormat="false" ht="15" hidden="false" customHeight="true" outlineLevel="0" collapsed="false">
      <c r="A1022" s="1" t="s">
        <v>690</v>
      </c>
      <c r="B1022" s="1" t="s">
        <v>141</v>
      </c>
      <c r="C1022" s="1" t="s">
        <v>520</v>
      </c>
      <c r="D1022" s="1" t="s">
        <v>16</v>
      </c>
      <c r="E1022" s="1" t="n">
        <v>4839</v>
      </c>
      <c r="F1022" s="1" t="n">
        <v>0.127886007343671</v>
      </c>
      <c r="G1022" s="1" t="n">
        <v>618.840389536024</v>
      </c>
      <c r="H1022" s="1" t="s">
        <v>446</v>
      </c>
    </row>
    <row r="1023" customFormat="false" ht="15" hidden="false" customHeight="true" outlineLevel="0" collapsed="false">
      <c r="A1023" s="1" t="s">
        <v>690</v>
      </c>
      <c r="B1023" s="1" t="s">
        <v>141</v>
      </c>
      <c r="C1023" s="1" t="s">
        <v>520</v>
      </c>
      <c r="D1023" s="1" t="s">
        <v>17</v>
      </c>
      <c r="E1023" s="1" t="n">
        <v>4839</v>
      </c>
      <c r="F1023" s="1" t="n">
        <v>0.127886007343671</v>
      </c>
      <c r="G1023" s="1" t="n">
        <v>618.840389536024</v>
      </c>
      <c r="H1023" s="1" t="s">
        <v>446</v>
      </c>
    </row>
    <row r="1024" customFormat="false" ht="15" hidden="false" customHeight="true" outlineLevel="0" collapsed="false">
      <c r="A1024" s="1" t="s">
        <v>690</v>
      </c>
      <c r="B1024" s="1" t="s">
        <v>80</v>
      </c>
      <c r="C1024" s="1" t="s">
        <v>80</v>
      </c>
      <c r="D1024" s="1" t="s">
        <v>10</v>
      </c>
      <c r="E1024" s="1" t="n">
        <v>6711</v>
      </c>
      <c r="F1024" s="1" t="n">
        <v>0.0592394872348271</v>
      </c>
      <c r="G1024" s="1" t="n">
        <v>397.556198832925</v>
      </c>
      <c r="H1024" s="1" t="s">
        <v>446</v>
      </c>
    </row>
    <row r="1025" customFormat="false" ht="15" hidden="false" customHeight="true" outlineLevel="0" collapsed="false">
      <c r="A1025" s="1" t="s">
        <v>690</v>
      </c>
      <c r="B1025" s="1" t="s">
        <v>80</v>
      </c>
      <c r="C1025" s="1" t="s">
        <v>80</v>
      </c>
      <c r="D1025" s="1" t="s">
        <v>14</v>
      </c>
      <c r="E1025" s="1" t="n">
        <v>3823</v>
      </c>
      <c r="F1025" s="1" t="n">
        <v>0.0592394872348271</v>
      </c>
      <c r="G1025" s="1" t="n">
        <v>226.472559698744</v>
      </c>
      <c r="H1025" s="1" t="s">
        <v>446</v>
      </c>
    </row>
    <row r="1026" customFormat="false" ht="15" hidden="false" customHeight="true" outlineLevel="0" collapsed="false">
      <c r="A1026" s="1" t="s">
        <v>690</v>
      </c>
      <c r="B1026" s="1" t="s">
        <v>80</v>
      </c>
      <c r="C1026" s="1" t="s">
        <v>80</v>
      </c>
      <c r="D1026" s="1" t="s">
        <v>15</v>
      </c>
      <c r="E1026" s="1" t="n">
        <v>6701</v>
      </c>
      <c r="F1026" s="1" t="n">
        <v>0.0592394872348271</v>
      </c>
      <c r="G1026" s="1" t="n">
        <v>396.963803960576</v>
      </c>
      <c r="H1026" s="1" t="s">
        <v>446</v>
      </c>
    </row>
    <row r="1027" customFormat="false" ht="15" hidden="false" customHeight="true" outlineLevel="0" collapsed="false">
      <c r="A1027" s="1" t="s">
        <v>690</v>
      </c>
      <c r="B1027" s="1" t="s">
        <v>80</v>
      </c>
      <c r="C1027" s="1" t="s">
        <v>80</v>
      </c>
      <c r="D1027" s="1" t="s">
        <v>13</v>
      </c>
      <c r="E1027" s="1" t="n">
        <v>14824</v>
      </c>
      <c r="F1027" s="1" t="n">
        <v>0.0592394872348271</v>
      </c>
      <c r="G1027" s="1" t="n">
        <v>878.166158769077</v>
      </c>
      <c r="H1027" s="1" t="s">
        <v>446</v>
      </c>
    </row>
    <row r="1028" customFormat="false" ht="15" hidden="false" customHeight="true" outlineLevel="0" collapsed="false">
      <c r="A1028" s="1" t="s">
        <v>690</v>
      </c>
      <c r="B1028" s="1" t="s">
        <v>80</v>
      </c>
      <c r="C1028" s="1" t="s">
        <v>80</v>
      </c>
      <c r="D1028" s="1" t="s">
        <v>16</v>
      </c>
      <c r="E1028" s="1" t="n">
        <v>4839</v>
      </c>
      <c r="F1028" s="1" t="n">
        <v>0.0592394872348271</v>
      </c>
      <c r="G1028" s="1" t="n">
        <v>286.659878729328</v>
      </c>
      <c r="H1028" s="1" t="s">
        <v>446</v>
      </c>
    </row>
    <row r="1029" customFormat="false" ht="15" hidden="false" customHeight="true" outlineLevel="0" collapsed="false">
      <c r="A1029" s="1" t="s">
        <v>690</v>
      </c>
      <c r="B1029" s="1" t="s">
        <v>80</v>
      </c>
      <c r="C1029" s="1" t="s">
        <v>80</v>
      </c>
      <c r="D1029" s="1" t="s">
        <v>17</v>
      </c>
      <c r="E1029" s="1" t="n">
        <v>4839</v>
      </c>
      <c r="F1029" s="1" t="n">
        <v>0.0592394872348271</v>
      </c>
      <c r="G1029" s="1" t="n">
        <v>286.659878729328</v>
      </c>
      <c r="H1029" s="1" t="s">
        <v>446</v>
      </c>
    </row>
    <row r="1030" customFormat="false" ht="15" hidden="false" customHeight="true" outlineLevel="0" collapsed="false">
      <c r="A1030" s="1" t="s">
        <v>690</v>
      </c>
      <c r="B1030" s="1" t="s">
        <v>42</v>
      </c>
      <c r="C1030" s="1" t="s">
        <v>42</v>
      </c>
      <c r="D1030" s="1" t="s">
        <v>10</v>
      </c>
      <c r="E1030" s="1" t="n">
        <v>6711</v>
      </c>
      <c r="F1030" s="1" t="n">
        <v>0.146015404816941</v>
      </c>
      <c r="G1030" s="1" t="n">
        <v>979.909381726491</v>
      </c>
      <c r="H1030" s="1" t="s">
        <v>446</v>
      </c>
    </row>
    <row r="1031" customFormat="false" ht="15" hidden="false" customHeight="true" outlineLevel="0" collapsed="false">
      <c r="A1031" s="1" t="s">
        <v>690</v>
      </c>
      <c r="B1031" s="1" t="s">
        <v>42</v>
      </c>
      <c r="C1031" s="1" t="s">
        <v>42</v>
      </c>
      <c r="D1031" s="1" t="s">
        <v>14</v>
      </c>
      <c r="E1031" s="1" t="n">
        <v>3823</v>
      </c>
      <c r="F1031" s="1" t="n">
        <v>0.146015404816941</v>
      </c>
      <c r="G1031" s="1" t="n">
        <v>558.216892615165</v>
      </c>
      <c r="H1031" s="1" t="s">
        <v>446</v>
      </c>
    </row>
    <row r="1032" customFormat="false" ht="15" hidden="false" customHeight="true" outlineLevel="0" collapsed="false">
      <c r="A1032" s="1" t="s">
        <v>690</v>
      </c>
      <c r="B1032" s="1" t="s">
        <v>42</v>
      </c>
      <c r="C1032" s="1" t="s">
        <v>42</v>
      </c>
      <c r="D1032" s="1" t="s">
        <v>15</v>
      </c>
      <c r="E1032" s="1" t="n">
        <v>6701</v>
      </c>
      <c r="F1032" s="1" t="n">
        <v>0.146015404816941</v>
      </c>
      <c r="G1032" s="1" t="n">
        <v>978.449227678322</v>
      </c>
      <c r="H1032" s="1" t="s">
        <v>446</v>
      </c>
    </row>
    <row r="1033" customFormat="false" ht="15" hidden="false" customHeight="true" outlineLevel="0" collapsed="false">
      <c r="A1033" s="1" t="s">
        <v>690</v>
      </c>
      <c r="B1033" s="1" t="s">
        <v>42</v>
      </c>
      <c r="C1033" s="1" t="s">
        <v>42</v>
      </c>
      <c r="D1033" s="1" t="s">
        <v>13</v>
      </c>
      <c r="E1033" s="1" t="n">
        <v>14824</v>
      </c>
      <c r="F1033" s="1" t="n">
        <v>0.146015404816941</v>
      </c>
      <c r="G1033" s="1" t="n">
        <v>2164.53236100633</v>
      </c>
      <c r="H1033" s="1" t="s">
        <v>446</v>
      </c>
    </row>
    <row r="1034" customFormat="false" ht="15" hidden="false" customHeight="true" outlineLevel="0" collapsed="false">
      <c r="A1034" s="1" t="s">
        <v>690</v>
      </c>
      <c r="B1034" s="1" t="s">
        <v>42</v>
      </c>
      <c r="C1034" s="1" t="s">
        <v>42</v>
      </c>
      <c r="D1034" s="1" t="s">
        <v>16</v>
      </c>
      <c r="E1034" s="1" t="n">
        <v>4839</v>
      </c>
      <c r="F1034" s="1" t="n">
        <v>0.146015404816941</v>
      </c>
      <c r="G1034" s="1" t="n">
        <v>706.568543909178</v>
      </c>
      <c r="H1034" s="1" t="s">
        <v>446</v>
      </c>
    </row>
    <row r="1035" customFormat="false" ht="15" hidden="false" customHeight="true" outlineLevel="0" collapsed="false">
      <c r="A1035" s="1" t="s">
        <v>690</v>
      </c>
      <c r="B1035" s="1" t="s">
        <v>42</v>
      </c>
      <c r="C1035" s="1" t="s">
        <v>42</v>
      </c>
      <c r="D1035" s="1" t="s">
        <v>17</v>
      </c>
      <c r="E1035" s="1" t="n">
        <v>4839</v>
      </c>
      <c r="F1035" s="1" t="n">
        <v>0.146015404816941</v>
      </c>
      <c r="G1035" s="1" t="n">
        <v>706.568543909178</v>
      </c>
      <c r="H1035" s="1" t="s">
        <v>446</v>
      </c>
    </row>
    <row r="1036" customFormat="false" ht="15" hidden="false" customHeight="true" outlineLevel="0" collapsed="false">
      <c r="A1036" s="1" t="s">
        <v>690</v>
      </c>
      <c r="B1036" s="1" t="s">
        <v>36</v>
      </c>
      <c r="C1036" s="1" t="s">
        <v>36</v>
      </c>
      <c r="D1036" s="1" t="s">
        <v>10</v>
      </c>
      <c r="E1036" s="1" t="n">
        <v>6711</v>
      </c>
      <c r="F1036" s="1" t="n">
        <v>0.385410473461211</v>
      </c>
      <c r="G1036" s="1" t="n">
        <v>2586.48968739819</v>
      </c>
      <c r="H1036" s="1" t="s">
        <v>446</v>
      </c>
    </row>
    <row r="1037" customFormat="false" ht="15" hidden="false" customHeight="true" outlineLevel="0" collapsed="false">
      <c r="A1037" s="1" t="s">
        <v>690</v>
      </c>
      <c r="B1037" s="1" t="s">
        <v>36</v>
      </c>
      <c r="C1037" s="1" t="s">
        <v>36</v>
      </c>
      <c r="D1037" s="1" t="s">
        <v>14</v>
      </c>
      <c r="E1037" s="1" t="n">
        <v>3823</v>
      </c>
      <c r="F1037" s="1" t="n">
        <v>0.385410473461211</v>
      </c>
      <c r="G1037" s="1" t="n">
        <v>1473.42424004221</v>
      </c>
      <c r="H1037" s="1" t="s">
        <v>446</v>
      </c>
    </row>
    <row r="1038" customFormat="false" ht="15" hidden="false" customHeight="true" outlineLevel="0" collapsed="false">
      <c r="A1038" s="1" t="s">
        <v>690</v>
      </c>
      <c r="B1038" s="1" t="s">
        <v>36</v>
      </c>
      <c r="C1038" s="1" t="s">
        <v>36</v>
      </c>
      <c r="D1038" s="1" t="s">
        <v>15</v>
      </c>
      <c r="E1038" s="1" t="n">
        <v>6701</v>
      </c>
      <c r="F1038" s="1" t="n">
        <v>0.385410473461211</v>
      </c>
      <c r="G1038" s="1" t="n">
        <v>2582.63558266358</v>
      </c>
      <c r="H1038" s="1" t="s">
        <v>446</v>
      </c>
    </row>
    <row r="1039" customFormat="false" ht="15" hidden="false" customHeight="true" outlineLevel="0" collapsed="false">
      <c r="A1039" s="1" t="s">
        <v>690</v>
      </c>
      <c r="B1039" s="1" t="s">
        <v>36</v>
      </c>
      <c r="C1039" s="1" t="s">
        <v>36</v>
      </c>
      <c r="D1039" s="1" t="s">
        <v>13</v>
      </c>
      <c r="E1039" s="1" t="n">
        <v>14824</v>
      </c>
      <c r="F1039" s="1" t="n">
        <v>0.385410473461211</v>
      </c>
      <c r="G1039" s="1" t="n">
        <v>5713.32485858899</v>
      </c>
      <c r="H1039" s="1" t="s">
        <v>446</v>
      </c>
    </row>
    <row r="1040" customFormat="false" ht="15" hidden="false" customHeight="true" outlineLevel="0" collapsed="false">
      <c r="A1040" s="1" t="s">
        <v>690</v>
      </c>
      <c r="B1040" s="1" t="s">
        <v>36</v>
      </c>
      <c r="C1040" s="1" t="s">
        <v>36</v>
      </c>
      <c r="D1040" s="1" t="s">
        <v>16</v>
      </c>
      <c r="E1040" s="1" t="n">
        <v>4839</v>
      </c>
      <c r="F1040" s="1" t="n">
        <v>0.385410473461211</v>
      </c>
      <c r="G1040" s="1" t="n">
        <v>1865.0012810788</v>
      </c>
      <c r="H1040" s="1" t="s">
        <v>446</v>
      </c>
    </row>
    <row r="1041" customFormat="false" ht="15" hidden="false" customHeight="true" outlineLevel="0" collapsed="false">
      <c r="A1041" s="1" t="s">
        <v>690</v>
      </c>
      <c r="B1041" s="1" t="s">
        <v>36</v>
      </c>
      <c r="C1041" s="1" t="s">
        <v>36</v>
      </c>
      <c r="D1041" s="1" t="s">
        <v>17</v>
      </c>
      <c r="E1041" s="1" t="n">
        <v>4839</v>
      </c>
      <c r="F1041" s="1" t="n">
        <v>0.385410473461211</v>
      </c>
      <c r="G1041" s="1" t="n">
        <v>1865.0012810788</v>
      </c>
      <c r="H1041" s="1" t="s">
        <v>446</v>
      </c>
    </row>
    <row r="1042" customFormat="false" ht="15" hidden="false" customHeight="true" outlineLevel="0" collapsed="false">
      <c r="A1042" s="1" t="s">
        <v>690</v>
      </c>
      <c r="B1042" s="1" t="s">
        <v>34</v>
      </c>
      <c r="C1042" s="1" t="s">
        <v>34</v>
      </c>
      <c r="D1042" s="1" t="s">
        <v>10</v>
      </c>
      <c r="E1042" s="1" t="n">
        <v>6711</v>
      </c>
      <c r="F1042" s="1" t="n">
        <v>0.301559381974413</v>
      </c>
      <c r="G1042" s="1" t="n">
        <v>2023.76501243029</v>
      </c>
      <c r="H1042" s="1" t="s">
        <v>446</v>
      </c>
    </row>
    <row r="1043" customFormat="false" ht="15" hidden="false" customHeight="true" outlineLevel="0" collapsed="false">
      <c r="A1043" s="1" t="s">
        <v>690</v>
      </c>
      <c r="B1043" s="1" t="s">
        <v>34</v>
      </c>
      <c r="C1043" s="1" t="s">
        <v>34</v>
      </c>
      <c r="D1043" s="1" t="s">
        <v>12</v>
      </c>
      <c r="E1043" s="1" t="n">
        <v>13611</v>
      </c>
      <c r="F1043" s="1" t="n">
        <v>0.301559381974413</v>
      </c>
      <c r="G1043" s="1" t="n">
        <v>4104.52474805374</v>
      </c>
      <c r="H1043" s="1" t="s">
        <v>446</v>
      </c>
    </row>
    <row r="1044" customFormat="false" ht="15" hidden="false" customHeight="true" outlineLevel="0" collapsed="false">
      <c r="A1044" s="1" t="s">
        <v>690</v>
      </c>
      <c r="B1044" s="1" t="s">
        <v>34</v>
      </c>
      <c r="C1044" s="1" t="s">
        <v>34</v>
      </c>
      <c r="D1044" s="1" t="s">
        <v>14</v>
      </c>
      <c r="E1044" s="1" t="n">
        <v>3823</v>
      </c>
      <c r="F1044" s="1" t="n">
        <v>0.301559381974413</v>
      </c>
      <c r="G1044" s="1" t="n">
        <v>1152.86151728818</v>
      </c>
      <c r="H1044" s="1" t="s">
        <v>446</v>
      </c>
    </row>
    <row r="1045" customFormat="false" ht="15" hidden="false" customHeight="true" outlineLevel="0" collapsed="false">
      <c r="A1045" s="1" t="s">
        <v>690</v>
      </c>
      <c r="B1045" s="1" t="s">
        <v>34</v>
      </c>
      <c r="C1045" s="1" t="s">
        <v>34</v>
      </c>
      <c r="D1045" s="1" t="s">
        <v>15</v>
      </c>
      <c r="E1045" s="1" t="n">
        <v>6701</v>
      </c>
      <c r="F1045" s="1" t="n">
        <v>0.301559381974413</v>
      </c>
      <c r="G1045" s="1" t="n">
        <v>2020.74941861054</v>
      </c>
      <c r="H1045" s="1" t="s">
        <v>446</v>
      </c>
    </row>
    <row r="1046" customFormat="false" ht="15" hidden="false" customHeight="true" outlineLevel="0" collapsed="false">
      <c r="A1046" s="1" t="s">
        <v>690</v>
      </c>
      <c r="B1046" s="1" t="s">
        <v>34</v>
      </c>
      <c r="C1046" s="1" t="s">
        <v>34</v>
      </c>
      <c r="D1046" s="1" t="s">
        <v>13</v>
      </c>
      <c r="E1046" s="1" t="n">
        <v>14824</v>
      </c>
      <c r="F1046" s="1" t="n">
        <v>0.301559381974413</v>
      </c>
      <c r="G1046" s="1" t="n">
        <v>4470.3162783887</v>
      </c>
      <c r="H1046" s="1" t="s">
        <v>446</v>
      </c>
    </row>
    <row r="1047" customFormat="false" ht="15" hidden="false" customHeight="true" outlineLevel="0" collapsed="false">
      <c r="A1047" s="1" t="s">
        <v>690</v>
      </c>
      <c r="B1047" s="1" t="s">
        <v>34</v>
      </c>
      <c r="C1047" s="1" t="s">
        <v>34</v>
      </c>
      <c r="D1047" s="1" t="s">
        <v>16</v>
      </c>
      <c r="E1047" s="1" t="n">
        <v>4839</v>
      </c>
      <c r="F1047" s="1" t="n">
        <v>0.301559381974413</v>
      </c>
      <c r="G1047" s="1" t="n">
        <v>1459.24584937418</v>
      </c>
      <c r="H1047" s="1" t="s">
        <v>446</v>
      </c>
    </row>
    <row r="1048" customFormat="false" ht="15" hidden="false" customHeight="true" outlineLevel="0" collapsed="false">
      <c r="A1048" s="1" t="s">
        <v>690</v>
      </c>
      <c r="B1048" s="1" t="s">
        <v>34</v>
      </c>
      <c r="C1048" s="1" t="s">
        <v>34</v>
      </c>
      <c r="D1048" s="1" t="s">
        <v>17</v>
      </c>
      <c r="E1048" s="1" t="n">
        <v>4839</v>
      </c>
      <c r="F1048" s="1" t="n">
        <v>0.301559381974413</v>
      </c>
      <c r="G1048" s="1" t="n">
        <v>1459.24584937418</v>
      </c>
      <c r="H1048" s="1" t="s">
        <v>446</v>
      </c>
    </row>
    <row r="1049" customFormat="false" ht="15" hidden="false" customHeight="true" outlineLevel="0" collapsed="false">
      <c r="A1049" s="1" t="s">
        <v>690</v>
      </c>
      <c r="B1049" s="1" t="s">
        <v>83</v>
      </c>
      <c r="C1049" s="1" t="s">
        <v>83</v>
      </c>
      <c r="D1049" s="1" t="s">
        <v>10</v>
      </c>
      <c r="E1049" s="1" t="n">
        <v>6711</v>
      </c>
      <c r="F1049" s="1" t="n">
        <v>0.0867203628637302</v>
      </c>
      <c r="G1049" s="1" t="n">
        <v>581.980355178493</v>
      </c>
      <c r="H1049" s="1" t="s">
        <v>446</v>
      </c>
    </row>
    <row r="1050" customFormat="false" ht="15" hidden="false" customHeight="true" outlineLevel="0" collapsed="false">
      <c r="A1050" s="1" t="s">
        <v>690</v>
      </c>
      <c r="B1050" s="1" t="s">
        <v>83</v>
      </c>
      <c r="C1050" s="1" t="s">
        <v>83</v>
      </c>
      <c r="D1050" s="1" t="s">
        <v>14</v>
      </c>
      <c r="E1050" s="1" t="n">
        <v>3823</v>
      </c>
      <c r="F1050" s="1" t="n">
        <v>0.0867203628637302</v>
      </c>
      <c r="G1050" s="1" t="n">
        <v>331.531947228041</v>
      </c>
      <c r="H1050" s="1" t="s">
        <v>446</v>
      </c>
    </row>
    <row r="1051" customFormat="false" ht="15" hidden="false" customHeight="true" outlineLevel="0" collapsed="false">
      <c r="A1051" s="1" t="s">
        <v>690</v>
      </c>
      <c r="B1051" s="1" t="s">
        <v>83</v>
      </c>
      <c r="C1051" s="1" t="s">
        <v>83</v>
      </c>
      <c r="D1051" s="1" t="s">
        <v>15</v>
      </c>
      <c r="E1051" s="1" t="n">
        <v>6701</v>
      </c>
      <c r="F1051" s="1" t="n">
        <v>0.0867203628637302</v>
      </c>
      <c r="G1051" s="1" t="n">
        <v>581.113151549856</v>
      </c>
      <c r="H1051" s="1" t="s">
        <v>446</v>
      </c>
    </row>
    <row r="1052" customFormat="false" ht="15" hidden="false" customHeight="true" outlineLevel="0" collapsed="false">
      <c r="A1052" s="1" t="s">
        <v>690</v>
      </c>
      <c r="B1052" s="1" t="s">
        <v>83</v>
      </c>
      <c r="C1052" s="1" t="s">
        <v>83</v>
      </c>
      <c r="D1052" s="1" t="s">
        <v>13</v>
      </c>
      <c r="E1052" s="1" t="n">
        <v>14824</v>
      </c>
      <c r="F1052" s="1" t="n">
        <v>0.0867203628637302</v>
      </c>
      <c r="G1052" s="1" t="n">
        <v>1285.54265909194</v>
      </c>
      <c r="H1052" s="1" t="s">
        <v>446</v>
      </c>
    </row>
    <row r="1053" customFormat="false" ht="15" hidden="false" customHeight="true" outlineLevel="0" collapsed="false">
      <c r="A1053" s="1" t="s">
        <v>690</v>
      </c>
      <c r="B1053" s="1" t="s">
        <v>83</v>
      </c>
      <c r="C1053" s="1" t="s">
        <v>83</v>
      </c>
      <c r="D1053" s="1" t="s">
        <v>16</v>
      </c>
      <c r="E1053" s="1" t="n">
        <v>4839</v>
      </c>
      <c r="F1053" s="1" t="n">
        <v>0.0867203628637302</v>
      </c>
      <c r="G1053" s="1" t="n">
        <v>419.63983589759</v>
      </c>
      <c r="H1053" s="1" t="s">
        <v>446</v>
      </c>
    </row>
    <row r="1054" customFormat="false" ht="15" hidden="false" customHeight="true" outlineLevel="0" collapsed="false">
      <c r="A1054" s="1" t="s">
        <v>690</v>
      </c>
      <c r="B1054" s="1" t="s">
        <v>83</v>
      </c>
      <c r="C1054" s="1" t="s">
        <v>83</v>
      </c>
      <c r="D1054" s="1" t="s">
        <v>17</v>
      </c>
      <c r="E1054" s="1" t="n">
        <v>4839</v>
      </c>
      <c r="F1054" s="1" t="n">
        <v>0.0867203628637302</v>
      </c>
      <c r="G1054" s="1" t="n">
        <v>419.63983589759</v>
      </c>
      <c r="H1054" s="1" t="s">
        <v>446</v>
      </c>
    </row>
    <row r="1055" customFormat="false" ht="15" hidden="false" customHeight="true" outlineLevel="0" collapsed="false">
      <c r="A1055" s="1" t="s">
        <v>690</v>
      </c>
      <c r="B1055" s="1" t="s">
        <v>32</v>
      </c>
      <c r="C1055" s="1" t="s">
        <v>679</v>
      </c>
      <c r="D1055" s="1" t="s">
        <v>10</v>
      </c>
      <c r="E1055" s="1" t="n">
        <v>30</v>
      </c>
      <c r="F1055" s="1" t="n">
        <v>36.2501330798479</v>
      </c>
      <c r="G1055" s="1" t="n">
        <v>1087.50399239544</v>
      </c>
      <c r="H1055" s="1" t="s">
        <v>680</v>
      </c>
    </row>
    <row r="1056" customFormat="false" ht="15" hidden="false" customHeight="true" outlineLevel="0" collapsed="false">
      <c r="A1056" s="1" t="s">
        <v>690</v>
      </c>
      <c r="B1056" s="1" t="s">
        <v>32</v>
      </c>
      <c r="C1056" s="1" t="s">
        <v>679</v>
      </c>
      <c r="D1056" s="1" t="s">
        <v>14</v>
      </c>
      <c r="E1056" s="1" t="n">
        <v>10</v>
      </c>
      <c r="F1056" s="1" t="n">
        <v>36.2501330798479</v>
      </c>
      <c r="G1056" s="1" t="n">
        <v>362.501330798479</v>
      </c>
      <c r="H1056" s="1" t="s">
        <v>680</v>
      </c>
    </row>
    <row r="1057" customFormat="false" ht="15" hidden="false" customHeight="true" outlineLevel="0" collapsed="false">
      <c r="A1057" s="1" t="s">
        <v>690</v>
      </c>
      <c r="B1057" s="1" t="s">
        <v>32</v>
      </c>
      <c r="C1057" s="1" t="s">
        <v>679</v>
      </c>
      <c r="D1057" s="1" t="s">
        <v>15</v>
      </c>
      <c r="E1057" s="1" t="n">
        <v>46</v>
      </c>
      <c r="F1057" s="1" t="n">
        <v>36.2501330798479</v>
      </c>
      <c r="G1057" s="1" t="n">
        <v>1667.506121673</v>
      </c>
      <c r="H1057" s="1" t="s">
        <v>680</v>
      </c>
    </row>
    <row r="1058" customFormat="false" ht="15" hidden="false" customHeight="true" outlineLevel="0" collapsed="false">
      <c r="A1058" s="1" t="s">
        <v>690</v>
      </c>
      <c r="B1058" s="1" t="s">
        <v>32</v>
      </c>
      <c r="C1058" s="1" t="s">
        <v>679</v>
      </c>
      <c r="D1058" s="1" t="s">
        <v>13</v>
      </c>
      <c r="E1058" s="1" t="n">
        <v>45</v>
      </c>
      <c r="F1058" s="1" t="n">
        <v>36.2501330798479</v>
      </c>
      <c r="G1058" s="1" t="n">
        <v>1631.25598859316</v>
      </c>
      <c r="H1058" s="1" t="s">
        <v>680</v>
      </c>
    </row>
    <row r="1059" customFormat="false" ht="15" hidden="false" customHeight="true" outlineLevel="0" collapsed="false">
      <c r="A1059" s="1" t="s">
        <v>690</v>
      </c>
      <c r="B1059" s="1" t="s">
        <v>32</v>
      </c>
      <c r="C1059" s="1" t="s">
        <v>679</v>
      </c>
      <c r="D1059" s="1" t="s">
        <v>16</v>
      </c>
      <c r="E1059" s="1" t="n">
        <v>17</v>
      </c>
      <c r="F1059" s="1" t="n">
        <v>36.2501330798479</v>
      </c>
      <c r="G1059" s="1" t="n">
        <v>616.252262357414</v>
      </c>
      <c r="H1059" s="1" t="s">
        <v>680</v>
      </c>
    </row>
    <row r="1060" customFormat="false" ht="15" hidden="false" customHeight="true" outlineLevel="0" collapsed="false">
      <c r="A1060" s="1" t="s">
        <v>690</v>
      </c>
      <c r="B1060" s="1" t="s">
        <v>32</v>
      </c>
      <c r="C1060" s="1" t="s">
        <v>679</v>
      </c>
      <c r="D1060" s="1" t="s">
        <v>17</v>
      </c>
      <c r="E1060" s="1" t="n">
        <v>23</v>
      </c>
      <c r="F1060" s="1" t="n">
        <v>36.2501330798479</v>
      </c>
      <c r="G1060" s="1" t="n">
        <v>833.753060836502</v>
      </c>
      <c r="H1060" s="1" t="s">
        <v>680</v>
      </c>
    </row>
    <row r="1061" customFormat="false" ht="15" hidden="false" customHeight="true" outlineLevel="0" collapsed="false">
      <c r="A1061" s="1" t="s">
        <v>690</v>
      </c>
      <c r="B1061" s="1" t="s">
        <v>33</v>
      </c>
      <c r="C1061" s="1" t="s">
        <v>681</v>
      </c>
      <c r="D1061" s="1" t="s">
        <v>10</v>
      </c>
      <c r="E1061" s="1" t="n">
        <v>30</v>
      </c>
      <c r="F1061" s="1" t="n">
        <v>49.5105988593156</v>
      </c>
      <c r="G1061" s="1" t="n">
        <v>1485.31796577947</v>
      </c>
      <c r="H1061" s="1" t="s">
        <v>680</v>
      </c>
    </row>
    <row r="1062" customFormat="false" ht="15" hidden="false" customHeight="true" outlineLevel="0" collapsed="false">
      <c r="A1062" s="1" t="s">
        <v>690</v>
      </c>
      <c r="B1062" s="1" t="s">
        <v>33</v>
      </c>
      <c r="C1062" s="1" t="s">
        <v>681</v>
      </c>
      <c r="D1062" s="1" t="s">
        <v>14</v>
      </c>
      <c r="E1062" s="1" t="n">
        <v>10</v>
      </c>
      <c r="F1062" s="1" t="n">
        <v>49.5105988593156</v>
      </c>
      <c r="G1062" s="1" t="n">
        <v>495.105988593156</v>
      </c>
      <c r="H1062" s="1" t="s">
        <v>680</v>
      </c>
    </row>
    <row r="1063" customFormat="false" ht="15" hidden="false" customHeight="true" outlineLevel="0" collapsed="false">
      <c r="A1063" s="1" t="s">
        <v>690</v>
      </c>
      <c r="B1063" s="1" t="s">
        <v>33</v>
      </c>
      <c r="C1063" s="1" t="s">
        <v>681</v>
      </c>
      <c r="D1063" s="1" t="s">
        <v>15</v>
      </c>
      <c r="E1063" s="1" t="n">
        <v>46</v>
      </c>
      <c r="F1063" s="1" t="n">
        <v>49.5105988593156</v>
      </c>
      <c r="G1063" s="1" t="n">
        <v>2277.48754752852</v>
      </c>
      <c r="H1063" s="1" t="s">
        <v>680</v>
      </c>
    </row>
    <row r="1064" customFormat="false" ht="15" hidden="false" customHeight="true" outlineLevel="0" collapsed="false">
      <c r="A1064" s="1" t="s">
        <v>690</v>
      </c>
      <c r="B1064" s="1" t="s">
        <v>33</v>
      </c>
      <c r="C1064" s="1" t="s">
        <v>681</v>
      </c>
      <c r="D1064" s="1" t="s">
        <v>13</v>
      </c>
      <c r="E1064" s="1" t="n">
        <v>45</v>
      </c>
      <c r="F1064" s="1" t="n">
        <v>49.5105988593156</v>
      </c>
      <c r="G1064" s="1" t="n">
        <v>2227.9769486692</v>
      </c>
      <c r="H1064" s="1" t="s">
        <v>680</v>
      </c>
    </row>
    <row r="1065" customFormat="false" ht="15" hidden="false" customHeight="true" outlineLevel="0" collapsed="false">
      <c r="A1065" s="1" t="s">
        <v>690</v>
      </c>
      <c r="B1065" s="1" t="s">
        <v>33</v>
      </c>
      <c r="C1065" s="1" t="s">
        <v>681</v>
      </c>
      <c r="D1065" s="1" t="s">
        <v>16</v>
      </c>
      <c r="E1065" s="1" t="n">
        <v>17</v>
      </c>
      <c r="F1065" s="1" t="n">
        <v>49.5105988593156</v>
      </c>
      <c r="G1065" s="1" t="n">
        <v>841.680180608365</v>
      </c>
      <c r="H1065" s="1" t="s">
        <v>680</v>
      </c>
    </row>
    <row r="1066" customFormat="false" ht="15" hidden="false" customHeight="true" outlineLevel="0" collapsed="false">
      <c r="A1066" s="1" t="s">
        <v>690</v>
      </c>
      <c r="B1066" s="1" t="s">
        <v>33</v>
      </c>
      <c r="C1066" s="1" t="s">
        <v>681</v>
      </c>
      <c r="D1066" s="1" t="s">
        <v>17</v>
      </c>
      <c r="E1066" s="1" t="n">
        <v>23</v>
      </c>
      <c r="F1066" s="1" t="n">
        <v>49.5105988593156</v>
      </c>
      <c r="G1066" s="1" t="n">
        <v>1138.74377376426</v>
      </c>
      <c r="H1066" s="1" t="s">
        <v>680</v>
      </c>
    </row>
    <row r="1067" customFormat="false" ht="15" hidden="false" customHeight="true" outlineLevel="0" collapsed="false">
      <c r="A1067" s="1" t="s">
        <v>690</v>
      </c>
      <c r="B1067" s="1" t="s">
        <v>44</v>
      </c>
      <c r="C1067" s="1" t="s">
        <v>682</v>
      </c>
      <c r="D1067" s="1" t="s">
        <v>10</v>
      </c>
      <c r="E1067" s="1" t="n">
        <v>30</v>
      </c>
      <c r="F1067" s="1" t="n">
        <v>52.35</v>
      </c>
      <c r="G1067" s="1" t="n">
        <v>1570.5</v>
      </c>
      <c r="H1067" s="1" t="s">
        <v>680</v>
      </c>
    </row>
    <row r="1068" customFormat="false" ht="15" hidden="false" customHeight="true" outlineLevel="0" collapsed="false">
      <c r="A1068" s="1" t="s">
        <v>690</v>
      </c>
      <c r="B1068" s="1" t="s">
        <v>44</v>
      </c>
      <c r="C1068" s="1" t="s">
        <v>682</v>
      </c>
      <c r="D1068" s="1" t="s">
        <v>12</v>
      </c>
      <c r="E1068" s="1" t="n">
        <v>37</v>
      </c>
      <c r="F1068" s="1" t="n">
        <v>52.35</v>
      </c>
      <c r="G1068" s="1" t="n">
        <v>1936.95</v>
      </c>
      <c r="H1068" s="1" t="s">
        <v>680</v>
      </c>
    </row>
    <row r="1069" customFormat="false" ht="15" hidden="false" customHeight="true" outlineLevel="0" collapsed="false">
      <c r="A1069" s="1" t="s">
        <v>690</v>
      </c>
      <c r="B1069" s="1" t="s">
        <v>44</v>
      </c>
      <c r="C1069" s="1" t="s">
        <v>682</v>
      </c>
      <c r="D1069" s="1" t="s">
        <v>14</v>
      </c>
      <c r="E1069" s="1" t="n">
        <v>10</v>
      </c>
      <c r="F1069" s="1" t="n">
        <v>52.35</v>
      </c>
      <c r="G1069" s="1" t="n">
        <v>523.5</v>
      </c>
      <c r="H1069" s="1" t="s">
        <v>680</v>
      </c>
    </row>
    <row r="1070" customFormat="false" ht="15" hidden="false" customHeight="true" outlineLevel="0" collapsed="false">
      <c r="A1070" s="1" t="s">
        <v>690</v>
      </c>
      <c r="B1070" s="1" t="s">
        <v>44</v>
      </c>
      <c r="C1070" s="1" t="s">
        <v>682</v>
      </c>
      <c r="D1070" s="1" t="s">
        <v>15</v>
      </c>
      <c r="E1070" s="1" t="n">
        <v>46</v>
      </c>
      <c r="F1070" s="1" t="n">
        <v>52.35</v>
      </c>
      <c r="G1070" s="1" t="n">
        <v>2408.1</v>
      </c>
      <c r="H1070" s="1" t="s">
        <v>680</v>
      </c>
    </row>
    <row r="1071" customFormat="false" ht="15" hidden="false" customHeight="true" outlineLevel="0" collapsed="false">
      <c r="A1071" s="1" t="s">
        <v>690</v>
      </c>
      <c r="B1071" s="1" t="s">
        <v>44</v>
      </c>
      <c r="C1071" s="1" t="s">
        <v>682</v>
      </c>
      <c r="D1071" s="1" t="s">
        <v>13</v>
      </c>
      <c r="E1071" s="1" t="n">
        <v>45</v>
      </c>
      <c r="F1071" s="1" t="n">
        <v>52.35</v>
      </c>
      <c r="G1071" s="1" t="n">
        <v>2355.75</v>
      </c>
      <c r="H1071" s="1" t="s">
        <v>680</v>
      </c>
    </row>
    <row r="1072" customFormat="false" ht="15" hidden="false" customHeight="true" outlineLevel="0" collapsed="false">
      <c r="A1072" s="1" t="s">
        <v>690</v>
      </c>
      <c r="B1072" s="1" t="s">
        <v>44</v>
      </c>
      <c r="C1072" s="1" t="s">
        <v>682</v>
      </c>
      <c r="D1072" s="1" t="s">
        <v>16</v>
      </c>
      <c r="E1072" s="1" t="n">
        <v>17</v>
      </c>
      <c r="F1072" s="1" t="n">
        <v>52.35</v>
      </c>
      <c r="G1072" s="1" t="n">
        <v>889.95</v>
      </c>
      <c r="H1072" s="1" t="s">
        <v>680</v>
      </c>
    </row>
    <row r="1073" customFormat="false" ht="15" hidden="false" customHeight="true" outlineLevel="0" collapsed="false">
      <c r="A1073" s="1" t="s">
        <v>690</v>
      </c>
      <c r="B1073" s="1" t="s">
        <v>44</v>
      </c>
      <c r="C1073" s="1" t="s">
        <v>682</v>
      </c>
      <c r="D1073" s="1" t="s">
        <v>17</v>
      </c>
      <c r="E1073" s="1" t="n">
        <v>23</v>
      </c>
      <c r="F1073" s="1" t="n">
        <v>52.35</v>
      </c>
      <c r="G1073" s="1" t="n">
        <v>1204.05</v>
      </c>
      <c r="H1073" s="1" t="s">
        <v>680</v>
      </c>
    </row>
    <row r="1074" customFormat="false" ht="15" hidden="false" customHeight="true" outlineLevel="0" collapsed="false">
      <c r="A1074" s="1" t="s">
        <v>690</v>
      </c>
      <c r="B1074" s="1" t="s">
        <v>55</v>
      </c>
      <c r="C1074" s="1" t="s">
        <v>686</v>
      </c>
      <c r="D1074" s="1" t="s">
        <v>10</v>
      </c>
      <c r="E1074" s="1" t="n">
        <v>30</v>
      </c>
      <c r="F1074" s="1" t="n">
        <v>22.186397338403</v>
      </c>
      <c r="G1074" s="1" t="n">
        <v>665.59192015209</v>
      </c>
      <c r="H1074" s="1" t="s">
        <v>680</v>
      </c>
    </row>
    <row r="1075" customFormat="false" ht="15" hidden="false" customHeight="true" outlineLevel="0" collapsed="false">
      <c r="A1075" s="1" t="s">
        <v>690</v>
      </c>
      <c r="B1075" s="1" t="s">
        <v>55</v>
      </c>
      <c r="C1075" s="1" t="s">
        <v>686</v>
      </c>
      <c r="D1075" s="1" t="s">
        <v>12</v>
      </c>
      <c r="F1075" s="1" t="n">
        <v>22.186397338403</v>
      </c>
      <c r="H1075" s="1" t="s">
        <v>687</v>
      </c>
    </row>
    <row r="1076" customFormat="false" ht="15" hidden="false" customHeight="true" outlineLevel="0" collapsed="false">
      <c r="A1076" s="1" t="s">
        <v>690</v>
      </c>
      <c r="B1076" s="1" t="s">
        <v>55</v>
      </c>
      <c r="C1076" s="1" t="s">
        <v>686</v>
      </c>
      <c r="D1076" s="1" t="s">
        <v>14</v>
      </c>
      <c r="E1076" s="1" t="n">
        <v>10</v>
      </c>
      <c r="F1076" s="1" t="n">
        <v>22.186397338403</v>
      </c>
      <c r="G1076" s="1" t="n">
        <v>221.86397338403</v>
      </c>
      <c r="H1076" s="1" t="s">
        <v>680</v>
      </c>
    </row>
    <row r="1077" customFormat="false" ht="15" hidden="false" customHeight="true" outlineLevel="0" collapsed="false">
      <c r="A1077" s="1" t="s">
        <v>690</v>
      </c>
      <c r="B1077" s="1" t="s">
        <v>55</v>
      </c>
      <c r="C1077" s="1" t="s">
        <v>686</v>
      </c>
      <c r="D1077" s="1" t="s">
        <v>15</v>
      </c>
      <c r="E1077" s="1" t="n">
        <v>46</v>
      </c>
      <c r="F1077" s="1" t="n">
        <v>22.186397338403</v>
      </c>
      <c r="G1077" s="1" t="n">
        <v>1020.57427756654</v>
      </c>
      <c r="H1077" s="1" t="s">
        <v>680</v>
      </c>
    </row>
    <row r="1078" customFormat="false" ht="15" hidden="false" customHeight="true" outlineLevel="0" collapsed="false">
      <c r="A1078" s="1" t="s">
        <v>690</v>
      </c>
      <c r="B1078" s="1" t="s">
        <v>55</v>
      </c>
      <c r="C1078" s="1" t="s">
        <v>686</v>
      </c>
      <c r="D1078" s="1" t="s">
        <v>13</v>
      </c>
      <c r="E1078" s="1" t="n">
        <v>45</v>
      </c>
      <c r="F1078" s="1" t="n">
        <v>22.186397338403</v>
      </c>
      <c r="G1078" s="1" t="n">
        <v>998.387880228135</v>
      </c>
      <c r="H1078" s="1" t="s">
        <v>680</v>
      </c>
    </row>
    <row r="1079" customFormat="false" ht="15" hidden="false" customHeight="true" outlineLevel="0" collapsed="false">
      <c r="A1079" s="1" t="s">
        <v>690</v>
      </c>
      <c r="B1079" s="1" t="s">
        <v>55</v>
      </c>
      <c r="C1079" s="1" t="s">
        <v>686</v>
      </c>
      <c r="D1079" s="1" t="s">
        <v>16</v>
      </c>
      <c r="E1079" s="1" t="n">
        <v>17</v>
      </c>
      <c r="F1079" s="1" t="n">
        <v>22.186397338403</v>
      </c>
      <c r="G1079" s="1" t="n">
        <v>377.168754752851</v>
      </c>
      <c r="H1079" s="1" t="s">
        <v>680</v>
      </c>
    </row>
    <row r="1080" customFormat="false" ht="15" hidden="false" customHeight="true" outlineLevel="0" collapsed="false">
      <c r="A1080" s="1" t="s">
        <v>690</v>
      </c>
      <c r="B1080" s="1" t="s">
        <v>55</v>
      </c>
      <c r="C1080" s="1" t="s">
        <v>686</v>
      </c>
      <c r="D1080" s="1" t="s">
        <v>17</v>
      </c>
      <c r="E1080" s="1" t="n">
        <v>23</v>
      </c>
      <c r="F1080" s="1" t="n">
        <v>22.186397338403</v>
      </c>
      <c r="G1080" s="1" t="n">
        <v>510.287138783269</v>
      </c>
      <c r="H1080" s="1" t="s">
        <v>680</v>
      </c>
    </row>
    <row r="1081" customFormat="false" ht="15" hidden="false" customHeight="true" outlineLevel="0" collapsed="false">
      <c r="A1081" s="1" t="s">
        <v>690</v>
      </c>
      <c r="B1081" s="1" t="s">
        <v>585</v>
      </c>
      <c r="C1081" s="1" t="s">
        <v>586</v>
      </c>
      <c r="D1081" s="1" t="s">
        <v>12</v>
      </c>
      <c r="E1081" s="1" t="n">
        <v>1</v>
      </c>
      <c r="F1081" s="1" t="n">
        <v>238.88</v>
      </c>
      <c r="G1081" s="1" t="n">
        <v>238.88</v>
      </c>
      <c r="H1081" s="1" t="s">
        <v>691</v>
      </c>
    </row>
    <row r="1082" customFormat="false" ht="15" hidden="false" customHeight="true" outlineLevel="0" collapsed="false">
      <c r="A1082" s="1" t="s">
        <v>690</v>
      </c>
      <c r="B1082" s="1" t="s">
        <v>585</v>
      </c>
      <c r="C1082" s="1" t="s">
        <v>588</v>
      </c>
      <c r="D1082" s="1" t="s">
        <v>12</v>
      </c>
      <c r="E1082" s="1" t="n">
        <v>1</v>
      </c>
      <c r="F1082" s="1" t="n">
        <v>624.79</v>
      </c>
      <c r="G1082" s="1" t="n">
        <v>624.79</v>
      </c>
      <c r="H1082" s="1" t="s">
        <v>691</v>
      </c>
    </row>
    <row r="1083" customFormat="false" ht="15" hidden="false" customHeight="true" outlineLevel="0" collapsed="false">
      <c r="A1083" s="1" t="s">
        <v>690</v>
      </c>
      <c r="B1083" s="1" t="s">
        <v>585</v>
      </c>
      <c r="C1083" s="1" t="s">
        <v>589</v>
      </c>
      <c r="D1083" s="1" t="s">
        <v>12</v>
      </c>
      <c r="E1083" s="1" t="n">
        <v>1</v>
      </c>
      <c r="F1083" s="1" t="n">
        <v>510</v>
      </c>
      <c r="G1083" s="1" t="n">
        <v>510</v>
      </c>
      <c r="H1083" s="1" t="s">
        <v>691</v>
      </c>
    </row>
    <row r="1084" customFormat="false" ht="15" hidden="false" customHeight="true" outlineLevel="0" collapsed="false">
      <c r="A1084" s="1" t="s">
        <v>690</v>
      </c>
      <c r="B1084" s="1" t="s">
        <v>585</v>
      </c>
      <c r="C1084" s="1" t="s">
        <v>590</v>
      </c>
      <c r="D1084" s="1" t="s">
        <v>12</v>
      </c>
      <c r="E1084" s="1" t="n">
        <v>1</v>
      </c>
      <c r="F1084" s="1" t="n">
        <v>333.1</v>
      </c>
      <c r="G1084" s="1" t="n">
        <v>333.1</v>
      </c>
      <c r="H1084" s="1" t="s">
        <v>691</v>
      </c>
    </row>
    <row r="1085" customFormat="false" ht="15" hidden="false" customHeight="true" outlineLevel="0" collapsed="false">
      <c r="A1085" s="1" t="s">
        <v>690</v>
      </c>
      <c r="B1085" s="1" t="s">
        <v>585</v>
      </c>
      <c r="C1085" s="1" t="s">
        <v>593</v>
      </c>
      <c r="D1085" s="1" t="s">
        <v>12</v>
      </c>
      <c r="E1085" s="1" t="n">
        <v>1</v>
      </c>
      <c r="F1085" s="1" t="n">
        <v>2973.2</v>
      </c>
      <c r="G1085" s="1" t="n">
        <v>2973.2</v>
      </c>
      <c r="H1085" s="1" t="s">
        <v>691</v>
      </c>
    </row>
    <row r="1086" customFormat="false" ht="15" hidden="false" customHeight="true" outlineLevel="0" collapsed="false">
      <c r="A1086" s="1" t="s">
        <v>690</v>
      </c>
      <c r="B1086" s="1" t="s">
        <v>585</v>
      </c>
      <c r="C1086" s="1" t="s">
        <v>654</v>
      </c>
      <c r="D1086" s="1" t="s">
        <v>12</v>
      </c>
      <c r="E1086" s="1" t="n">
        <v>1</v>
      </c>
      <c r="F1086" s="1" t="n">
        <v>1833.24</v>
      </c>
      <c r="G1086" s="1" t="n">
        <v>1833.24</v>
      </c>
      <c r="H1086" s="1" t="s">
        <v>691</v>
      </c>
    </row>
    <row r="1087" customFormat="false" ht="15" hidden="false" customHeight="true" outlineLevel="0" collapsed="false">
      <c r="A1087" s="1" t="s">
        <v>690</v>
      </c>
      <c r="B1087" s="1" t="s">
        <v>585</v>
      </c>
      <c r="C1087" s="1" t="s">
        <v>594</v>
      </c>
      <c r="D1087" s="1" t="s">
        <v>12</v>
      </c>
      <c r="E1087" s="1" t="n">
        <v>1</v>
      </c>
      <c r="F1087" s="1" t="n">
        <v>7615.46</v>
      </c>
      <c r="G1087" s="1" t="n">
        <v>7615.46</v>
      </c>
      <c r="H1087" s="1" t="s">
        <v>691</v>
      </c>
    </row>
    <row r="1088" customFormat="false" ht="15" hidden="false" customHeight="true" outlineLevel="0" collapsed="false">
      <c r="A1088" s="1" t="s">
        <v>444</v>
      </c>
      <c r="B1088" s="1" t="s">
        <v>143</v>
      </c>
      <c r="C1088" s="1" t="s">
        <v>519</v>
      </c>
      <c r="D1088" s="1" t="s">
        <v>18</v>
      </c>
      <c r="E1088" s="1" t="n">
        <v>137756</v>
      </c>
      <c r="F1088" s="1" t="n">
        <v>0.212371943123151</v>
      </c>
      <c r="G1088" s="1" t="n">
        <v>29255.5093968728</v>
      </c>
      <c r="H1088" s="1" t="s">
        <v>446</v>
      </c>
    </row>
    <row r="1089" customFormat="false" ht="15" hidden="false" customHeight="true" outlineLevel="0" collapsed="false">
      <c r="A1089" s="1" t="s">
        <v>444</v>
      </c>
      <c r="B1089" s="1" t="s">
        <v>141</v>
      </c>
      <c r="C1089" s="1" t="s">
        <v>520</v>
      </c>
      <c r="D1089" s="1" t="s">
        <v>18</v>
      </c>
      <c r="E1089" s="1" t="n">
        <v>137756</v>
      </c>
      <c r="F1089" s="1" t="n">
        <v>0.0959225828032635</v>
      </c>
      <c r="G1089" s="1" t="n">
        <v>13213.9113166464</v>
      </c>
      <c r="H1089" s="1" t="s">
        <v>446</v>
      </c>
    </row>
    <row r="1090" customFormat="false" ht="15" hidden="false" customHeight="true" outlineLevel="0" collapsed="false">
      <c r="A1090" s="1" t="s">
        <v>444</v>
      </c>
      <c r="B1090" s="1" t="s">
        <v>614</v>
      </c>
      <c r="C1090" s="1" t="s">
        <v>615</v>
      </c>
      <c r="D1090" s="1" t="s">
        <v>18</v>
      </c>
      <c r="E1090" s="1" t="n">
        <v>137756</v>
      </c>
      <c r="F1090" s="1" t="n">
        <v>2.35573300476439</v>
      </c>
      <c r="G1090" s="1" t="n">
        <v>324516.355804323</v>
      </c>
      <c r="H1090" s="1" t="s">
        <v>446</v>
      </c>
    </row>
    <row r="1091" customFormat="false" ht="15" hidden="false" customHeight="true" outlineLevel="0" collapsed="false">
      <c r="A1091" s="1" t="s">
        <v>634</v>
      </c>
      <c r="B1091" s="1" t="s">
        <v>143</v>
      </c>
      <c r="C1091" s="1" t="s">
        <v>519</v>
      </c>
      <c r="D1091" s="1" t="s">
        <v>18</v>
      </c>
      <c r="E1091" s="1" t="n">
        <v>140857</v>
      </c>
      <c r="F1091" s="1" t="n">
        <v>0.253754640366083</v>
      </c>
      <c r="G1091" s="1" t="n">
        <v>35743.1173780453</v>
      </c>
      <c r="H1091" s="1" t="s">
        <v>446</v>
      </c>
    </row>
    <row r="1092" customFormat="false" ht="15" hidden="false" customHeight="true" outlineLevel="0" collapsed="false">
      <c r="A1092" s="1" t="s">
        <v>634</v>
      </c>
      <c r="B1092" s="1" t="s">
        <v>141</v>
      </c>
      <c r="C1092" s="1" t="s">
        <v>520</v>
      </c>
      <c r="D1092" s="1" t="s">
        <v>18</v>
      </c>
      <c r="E1092" s="1" t="n">
        <v>140857</v>
      </c>
      <c r="F1092" s="1" t="n">
        <v>0.105895207936646</v>
      </c>
      <c r="G1092" s="1" t="n">
        <v>14916.0813043321</v>
      </c>
      <c r="H1092" s="1" t="s">
        <v>446</v>
      </c>
    </row>
    <row r="1093" customFormat="false" ht="15" hidden="false" customHeight="true" outlineLevel="0" collapsed="false">
      <c r="A1093" s="1" t="s">
        <v>634</v>
      </c>
      <c r="B1093" s="1" t="s">
        <v>614</v>
      </c>
      <c r="C1093" s="1" t="s">
        <v>615</v>
      </c>
      <c r="D1093" s="1" t="s">
        <v>18</v>
      </c>
      <c r="E1093" s="1" t="n">
        <v>140857</v>
      </c>
      <c r="F1093" s="1" t="n">
        <v>2.99991610765306</v>
      </c>
      <c r="G1093" s="1" t="n">
        <v>422559.183175687</v>
      </c>
      <c r="H1093" s="1" t="s">
        <v>446</v>
      </c>
    </row>
    <row r="1094" customFormat="false" ht="15" hidden="false" customHeight="true" outlineLevel="0" collapsed="false">
      <c r="A1094" s="1" t="s">
        <v>665</v>
      </c>
      <c r="B1094" s="1" t="s">
        <v>445</v>
      </c>
      <c r="C1094" s="1" t="s">
        <v>86</v>
      </c>
      <c r="D1094" s="1" t="s">
        <v>18</v>
      </c>
      <c r="E1094" s="1" t="n">
        <v>146740</v>
      </c>
      <c r="F1094" s="1" t="n">
        <v>0.146287986778566</v>
      </c>
      <c r="G1094" s="1" t="n">
        <v>21466.2991798868</v>
      </c>
      <c r="H1094" s="1" t="s">
        <v>446</v>
      </c>
    </row>
    <row r="1095" customFormat="false" ht="15" hidden="false" customHeight="true" outlineLevel="0" collapsed="false">
      <c r="A1095" s="1" t="s">
        <v>665</v>
      </c>
      <c r="B1095" s="1" t="s">
        <v>143</v>
      </c>
      <c r="C1095" s="1" t="s">
        <v>519</v>
      </c>
      <c r="D1095" s="1" t="s">
        <v>18</v>
      </c>
      <c r="E1095" s="1" t="n">
        <v>146740</v>
      </c>
      <c r="F1095" s="1" t="n">
        <v>0.2</v>
      </c>
      <c r="G1095" s="1" t="n">
        <v>29348</v>
      </c>
      <c r="H1095" s="1" t="s">
        <v>446</v>
      </c>
    </row>
    <row r="1096" customFormat="false" ht="15" hidden="false" customHeight="true" outlineLevel="0" collapsed="false">
      <c r="A1096" s="1" t="s">
        <v>665</v>
      </c>
      <c r="B1096" s="1" t="s">
        <v>141</v>
      </c>
      <c r="C1096" s="1" t="s">
        <v>520</v>
      </c>
      <c r="D1096" s="1" t="s">
        <v>18</v>
      </c>
      <c r="E1096" s="1" t="n">
        <v>146740</v>
      </c>
      <c r="F1096" s="1" t="n">
        <v>0.101057218436555</v>
      </c>
      <c r="G1096" s="1" t="n">
        <v>14829.1362333801</v>
      </c>
      <c r="H1096" s="1" t="s">
        <v>446</v>
      </c>
    </row>
    <row r="1097" customFormat="false" ht="15" hidden="false" customHeight="true" outlineLevel="0" collapsed="false">
      <c r="A1097" s="1" t="s">
        <v>665</v>
      </c>
      <c r="B1097" s="1" t="s">
        <v>614</v>
      </c>
      <c r="C1097" s="1" t="s">
        <v>615</v>
      </c>
      <c r="D1097" s="1" t="s">
        <v>18</v>
      </c>
      <c r="E1097" s="1" t="n">
        <v>146740</v>
      </c>
      <c r="F1097" s="1" t="n">
        <v>3.18253026831306</v>
      </c>
      <c r="G1097" s="1" t="n">
        <v>467004.491572258</v>
      </c>
      <c r="H1097" s="1" t="s">
        <v>446</v>
      </c>
    </row>
    <row r="1098" customFormat="false" ht="15" hidden="false" customHeight="true" outlineLevel="0" collapsed="false">
      <c r="A1098" s="1" t="s">
        <v>665</v>
      </c>
      <c r="B1098" s="1" t="s">
        <v>43</v>
      </c>
      <c r="C1098" s="1" t="s">
        <v>43</v>
      </c>
      <c r="D1098" s="1" t="s">
        <v>18</v>
      </c>
      <c r="E1098" s="1" t="n">
        <v>146740</v>
      </c>
      <c r="F1098" s="1" t="n">
        <v>0.138361239459827</v>
      </c>
      <c r="G1098" s="1" t="n">
        <v>20303.128278335</v>
      </c>
      <c r="H1098" s="1" t="s">
        <v>446</v>
      </c>
    </row>
    <row r="1099" customFormat="false" ht="15" hidden="false" customHeight="true" outlineLevel="0" collapsed="false">
      <c r="A1099" s="1" t="s">
        <v>665</v>
      </c>
      <c r="B1099" s="1" t="s">
        <v>81</v>
      </c>
      <c r="C1099" s="1" t="s">
        <v>81</v>
      </c>
      <c r="D1099" s="1" t="s">
        <v>18</v>
      </c>
      <c r="E1099" s="1" t="n">
        <v>146740</v>
      </c>
      <c r="F1099" s="1" t="n">
        <v>0.071167700671494</v>
      </c>
      <c r="G1099" s="1" t="n">
        <v>10443.148396535</v>
      </c>
      <c r="H1099" s="1" t="s">
        <v>446</v>
      </c>
    </row>
    <row r="1100" customFormat="false" ht="15" hidden="false" customHeight="true" outlineLevel="0" collapsed="false">
      <c r="A1100" s="1" t="s">
        <v>665</v>
      </c>
      <c r="B1100" s="1" t="s">
        <v>36</v>
      </c>
      <c r="C1100" s="1" t="s">
        <v>36</v>
      </c>
      <c r="D1100" s="1" t="s">
        <v>18</v>
      </c>
      <c r="E1100" s="1" t="n">
        <v>146740</v>
      </c>
      <c r="F1100" s="1" t="n">
        <v>0.373762045947462</v>
      </c>
      <c r="G1100" s="1" t="n">
        <v>54845.8426223306</v>
      </c>
      <c r="H1100" s="1" t="s">
        <v>446</v>
      </c>
    </row>
    <row r="1101" customFormat="false" ht="15" hidden="false" customHeight="true" outlineLevel="0" collapsed="false">
      <c r="A1101" s="1" t="s">
        <v>665</v>
      </c>
      <c r="B1101" s="1" t="s">
        <v>83</v>
      </c>
      <c r="C1101" s="1" t="s">
        <v>83</v>
      </c>
      <c r="D1101" s="1" t="s">
        <v>18</v>
      </c>
      <c r="E1101" s="1" t="n">
        <v>146740</v>
      </c>
      <c r="F1101" s="1" t="n">
        <v>0.0793753070856763</v>
      </c>
      <c r="G1101" s="1" t="n">
        <v>11647.5325617521</v>
      </c>
      <c r="H1101" s="1" t="s">
        <v>446</v>
      </c>
    </row>
    <row r="1102" customFormat="false" ht="15" hidden="false" customHeight="true" outlineLevel="0" collapsed="false">
      <c r="A1102" s="1" t="s">
        <v>665</v>
      </c>
      <c r="B1102" s="1" t="s">
        <v>692</v>
      </c>
      <c r="C1102" s="1" t="s">
        <v>692</v>
      </c>
      <c r="D1102" s="1" t="s">
        <v>18</v>
      </c>
      <c r="E1102" s="1" t="n">
        <v>146740</v>
      </c>
      <c r="F1102" s="1" t="n">
        <v>0.713317605064246</v>
      </c>
      <c r="G1102" s="1" t="n">
        <v>104672.225367128</v>
      </c>
      <c r="H1102" s="1" t="s">
        <v>446</v>
      </c>
    </row>
    <row r="1103" customFormat="false" ht="15" hidden="false" customHeight="true" outlineLevel="0" collapsed="false">
      <c r="A1103" s="1" t="s">
        <v>665</v>
      </c>
      <c r="B1103" s="1" t="s">
        <v>31</v>
      </c>
      <c r="C1103" s="1" t="s">
        <v>31</v>
      </c>
      <c r="D1103" s="1" t="s">
        <v>18</v>
      </c>
      <c r="E1103" s="1" t="n">
        <v>146740</v>
      </c>
      <c r="F1103" s="1" t="n">
        <v>0.371854108620236</v>
      </c>
      <c r="G1103" s="1" t="n">
        <v>54565.8718989334</v>
      </c>
      <c r="H1103" s="1" t="s">
        <v>446</v>
      </c>
    </row>
    <row r="1104" customFormat="false" ht="15" hidden="false" customHeight="true" outlineLevel="0" collapsed="false">
      <c r="A1104" s="1" t="s">
        <v>444</v>
      </c>
      <c r="B1104" s="1" t="s">
        <v>80</v>
      </c>
      <c r="C1104" s="1" t="s">
        <v>80</v>
      </c>
      <c r="D1104" s="1" t="s">
        <v>18</v>
      </c>
      <c r="E1104" s="1" t="n">
        <v>137756</v>
      </c>
      <c r="F1104" s="1" t="n">
        <v>0.154543612417484</v>
      </c>
      <c r="G1104" s="1" t="n">
        <v>21289.3098721829</v>
      </c>
      <c r="H1104" s="1" t="s">
        <v>446</v>
      </c>
    </row>
    <row r="1105" customFormat="false" ht="15" hidden="false" customHeight="true" outlineLevel="0" collapsed="false">
      <c r="A1105" s="1" t="s">
        <v>634</v>
      </c>
      <c r="B1105" s="1" t="s">
        <v>80</v>
      </c>
      <c r="C1105" s="1" t="s">
        <v>80</v>
      </c>
      <c r="D1105" s="1" t="s">
        <v>18</v>
      </c>
      <c r="E1105" s="1" t="n">
        <v>140857</v>
      </c>
      <c r="F1105" s="1" t="n">
        <v>0.150676625241861</v>
      </c>
      <c r="G1105" s="1" t="n">
        <v>21223.8574016928</v>
      </c>
      <c r="H1105" s="1" t="s">
        <v>446</v>
      </c>
    </row>
    <row r="1106" customFormat="false" ht="15" hidden="false" customHeight="true" outlineLevel="0" collapsed="false">
      <c r="A1106" s="1" t="s">
        <v>665</v>
      </c>
      <c r="B1106" s="1" t="s">
        <v>80</v>
      </c>
      <c r="C1106" s="1" t="s">
        <v>80</v>
      </c>
      <c r="D1106" s="1" t="s">
        <v>18</v>
      </c>
      <c r="E1106" s="1" t="n">
        <v>146740</v>
      </c>
      <c r="F1106" s="1" t="n">
        <v>0.145289779573281</v>
      </c>
      <c r="G1106" s="1" t="n">
        <v>21319.8222545833</v>
      </c>
      <c r="H1106" s="1" t="s">
        <v>446</v>
      </c>
    </row>
    <row r="1107" customFormat="false" ht="15" hidden="false" customHeight="true" outlineLevel="0" collapsed="false">
      <c r="A1107" s="1" t="s">
        <v>444</v>
      </c>
      <c r="B1107" s="1" t="s">
        <v>42</v>
      </c>
      <c r="C1107" s="1" t="s">
        <v>42</v>
      </c>
      <c r="D1107" s="1" t="s">
        <v>18</v>
      </c>
      <c r="E1107" s="1" t="n">
        <v>137756</v>
      </c>
      <c r="F1107" s="1" t="n">
        <v>0.145293801710045</v>
      </c>
      <c r="G1107" s="1" t="n">
        <v>20015.092948369</v>
      </c>
      <c r="H1107" s="1" t="s">
        <v>446</v>
      </c>
    </row>
    <row r="1108" customFormat="false" ht="15" hidden="false" customHeight="true" outlineLevel="0" collapsed="false">
      <c r="A1108" s="1" t="s">
        <v>634</v>
      </c>
      <c r="B1108" s="1" t="s">
        <v>42</v>
      </c>
      <c r="C1108" s="1" t="s">
        <v>42</v>
      </c>
      <c r="D1108" s="1" t="s">
        <v>18</v>
      </c>
      <c r="E1108" s="1" t="n">
        <v>140857</v>
      </c>
      <c r="F1108" s="1" t="n">
        <v>0.146782423739836</v>
      </c>
      <c r="G1108" s="1" t="n">
        <v>20675.3318607221</v>
      </c>
      <c r="H1108" s="1" t="s">
        <v>446</v>
      </c>
    </row>
    <row r="1109" customFormat="false" ht="15" hidden="false" customHeight="true" outlineLevel="0" collapsed="false">
      <c r="A1109" s="1" t="s">
        <v>665</v>
      </c>
      <c r="B1109" s="1" t="s">
        <v>42</v>
      </c>
      <c r="C1109" s="1" t="s">
        <v>42</v>
      </c>
      <c r="D1109" s="1" t="s">
        <v>18</v>
      </c>
      <c r="E1109" s="1" t="n">
        <v>146740</v>
      </c>
      <c r="F1109" s="1" t="n">
        <v>0.136978220673766</v>
      </c>
      <c r="G1109" s="1" t="n">
        <v>20100.1841016684</v>
      </c>
      <c r="H1109" s="1" t="s">
        <v>446</v>
      </c>
    </row>
    <row r="1110" customFormat="false" ht="15" hidden="false" customHeight="true" outlineLevel="0" collapsed="false">
      <c r="A1110" s="1" t="s">
        <v>444</v>
      </c>
      <c r="B1110" s="1" t="s">
        <v>34</v>
      </c>
      <c r="C1110" s="1" t="s">
        <v>34</v>
      </c>
      <c r="D1110" s="1" t="s">
        <v>18</v>
      </c>
      <c r="E1110" s="1" t="n">
        <v>137756</v>
      </c>
      <c r="F1110" s="1" t="n">
        <v>0.184225485974274</v>
      </c>
      <c r="G1110" s="1" t="n">
        <v>25378.1660458721</v>
      </c>
      <c r="H1110" s="1" t="s">
        <v>446</v>
      </c>
    </row>
    <row r="1111" customFormat="false" ht="15" hidden="false" customHeight="true" outlineLevel="0" collapsed="false">
      <c r="A1111" s="1" t="s">
        <v>634</v>
      </c>
      <c r="B1111" s="1" t="s">
        <v>34</v>
      </c>
      <c r="C1111" s="1" t="s">
        <v>34</v>
      </c>
      <c r="D1111" s="1" t="s">
        <v>18</v>
      </c>
      <c r="E1111" s="1" t="n">
        <v>140857</v>
      </c>
      <c r="F1111" s="1" t="n">
        <v>0.205567317891841</v>
      </c>
      <c r="G1111" s="1" t="n">
        <v>28955.595696291</v>
      </c>
      <c r="H1111" s="1" t="s">
        <v>446</v>
      </c>
    </row>
    <row r="1112" customFormat="false" ht="15" hidden="false" customHeight="true" outlineLevel="0" collapsed="false">
      <c r="A1112" s="1" t="s">
        <v>665</v>
      </c>
      <c r="B1112" s="1" t="s">
        <v>34</v>
      </c>
      <c r="C1112" s="1" t="s">
        <v>34</v>
      </c>
      <c r="D1112" s="1" t="s">
        <v>18</v>
      </c>
      <c r="E1112" s="1" t="n">
        <v>146740</v>
      </c>
      <c r="F1112" s="1" t="n">
        <v>0.223794919634128</v>
      </c>
      <c r="G1112" s="1" t="n">
        <v>32839.6665071119</v>
      </c>
      <c r="H1112" s="1" t="s">
        <v>446</v>
      </c>
    </row>
    <row r="1113" customFormat="false" ht="15" hidden="false" customHeight="true" outlineLevel="0" collapsed="false">
      <c r="A1113" s="1" t="s">
        <v>444</v>
      </c>
      <c r="B1113" s="1" t="s">
        <v>35</v>
      </c>
      <c r="C1113" s="1" t="s">
        <v>35</v>
      </c>
      <c r="D1113" s="1" t="s">
        <v>18</v>
      </c>
      <c r="E1113" s="1" t="n">
        <v>137756</v>
      </c>
      <c r="F1113" s="1" t="n">
        <v>0.0855440852571775</v>
      </c>
      <c r="G1113" s="1" t="n">
        <v>11784.2110086877</v>
      </c>
      <c r="H1113" s="1" t="s">
        <v>446</v>
      </c>
    </row>
    <row r="1114" customFormat="false" ht="15" hidden="false" customHeight="true" outlineLevel="0" collapsed="false">
      <c r="A1114" s="1" t="s">
        <v>634</v>
      </c>
      <c r="B1114" s="1" t="s">
        <v>35</v>
      </c>
      <c r="C1114" s="1" t="s">
        <v>35</v>
      </c>
      <c r="D1114" s="1" t="s">
        <v>18</v>
      </c>
      <c r="E1114" s="1" t="n">
        <v>140857</v>
      </c>
      <c r="F1114" s="1" t="n">
        <v>0.0861250796795369</v>
      </c>
      <c r="G1114" s="1" t="n">
        <v>12131.3203484205</v>
      </c>
      <c r="H1114" s="1" t="s">
        <v>446</v>
      </c>
    </row>
    <row r="1115" customFormat="false" ht="15" hidden="false" customHeight="true" outlineLevel="0" collapsed="false">
      <c r="A1115" s="1" t="s">
        <v>665</v>
      </c>
      <c r="B1115" s="1" t="s">
        <v>35</v>
      </c>
      <c r="C1115" s="1" t="s">
        <v>35</v>
      </c>
      <c r="D1115" s="1" t="s">
        <v>18</v>
      </c>
      <c r="E1115" s="1" t="n">
        <v>146740</v>
      </c>
      <c r="F1115" s="1" t="n">
        <v>0.055610036180276</v>
      </c>
      <c r="G1115" s="1" t="n">
        <v>8160.2167090937</v>
      </c>
      <c r="H1115" s="1" t="s">
        <v>446</v>
      </c>
    </row>
    <row r="1116" customFormat="false" ht="15" hidden="false" customHeight="true" outlineLevel="0" collapsed="false">
      <c r="A1116" s="1" t="s">
        <v>444</v>
      </c>
      <c r="B1116" s="1" t="s">
        <v>40</v>
      </c>
      <c r="C1116" s="1" t="s">
        <v>40</v>
      </c>
      <c r="D1116" s="1" t="s">
        <v>18</v>
      </c>
      <c r="E1116" s="1" t="n">
        <v>137756</v>
      </c>
      <c r="F1116" s="1" t="n">
        <v>0.142966123730576</v>
      </c>
      <c r="G1116" s="1" t="n">
        <v>19694.4413406292</v>
      </c>
      <c r="H1116" s="1" t="s">
        <v>446</v>
      </c>
    </row>
    <row r="1117" customFormat="false" ht="15" hidden="false" customHeight="true" outlineLevel="0" collapsed="false">
      <c r="A1117" s="1" t="s">
        <v>634</v>
      </c>
      <c r="B1117" s="1" t="s">
        <v>40</v>
      </c>
      <c r="C1117" s="1" t="s">
        <v>40</v>
      </c>
      <c r="D1117" s="1" t="s">
        <v>18</v>
      </c>
      <c r="E1117" s="1" t="n">
        <v>140857</v>
      </c>
      <c r="F1117" s="1" t="n">
        <v>0.193641774947009</v>
      </c>
      <c r="G1117" s="1" t="n">
        <v>27275.7994937108</v>
      </c>
      <c r="H1117" s="1" t="s">
        <v>446</v>
      </c>
    </row>
    <row r="1118" customFormat="false" ht="15" hidden="false" customHeight="true" outlineLevel="0" collapsed="false">
      <c r="A1118" s="1" t="s">
        <v>665</v>
      </c>
      <c r="B1118" s="1" t="s">
        <v>40</v>
      </c>
      <c r="C1118" s="1" t="s">
        <v>40</v>
      </c>
      <c r="D1118" s="1" t="s">
        <v>18</v>
      </c>
      <c r="E1118" s="1" t="n">
        <v>146740</v>
      </c>
      <c r="F1118" s="1" t="n">
        <v>0.182358458491943</v>
      </c>
      <c r="G1118" s="1" t="n">
        <v>26759.2801991077</v>
      </c>
      <c r="H1118" s="1" t="s">
        <v>446</v>
      </c>
    </row>
    <row r="1119" customFormat="false" ht="15" hidden="false" customHeight="true" outlineLevel="0" collapsed="false">
      <c r="A1119" s="1" t="s">
        <v>444</v>
      </c>
      <c r="B1119" s="1" t="s">
        <v>87</v>
      </c>
      <c r="C1119" s="1" t="s">
        <v>684</v>
      </c>
      <c r="D1119" s="1" t="s">
        <v>18</v>
      </c>
      <c r="E1119" s="1" t="n">
        <v>137756</v>
      </c>
      <c r="F1119" s="1" t="n">
        <v>0.148830177998923</v>
      </c>
      <c r="G1119" s="1" t="n">
        <v>20502.2500004196</v>
      </c>
      <c r="H1119" s="1" t="s">
        <v>446</v>
      </c>
    </row>
    <row r="1120" customFormat="false" ht="15" hidden="false" customHeight="true" outlineLevel="0" collapsed="false">
      <c r="A1120" s="1" t="s">
        <v>634</v>
      </c>
      <c r="B1120" s="1" t="s">
        <v>87</v>
      </c>
      <c r="C1120" s="1" t="s">
        <v>684</v>
      </c>
      <c r="D1120" s="1" t="s">
        <v>18</v>
      </c>
      <c r="E1120" s="1" t="n">
        <v>140857</v>
      </c>
      <c r="F1120" s="1" t="n">
        <v>0.165505113968682</v>
      </c>
      <c r="G1120" s="1" t="n">
        <v>23312.5538382866</v>
      </c>
      <c r="H1120" s="1" t="s">
        <v>446</v>
      </c>
    </row>
    <row r="1121" customFormat="false" ht="15" hidden="false" customHeight="true" outlineLevel="0" collapsed="false">
      <c r="A1121" s="1" t="s">
        <v>665</v>
      </c>
      <c r="B1121" s="1" t="s">
        <v>87</v>
      </c>
      <c r="C1121" s="1" t="s">
        <v>684</v>
      </c>
      <c r="D1121" s="1" t="s">
        <v>18</v>
      </c>
      <c r="E1121" s="1" t="n">
        <v>146740</v>
      </c>
      <c r="F1121" s="1" t="n">
        <v>0.170974700825347</v>
      </c>
      <c r="G1121" s="1" t="n">
        <v>25088.8275991114</v>
      </c>
      <c r="H1121" s="1" t="s">
        <v>446</v>
      </c>
    </row>
    <row r="1122" customFormat="false" ht="15" hidden="false" customHeight="true" outlineLevel="0" collapsed="false">
      <c r="A1122" s="1" t="s">
        <v>444</v>
      </c>
      <c r="B1122" s="1" t="s">
        <v>85</v>
      </c>
      <c r="C1122" s="1" t="s">
        <v>685</v>
      </c>
      <c r="D1122" s="1" t="s">
        <v>18</v>
      </c>
      <c r="E1122" s="1" t="n">
        <v>137756</v>
      </c>
      <c r="F1122" s="1" t="n">
        <v>0.319464004034977</v>
      </c>
      <c r="G1122" s="1" t="n">
        <v>44008.0833398423</v>
      </c>
      <c r="H1122" s="1" t="s">
        <v>446</v>
      </c>
    </row>
    <row r="1123" customFormat="false" ht="15" hidden="false" customHeight="true" outlineLevel="0" collapsed="false">
      <c r="A1123" s="1" t="s">
        <v>634</v>
      </c>
      <c r="B1123" s="1" t="s">
        <v>85</v>
      </c>
      <c r="C1123" s="1" t="s">
        <v>685</v>
      </c>
      <c r="D1123" s="1" t="s">
        <v>18</v>
      </c>
      <c r="E1123" s="1" t="n">
        <v>140857</v>
      </c>
      <c r="F1123" s="1" t="n">
        <v>0.293099708996474</v>
      </c>
      <c r="G1123" s="1" t="n">
        <v>41285.1457101163</v>
      </c>
      <c r="H1123" s="1" t="s">
        <v>446</v>
      </c>
    </row>
    <row r="1124" customFormat="false" ht="15" hidden="false" customHeight="true" outlineLevel="0" collapsed="false">
      <c r="A1124" s="1" t="s">
        <v>665</v>
      </c>
      <c r="B1124" s="1" t="s">
        <v>85</v>
      </c>
      <c r="C1124" s="1" t="s">
        <v>685</v>
      </c>
      <c r="D1124" s="1" t="s">
        <v>18</v>
      </c>
      <c r="E1124" s="1" t="n">
        <v>146740</v>
      </c>
      <c r="F1124" s="1" t="n">
        <v>0.299382438917867</v>
      </c>
      <c r="G1124" s="1" t="n">
        <v>43931.3790868078</v>
      </c>
      <c r="H1124" s="1" t="s">
        <v>446</v>
      </c>
    </row>
    <row r="1125" customFormat="false" ht="15" hidden="false" customHeight="true" outlineLevel="0" collapsed="false">
      <c r="A1125" s="1" t="s">
        <v>444</v>
      </c>
      <c r="B1125" s="1" t="s">
        <v>50</v>
      </c>
      <c r="C1125" s="1" t="s">
        <v>50</v>
      </c>
      <c r="D1125" s="1" t="s">
        <v>18</v>
      </c>
      <c r="E1125" s="1" t="n">
        <v>137756</v>
      </c>
      <c r="F1125" s="1" t="n">
        <v>0.305046267385157</v>
      </c>
      <c r="G1125" s="1" t="n">
        <v>42021.9536099097</v>
      </c>
      <c r="H1125" s="1" t="s">
        <v>446</v>
      </c>
    </row>
    <row r="1126" customFormat="false" ht="15" hidden="false" customHeight="true" outlineLevel="0" collapsed="false">
      <c r="A1126" s="1" t="s">
        <v>634</v>
      </c>
      <c r="B1126" s="1" t="s">
        <v>50</v>
      </c>
      <c r="C1126" s="1" t="s">
        <v>50</v>
      </c>
      <c r="D1126" s="1" t="s">
        <v>18</v>
      </c>
      <c r="E1126" s="1" t="n">
        <v>140857</v>
      </c>
      <c r="F1126" s="1" t="n">
        <v>0.340289469983525</v>
      </c>
      <c r="G1126" s="1" t="n">
        <v>47932.1538734694</v>
      </c>
      <c r="H1126" s="1" t="s">
        <v>446</v>
      </c>
    </row>
    <row r="1127" customFormat="false" ht="15" hidden="false" customHeight="true" outlineLevel="0" collapsed="false">
      <c r="A1127" s="1" t="s">
        <v>665</v>
      </c>
      <c r="B1127" s="1" t="s">
        <v>50</v>
      </c>
      <c r="C1127" s="1" t="s">
        <v>50</v>
      </c>
      <c r="D1127" s="1" t="s">
        <v>18</v>
      </c>
      <c r="E1127" s="1" t="n">
        <v>146740</v>
      </c>
      <c r="F1127" s="1" t="n">
        <v>0.581586901648213</v>
      </c>
      <c r="G1127" s="1" t="n">
        <v>85342.0619478588</v>
      </c>
      <c r="H1127" s="1" t="s">
        <v>446</v>
      </c>
    </row>
    <row r="1128" customFormat="false" ht="15" hidden="false" customHeight="true" outlineLevel="0" collapsed="false">
      <c r="A1128" s="1" t="s">
        <v>444</v>
      </c>
      <c r="B1128" s="1" t="s">
        <v>41</v>
      </c>
      <c r="C1128" s="1" t="s">
        <v>41</v>
      </c>
      <c r="D1128" s="1" t="s">
        <v>18</v>
      </c>
      <c r="E1128" s="1" t="n">
        <v>137756</v>
      </c>
      <c r="F1128" s="1" t="n">
        <v>0.0950854396452147</v>
      </c>
      <c r="G1128" s="1" t="n">
        <v>13098.5898237662</v>
      </c>
      <c r="H1128" s="1" t="s">
        <v>446</v>
      </c>
    </row>
    <row r="1129" customFormat="false" ht="15" hidden="false" customHeight="true" outlineLevel="0" collapsed="false">
      <c r="A1129" s="1" t="s">
        <v>634</v>
      </c>
      <c r="B1129" s="1" t="s">
        <v>41</v>
      </c>
      <c r="C1129" s="1" t="s">
        <v>41</v>
      </c>
      <c r="D1129" s="1" t="s">
        <v>18</v>
      </c>
      <c r="E1129" s="1" t="n">
        <v>140857</v>
      </c>
      <c r="F1129" s="1" t="n">
        <v>0.0926479707456773</v>
      </c>
      <c r="G1129" s="1" t="n">
        <v>13050.1152153239</v>
      </c>
      <c r="H1129" s="1" t="s">
        <v>446</v>
      </c>
    </row>
    <row r="1130" customFormat="false" ht="15" hidden="false" customHeight="true" outlineLevel="0" collapsed="false">
      <c r="A1130" s="1" t="s">
        <v>665</v>
      </c>
      <c r="B1130" s="1" t="s">
        <v>41</v>
      </c>
      <c r="C1130" s="1" t="s">
        <v>41</v>
      </c>
      <c r="D1130" s="1" t="s">
        <v>18</v>
      </c>
      <c r="E1130" s="1" t="n">
        <v>146740</v>
      </c>
      <c r="F1130" s="1" t="n">
        <v>0.0997407208857964</v>
      </c>
      <c r="G1130" s="1" t="n">
        <v>14635.9533827818</v>
      </c>
      <c r="H1130" s="1" t="s">
        <v>446</v>
      </c>
    </row>
    <row r="1131" customFormat="false" ht="15" hidden="false" customHeight="true" outlineLevel="0" collapsed="false">
      <c r="A1131" s="1" t="s">
        <v>690</v>
      </c>
      <c r="B1131" s="1" t="s">
        <v>43</v>
      </c>
      <c r="C1131" s="1" t="s">
        <v>43</v>
      </c>
      <c r="D1131" s="1" t="s">
        <v>18</v>
      </c>
      <c r="E1131" s="1" t="n">
        <v>143735</v>
      </c>
      <c r="F1131" s="1" t="n">
        <v>0.133549418333057</v>
      </c>
      <c r="G1131" s="1" t="n">
        <v>19195.725644102</v>
      </c>
      <c r="H1131" s="1" t="s">
        <v>446</v>
      </c>
    </row>
    <row r="1132" customFormat="false" ht="15" hidden="false" customHeight="true" outlineLevel="0" collapsed="false">
      <c r="A1132" s="1" t="s">
        <v>690</v>
      </c>
      <c r="B1132" s="1" t="s">
        <v>31</v>
      </c>
      <c r="C1132" s="1" t="s">
        <v>31</v>
      </c>
      <c r="D1132" s="1" t="s">
        <v>18</v>
      </c>
      <c r="E1132" s="1" t="n">
        <v>143735</v>
      </c>
      <c r="F1132" s="1" t="n">
        <v>0.2292008608622</v>
      </c>
      <c r="G1132" s="1" t="n">
        <v>32944.1857360283</v>
      </c>
      <c r="H1132" s="1" t="s">
        <v>446</v>
      </c>
    </row>
    <row r="1133" customFormat="false" ht="15" hidden="false" customHeight="true" outlineLevel="0" collapsed="false">
      <c r="A1133" s="1" t="s">
        <v>690</v>
      </c>
      <c r="B1133" s="1" t="s">
        <v>445</v>
      </c>
      <c r="C1133" s="1" t="s">
        <v>86</v>
      </c>
      <c r="D1133" s="1" t="s">
        <v>18</v>
      </c>
      <c r="E1133" s="1" t="n">
        <v>143735</v>
      </c>
      <c r="F1133" s="1" t="n">
        <v>0.234537095631573</v>
      </c>
      <c r="G1133" s="1" t="n">
        <v>33711.1894406042</v>
      </c>
      <c r="H1133" s="1" t="s">
        <v>446</v>
      </c>
    </row>
    <row r="1134" customFormat="false" ht="15" hidden="false" customHeight="true" outlineLevel="0" collapsed="false">
      <c r="A1134" s="1" t="s">
        <v>690</v>
      </c>
      <c r="B1134" s="1" t="s">
        <v>81</v>
      </c>
      <c r="C1134" s="1" t="s">
        <v>81</v>
      </c>
      <c r="D1134" s="1" t="s">
        <v>18</v>
      </c>
      <c r="E1134" s="1" t="n">
        <v>143735</v>
      </c>
      <c r="F1134" s="1" t="n">
        <v>0.0755298089150293</v>
      </c>
      <c r="G1134" s="1" t="n">
        <v>10856.2770844017</v>
      </c>
      <c r="H1134" s="1" t="s">
        <v>446</v>
      </c>
    </row>
    <row r="1135" customFormat="false" ht="15" hidden="false" customHeight="true" outlineLevel="0" collapsed="false">
      <c r="A1135" s="1" t="s">
        <v>690</v>
      </c>
      <c r="B1135" s="1" t="s">
        <v>85</v>
      </c>
      <c r="C1135" s="1" t="s">
        <v>685</v>
      </c>
      <c r="D1135" s="1" t="s">
        <v>18</v>
      </c>
      <c r="E1135" s="1" t="n">
        <v>143735</v>
      </c>
      <c r="F1135" s="1" t="n">
        <v>0.354864617185628</v>
      </c>
      <c r="G1135" s="1" t="n">
        <v>51006.4657511762</v>
      </c>
      <c r="H1135" s="1" t="s">
        <v>446</v>
      </c>
    </row>
    <row r="1136" customFormat="false" ht="15" hidden="false" customHeight="true" outlineLevel="0" collapsed="false">
      <c r="A1136" s="1" t="s">
        <v>690</v>
      </c>
      <c r="B1136" s="1" t="s">
        <v>87</v>
      </c>
      <c r="C1136" s="1" t="s">
        <v>684</v>
      </c>
      <c r="D1136" s="1" t="s">
        <v>18</v>
      </c>
      <c r="E1136" s="1" t="n">
        <v>143735</v>
      </c>
      <c r="F1136" s="1" t="n">
        <v>0.189483363159789</v>
      </c>
      <c r="G1136" s="1" t="n">
        <v>27235.3912037723</v>
      </c>
      <c r="H1136" s="1" t="s">
        <v>446</v>
      </c>
    </row>
    <row r="1137" customFormat="false" ht="15" hidden="false" customHeight="true" outlineLevel="0" collapsed="false">
      <c r="A1137" s="1" t="s">
        <v>690</v>
      </c>
      <c r="B1137" s="1" t="s">
        <v>35</v>
      </c>
      <c r="C1137" s="1" t="s">
        <v>35</v>
      </c>
      <c r="D1137" s="1" t="s">
        <v>18</v>
      </c>
      <c r="E1137" s="1" t="n">
        <v>143735</v>
      </c>
      <c r="F1137" s="1" t="n">
        <v>0.121489966963165</v>
      </c>
      <c r="G1137" s="1" t="n">
        <v>17462.3604014505</v>
      </c>
      <c r="H1137" s="1" t="s">
        <v>446</v>
      </c>
    </row>
    <row r="1138" customFormat="false" ht="15" hidden="false" customHeight="true" outlineLevel="0" collapsed="false">
      <c r="A1138" s="1" t="s">
        <v>690</v>
      </c>
      <c r="B1138" s="1" t="s">
        <v>143</v>
      </c>
      <c r="C1138" s="1" t="s">
        <v>519</v>
      </c>
      <c r="D1138" s="1" t="s">
        <v>18</v>
      </c>
      <c r="E1138" s="1" t="n">
        <v>143735</v>
      </c>
      <c r="F1138" s="1" t="n">
        <v>0.250576029595696</v>
      </c>
      <c r="G1138" s="1" t="n">
        <v>36016.5456139374</v>
      </c>
      <c r="H1138" s="1" t="s">
        <v>446</v>
      </c>
    </row>
    <row r="1139" customFormat="false" ht="15" hidden="false" customHeight="true" outlineLevel="0" collapsed="false">
      <c r="A1139" s="1" t="s">
        <v>690</v>
      </c>
      <c r="B1139" s="1" t="s">
        <v>40</v>
      </c>
      <c r="C1139" s="1" t="s">
        <v>40</v>
      </c>
      <c r="D1139" s="1" t="s">
        <v>18</v>
      </c>
      <c r="E1139" s="1" t="n">
        <v>143735</v>
      </c>
      <c r="F1139" s="1" t="n">
        <v>0.206774854369887</v>
      </c>
      <c r="G1139" s="1" t="n">
        <v>29720.7836928557</v>
      </c>
      <c r="H1139" s="1" t="s">
        <v>446</v>
      </c>
    </row>
    <row r="1140" customFormat="false" ht="15" hidden="false" customHeight="true" outlineLevel="0" collapsed="false">
      <c r="A1140" s="1" t="s">
        <v>690</v>
      </c>
      <c r="B1140" s="1" t="s">
        <v>41</v>
      </c>
      <c r="C1140" s="1" t="s">
        <v>41</v>
      </c>
      <c r="D1140" s="1" t="s">
        <v>18</v>
      </c>
      <c r="E1140" s="1" t="n">
        <v>143735</v>
      </c>
      <c r="F1140" s="1" t="n">
        <v>0.100200858026981</v>
      </c>
      <c r="G1140" s="1" t="n">
        <v>14402.3703285081</v>
      </c>
      <c r="H1140" s="1" t="s">
        <v>446</v>
      </c>
    </row>
    <row r="1141" customFormat="false" ht="15" hidden="false" customHeight="true" outlineLevel="0" collapsed="false">
      <c r="A1141" s="1" t="s">
        <v>690</v>
      </c>
      <c r="B1141" s="1" t="s">
        <v>141</v>
      </c>
      <c r="C1141" s="1" t="s">
        <v>520</v>
      </c>
      <c r="D1141" s="1" t="s">
        <v>18</v>
      </c>
      <c r="E1141" s="1" t="n">
        <v>143735</v>
      </c>
      <c r="F1141" s="1" t="n">
        <v>0.127886007343671</v>
      </c>
      <c r="G1141" s="1" t="n">
        <v>18381.6952655426</v>
      </c>
      <c r="H1141" s="1" t="s">
        <v>446</v>
      </c>
    </row>
    <row r="1142" customFormat="false" ht="15" hidden="false" customHeight="true" outlineLevel="0" collapsed="false">
      <c r="A1142" s="1" t="s">
        <v>690</v>
      </c>
      <c r="B1142" s="1" t="s">
        <v>80</v>
      </c>
      <c r="C1142" s="1" t="s">
        <v>80</v>
      </c>
      <c r="D1142" s="1" t="s">
        <v>18</v>
      </c>
      <c r="E1142" s="1" t="n">
        <v>143735</v>
      </c>
      <c r="F1142" s="1" t="n">
        <v>0.0592394872348271</v>
      </c>
      <c r="G1142" s="1" t="n">
        <v>8514.78769769787</v>
      </c>
      <c r="H1142" s="1" t="s">
        <v>446</v>
      </c>
    </row>
    <row r="1143" customFormat="false" ht="15" hidden="false" customHeight="true" outlineLevel="0" collapsed="false">
      <c r="A1143" s="1" t="s">
        <v>690</v>
      </c>
      <c r="B1143" s="1" t="s">
        <v>42</v>
      </c>
      <c r="C1143" s="1" t="s">
        <v>42</v>
      </c>
      <c r="D1143" s="1" t="s">
        <v>18</v>
      </c>
      <c r="E1143" s="1" t="n">
        <v>143735</v>
      </c>
      <c r="F1143" s="1" t="n">
        <v>0.146015404816941</v>
      </c>
      <c r="G1143" s="1" t="n">
        <v>20987.524211363</v>
      </c>
      <c r="H1143" s="1" t="s">
        <v>446</v>
      </c>
    </row>
    <row r="1144" customFormat="false" ht="15" hidden="false" customHeight="true" outlineLevel="0" collapsed="false">
      <c r="A1144" s="1" t="s">
        <v>690</v>
      </c>
      <c r="B1144" s="1" t="s">
        <v>50</v>
      </c>
      <c r="C1144" s="1" t="s">
        <v>50</v>
      </c>
      <c r="D1144" s="1" t="s">
        <v>18</v>
      </c>
      <c r="E1144" s="1" t="n">
        <v>143735</v>
      </c>
      <c r="F1144" s="1" t="n">
        <v>0.514268713652095</v>
      </c>
      <c r="G1144" s="1" t="n">
        <v>73918.4135567839</v>
      </c>
      <c r="H1144" s="1" t="s">
        <v>446</v>
      </c>
    </row>
    <row r="1145" customFormat="false" ht="15" hidden="false" customHeight="true" outlineLevel="0" collapsed="false">
      <c r="A1145" s="1" t="s">
        <v>690</v>
      </c>
      <c r="B1145" s="1" t="s">
        <v>36</v>
      </c>
      <c r="C1145" s="1" t="s">
        <v>36</v>
      </c>
      <c r="D1145" s="1" t="s">
        <v>18</v>
      </c>
      <c r="E1145" s="1" t="n">
        <v>143735</v>
      </c>
      <c r="F1145" s="1" t="n">
        <v>0.385410473461211</v>
      </c>
      <c r="G1145" s="1" t="n">
        <v>55396.9744029472</v>
      </c>
      <c r="H1145" s="1" t="s">
        <v>446</v>
      </c>
    </row>
    <row r="1146" customFormat="false" ht="15" hidden="false" customHeight="true" outlineLevel="0" collapsed="false">
      <c r="A1146" s="1" t="s">
        <v>690</v>
      </c>
      <c r="B1146" s="1" t="s">
        <v>34</v>
      </c>
      <c r="C1146" s="1" t="s">
        <v>34</v>
      </c>
      <c r="D1146" s="1" t="s">
        <v>18</v>
      </c>
      <c r="E1146" s="1" t="n">
        <v>143735</v>
      </c>
      <c r="F1146" s="1" t="n">
        <v>0.301559381974413</v>
      </c>
      <c r="G1146" s="1" t="n">
        <v>43344.6377680923</v>
      </c>
      <c r="H1146" s="1" t="s">
        <v>446</v>
      </c>
    </row>
    <row r="1147" customFormat="false" ht="15" hidden="false" customHeight="true" outlineLevel="0" collapsed="false">
      <c r="A1147" s="1" t="s">
        <v>690</v>
      </c>
      <c r="B1147" s="1" t="s">
        <v>83</v>
      </c>
      <c r="C1147" s="1" t="s">
        <v>83</v>
      </c>
      <c r="D1147" s="1" t="s">
        <v>18</v>
      </c>
      <c r="E1147" s="1" t="n">
        <v>143735</v>
      </c>
      <c r="F1147" s="1" t="n">
        <v>0.0867203628637302</v>
      </c>
      <c r="G1147" s="1" t="n">
        <v>12464.7513562183</v>
      </c>
      <c r="H1147" s="1" t="s">
        <v>446</v>
      </c>
    </row>
    <row r="1148" customFormat="false" ht="15" hidden="false" customHeight="true" outlineLevel="0" collapsed="false">
      <c r="A1148" s="1" t="s">
        <v>690</v>
      </c>
      <c r="B1148" s="1" t="s">
        <v>692</v>
      </c>
      <c r="C1148" s="1" t="s">
        <v>692</v>
      </c>
      <c r="D1148" s="1" t="s">
        <v>18</v>
      </c>
      <c r="E1148" s="1" t="n">
        <v>143735</v>
      </c>
      <c r="F1148" s="1" t="n">
        <v>0.749981305887494</v>
      </c>
      <c r="G1148" s="1" t="n">
        <v>107798.563001739</v>
      </c>
      <c r="H1148" s="1" t="s">
        <v>446</v>
      </c>
    </row>
    <row r="1149" customFormat="false" ht="15" hidden="false" customHeight="true" outlineLevel="0" collapsed="false">
      <c r="A1149" s="1" t="s">
        <v>690</v>
      </c>
      <c r="B1149" s="1" t="s">
        <v>55</v>
      </c>
      <c r="C1149" s="1" t="s">
        <v>688</v>
      </c>
      <c r="D1149" s="1" t="s">
        <v>10</v>
      </c>
      <c r="E1149" s="1" t="n">
        <v>1</v>
      </c>
      <c r="F1149" s="1" t="n">
        <v>35896.54</v>
      </c>
      <c r="G1149" s="1" t="n">
        <v>35896.54</v>
      </c>
      <c r="H1149" s="1" t="s">
        <v>693</v>
      </c>
    </row>
    <row r="1150" customFormat="false" ht="15" hidden="false" customHeight="true" outlineLevel="0" collapsed="false">
      <c r="A1150" s="1" t="s">
        <v>690</v>
      </c>
      <c r="B1150" s="1" t="s">
        <v>55</v>
      </c>
      <c r="C1150" s="1" t="s">
        <v>688</v>
      </c>
      <c r="D1150" s="1" t="s">
        <v>14</v>
      </c>
      <c r="E1150" s="1" t="n">
        <v>1</v>
      </c>
      <c r="F1150" s="1" t="n">
        <v>21063.91</v>
      </c>
      <c r="G1150" s="1" t="n">
        <v>21063.91</v>
      </c>
      <c r="H1150" s="1" t="s">
        <v>693</v>
      </c>
    </row>
    <row r="1151" customFormat="false" ht="15" hidden="false" customHeight="true" outlineLevel="0" collapsed="false">
      <c r="A1151" s="1" t="s">
        <v>690</v>
      </c>
      <c r="B1151" s="1" t="s">
        <v>55</v>
      </c>
      <c r="C1151" s="1" t="s">
        <v>688</v>
      </c>
      <c r="D1151" s="1" t="s">
        <v>15</v>
      </c>
      <c r="E1151" s="1" t="n">
        <v>1</v>
      </c>
      <c r="F1151" s="1" t="n">
        <v>39812</v>
      </c>
      <c r="G1151" s="1" t="n">
        <v>39812</v>
      </c>
      <c r="H1151" s="1" t="s">
        <v>693</v>
      </c>
    </row>
    <row r="1152" customFormat="false" ht="15" hidden="false" customHeight="true" outlineLevel="0" collapsed="false">
      <c r="A1152" s="1" t="s">
        <v>690</v>
      </c>
      <c r="B1152" s="1" t="s">
        <v>55</v>
      </c>
      <c r="C1152" s="1" t="s">
        <v>688</v>
      </c>
      <c r="D1152" s="1" t="s">
        <v>13</v>
      </c>
      <c r="E1152" s="1" t="n">
        <v>1</v>
      </c>
      <c r="F1152" s="1" t="n">
        <v>86092.65</v>
      </c>
      <c r="G1152" s="1" t="n">
        <v>86092.65</v>
      </c>
      <c r="H1152" s="1" t="s">
        <v>693</v>
      </c>
    </row>
    <row r="1153" customFormat="false" ht="15" hidden="false" customHeight="true" outlineLevel="0" collapsed="false">
      <c r="A1153" s="1" t="s">
        <v>690</v>
      </c>
      <c r="B1153" s="1" t="s">
        <v>55</v>
      </c>
      <c r="C1153" s="1" t="s">
        <v>688</v>
      </c>
      <c r="D1153" s="1" t="s">
        <v>16</v>
      </c>
      <c r="E1153" s="1" t="n">
        <v>1</v>
      </c>
      <c r="F1153" s="1" t="n">
        <v>25200.24</v>
      </c>
      <c r="G1153" s="1" t="n">
        <v>25200.24</v>
      </c>
      <c r="H1153" s="1" t="s">
        <v>693</v>
      </c>
    </row>
    <row r="1154" customFormat="false" ht="15" hidden="false" customHeight="true" outlineLevel="0" collapsed="false">
      <c r="A1154" s="1" t="s">
        <v>690</v>
      </c>
      <c r="B1154" s="1" t="s">
        <v>55</v>
      </c>
      <c r="C1154" s="1" t="s">
        <v>688</v>
      </c>
      <c r="D1154" s="1" t="s">
        <v>17</v>
      </c>
      <c r="E1154" s="1" t="n">
        <v>1</v>
      </c>
      <c r="F1154" s="1" t="n">
        <v>30881.55</v>
      </c>
      <c r="G1154" s="1" t="n">
        <v>30881.55</v>
      </c>
      <c r="H1154" s="1" t="s">
        <v>693</v>
      </c>
    </row>
    <row r="1155" customFormat="false" ht="15" hidden="false" customHeight="true" outlineLevel="0" collapsed="false">
      <c r="A1155" s="1" t="s">
        <v>634</v>
      </c>
      <c r="B1155" s="1" t="s">
        <v>54</v>
      </c>
      <c r="C1155" s="1" t="s">
        <v>54</v>
      </c>
      <c r="D1155" s="1" t="s">
        <v>10</v>
      </c>
      <c r="E1155" s="1" t="n">
        <v>1</v>
      </c>
      <c r="F1155" s="1" t="n">
        <v>997.3260975</v>
      </c>
      <c r="G1155" s="1" t="n">
        <v>997.3260975</v>
      </c>
      <c r="H1155" s="1" t="s">
        <v>694</v>
      </c>
    </row>
    <row r="1156" customFormat="false" ht="15" hidden="false" customHeight="true" outlineLevel="0" collapsed="false">
      <c r="A1156" s="1" t="s">
        <v>634</v>
      </c>
      <c r="B1156" s="1" t="s">
        <v>54</v>
      </c>
      <c r="C1156" s="1" t="s">
        <v>54</v>
      </c>
      <c r="D1156" s="1" t="s">
        <v>12</v>
      </c>
      <c r="E1156" s="1" t="n">
        <v>1</v>
      </c>
      <c r="F1156" s="1" t="n">
        <v>997.3260975</v>
      </c>
      <c r="G1156" s="1" t="n">
        <v>997.3260975</v>
      </c>
      <c r="H1156" s="1" t="s">
        <v>694</v>
      </c>
    </row>
    <row r="1157" customFormat="false" ht="15" hidden="false" customHeight="true" outlineLevel="0" collapsed="false">
      <c r="A1157" s="1" t="s">
        <v>634</v>
      </c>
      <c r="B1157" s="1" t="s">
        <v>54</v>
      </c>
      <c r="C1157" s="1" t="s">
        <v>54</v>
      </c>
      <c r="D1157" s="1" t="s">
        <v>14</v>
      </c>
      <c r="E1157" s="1" t="n">
        <v>1</v>
      </c>
      <c r="F1157" s="1" t="n">
        <v>997.3260975</v>
      </c>
      <c r="G1157" s="1" t="n">
        <v>997.3260975</v>
      </c>
      <c r="H1157" s="1" t="s">
        <v>694</v>
      </c>
    </row>
    <row r="1158" customFormat="false" ht="15" hidden="false" customHeight="true" outlineLevel="0" collapsed="false">
      <c r="A1158" s="1" t="s">
        <v>634</v>
      </c>
      <c r="B1158" s="1" t="s">
        <v>54</v>
      </c>
      <c r="C1158" s="1" t="s">
        <v>54</v>
      </c>
      <c r="D1158" s="1" t="s">
        <v>15</v>
      </c>
      <c r="E1158" s="1" t="n">
        <v>1</v>
      </c>
      <c r="F1158" s="1" t="n">
        <v>997.3260975</v>
      </c>
      <c r="G1158" s="1" t="n">
        <v>997.3260975</v>
      </c>
      <c r="H1158" s="1" t="s">
        <v>694</v>
      </c>
    </row>
    <row r="1159" customFormat="false" ht="15" hidden="false" customHeight="true" outlineLevel="0" collapsed="false">
      <c r="A1159" s="1" t="s">
        <v>634</v>
      </c>
      <c r="B1159" s="1" t="s">
        <v>54</v>
      </c>
      <c r="C1159" s="1" t="s">
        <v>54</v>
      </c>
      <c r="D1159" s="1" t="s">
        <v>13</v>
      </c>
      <c r="E1159" s="1" t="n">
        <v>1</v>
      </c>
      <c r="F1159" s="1" t="n">
        <v>997.3260975</v>
      </c>
      <c r="G1159" s="1" t="n">
        <v>997.3260975</v>
      </c>
      <c r="H1159" s="1" t="s">
        <v>694</v>
      </c>
    </row>
    <row r="1160" customFormat="false" ht="15" hidden="false" customHeight="true" outlineLevel="0" collapsed="false">
      <c r="A1160" s="1" t="s">
        <v>634</v>
      </c>
      <c r="B1160" s="1" t="s">
        <v>54</v>
      </c>
      <c r="C1160" s="1" t="s">
        <v>54</v>
      </c>
      <c r="D1160" s="1" t="s">
        <v>16</v>
      </c>
      <c r="E1160" s="1" t="n">
        <v>1</v>
      </c>
      <c r="F1160" s="1" t="n">
        <v>997.3260975</v>
      </c>
      <c r="G1160" s="1" t="n">
        <v>997.3260975</v>
      </c>
      <c r="H1160" s="1" t="s">
        <v>694</v>
      </c>
    </row>
    <row r="1161" customFormat="false" ht="15" hidden="false" customHeight="true" outlineLevel="0" collapsed="false">
      <c r="A1161" s="1" t="s">
        <v>634</v>
      </c>
      <c r="B1161" s="1" t="s">
        <v>54</v>
      </c>
      <c r="C1161" s="1" t="s">
        <v>54</v>
      </c>
      <c r="D1161" s="1" t="s">
        <v>17</v>
      </c>
      <c r="E1161" s="1" t="n">
        <v>1</v>
      </c>
      <c r="F1161" s="1" t="n">
        <v>997.3260975</v>
      </c>
      <c r="G1161" s="1" t="n">
        <v>997.3260975</v>
      </c>
      <c r="H1161" s="1" t="s">
        <v>694</v>
      </c>
    </row>
    <row r="1162" customFormat="false" ht="15" hidden="false" customHeight="true" outlineLevel="0" collapsed="false">
      <c r="A1162" s="1" t="s">
        <v>634</v>
      </c>
      <c r="B1162" s="1" t="s">
        <v>54</v>
      </c>
      <c r="C1162" s="1" t="s">
        <v>54</v>
      </c>
      <c r="D1162" s="1" t="s">
        <v>18</v>
      </c>
      <c r="E1162" s="1" t="n">
        <v>1</v>
      </c>
      <c r="F1162" s="1" t="n">
        <v>997.3260975</v>
      </c>
      <c r="G1162" s="1" t="n">
        <v>997.3260975</v>
      </c>
      <c r="H1162" s="1" t="s">
        <v>694</v>
      </c>
    </row>
    <row r="1163" customFormat="false" ht="15" hidden="false" customHeight="true" outlineLevel="0" collapsed="false">
      <c r="A1163" s="1" t="s">
        <v>665</v>
      </c>
      <c r="B1163" s="1" t="s">
        <v>54</v>
      </c>
      <c r="C1163" s="1" t="s">
        <v>54</v>
      </c>
      <c r="D1163" s="1" t="s">
        <v>10</v>
      </c>
      <c r="E1163" s="1" t="n">
        <v>1</v>
      </c>
      <c r="F1163" s="1" t="n">
        <v>1697.94451367568</v>
      </c>
      <c r="G1163" s="1" t="n">
        <v>1697.94451367568</v>
      </c>
      <c r="H1163" s="1" t="s">
        <v>694</v>
      </c>
    </row>
    <row r="1164" customFormat="false" ht="15" hidden="false" customHeight="true" outlineLevel="0" collapsed="false">
      <c r="A1164" s="1" t="s">
        <v>665</v>
      </c>
      <c r="B1164" s="1" t="s">
        <v>54</v>
      </c>
      <c r="C1164" s="1" t="s">
        <v>54</v>
      </c>
      <c r="D1164" s="1" t="s">
        <v>12</v>
      </c>
      <c r="E1164" s="1" t="n">
        <v>1</v>
      </c>
      <c r="F1164" s="1" t="n">
        <v>1697.94451367568</v>
      </c>
      <c r="G1164" s="1" t="n">
        <v>1697.94451367568</v>
      </c>
      <c r="H1164" s="1" t="s">
        <v>694</v>
      </c>
    </row>
    <row r="1165" customFormat="false" ht="15" hidden="false" customHeight="true" outlineLevel="0" collapsed="false">
      <c r="A1165" s="1" t="s">
        <v>665</v>
      </c>
      <c r="B1165" s="1" t="s">
        <v>54</v>
      </c>
      <c r="C1165" s="1" t="s">
        <v>54</v>
      </c>
      <c r="D1165" s="1" t="s">
        <v>14</v>
      </c>
      <c r="E1165" s="1" t="n">
        <v>1</v>
      </c>
      <c r="F1165" s="1" t="n">
        <v>1697.94451367568</v>
      </c>
      <c r="G1165" s="1" t="n">
        <v>1697.94451367568</v>
      </c>
      <c r="H1165" s="1" t="s">
        <v>694</v>
      </c>
    </row>
    <row r="1166" customFormat="false" ht="15" hidden="false" customHeight="true" outlineLevel="0" collapsed="false">
      <c r="A1166" s="1" t="s">
        <v>665</v>
      </c>
      <c r="B1166" s="1" t="s">
        <v>54</v>
      </c>
      <c r="C1166" s="1" t="s">
        <v>54</v>
      </c>
      <c r="D1166" s="1" t="s">
        <v>15</v>
      </c>
      <c r="E1166" s="1" t="n">
        <v>1</v>
      </c>
      <c r="F1166" s="1" t="n">
        <v>1697.94451367568</v>
      </c>
      <c r="G1166" s="1" t="n">
        <v>1697.94451367568</v>
      </c>
      <c r="H1166" s="1" t="s">
        <v>694</v>
      </c>
    </row>
    <row r="1167" customFormat="false" ht="15" hidden="false" customHeight="true" outlineLevel="0" collapsed="false">
      <c r="A1167" s="1" t="s">
        <v>665</v>
      </c>
      <c r="B1167" s="1" t="s">
        <v>54</v>
      </c>
      <c r="C1167" s="1" t="s">
        <v>54</v>
      </c>
      <c r="D1167" s="1" t="s">
        <v>13</v>
      </c>
      <c r="E1167" s="1" t="n">
        <v>1</v>
      </c>
      <c r="F1167" s="1" t="n">
        <v>1697.94451367568</v>
      </c>
      <c r="G1167" s="1" t="n">
        <v>1697.94451367568</v>
      </c>
      <c r="H1167" s="1" t="s">
        <v>694</v>
      </c>
    </row>
    <row r="1168" customFormat="false" ht="15" hidden="false" customHeight="true" outlineLevel="0" collapsed="false">
      <c r="A1168" s="1" t="s">
        <v>665</v>
      </c>
      <c r="B1168" s="1" t="s">
        <v>54</v>
      </c>
      <c r="C1168" s="1" t="s">
        <v>54</v>
      </c>
      <c r="D1168" s="1" t="s">
        <v>16</v>
      </c>
      <c r="E1168" s="1" t="n">
        <v>1</v>
      </c>
      <c r="F1168" s="1" t="n">
        <v>1697.94451367568</v>
      </c>
      <c r="G1168" s="1" t="n">
        <v>1697.94451367568</v>
      </c>
      <c r="H1168" s="1" t="s">
        <v>694</v>
      </c>
    </row>
    <row r="1169" customFormat="false" ht="15" hidden="false" customHeight="true" outlineLevel="0" collapsed="false">
      <c r="A1169" s="1" t="s">
        <v>665</v>
      </c>
      <c r="B1169" s="1" t="s">
        <v>54</v>
      </c>
      <c r="C1169" s="1" t="s">
        <v>54</v>
      </c>
      <c r="D1169" s="1" t="s">
        <v>17</v>
      </c>
      <c r="E1169" s="1" t="n">
        <v>1</v>
      </c>
      <c r="F1169" s="1" t="n">
        <v>1697.94451367568</v>
      </c>
      <c r="G1169" s="1" t="n">
        <v>1697.94451367568</v>
      </c>
      <c r="H1169" s="1" t="s">
        <v>694</v>
      </c>
    </row>
    <row r="1170" customFormat="false" ht="15" hidden="false" customHeight="true" outlineLevel="0" collapsed="false">
      <c r="A1170" s="1" t="s">
        <v>665</v>
      </c>
      <c r="B1170" s="1" t="s">
        <v>54</v>
      </c>
      <c r="C1170" s="1" t="s">
        <v>54</v>
      </c>
      <c r="D1170" s="1" t="s">
        <v>18</v>
      </c>
      <c r="E1170" s="1" t="n">
        <v>1</v>
      </c>
      <c r="F1170" s="1" t="n">
        <v>1697.94451367568</v>
      </c>
      <c r="G1170" s="1" t="n">
        <v>1697.94451367568</v>
      </c>
      <c r="H1170" s="1" t="s">
        <v>694</v>
      </c>
    </row>
    <row r="1171" customFormat="false" ht="15" hidden="false" customHeight="true" outlineLevel="0" collapsed="false">
      <c r="A1171" s="1" t="s">
        <v>690</v>
      </c>
      <c r="B1171" s="1" t="s">
        <v>54</v>
      </c>
      <c r="C1171" s="1" t="s">
        <v>54</v>
      </c>
      <c r="D1171" s="1" t="s">
        <v>10</v>
      </c>
      <c r="E1171" s="1" t="n">
        <v>4</v>
      </c>
      <c r="F1171" s="1" t="n">
        <v>1002.254202</v>
      </c>
      <c r="G1171" s="1" t="n">
        <v>4009.016808</v>
      </c>
      <c r="H1171" s="1" t="s">
        <v>695</v>
      </c>
    </row>
    <row r="1172" customFormat="false" ht="15" hidden="false" customHeight="true" outlineLevel="0" collapsed="false">
      <c r="A1172" s="1" t="s">
        <v>690</v>
      </c>
      <c r="B1172" s="1" t="s">
        <v>54</v>
      </c>
      <c r="C1172" s="1" t="s">
        <v>54</v>
      </c>
      <c r="D1172" s="1" t="s">
        <v>12</v>
      </c>
      <c r="E1172" s="1" t="n">
        <v>8</v>
      </c>
      <c r="F1172" s="1" t="n">
        <v>1002.254202</v>
      </c>
      <c r="G1172" s="1" t="n">
        <v>8018.033616</v>
      </c>
      <c r="H1172" s="1" t="s">
        <v>695</v>
      </c>
    </row>
    <row r="1173" customFormat="false" ht="15" hidden="false" customHeight="true" outlineLevel="0" collapsed="false">
      <c r="A1173" s="1" t="s">
        <v>690</v>
      </c>
      <c r="B1173" s="1" t="s">
        <v>54</v>
      </c>
      <c r="C1173" s="1" t="s">
        <v>54</v>
      </c>
      <c r="D1173" s="1" t="s">
        <v>14</v>
      </c>
      <c r="E1173" s="1" t="n">
        <v>0</v>
      </c>
      <c r="F1173" s="1" t="n">
        <v>1002.254202</v>
      </c>
      <c r="G1173" s="1" t="n">
        <v>0</v>
      </c>
      <c r="H1173" s="1" t="s">
        <v>695</v>
      </c>
    </row>
    <row r="1174" customFormat="false" ht="15" hidden="false" customHeight="true" outlineLevel="0" collapsed="false">
      <c r="A1174" s="1" t="s">
        <v>690</v>
      </c>
      <c r="B1174" s="1" t="s">
        <v>54</v>
      </c>
      <c r="C1174" s="1" t="s">
        <v>54</v>
      </c>
      <c r="D1174" s="1" t="s">
        <v>15</v>
      </c>
      <c r="E1174" s="1" t="n">
        <v>14</v>
      </c>
      <c r="F1174" s="1" t="n">
        <v>1002.254202</v>
      </c>
      <c r="G1174" s="1" t="n">
        <v>14031.558828</v>
      </c>
      <c r="H1174" s="1" t="s">
        <v>695</v>
      </c>
    </row>
    <row r="1175" customFormat="false" ht="15" hidden="false" customHeight="true" outlineLevel="0" collapsed="false">
      <c r="A1175" s="1" t="s">
        <v>690</v>
      </c>
      <c r="B1175" s="1" t="s">
        <v>54</v>
      </c>
      <c r="C1175" s="1" t="s">
        <v>54</v>
      </c>
      <c r="D1175" s="1" t="s">
        <v>13</v>
      </c>
      <c r="E1175" s="1" t="n">
        <v>16</v>
      </c>
      <c r="F1175" s="1" t="n">
        <v>1002.254202</v>
      </c>
      <c r="G1175" s="1" t="n">
        <v>16036.067232</v>
      </c>
      <c r="H1175" s="1" t="s">
        <v>695</v>
      </c>
    </row>
    <row r="1176" customFormat="false" ht="15" hidden="false" customHeight="true" outlineLevel="0" collapsed="false">
      <c r="A1176" s="1" t="s">
        <v>690</v>
      </c>
      <c r="B1176" s="1" t="s">
        <v>54</v>
      </c>
      <c r="C1176" s="1" t="s">
        <v>54</v>
      </c>
      <c r="D1176" s="1" t="s">
        <v>16</v>
      </c>
      <c r="E1176" s="1" t="n">
        <v>8</v>
      </c>
      <c r="F1176" s="1" t="n">
        <v>1002.254202</v>
      </c>
      <c r="G1176" s="1" t="n">
        <v>8018.033616</v>
      </c>
      <c r="H1176" s="1" t="s">
        <v>695</v>
      </c>
    </row>
    <row r="1177" customFormat="false" ht="15" hidden="false" customHeight="true" outlineLevel="0" collapsed="false">
      <c r="A1177" s="1" t="s">
        <v>690</v>
      </c>
      <c r="B1177" s="1" t="s">
        <v>54</v>
      </c>
      <c r="C1177" s="1" t="s">
        <v>54</v>
      </c>
      <c r="D1177" s="1" t="s">
        <v>17</v>
      </c>
      <c r="E1177" s="1" t="n">
        <v>9</v>
      </c>
      <c r="F1177" s="1" t="n">
        <v>1002.254202</v>
      </c>
      <c r="G1177" s="1" t="n">
        <v>9020.287818</v>
      </c>
      <c r="H1177" s="1" t="s">
        <v>695</v>
      </c>
    </row>
    <row r="1178" customFormat="false" ht="15" hidden="false" customHeight="true" outlineLevel="0" collapsed="false">
      <c r="A1178" s="1" t="s">
        <v>690</v>
      </c>
      <c r="B1178" s="1" t="s">
        <v>54</v>
      </c>
      <c r="C1178" s="1" t="s">
        <v>54</v>
      </c>
      <c r="D1178" s="1" t="s">
        <v>18</v>
      </c>
      <c r="E1178" s="1" t="n">
        <v>129</v>
      </c>
      <c r="F1178" s="1" t="n">
        <v>1002.254202</v>
      </c>
      <c r="G1178" s="1" t="n">
        <v>129290.792058</v>
      </c>
      <c r="H1178" s="1" t="s">
        <v>695</v>
      </c>
    </row>
    <row r="1179" customFormat="false" ht="15" hidden="false" customHeight="true" outlineLevel="0" collapsed="false">
      <c r="A1179" s="1" t="s">
        <v>444</v>
      </c>
      <c r="B1179" s="1" t="s">
        <v>44</v>
      </c>
      <c r="C1179" s="1" t="s">
        <v>682</v>
      </c>
      <c r="D1179" s="1" t="s">
        <v>10</v>
      </c>
      <c r="E1179" s="1" t="n">
        <v>35</v>
      </c>
      <c r="F1179" s="1" t="n">
        <v>64.57</v>
      </c>
      <c r="G1179" s="1" t="n">
        <v>2259.95</v>
      </c>
      <c r="H1179" s="1" t="s">
        <v>696</v>
      </c>
    </row>
    <row r="1180" customFormat="false" ht="15" hidden="false" customHeight="true" outlineLevel="0" collapsed="false">
      <c r="A1180" s="1" t="s">
        <v>444</v>
      </c>
      <c r="B1180" s="1" t="s">
        <v>44</v>
      </c>
      <c r="C1180" s="1" t="s">
        <v>682</v>
      </c>
      <c r="D1180" s="1" t="s">
        <v>12</v>
      </c>
      <c r="E1180" s="1" t="n">
        <v>37</v>
      </c>
      <c r="F1180" s="1" t="n">
        <v>64.57</v>
      </c>
      <c r="G1180" s="1" t="n">
        <v>2389.09</v>
      </c>
      <c r="H1180" s="1" t="s">
        <v>696</v>
      </c>
    </row>
    <row r="1181" customFormat="false" ht="15" hidden="false" customHeight="true" outlineLevel="0" collapsed="false">
      <c r="A1181" s="1" t="s">
        <v>444</v>
      </c>
      <c r="B1181" s="1" t="s">
        <v>44</v>
      </c>
      <c r="C1181" s="1" t="s">
        <v>682</v>
      </c>
      <c r="D1181" s="1" t="s">
        <v>14</v>
      </c>
      <c r="E1181" s="1" t="n">
        <v>11</v>
      </c>
      <c r="F1181" s="1" t="n">
        <v>64.57</v>
      </c>
      <c r="G1181" s="1" t="n">
        <v>710.27</v>
      </c>
      <c r="H1181" s="1" t="s">
        <v>696</v>
      </c>
    </row>
    <row r="1182" customFormat="false" ht="15" hidden="false" customHeight="true" outlineLevel="0" collapsed="false">
      <c r="A1182" s="1" t="s">
        <v>444</v>
      </c>
      <c r="B1182" s="1" t="s">
        <v>44</v>
      </c>
      <c r="C1182" s="1" t="s">
        <v>682</v>
      </c>
      <c r="D1182" s="1" t="s">
        <v>15</v>
      </c>
      <c r="E1182" s="1" t="n">
        <v>42</v>
      </c>
      <c r="F1182" s="1" t="n">
        <v>64.57</v>
      </c>
      <c r="G1182" s="1" t="n">
        <v>2711.94</v>
      </c>
      <c r="H1182" s="1" t="s">
        <v>696</v>
      </c>
    </row>
    <row r="1183" customFormat="false" ht="15" hidden="false" customHeight="true" outlineLevel="0" collapsed="false">
      <c r="A1183" s="1" t="s">
        <v>444</v>
      </c>
      <c r="B1183" s="1" t="s">
        <v>44</v>
      </c>
      <c r="C1183" s="1" t="s">
        <v>682</v>
      </c>
      <c r="D1183" s="1" t="s">
        <v>13</v>
      </c>
      <c r="E1183" s="1" t="n">
        <v>42</v>
      </c>
      <c r="F1183" s="1" t="n">
        <v>64.57</v>
      </c>
      <c r="G1183" s="1" t="n">
        <v>2711.94</v>
      </c>
      <c r="H1183" s="1" t="s">
        <v>696</v>
      </c>
    </row>
    <row r="1184" customFormat="false" ht="15" hidden="false" customHeight="true" outlineLevel="0" collapsed="false">
      <c r="A1184" s="1" t="s">
        <v>444</v>
      </c>
      <c r="B1184" s="1" t="s">
        <v>44</v>
      </c>
      <c r="C1184" s="1" t="s">
        <v>682</v>
      </c>
      <c r="D1184" s="1" t="s">
        <v>16</v>
      </c>
      <c r="E1184" s="1" t="n">
        <v>18</v>
      </c>
      <c r="F1184" s="1" t="n">
        <v>64.57</v>
      </c>
      <c r="G1184" s="1" t="n">
        <v>1162.26</v>
      </c>
      <c r="H1184" s="1" t="s">
        <v>696</v>
      </c>
    </row>
    <row r="1185" customFormat="false" ht="15" hidden="false" customHeight="true" outlineLevel="0" collapsed="false">
      <c r="A1185" s="1" t="s">
        <v>444</v>
      </c>
      <c r="B1185" s="1" t="s">
        <v>44</v>
      </c>
      <c r="C1185" s="1" t="s">
        <v>682</v>
      </c>
      <c r="D1185" s="1" t="s">
        <v>17</v>
      </c>
      <c r="E1185" s="1" t="n">
        <v>20</v>
      </c>
      <c r="F1185" s="1" t="n">
        <v>64.57</v>
      </c>
      <c r="G1185" s="1" t="n">
        <v>1291.4</v>
      </c>
      <c r="H1185" s="1" t="s">
        <v>696</v>
      </c>
    </row>
    <row r="1186" customFormat="false" ht="15" hidden="false" customHeight="true" outlineLevel="0" collapsed="false">
      <c r="A1186" s="1" t="s">
        <v>634</v>
      </c>
      <c r="B1186" s="1" t="s">
        <v>44</v>
      </c>
      <c r="C1186" s="1" t="s">
        <v>682</v>
      </c>
      <c r="D1186" s="1" t="s">
        <v>10</v>
      </c>
      <c r="E1186" s="1" t="n">
        <v>34</v>
      </c>
      <c r="F1186" s="1" t="n">
        <v>63.75</v>
      </c>
      <c r="G1186" s="1" t="n">
        <v>2167.5</v>
      </c>
      <c r="H1186" s="1" t="s">
        <v>696</v>
      </c>
    </row>
    <row r="1187" customFormat="false" ht="15" hidden="false" customHeight="true" outlineLevel="0" collapsed="false">
      <c r="A1187" s="1" t="s">
        <v>634</v>
      </c>
      <c r="B1187" s="1" t="s">
        <v>44</v>
      </c>
      <c r="C1187" s="1" t="s">
        <v>682</v>
      </c>
      <c r="D1187" s="1" t="s">
        <v>12</v>
      </c>
      <c r="E1187" s="1" t="n">
        <v>37</v>
      </c>
      <c r="F1187" s="1" t="n">
        <v>63.75</v>
      </c>
      <c r="G1187" s="1" t="n">
        <v>2358.75</v>
      </c>
      <c r="H1187" s="1" t="s">
        <v>696</v>
      </c>
    </row>
    <row r="1188" customFormat="false" ht="15" hidden="false" customHeight="true" outlineLevel="0" collapsed="false">
      <c r="A1188" s="1" t="s">
        <v>634</v>
      </c>
      <c r="B1188" s="1" t="s">
        <v>44</v>
      </c>
      <c r="C1188" s="1" t="s">
        <v>682</v>
      </c>
      <c r="D1188" s="1" t="s">
        <v>14</v>
      </c>
      <c r="E1188" s="1" t="n">
        <v>11</v>
      </c>
      <c r="F1188" s="1" t="n">
        <v>63.75</v>
      </c>
      <c r="G1188" s="1" t="n">
        <v>701.25</v>
      </c>
      <c r="H1188" s="1" t="s">
        <v>696</v>
      </c>
    </row>
    <row r="1189" customFormat="false" ht="15" hidden="false" customHeight="true" outlineLevel="0" collapsed="false">
      <c r="A1189" s="1" t="s">
        <v>634</v>
      </c>
      <c r="B1189" s="1" t="s">
        <v>44</v>
      </c>
      <c r="C1189" s="1" t="s">
        <v>682</v>
      </c>
      <c r="D1189" s="1" t="s">
        <v>15</v>
      </c>
      <c r="E1189" s="1" t="n">
        <v>43</v>
      </c>
      <c r="F1189" s="1" t="n">
        <v>63.75</v>
      </c>
      <c r="G1189" s="1" t="n">
        <v>2741.25</v>
      </c>
      <c r="H1189" s="1" t="s">
        <v>696</v>
      </c>
    </row>
    <row r="1190" customFormat="false" ht="15" hidden="false" customHeight="true" outlineLevel="0" collapsed="false">
      <c r="A1190" s="1" t="s">
        <v>634</v>
      </c>
      <c r="B1190" s="1" t="s">
        <v>44</v>
      </c>
      <c r="C1190" s="1" t="s">
        <v>682</v>
      </c>
      <c r="D1190" s="1" t="s">
        <v>13</v>
      </c>
      <c r="E1190" s="1" t="n">
        <v>44</v>
      </c>
      <c r="F1190" s="1" t="n">
        <v>63.75</v>
      </c>
      <c r="G1190" s="1" t="n">
        <v>2805</v>
      </c>
      <c r="H1190" s="1" t="s">
        <v>696</v>
      </c>
    </row>
    <row r="1191" customFormat="false" ht="15" hidden="false" customHeight="true" outlineLevel="0" collapsed="false">
      <c r="A1191" s="1" t="s">
        <v>634</v>
      </c>
      <c r="B1191" s="1" t="s">
        <v>44</v>
      </c>
      <c r="C1191" s="1" t="s">
        <v>682</v>
      </c>
      <c r="D1191" s="1" t="s">
        <v>16</v>
      </c>
      <c r="E1191" s="1" t="n">
        <v>18</v>
      </c>
      <c r="F1191" s="1" t="n">
        <v>63.75</v>
      </c>
      <c r="G1191" s="1" t="n">
        <v>1147.5</v>
      </c>
      <c r="H1191" s="1" t="s">
        <v>696</v>
      </c>
    </row>
    <row r="1192" customFormat="false" ht="15" hidden="false" customHeight="true" outlineLevel="0" collapsed="false">
      <c r="A1192" s="1" t="s">
        <v>634</v>
      </c>
      <c r="B1192" s="1" t="s">
        <v>44</v>
      </c>
      <c r="C1192" s="1" t="s">
        <v>682</v>
      </c>
      <c r="D1192" s="1" t="s">
        <v>17</v>
      </c>
      <c r="E1192" s="1" t="n">
        <v>20</v>
      </c>
      <c r="F1192" s="1" t="n">
        <v>63.75</v>
      </c>
      <c r="G1192" s="1" t="n">
        <v>1275</v>
      </c>
      <c r="H1192" s="1" t="s">
        <v>696</v>
      </c>
    </row>
    <row r="1193" customFormat="false" ht="15" hidden="false" customHeight="true" outlineLevel="0" collapsed="false">
      <c r="A1193" s="1" t="s">
        <v>690</v>
      </c>
      <c r="B1193" s="1" t="s">
        <v>457</v>
      </c>
      <c r="C1193" s="1" t="s">
        <v>458</v>
      </c>
      <c r="D1193" s="1" t="s">
        <v>18</v>
      </c>
      <c r="E1193" s="1" t="n">
        <v>5506</v>
      </c>
      <c r="F1193" s="1" t="n">
        <v>1.86</v>
      </c>
      <c r="G1193" s="1" t="n">
        <v>10241.16</v>
      </c>
      <c r="H1193" s="1" t="s">
        <v>697</v>
      </c>
    </row>
    <row r="1194" customFormat="false" ht="15" hidden="false" customHeight="true" outlineLevel="0" collapsed="false">
      <c r="A1194" s="1" t="s">
        <v>690</v>
      </c>
      <c r="B1194" s="1" t="s">
        <v>85</v>
      </c>
      <c r="C1194" s="1" t="s">
        <v>604</v>
      </c>
      <c r="D1194" s="1" t="s">
        <v>18</v>
      </c>
      <c r="E1194" s="1" t="n">
        <v>119</v>
      </c>
      <c r="F1194" s="1" t="n">
        <v>131.56</v>
      </c>
      <c r="G1194" s="1" t="n">
        <v>15655.64</v>
      </c>
      <c r="H1194" s="1" t="s">
        <v>698</v>
      </c>
    </row>
    <row r="1195" customFormat="false" ht="15" hidden="false" customHeight="true" outlineLevel="0" collapsed="false">
      <c r="A1195" s="1" t="s">
        <v>690</v>
      </c>
      <c r="B1195" s="1" t="s">
        <v>447</v>
      </c>
      <c r="C1195" s="1" t="s">
        <v>448</v>
      </c>
      <c r="D1195" s="1" t="s">
        <v>18</v>
      </c>
      <c r="E1195" s="1" t="n">
        <v>0</v>
      </c>
      <c r="F1195" s="1" t="n">
        <v>0</v>
      </c>
      <c r="G1195" s="1" t="n">
        <v>0</v>
      </c>
      <c r="H1195" s="1" t="s">
        <v>635</v>
      </c>
    </row>
    <row r="1196" customFormat="false" ht="15" hidden="false" customHeight="true" outlineLevel="0" collapsed="false">
      <c r="A1196" s="1" t="s">
        <v>690</v>
      </c>
      <c r="B1196" s="1" t="s">
        <v>447</v>
      </c>
      <c r="C1196" s="1" t="s">
        <v>450</v>
      </c>
      <c r="D1196" s="1" t="s">
        <v>18</v>
      </c>
      <c r="E1196" s="1" t="n">
        <v>0</v>
      </c>
      <c r="F1196" s="1" t="n">
        <v>0</v>
      </c>
      <c r="G1196" s="1" t="n">
        <v>0</v>
      </c>
      <c r="H1196" s="1" t="s">
        <v>449</v>
      </c>
    </row>
    <row r="1197" customFormat="false" ht="15" hidden="false" customHeight="true" outlineLevel="0" collapsed="false">
      <c r="A1197" s="1" t="s">
        <v>690</v>
      </c>
      <c r="B1197" s="1" t="s">
        <v>447</v>
      </c>
      <c r="C1197" s="1" t="s">
        <v>448</v>
      </c>
      <c r="D1197" s="1" t="s">
        <v>10</v>
      </c>
      <c r="E1197" s="1" t="n">
        <v>0</v>
      </c>
      <c r="F1197" s="1" t="n">
        <v>0</v>
      </c>
      <c r="G1197" s="1" t="n">
        <v>0</v>
      </c>
      <c r="H1197" s="1" t="s">
        <v>451</v>
      </c>
    </row>
    <row r="1198" customFormat="false" ht="15" hidden="false" customHeight="true" outlineLevel="0" collapsed="false">
      <c r="A1198" s="1" t="s">
        <v>690</v>
      </c>
      <c r="B1198" s="1" t="s">
        <v>447</v>
      </c>
      <c r="C1198" s="1" t="s">
        <v>450</v>
      </c>
      <c r="D1198" s="1" t="s">
        <v>10</v>
      </c>
      <c r="E1198" s="1" t="n">
        <v>0</v>
      </c>
      <c r="F1198" s="1" t="n">
        <v>0</v>
      </c>
      <c r="G1198" s="1" t="n">
        <v>0</v>
      </c>
      <c r="H1198" s="1" t="s">
        <v>449</v>
      </c>
    </row>
    <row r="1199" customFormat="false" ht="15" hidden="false" customHeight="true" outlineLevel="0" collapsed="false">
      <c r="A1199" s="1" t="s">
        <v>690</v>
      </c>
      <c r="B1199" s="1" t="s">
        <v>457</v>
      </c>
      <c r="C1199" s="1" t="s">
        <v>458</v>
      </c>
      <c r="D1199" s="1" t="s">
        <v>10</v>
      </c>
      <c r="E1199" s="1" t="n">
        <v>308</v>
      </c>
      <c r="F1199" s="1" t="n">
        <v>1.86</v>
      </c>
      <c r="G1199" s="1" t="n">
        <v>572.88</v>
      </c>
      <c r="H1199" s="1" t="s">
        <v>699</v>
      </c>
    </row>
    <row r="1200" customFormat="false" ht="15" hidden="false" customHeight="true" outlineLevel="0" collapsed="false">
      <c r="A1200" s="1" t="s">
        <v>690</v>
      </c>
      <c r="B1200" s="1" t="s">
        <v>457</v>
      </c>
      <c r="C1200" s="1" t="s">
        <v>638</v>
      </c>
      <c r="D1200" s="1" t="s">
        <v>10</v>
      </c>
      <c r="E1200" s="1" t="n">
        <v>0</v>
      </c>
      <c r="F1200" s="1" t="n">
        <v>0</v>
      </c>
      <c r="G1200" s="1" t="n">
        <v>0</v>
      </c>
      <c r="H1200" s="1" t="s">
        <v>639</v>
      </c>
    </row>
    <row r="1201" customFormat="false" ht="15" hidden="false" customHeight="true" outlineLevel="0" collapsed="false">
      <c r="A1201" s="1" t="s">
        <v>690</v>
      </c>
      <c r="B1201" s="1" t="s">
        <v>457</v>
      </c>
      <c r="C1201" s="1" t="s">
        <v>640</v>
      </c>
      <c r="D1201" s="1" t="s">
        <v>10</v>
      </c>
      <c r="E1201" s="1" t="n">
        <v>0</v>
      </c>
      <c r="F1201" s="1" t="n">
        <v>0</v>
      </c>
      <c r="G1201" s="1" t="n">
        <v>0</v>
      </c>
      <c r="H1201" s="1" t="s">
        <v>700</v>
      </c>
    </row>
    <row r="1202" customFormat="false" ht="15" hidden="false" customHeight="true" outlineLevel="0" collapsed="false">
      <c r="A1202" s="1" t="s">
        <v>690</v>
      </c>
      <c r="B1202" s="1" t="s">
        <v>457</v>
      </c>
      <c r="C1202" s="1" t="s">
        <v>466</v>
      </c>
      <c r="D1202" s="1" t="s">
        <v>10</v>
      </c>
      <c r="E1202" s="1" t="n">
        <v>1</v>
      </c>
      <c r="F1202" s="1" t="n">
        <v>1900.22</v>
      </c>
      <c r="G1202" s="1" t="n">
        <v>1900.22</v>
      </c>
      <c r="H1202" s="1" t="s">
        <v>701</v>
      </c>
    </row>
    <row r="1203" customFormat="false" ht="15" hidden="false" customHeight="true" outlineLevel="0" collapsed="false">
      <c r="A1203" s="1" t="s">
        <v>690</v>
      </c>
      <c r="B1203" s="1" t="s">
        <v>457</v>
      </c>
      <c r="C1203" s="1" t="s">
        <v>466</v>
      </c>
      <c r="D1203" s="1" t="s">
        <v>10</v>
      </c>
      <c r="E1203" s="1" t="n">
        <v>-1</v>
      </c>
      <c r="F1203" s="1" t="n">
        <v>6809.28</v>
      </c>
      <c r="G1203" s="1" t="n">
        <v>-6809.28</v>
      </c>
      <c r="H1203" s="1" t="s">
        <v>468</v>
      </c>
    </row>
    <row r="1204" customFormat="false" ht="15" hidden="false" customHeight="true" outlineLevel="0" collapsed="false">
      <c r="A1204" s="1" t="s">
        <v>690</v>
      </c>
      <c r="B1204" s="1" t="s">
        <v>457</v>
      </c>
      <c r="C1204" s="1" t="s">
        <v>702</v>
      </c>
      <c r="D1204" s="1" t="s">
        <v>10</v>
      </c>
      <c r="E1204" s="1" t="n">
        <v>1</v>
      </c>
      <c r="F1204" s="1" t="n">
        <v>348.349782230624</v>
      </c>
      <c r="G1204" s="1" t="n">
        <v>348.349782230624</v>
      </c>
      <c r="H1204" s="1" t="s">
        <v>470</v>
      </c>
    </row>
    <row r="1205" customFormat="false" ht="15" hidden="false" customHeight="true" outlineLevel="0" collapsed="false">
      <c r="A1205" s="1" t="s">
        <v>690</v>
      </c>
      <c r="B1205" s="1" t="s">
        <v>457</v>
      </c>
      <c r="C1205" s="1" t="s">
        <v>472</v>
      </c>
      <c r="D1205" s="1" t="s">
        <v>10</v>
      </c>
      <c r="E1205" s="1" t="n">
        <v>0</v>
      </c>
      <c r="F1205" s="1" t="n">
        <v>0</v>
      </c>
      <c r="G1205" s="1" t="n">
        <v>0</v>
      </c>
      <c r="H1205" s="1" t="s">
        <v>470</v>
      </c>
    </row>
    <row r="1206" customFormat="false" ht="15" hidden="false" customHeight="true" outlineLevel="0" collapsed="false">
      <c r="A1206" s="1" t="s">
        <v>690</v>
      </c>
      <c r="B1206" s="1" t="s">
        <v>457</v>
      </c>
      <c r="C1206" s="1" t="s">
        <v>469</v>
      </c>
      <c r="D1206" s="1" t="s">
        <v>10</v>
      </c>
      <c r="E1206" s="1" t="n">
        <v>0</v>
      </c>
      <c r="F1206" s="1" t="n">
        <v>0</v>
      </c>
      <c r="G1206" s="1" t="n">
        <v>0</v>
      </c>
      <c r="H1206" s="1" t="s">
        <v>667</v>
      </c>
    </row>
    <row r="1207" customFormat="false" ht="15" hidden="false" customHeight="true" outlineLevel="0" collapsed="false">
      <c r="A1207" s="1" t="s">
        <v>690</v>
      </c>
      <c r="B1207" s="1" t="s">
        <v>457</v>
      </c>
      <c r="C1207" s="1" t="s">
        <v>473</v>
      </c>
      <c r="D1207" s="1" t="s">
        <v>10</v>
      </c>
      <c r="E1207" s="1" t="n">
        <v>0</v>
      </c>
      <c r="F1207" s="1" t="n">
        <v>0</v>
      </c>
      <c r="G1207" s="1" t="n">
        <v>0</v>
      </c>
      <c r="H1207" s="1" t="s">
        <v>667</v>
      </c>
    </row>
    <row r="1208" customFormat="false" ht="15" hidden="false" customHeight="true" outlineLevel="0" collapsed="false">
      <c r="A1208" s="1" t="s">
        <v>690</v>
      </c>
      <c r="B1208" s="1" t="s">
        <v>457</v>
      </c>
      <c r="C1208" s="1" t="s">
        <v>474</v>
      </c>
      <c r="D1208" s="1" t="s">
        <v>10</v>
      </c>
      <c r="E1208" s="1" t="n">
        <v>0</v>
      </c>
      <c r="F1208" s="1" t="n">
        <v>0</v>
      </c>
      <c r="G1208" s="1" t="n">
        <v>0</v>
      </c>
      <c r="H1208" s="1" t="s">
        <v>470</v>
      </c>
    </row>
    <row r="1209" customFormat="false" ht="15" hidden="false" customHeight="true" outlineLevel="0" collapsed="false">
      <c r="A1209" s="1" t="s">
        <v>690</v>
      </c>
      <c r="B1209" s="1" t="s">
        <v>143</v>
      </c>
      <c r="C1209" s="1" t="s">
        <v>519</v>
      </c>
      <c r="D1209" s="1" t="s">
        <v>10</v>
      </c>
      <c r="E1209" s="1" t="n">
        <v>6711</v>
      </c>
      <c r="F1209" s="1" t="n">
        <v>0.250576029595696</v>
      </c>
      <c r="G1209" s="1" t="n">
        <v>1681.61573461672</v>
      </c>
      <c r="H1209" s="1" t="s">
        <v>446</v>
      </c>
    </row>
    <row r="1210" customFormat="false" ht="15" hidden="false" customHeight="true" outlineLevel="0" collapsed="false">
      <c r="A1210" s="1" t="s">
        <v>690</v>
      </c>
      <c r="B1210" s="1" t="s">
        <v>45</v>
      </c>
      <c r="C1210" s="1" t="s">
        <v>521</v>
      </c>
      <c r="D1210" s="1" t="s">
        <v>10</v>
      </c>
      <c r="E1210" s="1" t="n">
        <v>1579</v>
      </c>
      <c r="F1210" s="1" t="n">
        <v>7.19</v>
      </c>
      <c r="G1210" s="1" t="n">
        <v>11353.01</v>
      </c>
      <c r="H1210" s="1" t="s">
        <v>522</v>
      </c>
    </row>
    <row r="1211" customFormat="false" ht="15" hidden="false" customHeight="true" outlineLevel="0" collapsed="false">
      <c r="A1211" s="1" t="s">
        <v>690</v>
      </c>
      <c r="B1211" s="1" t="s">
        <v>50</v>
      </c>
      <c r="C1211" s="1" t="s">
        <v>527</v>
      </c>
      <c r="D1211" s="1" t="s">
        <v>10</v>
      </c>
      <c r="E1211" s="1" t="n">
        <v>0</v>
      </c>
      <c r="F1211" s="1" t="n">
        <v>0</v>
      </c>
      <c r="G1211" s="1" t="n">
        <v>0</v>
      </c>
      <c r="H1211" s="1" t="s">
        <v>528</v>
      </c>
    </row>
    <row r="1212" customFormat="false" ht="15" hidden="false" customHeight="true" outlineLevel="0" collapsed="false">
      <c r="A1212" s="1" t="s">
        <v>690</v>
      </c>
      <c r="B1212" s="1" t="s">
        <v>531</v>
      </c>
      <c r="C1212" s="1" t="s">
        <v>532</v>
      </c>
      <c r="D1212" s="1" t="s">
        <v>10</v>
      </c>
      <c r="E1212" s="1" t="n">
        <v>0</v>
      </c>
      <c r="F1212" s="1" t="n">
        <v>0</v>
      </c>
      <c r="G1212" s="1" t="n">
        <v>0</v>
      </c>
      <c r="H1212" s="1" t="s">
        <v>533</v>
      </c>
    </row>
    <row r="1213" customFormat="false" ht="15" hidden="false" customHeight="true" outlineLevel="0" collapsed="false">
      <c r="A1213" s="1" t="s">
        <v>690</v>
      </c>
      <c r="B1213" s="1" t="s">
        <v>531</v>
      </c>
      <c r="C1213" s="1" t="s">
        <v>534</v>
      </c>
      <c r="D1213" s="1" t="s">
        <v>10</v>
      </c>
      <c r="E1213" s="1" t="n">
        <v>0</v>
      </c>
      <c r="F1213" s="1" t="n">
        <v>0</v>
      </c>
      <c r="G1213" s="1" t="n">
        <v>0</v>
      </c>
      <c r="H1213" s="1" t="s">
        <v>535</v>
      </c>
    </row>
    <row r="1214" customFormat="false" ht="15" hidden="false" customHeight="true" outlineLevel="0" collapsed="false">
      <c r="A1214" s="1" t="s">
        <v>690</v>
      </c>
      <c r="B1214" s="1" t="s">
        <v>531</v>
      </c>
      <c r="C1214" s="1" t="s">
        <v>536</v>
      </c>
      <c r="D1214" s="1" t="s">
        <v>10</v>
      </c>
      <c r="E1214" s="1" t="n">
        <v>10</v>
      </c>
      <c r="F1214" s="1" t="n">
        <v>20</v>
      </c>
      <c r="G1214" s="1" t="n">
        <v>200</v>
      </c>
      <c r="H1214" s="1" t="s">
        <v>703</v>
      </c>
    </row>
    <row r="1215" customFormat="false" ht="15" hidden="false" customHeight="true" outlineLevel="0" collapsed="false">
      <c r="A1215" s="1" t="s">
        <v>690</v>
      </c>
      <c r="B1215" s="1" t="s">
        <v>531</v>
      </c>
      <c r="C1215" s="1" t="s">
        <v>538</v>
      </c>
      <c r="D1215" s="1" t="s">
        <v>10</v>
      </c>
      <c r="E1215" s="1" t="n">
        <v>1</v>
      </c>
      <c r="F1215" s="1" t="n">
        <v>937.18</v>
      </c>
      <c r="G1215" s="1" t="n">
        <v>937.18</v>
      </c>
      <c r="H1215" s="1" t="s">
        <v>671</v>
      </c>
    </row>
    <row r="1216" customFormat="false" ht="15" hidden="false" customHeight="true" outlineLevel="0" collapsed="false">
      <c r="A1216" s="1" t="s">
        <v>690</v>
      </c>
      <c r="B1216" s="1" t="s">
        <v>531</v>
      </c>
      <c r="C1216" s="1" t="s">
        <v>540</v>
      </c>
      <c r="D1216" s="1" t="s">
        <v>10</v>
      </c>
      <c r="E1216" s="1" t="n">
        <v>0</v>
      </c>
      <c r="F1216" s="1" t="n">
        <v>0</v>
      </c>
      <c r="G1216" s="1" t="n">
        <v>0</v>
      </c>
      <c r="H1216" s="1" t="s">
        <v>704</v>
      </c>
    </row>
    <row r="1217" customFormat="false" ht="15" hidden="false" customHeight="true" outlineLevel="0" collapsed="false">
      <c r="A1217" s="1" t="s">
        <v>690</v>
      </c>
      <c r="B1217" s="1" t="s">
        <v>548</v>
      </c>
      <c r="C1217" s="1" t="s">
        <v>551</v>
      </c>
      <c r="D1217" s="1" t="s">
        <v>10</v>
      </c>
      <c r="E1217" s="1" t="n">
        <v>0</v>
      </c>
      <c r="F1217" s="1" t="n">
        <v>0</v>
      </c>
      <c r="G1217" s="1" t="n">
        <v>0</v>
      </c>
      <c r="H1217" s="1" t="s">
        <v>552</v>
      </c>
    </row>
    <row r="1218" customFormat="false" ht="15" hidden="false" customHeight="true" outlineLevel="0" collapsed="false">
      <c r="A1218" s="1" t="s">
        <v>690</v>
      </c>
      <c r="B1218" s="1" t="s">
        <v>548</v>
      </c>
      <c r="C1218" s="1" t="s">
        <v>549</v>
      </c>
      <c r="D1218" s="1" t="s">
        <v>10</v>
      </c>
      <c r="E1218" s="1" t="n">
        <v>0</v>
      </c>
      <c r="F1218" s="1" t="n">
        <v>0</v>
      </c>
      <c r="G1218" s="1" t="n">
        <v>0</v>
      </c>
      <c r="H1218" s="1" t="s">
        <v>550</v>
      </c>
    </row>
    <row r="1219" customFormat="false" ht="15" hidden="false" customHeight="true" outlineLevel="0" collapsed="false">
      <c r="A1219" s="1" t="s">
        <v>690</v>
      </c>
      <c r="B1219" s="1" t="s">
        <v>548</v>
      </c>
      <c r="C1219" s="1" t="s">
        <v>555</v>
      </c>
      <c r="D1219" s="1" t="s">
        <v>10</v>
      </c>
      <c r="E1219" s="1" t="n">
        <v>0</v>
      </c>
      <c r="F1219" s="1" t="n">
        <v>0</v>
      </c>
      <c r="G1219" s="1" t="n">
        <v>0</v>
      </c>
      <c r="H1219" s="1" t="s">
        <v>556</v>
      </c>
    </row>
    <row r="1220" customFormat="false" ht="15" hidden="false" customHeight="true" outlineLevel="0" collapsed="false">
      <c r="A1220" s="1" t="s">
        <v>690</v>
      </c>
      <c r="B1220" s="1" t="s">
        <v>548</v>
      </c>
      <c r="C1220" s="1" t="s">
        <v>553</v>
      </c>
      <c r="D1220" s="1" t="s">
        <v>10</v>
      </c>
      <c r="E1220" s="1" t="n">
        <v>0</v>
      </c>
      <c r="F1220" s="1" t="n">
        <v>0</v>
      </c>
      <c r="G1220" s="1" t="n">
        <v>0</v>
      </c>
      <c r="H1220" s="1" t="s">
        <v>554</v>
      </c>
    </row>
    <row r="1221" customFormat="false" ht="15" hidden="false" customHeight="true" outlineLevel="0" collapsed="false">
      <c r="A1221" s="1" t="s">
        <v>690</v>
      </c>
      <c r="B1221" s="1" t="s">
        <v>47</v>
      </c>
      <c r="C1221" s="1" t="s">
        <v>525</v>
      </c>
      <c r="D1221" s="1" t="s">
        <v>10</v>
      </c>
      <c r="E1221" s="1" t="n">
        <v>1</v>
      </c>
      <c r="F1221" s="1" t="n">
        <v>9147.42</v>
      </c>
      <c r="G1221" s="1" t="n">
        <v>9147.42</v>
      </c>
      <c r="H1221" s="1" t="s">
        <v>705</v>
      </c>
    </row>
    <row r="1222" customFormat="false" ht="15" hidden="false" customHeight="true" outlineLevel="0" collapsed="false">
      <c r="A1222" s="1" t="s">
        <v>690</v>
      </c>
      <c r="B1222" s="1" t="s">
        <v>85</v>
      </c>
      <c r="C1222" s="1" t="s">
        <v>604</v>
      </c>
      <c r="D1222" s="1" t="s">
        <v>10</v>
      </c>
      <c r="E1222" s="1" t="n">
        <v>3</v>
      </c>
      <c r="F1222" s="1" t="n">
        <v>167.82</v>
      </c>
      <c r="G1222" s="1" t="n">
        <v>503.46</v>
      </c>
      <c r="H1222" s="1" t="s">
        <v>607</v>
      </c>
    </row>
    <row r="1223" customFormat="false" ht="15" hidden="false" customHeight="true" outlineLevel="0" collapsed="false">
      <c r="A1223" s="1" t="s">
        <v>690</v>
      </c>
      <c r="B1223" s="1" t="s">
        <v>32</v>
      </c>
      <c r="C1223" s="1" t="s">
        <v>608</v>
      </c>
      <c r="D1223" s="1" t="s">
        <v>10</v>
      </c>
      <c r="E1223" s="1" t="n">
        <v>0</v>
      </c>
      <c r="F1223" s="1" t="n">
        <v>0</v>
      </c>
      <c r="G1223" s="1" t="n">
        <v>0</v>
      </c>
      <c r="H1223" s="1" t="s">
        <v>609</v>
      </c>
    </row>
    <row r="1224" customFormat="false" ht="15" hidden="false" customHeight="true" outlineLevel="0" collapsed="false">
      <c r="A1224" s="1" t="s">
        <v>690</v>
      </c>
      <c r="B1224" s="1" t="s">
        <v>32</v>
      </c>
      <c r="C1224" s="1" t="s">
        <v>610</v>
      </c>
      <c r="D1224" s="1" t="s">
        <v>10</v>
      </c>
      <c r="E1224" s="1" t="n">
        <v>0</v>
      </c>
      <c r="F1224" s="1" t="n">
        <v>0</v>
      </c>
      <c r="G1224" s="1" t="n">
        <v>0</v>
      </c>
      <c r="H1224" s="1" t="s">
        <v>611</v>
      </c>
    </row>
    <row r="1225" customFormat="false" ht="15" hidden="false" customHeight="true" outlineLevel="0" collapsed="false">
      <c r="A1225" s="1" t="s">
        <v>690</v>
      </c>
      <c r="B1225" s="1" t="s">
        <v>44</v>
      </c>
      <c r="C1225" s="1" t="s">
        <v>616</v>
      </c>
      <c r="D1225" s="1" t="s">
        <v>10</v>
      </c>
      <c r="E1225" s="1" t="n">
        <v>1</v>
      </c>
      <c r="F1225" s="1" t="n">
        <v>1926.32</v>
      </c>
      <c r="G1225" s="1" t="n">
        <v>1926.32</v>
      </c>
      <c r="H1225" s="1" t="s">
        <v>662</v>
      </c>
    </row>
    <row r="1226" customFormat="false" ht="15" hidden="false" customHeight="true" outlineLevel="0" collapsed="false">
      <c r="A1226" s="1" t="s">
        <v>690</v>
      </c>
      <c r="B1226" s="1" t="s">
        <v>87</v>
      </c>
      <c r="C1226" s="1" t="s">
        <v>632</v>
      </c>
      <c r="D1226" s="1" t="s">
        <v>10</v>
      </c>
      <c r="E1226" s="1" t="n">
        <v>2</v>
      </c>
      <c r="F1226" s="1" t="n">
        <v>50</v>
      </c>
      <c r="G1226" s="1" t="n">
        <v>100</v>
      </c>
      <c r="H1226" s="1" t="s">
        <v>706</v>
      </c>
    </row>
    <row r="1227" customFormat="false" ht="15" hidden="false" customHeight="true" outlineLevel="0" collapsed="false">
      <c r="A1227" s="1" t="s">
        <v>690</v>
      </c>
      <c r="B1227" s="1" t="s">
        <v>447</v>
      </c>
      <c r="C1227" s="1" t="s">
        <v>448</v>
      </c>
      <c r="D1227" s="1" t="s">
        <v>12</v>
      </c>
      <c r="E1227" s="1" t="n">
        <v>0</v>
      </c>
      <c r="F1227" s="1" t="n">
        <v>0</v>
      </c>
      <c r="G1227" s="1" t="n">
        <v>0</v>
      </c>
      <c r="H1227" s="1" t="s">
        <v>452</v>
      </c>
    </row>
    <row r="1228" customFormat="false" ht="15" hidden="false" customHeight="true" outlineLevel="0" collapsed="false">
      <c r="A1228" s="1" t="s">
        <v>690</v>
      </c>
      <c r="B1228" s="1" t="s">
        <v>447</v>
      </c>
      <c r="C1228" s="1" t="s">
        <v>453</v>
      </c>
      <c r="D1228" s="1" t="s">
        <v>12</v>
      </c>
      <c r="E1228" s="1" t="n">
        <v>0</v>
      </c>
      <c r="F1228" s="1" t="n">
        <v>0</v>
      </c>
      <c r="G1228" s="1" t="n">
        <v>0</v>
      </c>
      <c r="H1228" s="1" t="s">
        <v>454</v>
      </c>
    </row>
    <row r="1229" customFormat="false" ht="15" hidden="false" customHeight="true" outlineLevel="0" collapsed="false">
      <c r="A1229" s="1" t="s">
        <v>690</v>
      </c>
      <c r="B1229" s="1" t="s">
        <v>457</v>
      </c>
      <c r="C1229" s="1" t="s">
        <v>707</v>
      </c>
      <c r="D1229" s="1" t="s">
        <v>12</v>
      </c>
      <c r="E1229" s="1" t="n">
        <v>1</v>
      </c>
      <c r="F1229" s="1" t="n">
        <v>33.5</v>
      </c>
      <c r="G1229" s="1" t="n">
        <v>33.5</v>
      </c>
      <c r="H1229" s="1" t="s">
        <v>476</v>
      </c>
    </row>
    <row r="1230" customFormat="false" ht="15" hidden="false" customHeight="true" outlineLevel="0" collapsed="false">
      <c r="A1230" s="1" t="s">
        <v>690</v>
      </c>
      <c r="B1230" s="1" t="s">
        <v>457</v>
      </c>
      <c r="C1230" s="1" t="s">
        <v>707</v>
      </c>
      <c r="D1230" s="1" t="s">
        <v>12</v>
      </c>
      <c r="E1230" s="1" t="n">
        <v>1</v>
      </c>
      <c r="F1230" s="1" t="n">
        <v>22</v>
      </c>
      <c r="G1230" s="1" t="n">
        <v>22</v>
      </c>
      <c r="H1230" s="1" t="s">
        <v>477</v>
      </c>
    </row>
    <row r="1231" customFormat="false" ht="15" hidden="false" customHeight="true" outlineLevel="0" collapsed="false">
      <c r="A1231" s="1" t="s">
        <v>690</v>
      </c>
      <c r="B1231" s="1" t="s">
        <v>457</v>
      </c>
      <c r="C1231" s="1" t="s">
        <v>458</v>
      </c>
      <c r="D1231" s="1" t="s">
        <v>12</v>
      </c>
      <c r="E1231" s="1" t="n">
        <v>285</v>
      </c>
      <c r="F1231" s="1" t="n">
        <v>1.86</v>
      </c>
      <c r="G1231" s="1" t="n">
        <v>530.1</v>
      </c>
      <c r="H1231" s="1" t="s">
        <v>699</v>
      </c>
    </row>
    <row r="1232" customFormat="false" ht="15" hidden="false" customHeight="true" outlineLevel="0" collapsed="false">
      <c r="A1232" s="1" t="s">
        <v>690</v>
      </c>
      <c r="B1232" s="1" t="s">
        <v>457</v>
      </c>
      <c r="C1232" s="1" t="s">
        <v>466</v>
      </c>
      <c r="D1232" s="1" t="s">
        <v>12</v>
      </c>
      <c r="E1232" s="1" t="n">
        <v>1</v>
      </c>
      <c r="F1232" s="1" t="n">
        <v>168.56</v>
      </c>
      <c r="G1232" s="1" t="n">
        <v>168.56</v>
      </c>
      <c r="H1232" s="1" t="s">
        <v>701</v>
      </c>
    </row>
    <row r="1233" customFormat="false" ht="15" hidden="false" customHeight="true" outlineLevel="0" collapsed="false">
      <c r="A1233" s="1" t="s">
        <v>690</v>
      </c>
      <c r="B1233" s="1" t="s">
        <v>457</v>
      </c>
      <c r="C1233" s="1" t="s">
        <v>466</v>
      </c>
      <c r="D1233" s="1" t="s">
        <v>12</v>
      </c>
      <c r="E1233" s="1" t="n">
        <v>115</v>
      </c>
      <c r="F1233" s="1" t="n">
        <v>27.68</v>
      </c>
      <c r="G1233" s="1" t="n">
        <v>3183.2</v>
      </c>
      <c r="H1233" s="1" t="s">
        <v>708</v>
      </c>
    </row>
    <row r="1234" customFormat="false" ht="15" hidden="false" customHeight="true" outlineLevel="0" collapsed="false">
      <c r="A1234" s="1" t="s">
        <v>690</v>
      </c>
      <c r="B1234" s="1" t="s">
        <v>457</v>
      </c>
      <c r="C1234" s="1" t="s">
        <v>471</v>
      </c>
      <c r="D1234" s="1" t="s">
        <v>12</v>
      </c>
      <c r="E1234" s="1" t="n">
        <v>0</v>
      </c>
      <c r="F1234" s="1" t="n">
        <v>0</v>
      </c>
      <c r="G1234" s="1" t="n">
        <v>0</v>
      </c>
      <c r="H1234" s="1" t="s">
        <v>709</v>
      </c>
    </row>
    <row r="1235" customFormat="false" ht="15" hidden="false" customHeight="true" outlineLevel="0" collapsed="false">
      <c r="A1235" s="1" t="s">
        <v>690</v>
      </c>
      <c r="B1235" s="1" t="s">
        <v>457</v>
      </c>
      <c r="C1235" s="1" t="s">
        <v>638</v>
      </c>
      <c r="D1235" s="1" t="s">
        <v>12</v>
      </c>
      <c r="E1235" s="1" t="n">
        <v>0</v>
      </c>
      <c r="F1235" s="1" t="n">
        <v>0</v>
      </c>
      <c r="G1235" s="1" t="n">
        <v>0</v>
      </c>
      <c r="H1235" s="1" t="s">
        <v>710</v>
      </c>
    </row>
    <row r="1236" customFormat="false" ht="15" hidden="false" customHeight="true" outlineLevel="0" collapsed="false">
      <c r="A1236" s="1" t="s">
        <v>690</v>
      </c>
      <c r="B1236" s="1" t="s">
        <v>457</v>
      </c>
      <c r="C1236" s="1" t="s">
        <v>483</v>
      </c>
      <c r="D1236" s="1" t="s">
        <v>12</v>
      </c>
      <c r="E1236" s="1" t="n">
        <v>0</v>
      </c>
      <c r="F1236" s="1" t="n">
        <v>0</v>
      </c>
      <c r="G1236" s="1" t="n">
        <v>0</v>
      </c>
      <c r="H1236" s="1" t="s">
        <v>709</v>
      </c>
    </row>
    <row r="1237" customFormat="false" ht="15" hidden="false" customHeight="true" outlineLevel="0" collapsed="false">
      <c r="A1237" s="1" t="s">
        <v>690</v>
      </c>
      <c r="B1237" s="1" t="s">
        <v>457</v>
      </c>
      <c r="C1237" s="1" t="s">
        <v>484</v>
      </c>
      <c r="D1237" s="1" t="s">
        <v>12</v>
      </c>
      <c r="E1237" s="1" t="n">
        <v>0</v>
      </c>
      <c r="F1237" s="1" t="n">
        <v>0</v>
      </c>
      <c r="G1237" s="1" t="n">
        <v>0</v>
      </c>
      <c r="H1237" s="1" t="s">
        <v>470</v>
      </c>
    </row>
    <row r="1238" customFormat="false" ht="15" hidden="false" customHeight="true" outlineLevel="0" collapsed="false">
      <c r="A1238" s="1" t="s">
        <v>690</v>
      </c>
      <c r="B1238" s="1" t="s">
        <v>457</v>
      </c>
      <c r="C1238" s="1" t="s">
        <v>485</v>
      </c>
      <c r="D1238" s="1" t="s">
        <v>12</v>
      </c>
      <c r="E1238" s="1" t="n">
        <v>0</v>
      </c>
      <c r="F1238" s="1" t="n">
        <v>0</v>
      </c>
      <c r="G1238" s="1" t="n">
        <v>0</v>
      </c>
      <c r="H1238" s="1" t="s">
        <v>709</v>
      </c>
    </row>
    <row r="1239" customFormat="false" ht="15" hidden="false" customHeight="true" outlineLevel="0" collapsed="false">
      <c r="A1239" s="1" t="s">
        <v>690</v>
      </c>
      <c r="B1239" s="1" t="s">
        <v>457</v>
      </c>
      <c r="C1239" s="1" t="s">
        <v>486</v>
      </c>
      <c r="D1239" s="1" t="s">
        <v>12</v>
      </c>
      <c r="E1239" s="1" t="n">
        <v>0</v>
      </c>
      <c r="F1239" s="1" t="n">
        <v>0</v>
      </c>
      <c r="G1239" s="1" t="n">
        <v>0</v>
      </c>
      <c r="H1239" s="1" t="s">
        <v>709</v>
      </c>
    </row>
    <row r="1240" customFormat="false" ht="15" hidden="false" customHeight="true" outlineLevel="0" collapsed="false">
      <c r="A1240" s="1" t="s">
        <v>690</v>
      </c>
      <c r="B1240" s="1" t="s">
        <v>457</v>
      </c>
      <c r="C1240" s="1" t="s">
        <v>487</v>
      </c>
      <c r="D1240" s="1" t="s">
        <v>12</v>
      </c>
      <c r="E1240" s="1" t="n">
        <v>0</v>
      </c>
      <c r="F1240" s="1" t="n">
        <v>0</v>
      </c>
      <c r="G1240" s="1" t="n">
        <v>0</v>
      </c>
      <c r="H1240" s="1" t="s">
        <v>709</v>
      </c>
    </row>
    <row r="1241" customFormat="false" ht="15" hidden="false" customHeight="true" outlineLevel="0" collapsed="false">
      <c r="A1241" s="1" t="s">
        <v>690</v>
      </c>
      <c r="B1241" s="1" t="s">
        <v>143</v>
      </c>
      <c r="C1241" s="1" t="s">
        <v>519</v>
      </c>
      <c r="D1241" s="1" t="s">
        <v>12</v>
      </c>
      <c r="E1241" s="1" t="n">
        <v>13611</v>
      </c>
      <c r="F1241" s="1" t="n">
        <v>0.250576029595696</v>
      </c>
      <c r="G1241" s="1" t="n">
        <v>3410.59033882702</v>
      </c>
      <c r="H1241" s="1" t="s">
        <v>446</v>
      </c>
    </row>
    <row r="1242" customFormat="false" ht="15" hidden="false" customHeight="true" outlineLevel="0" collapsed="false">
      <c r="A1242" s="1" t="s">
        <v>690</v>
      </c>
      <c r="B1242" s="1" t="s">
        <v>141</v>
      </c>
      <c r="C1242" s="1" t="s">
        <v>520</v>
      </c>
      <c r="D1242" s="1" t="s">
        <v>12</v>
      </c>
      <c r="E1242" s="1" t="n">
        <v>13611</v>
      </c>
      <c r="F1242" s="1" t="n">
        <v>0.127886007343671</v>
      </c>
      <c r="G1242" s="1" t="n">
        <v>1740.65644595471</v>
      </c>
      <c r="H1242" s="1" t="s">
        <v>446</v>
      </c>
    </row>
    <row r="1243" customFormat="false" ht="15" hidden="false" customHeight="true" outlineLevel="0" collapsed="false">
      <c r="A1243" s="1" t="s">
        <v>690</v>
      </c>
      <c r="B1243" s="1" t="s">
        <v>50</v>
      </c>
      <c r="C1243" s="1" t="s">
        <v>527</v>
      </c>
      <c r="D1243" s="1" t="s">
        <v>12</v>
      </c>
      <c r="E1243" s="1" t="n">
        <v>0</v>
      </c>
      <c r="F1243" s="1" t="n">
        <v>0</v>
      </c>
      <c r="G1243" s="1" t="n">
        <v>0</v>
      </c>
      <c r="H1243" s="1" t="s">
        <v>528</v>
      </c>
    </row>
    <row r="1244" customFormat="false" ht="15" hidden="false" customHeight="true" outlineLevel="0" collapsed="false">
      <c r="A1244" s="1" t="s">
        <v>690</v>
      </c>
      <c r="B1244" s="1" t="s">
        <v>531</v>
      </c>
      <c r="C1244" s="1" t="s">
        <v>538</v>
      </c>
      <c r="D1244" s="1" t="s">
        <v>12</v>
      </c>
      <c r="E1244" s="1" t="n">
        <v>0</v>
      </c>
      <c r="F1244" s="1" t="n">
        <v>0</v>
      </c>
      <c r="G1244" s="1" t="n">
        <v>0</v>
      </c>
      <c r="H1244" s="1" t="s">
        <v>711</v>
      </c>
    </row>
    <row r="1245" customFormat="false" ht="15" hidden="false" customHeight="true" outlineLevel="0" collapsed="false">
      <c r="A1245" s="1" t="s">
        <v>690</v>
      </c>
      <c r="B1245" s="1" t="s">
        <v>548</v>
      </c>
      <c r="C1245" s="1" t="s">
        <v>559</v>
      </c>
      <c r="D1245" s="1" t="s">
        <v>12</v>
      </c>
      <c r="E1245" s="1" t="n">
        <v>0</v>
      </c>
      <c r="F1245" s="1" t="n">
        <v>0</v>
      </c>
      <c r="G1245" s="1" t="n">
        <v>0</v>
      </c>
      <c r="H1245" s="1" t="s">
        <v>560</v>
      </c>
    </row>
    <row r="1246" customFormat="false" ht="15" hidden="false" customHeight="true" outlineLevel="0" collapsed="false">
      <c r="A1246" s="1" t="s">
        <v>690</v>
      </c>
      <c r="B1246" s="1" t="s">
        <v>548</v>
      </c>
      <c r="C1246" s="1" t="s">
        <v>557</v>
      </c>
      <c r="D1246" s="1" t="s">
        <v>12</v>
      </c>
      <c r="E1246" s="1" t="n">
        <v>0</v>
      </c>
      <c r="F1246" s="1" t="n">
        <v>0</v>
      </c>
      <c r="G1246" s="1" t="n">
        <v>0</v>
      </c>
      <c r="H1246" s="1" t="s">
        <v>558</v>
      </c>
    </row>
    <row r="1247" customFormat="false" ht="15" hidden="false" customHeight="true" outlineLevel="0" collapsed="false">
      <c r="A1247" s="1" t="s">
        <v>690</v>
      </c>
      <c r="B1247" s="1" t="s">
        <v>47</v>
      </c>
      <c r="C1247" s="1" t="s">
        <v>525</v>
      </c>
      <c r="D1247" s="1" t="s">
        <v>12</v>
      </c>
      <c r="E1247" s="1" t="n">
        <v>0</v>
      </c>
      <c r="F1247" s="1" t="n">
        <v>0</v>
      </c>
      <c r="G1247" s="1" t="n">
        <v>0</v>
      </c>
      <c r="H1247" s="1" t="s">
        <v>658</v>
      </c>
    </row>
    <row r="1248" customFormat="false" ht="15" hidden="false" customHeight="true" outlineLevel="0" collapsed="false">
      <c r="A1248" s="1" t="s">
        <v>690</v>
      </c>
      <c r="B1248" s="1" t="s">
        <v>85</v>
      </c>
      <c r="C1248" s="1" t="s">
        <v>604</v>
      </c>
      <c r="D1248" s="1" t="s">
        <v>12</v>
      </c>
      <c r="E1248" s="1" t="n">
        <v>6</v>
      </c>
      <c r="F1248" s="1" t="n">
        <v>155.82</v>
      </c>
      <c r="G1248" s="1" t="n">
        <v>934.92</v>
      </c>
      <c r="H1248" s="1" t="s">
        <v>607</v>
      </c>
    </row>
    <row r="1249" customFormat="false" ht="15" hidden="false" customHeight="true" outlineLevel="0" collapsed="false">
      <c r="A1249" s="1" t="s">
        <v>690</v>
      </c>
      <c r="B1249" s="1" t="s">
        <v>614</v>
      </c>
      <c r="C1249" s="1" t="s">
        <v>615</v>
      </c>
      <c r="D1249" s="1" t="s">
        <v>12</v>
      </c>
      <c r="E1249" s="1" t="n">
        <v>13611</v>
      </c>
      <c r="F1249" s="1" t="n">
        <v>3.12</v>
      </c>
      <c r="G1249" s="1" t="n">
        <v>42466.32</v>
      </c>
      <c r="H1249" s="1" t="s">
        <v>446</v>
      </c>
    </row>
    <row r="1250" customFormat="false" ht="15" hidden="false" customHeight="true" outlineLevel="0" collapsed="false">
      <c r="A1250" s="1" t="s">
        <v>690</v>
      </c>
      <c r="B1250" s="1" t="s">
        <v>32</v>
      </c>
      <c r="C1250" s="1" t="s">
        <v>608</v>
      </c>
      <c r="D1250" s="1" t="s">
        <v>12</v>
      </c>
      <c r="E1250" s="1" t="n">
        <v>0</v>
      </c>
      <c r="F1250" s="1" t="n">
        <v>0</v>
      </c>
      <c r="G1250" s="1" t="n">
        <v>0</v>
      </c>
      <c r="H1250" s="1" t="s">
        <v>609</v>
      </c>
    </row>
    <row r="1251" customFormat="false" ht="15" hidden="false" customHeight="true" outlineLevel="0" collapsed="false">
      <c r="A1251" s="1" t="s">
        <v>690</v>
      </c>
      <c r="B1251" s="1" t="s">
        <v>32</v>
      </c>
      <c r="C1251" s="1" t="s">
        <v>610</v>
      </c>
      <c r="D1251" s="1" t="s">
        <v>12</v>
      </c>
      <c r="E1251" s="1" t="n">
        <v>0</v>
      </c>
      <c r="F1251" s="1" t="n">
        <v>0</v>
      </c>
      <c r="G1251" s="1" t="n">
        <v>0</v>
      </c>
      <c r="H1251" s="1" t="s">
        <v>611</v>
      </c>
    </row>
    <row r="1252" customFormat="false" ht="15" hidden="false" customHeight="true" outlineLevel="0" collapsed="false">
      <c r="A1252" s="1" t="s">
        <v>690</v>
      </c>
      <c r="B1252" s="1" t="s">
        <v>44</v>
      </c>
      <c r="C1252" s="1" t="s">
        <v>616</v>
      </c>
      <c r="D1252" s="1" t="s">
        <v>12</v>
      </c>
      <c r="E1252" s="1" t="n">
        <v>1</v>
      </c>
      <c r="F1252" s="1" t="n">
        <v>539.98</v>
      </c>
      <c r="G1252" s="1" t="n">
        <v>539.98</v>
      </c>
      <c r="H1252" s="1" t="s">
        <v>662</v>
      </c>
    </row>
    <row r="1253" customFormat="false" ht="15" hidden="false" customHeight="true" outlineLevel="0" collapsed="false">
      <c r="A1253" s="1" t="s">
        <v>690</v>
      </c>
      <c r="B1253" s="1" t="s">
        <v>44</v>
      </c>
      <c r="C1253" s="1" t="s">
        <v>618</v>
      </c>
      <c r="D1253" s="1" t="s">
        <v>12</v>
      </c>
      <c r="E1253" s="1" t="n">
        <v>0</v>
      </c>
      <c r="F1253" s="1" t="n">
        <v>0</v>
      </c>
      <c r="G1253" s="1" t="n">
        <v>0</v>
      </c>
      <c r="H1253" s="1" t="s">
        <v>619</v>
      </c>
    </row>
    <row r="1254" customFormat="false" ht="15" hidden="false" customHeight="true" outlineLevel="0" collapsed="false">
      <c r="A1254" s="1" t="s">
        <v>690</v>
      </c>
      <c r="B1254" s="1" t="s">
        <v>44</v>
      </c>
      <c r="C1254" s="1" t="s">
        <v>620</v>
      </c>
      <c r="D1254" s="1" t="s">
        <v>12</v>
      </c>
      <c r="E1254" s="1" t="n">
        <v>37</v>
      </c>
      <c r="F1254" s="1" t="n">
        <v>52.35</v>
      </c>
      <c r="G1254" s="1" t="n">
        <v>1936.95</v>
      </c>
      <c r="H1254" s="1" t="s">
        <v>712</v>
      </c>
    </row>
    <row r="1255" customFormat="false" ht="14.25" hidden="false" customHeight="true" outlineLevel="0" collapsed="false">
      <c r="A1255" s="1" t="s">
        <v>690</v>
      </c>
      <c r="B1255" s="1" t="s">
        <v>44</v>
      </c>
      <c r="C1255" s="1" t="s">
        <v>622</v>
      </c>
      <c r="D1255" s="1" t="s">
        <v>12</v>
      </c>
      <c r="E1255" s="1" t="n">
        <v>0</v>
      </c>
      <c r="F1255" s="1" t="n">
        <v>0</v>
      </c>
      <c r="G1255" s="1" t="n">
        <v>0</v>
      </c>
      <c r="H1255" s="1" t="s">
        <v>623</v>
      </c>
    </row>
    <row r="1256" customFormat="false" ht="14.25" hidden="false" customHeight="true" outlineLevel="0" collapsed="false">
      <c r="A1256" s="1" t="s">
        <v>690</v>
      </c>
      <c r="B1256" s="1" t="s">
        <v>87</v>
      </c>
      <c r="C1256" s="1" t="s">
        <v>632</v>
      </c>
      <c r="D1256" s="1" t="s">
        <v>12</v>
      </c>
      <c r="E1256" s="1" t="n">
        <v>2</v>
      </c>
      <c r="F1256" s="1" t="n">
        <v>50</v>
      </c>
      <c r="G1256" s="1" t="n">
        <v>100</v>
      </c>
      <c r="H1256" s="1" t="s">
        <v>706</v>
      </c>
    </row>
    <row r="1257" customFormat="false" ht="14.25" hidden="false" customHeight="true" outlineLevel="0" collapsed="false">
      <c r="A1257" s="1" t="s">
        <v>690</v>
      </c>
      <c r="B1257" s="1" t="s">
        <v>447</v>
      </c>
      <c r="C1257" s="1" t="s">
        <v>450</v>
      </c>
      <c r="D1257" s="1" t="s">
        <v>13</v>
      </c>
      <c r="E1257" s="1" t="n">
        <v>0</v>
      </c>
      <c r="F1257" s="1" t="n">
        <v>0</v>
      </c>
      <c r="G1257" s="1" t="n">
        <v>0</v>
      </c>
      <c r="H1257" s="1" t="s">
        <v>449</v>
      </c>
    </row>
    <row r="1258" customFormat="false" ht="14.25" hidden="false" customHeight="true" outlineLevel="0" collapsed="false">
      <c r="A1258" s="1" t="s">
        <v>690</v>
      </c>
      <c r="B1258" s="1" t="s">
        <v>447</v>
      </c>
      <c r="C1258" s="1" t="s">
        <v>448</v>
      </c>
      <c r="D1258" s="1" t="s">
        <v>14</v>
      </c>
      <c r="E1258" s="1" t="n">
        <v>0</v>
      </c>
      <c r="F1258" s="1" t="n">
        <v>0</v>
      </c>
      <c r="G1258" s="1" t="n">
        <v>0</v>
      </c>
      <c r="H1258" s="1" t="s">
        <v>452</v>
      </c>
    </row>
    <row r="1259" customFormat="false" ht="14.25" hidden="false" customHeight="true" outlineLevel="0" collapsed="false">
      <c r="A1259" s="1" t="s">
        <v>690</v>
      </c>
      <c r="B1259" s="1" t="s">
        <v>447</v>
      </c>
      <c r="C1259" s="1" t="s">
        <v>450</v>
      </c>
      <c r="D1259" s="1" t="s">
        <v>14</v>
      </c>
      <c r="E1259" s="1" t="n">
        <v>0</v>
      </c>
      <c r="F1259" s="1" t="n">
        <v>0</v>
      </c>
      <c r="G1259" s="1" t="n">
        <v>0</v>
      </c>
      <c r="H1259" s="1" t="s">
        <v>449</v>
      </c>
    </row>
    <row r="1260" customFormat="false" ht="14.25" hidden="false" customHeight="true" outlineLevel="0" collapsed="false">
      <c r="A1260" s="1" t="s">
        <v>690</v>
      </c>
      <c r="B1260" s="1" t="s">
        <v>457</v>
      </c>
      <c r="C1260" s="1" t="s">
        <v>458</v>
      </c>
      <c r="D1260" s="1" t="s">
        <v>14</v>
      </c>
      <c r="E1260" s="1" t="n">
        <v>198</v>
      </c>
      <c r="F1260" s="1" t="n">
        <v>1.86</v>
      </c>
      <c r="G1260" s="1" t="n">
        <v>368.28</v>
      </c>
      <c r="H1260" s="1" t="s">
        <v>699</v>
      </c>
    </row>
    <row r="1261" customFormat="false" ht="14.25" hidden="false" customHeight="true" outlineLevel="0" collapsed="false">
      <c r="A1261" s="1" t="s">
        <v>690</v>
      </c>
      <c r="B1261" s="1" t="s">
        <v>457</v>
      </c>
      <c r="C1261" s="1" t="s">
        <v>471</v>
      </c>
      <c r="D1261" s="1" t="s">
        <v>14</v>
      </c>
      <c r="E1261" s="1" t="n">
        <v>1</v>
      </c>
      <c r="F1261" s="1" t="n">
        <v>348.349782230624</v>
      </c>
      <c r="G1261" s="1" t="n">
        <v>348.349782230624</v>
      </c>
      <c r="H1261" s="1" t="s">
        <v>709</v>
      </c>
    </row>
    <row r="1262" customFormat="false" ht="14.25" hidden="false" customHeight="true" outlineLevel="0" collapsed="false">
      <c r="A1262" s="1" t="s">
        <v>690</v>
      </c>
      <c r="B1262" s="1" t="s">
        <v>457</v>
      </c>
      <c r="C1262" s="1" t="s">
        <v>489</v>
      </c>
      <c r="D1262" s="1" t="s">
        <v>14</v>
      </c>
      <c r="E1262" s="1" t="n">
        <v>0</v>
      </c>
      <c r="F1262" s="1" t="n">
        <v>0</v>
      </c>
      <c r="G1262" s="1" t="n">
        <v>0</v>
      </c>
      <c r="H1262" s="1" t="s">
        <v>709</v>
      </c>
    </row>
    <row r="1263" customFormat="false" ht="14.25" hidden="false" customHeight="true" outlineLevel="0" collapsed="false">
      <c r="A1263" s="1" t="s">
        <v>690</v>
      </c>
      <c r="B1263" s="1" t="s">
        <v>457</v>
      </c>
      <c r="C1263" s="1" t="s">
        <v>490</v>
      </c>
      <c r="D1263" s="1" t="s">
        <v>14</v>
      </c>
      <c r="E1263" s="1" t="n">
        <v>0</v>
      </c>
      <c r="F1263" s="1" t="n">
        <v>0</v>
      </c>
      <c r="G1263" s="1" t="n">
        <v>0</v>
      </c>
    </row>
    <row r="1264" customFormat="false" ht="14.25" hidden="false" customHeight="true" outlineLevel="0" collapsed="false">
      <c r="A1264" s="1" t="s">
        <v>690</v>
      </c>
      <c r="B1264" s="1" t="s">
        <v>457</v>
      </c>
      <c r="C1264" s="1" t="s">
        <v>491</v>
      </c>
      <c r="D1264" s="1" t="s">
        <v>14</v>
      </c>
      <c r="E1264" s="1" t="n">
        <v>0</v>
      </c>
      <c r="F1264" s="1" t="n">
        <v>0</v>
      </c>
      <c r="G1264" s="1" t="n">
        <v>0</v>
      </c>
      <c r="H1264" s="1" t="s">
        <v>470</v>
      </c>
    </row>
    <row r="1265" customFormat="false" ht="14.25" hidden="false" customHeight="true" outlineLevel="0" collapsed="false">
      <c r="A1265" s="1" t="s">
        <v>690</v>
      </c>
      <c r="B1265" s="1" t="s">
        <v>143</v>
      </c>
      <c r="C1265" s="1" t="s">
        <v>519</v>
      </c>
      <c r="D1265" s="1" t="s">
        <v>14</v>
      </c>
      <c r="E1265" s="1" t="n">
        <v>3823</v>
      </c>
      <c r="F1265" s="1" t="n">
        <v>0.250576029595696</v>
      </c>
      <c r="G1265" s="1" t="n">
        <v>957.952161144346</v>
      </c>
      <c r="H1265" s="1" t="s">
        <v>446</v>
      </c>
    </row>
    <row r="1266" customFormat="false" ht="14.25" hidden="false" customHeight="true" outlineLevel="0" collapsed="false">
      <c r="A1266" s="1" t="s">
        <v>690</v>
      </c>
      <c r="B1266" s="1" t="s">
        <v>45</v>
      </c>
      <c r="C1266" s="1" t="s">
        <v>521</v>
      </c>
      <c r="D1266" s="1" t="s">
        <v>14</v>
      </c>
      <c r="E1266" s="1" t="n">
        <v>469</v>
      </c>
      <c r="F1266" s="1" t="n">
        <v>7.19</v>
      </c>
      <c r="G1266" s="1" t="n">
        <v>3372.11</v>
      </c>
      <c r="H1266" s="1" t="s">
        <v>522</v>
      </c>
    </row>
    <row r="1267" customFormat="false" ht="14.25" hidden="false" customHeight="true" outlineLevel="0" collapsed="false">
      <c r="A1267" s="1" t="s">
        <v>690</v>
      </c>
      <c r="B1267" s="1" t="s">
        <v>50</v>
      </c>
      <c r="C1267" s="1" t="s">
        <v>527</v>
      </c>
      <c r="D1267" s="1" t="s">
        <v>14</v>
      </c>
      <c r="E1267" s="1" t="n">
        <v>0</v>
      </c>
      <c r="F1267" s="1" t="n">
        <v>0</v>
      </c>
      <c r="G1267" s="1" t="n">
        <v>0</v>
      </c>
      <c r="H1267" s="1" t="s">
        <v>528</v>
      </c>
    </row>
    <row r="1268" customFormat="false" ht="14.25" hidden="false" customHeight="true" outlineLevel="0" collapsed="false">
      <c r="A1268" s="1" t="s">
        <v>690</v>
      </c>
      <c r="B1268" s="1" t="s">
        <v>531</v>
      </c>
      <c r="C1268" s="1" t="s">
        <v>536</v>
      </c>
      <c r="D1268" s="1" t="s">
        <v>14</v>
      </c>
      <c r="E1268" s="1" t="n">
        <v>3</v>
      </c>
      <c r="F1268" s="1" t="n">
        <v>20</v>
      </c>
      <c r="G1268" s="1" t="n">
        <v>60</v>
      </c>
      <c r="H1268" s="1" t="s">
        <v>703</v>
      </c>
    </row>
    <row r="1269" customFormat="false" ht="14.25" hidden="false" customHeight="true" outlineLevel="0" collapsed="false">
      <c r="A1269" s="1" t="s">
        <v>690</v>
      </c>
      <c r="B1269" s="1" t="s">
        <v>531</v>
      </c>
      <c r="C1269" s="1" t="s">
        <v>538</v>
      </c>
      <c r="D1269" s="1" t="s">
        <v>14</v>
      </c>
      <c r="E1269" s="1" t="n">
        <v>1</v>
      </c>
      <c r="F1269" s="1" t="n">
        <v>414.54</v>
      </c>
      <c r="G1269" s="1" t="n">
        <v>414.54</v>
      </c>
      <c r="H1269" s="1" t="s">
        <v>671</v>
      </c>
    </row>
    <row r="1270" customFormat="false" ht="14.25" hidden="false" customHeight="true" outlineLevel="0" collapsed="false">
      <c r="A1270" s="1" t="s">
        <v>690</v>
      </c>
      <c r="B1270" s="1" t="s">
        <v>531</v>
      </c>
      <c r="C1270" s="1" t="s">
        <v>540</v>
      </c>
      <c r="D1270" s="1" t="s">
        <v>14</v>
      </c>
      <c r="E1270" s="1" t="n">
        <v>0</v>
      </c>
      <c r="F1270" s="1" t="n">
        <v>0</v>
      </c>
      <c r="G1270" s="1" t="n">
        <v>0</v>
      </c>
      <c r="H1270" s="1" t="s">
        <v>704</v>
      </c>
    </row>
    <row r="1271" customFormat="false" ht="14.25" hidden="false" customHeight="true" outlineLevel="0" collapsed="false">
      <c r="A1271" s="1" t="s">
        <v>690</v>
      </c>
      <c r="B1271" s="1" t="s">
        <v>548</v>
      </c>
      <c r="C1271" s="1" t="s">
        <v>565</v>
      </c>
      <c r="D1271" s="1" t="s">
        <v>14</v>
      </c>
      <c r="E1271" s="1" t="n">
        <v>0</v>
      </c>
      <c r="F1271" s="1" t="n">
        <v>0</v>
      </c>
      <c r="G1271" s="1" t="n">
        <v>0</v>
      </c>
      <c r="H1271" s="1" t="s">
        <v>558</v>
      </c>
    </row>
    <row r="1272" customFormat="false" ht="14.25" hidden="false" customHeight="true" outlineLevel="0" collapsed="false">
      <c r="A1272" s="1" t="s">
        <v>690</v>
      </c>
      <c r="B1272" s="1" t="s">
        <v>548</v>
      </c>
      <c r="C1272" s="1" t="s">
        <v>561</v>
      </c>
      <c r="D1272" s="1" t="s">
        <v>14</v>
      </c>
      <c r="E1272" s="1" t="n">
        <v>0</v>
      </c>
      <c r="F1272" s="1" t="n">
        <v>0</v>
      </c>
      <c r="G1272" s="1" t="n">
        <v>0</v>
      </c>
      <c r="H1272" s="1" t="s">
        <v>562</v>
      </c>
    </row>
    <row r="1273" customFormat="false" ht="14.25" hidden="false" customHeight="true" outlineLevel="0" collapsed="false">
      <c r="A1273" s="1" t="s">
        <v>690</v>
      </c>
      <c r="B1273" s="1" t="s">
        <v>548</v>
      </c>
      <c r="C1273" s="1" t="s">
        <v>563</v>
      </c>
      <c r="D1273" s="1" t="s">
        <v>14</v>
      </c>
      <c r="E1273" s="1" t="n">
        <v>0</v>
      </c>
      <c r="F1273" s="1" t="n">
        <v>0</v>
      </c>
      <c r="G1273" s="1" t="n">
        <v>0</v>
      </c>
      <c r="H1273" s="1" t="s">
        <v>564</v>
      </c>
    </row>
    <row r="1274" customFormat="false" ht="14.25" hidden="false" customHeight="true" outlineLevel="0" collapsed="false">
      <c r="A1274" s="1" t="s">
        <v>690</v>
      </c>
      <c r="B1274" s="1" t="s">
        <v>548</v>
      </c>
      <c r="C1274" s="1" t="s">
        <v>566</v>
      </c>
      <c r="D1274" s="1" t="s">
        <v>14</v>
      </c>
      <c r="E1274" s="1" t="n">
        <v>0</v>
      </c>
      <c r="F1274" s="1" t="n">
        <v>0</v>
      </c>
      <c r="G1274" s="1" t="n">
        <v>0</v>
      </c>
      <c r="H1274" s="1" t="s">
        <v>567</v>
      </c>
    </row>
    <row r="1275" customFormat="false" ht="14.25" hidden="false" customHeight="true" outlineLevel="0" collapsed="false">
      <c r="A1275" s="1" t="s">
        <v>690</v>
      </c>
      <c r="B1275" s="1" t="s">
        <v>548</v>
      </c>
      <c r="C1275" s="1" t="s">
        <v>568</v>
      </c>
      <c r="D1275" s="1" t="s">
        <v>14</v>
      </c>
      <c r="E1275" s="1" t="n">
        <v>0</v>
      </c>
      <c r="F1275" s="1" t="n">
        <v>0</v>
      </c>
      <c r="G1275" s="1" t="n">
        <v>0</v>
      </c>
      <c r="H1275" s="1" t="s">
        <v>567</v>
      </c>
    </row>
    <row r="1276" customFormat="false" ht="14.25" hidden="false" customHeight="true" outlineLevel="0" collapsed="false">
      <c r="A1276" s="1" t="s">
        <v>690</v>
      </c>
      <c r="B1276" s="1" t="s">
        <v>548</v>
      </c>
      <c r="C1276" s="1" t="s">
        <v>569</v>
      </c>
      <c r="D1276" s="1" t="s">
        <v>14</v>
      </c>
      <c r="E1276" s="1" t="n">
        <v>1</v>
      </c>
      <c r="F1276" s="1" t="n">
        <v>3900.13</v>
      </c>
      <c r="G1276" s="1" t="n">
        <v>3900.13</v>
      </c>
      <c r="H1276" s="1" t="s">
        <v>570</v>
      </c>
    </row>
    <row r="1277" customFormat="false" ht="14.25" hidden="false" customHeight="true" outlineLevel="0" collapsed="false">
      <c r="A1277" s="1" t="s">
        <v>690</v>
      </c>
      <c r="B1277" s="1" t="s">
        <v>47</v>
      </c>
      <c r="C1277" s="1" t="s">
        <v>525</v>
      </c>
      <c r="D1277" s="1" t="s">
        <v>14</v>
      </c>
      <c r="E1277" s="1" t="n">
        <v>0</v>
      </c>
      <c r="F1277" s="1" t="n">
        <v>0</v>
      </c>
      <c r="G1277" s="1" t="n">
        <v>0</v>
      </c>
      <c r="H1277" s="1" t="s">
        <v>601</v>
      </c>
    </row>
    <row r="1278" customFormat="false" ht="14.25" hidden="false" customHeight="true" outlineLevel="0" collapsed="false">
      <c r="A1278" s="1" t="s">
        <v>690</v>
      </c>
      <c r="B1278" s="1" t="s">
        <v>85</v>
      </c>
      <c r="C1278" s="1" t="s">
        <v>604</v>
      </c>
      <c r="D1278" s="1" t="s">
        <v>14</v>
      </c>
      <c r="E1278" s="1" t="n">
        <v>5</v>
      </c>
      <c r="F1278" s="1" t="n">
        <v>143.82</v>
      </c>
      <c r="G1278" s="1" t="n">
        <v>719.1</v>
      </c>
      <c r="H1278" s="1" t="s">
        <v>607</v>
      </c>
    </row>
    <row r="1279" customFormat="false" ht="14.25" hidden="false" customHeight="true" outlineLevel="0" collapsed="false">
      <c r="A1279" s="1" t="s">
        <v>690</v>
      </c>
      <c r="B1279" s="1" t="s">
        <v>32</v>
      </c>
      <c r="C1279" s="1" t="s">
        <v>608</v>
      </c>
      <c r="D1279" s="1" t="s">
        <v>14</v>
      </c>
      <c r="E1279" s="1" t="n">
        <v>0</v>
      </c>
      <c r="F1279" s="1" t="n">
        <v>0</v>
      </c>
      <c r="G1279" s="1" t="n">
        <v>0</v>
      </c>
      <c r="H1279" s="1" t="s">
        <v>609</v>
      </c>
    </row>
    <row r="1280" customFormat="false" ht="14.25" hidden="false" customHeight="true" outlineLevel="0" collapsed="false">
      <c r="A1280" s="1" t="s">
        <v>690</v>
      </c>
      <c r="B1280" s="1" t="s">
        <v>32</v>
      </c>
      <c r="C1280" s="1" t="s">
        <v>610</v>
      </c>
      <c r="D1280" s="1" t="s">
        <v>14</v>
      </c>
      <c r="E1280" s="1" t="n">
        <v>0</v>
      </c>
      <c r="F1280" s="1" t="n">
        <v>0</v>
      </c>
      <c r="G1280" s="1" t="n">
        <v>0</v>
      </c>
      <c r="H1280" s="1" t="s">
        <v>612</v>
      </c>
    </row>
    <row r="1281" customFormat="false" ht="14.25" hidden="false" customHeight="true" outlineLevel="0" collapsed="false">
      <c r="A1281" s="1" t="s">
        <v>690</v>
      </c>
      <c r="B1281" s="1" t="s">
        <v>44</v>
      </c>
      <c r="C1281" s="1" t="s">
        <v>616</v>
      </c>
      <c r="D1281" s="1" t="s">
        <v>14</v>
      </c>
      <c r="E1281" s="1" t="n">
        <v>1</v>
      </c>
      <c r="F1281" s="1" t="n">
        <v>220.8</v>
      </c>
      <c r="G1281" s="1" t="n">
        <v>220.8</v>
      </c>
      <c r="H1281" s="1" t="s">
        <v>662</v>
      </c>
    </row>
    <row r="1282" customFormat="false" ht="14.25" hidden="false" customHeight="true" outlineLevel="0" collapsed="false">
      <c r="A1282" s="1" t="s">
        <v>690</v>
      </c>
      <c r="B1282" s="1" t="s">
        <v>44</v>
      </c>
      <c r="C1282" s="1" t="s">
        <v>624</v>
      </c>
      <c r="D1282" s="1" t="s">
        <v>14</v>
      </c>
      <c r="E1282" s="1" t="n">
        <v>0</v>
      </c>
      <c r="F1282" s="1" t="n">
        <v>0</v>
      </c>
      <c r="G1282" s="1" t="n">
        <v>0</v>
      </c>
      <c r="H1282" s="1" t="s">
        <v>619</v>
      </c>
    </row>
    <row r="1283" customFormat="false" ht="14.25" hidden="false" customHeight="true" outlineLevel="0" collapsed="false">
      <c r="A1283" s="1" t="s">
        <v>690</v>
      </c>
      <c r="B1283" s="1" t="s">
        <v>44</v>
      </c>
      <c r="C1283" s="1" t="s">
        <v>625</v>
      </c>
      <c r="D1283" s="1" t="s">
        <v>14</v>
      </c>
      <c r="E1283" s="1" t="n">
        <v>0</v>
      </c>
      <c r="F1283" s="1" t="n">
        <v>0</v>
      </c>
      <c r="G1283" s="1" t="n">
        <v>0</v>
      </c>
      <c r="H1283" s="1" t="s">
        <v>623</v>
      </c>
    </row>
    <row r="1284" customFormat="false" ht="14.25" hidden="false" customHeight="true" outlineLevel="0" collapsed="false">
      <c r="A1284" s="1" t="s">
        <v>690</v>
      </c>
      <c r="B1284" s="1" t="s">
        <v>87</v>
      </c>
      <c r="C1284" s="1" t="s">
        <v>632</v>
      </c>
      <c r="D1284" s="1" t="s">
        <v>14</v>
      </c>
      <c r="E1284" s="1" t="n">
        <v>1</v>
      </c>
      <c r="F1284" s="1" t="n">
        <v>10</v>
      </c>
      <c r="G1284" s="1" t="n">
        <v>10</v>
      </c>
      <c r="H1284" s="1" t="s">
        <v>706</v>
      </c>
    </row>
    <row r="1285" customFormat="false" ht="14.25" hidden="false" customHeight="true" outlineLevel="0" collapsed="false">
      <c r="A1285" s="1" t="s">
        <v>690</v>
      </c>
      <c r="B1285" s="1" t="s">
        <v>447</v>
      </c>
      <c r="C1285" s="1" t="s">
        <v>448</v>
      </c>
      <c r="D1285" s="1" t="s">
        <v>15</v>
      </c>
      <c r="E1285" s="1" t="n">
        <v>0</v>
      </c>
      <c r="F1285" s="1" t="n">
        <v>0</v>
      </c>
      <c r="G1285" s="1" t="n">
        <v>0</v>
      </c>
      <c r="H1285" s="1" t="s">
        <v>451</v>
      </c>
    </row>
    <row r="1286" customFormat="false" ht="14.25" hidden="false" customHeight="true" outlineLevel="0" collapsed="false">
      <c r="A1286" s="1" t="s">
        <v>690</v>
      </c>
      <c r="B1286" s="1" t="s">
        <v>447</v>
      </c>
      <c r="C1286" s="1" t="s">
        <v>450</v>
      </c>
      <c r="D1286" s="1" t="s">
        <v>15</v>
      </c>
      <c r="E1286" s="1" t="n">
        <v>0</v>
      </c>
      <c r="F1286" s="1" t="n">
        <v>0</v>
      </c>
      <c r="G1286" s="1" t="n">
        <v>0</v>
      </c>
      <c r="H1286" s="1" t="s">
        <v>636</v>
      </c>
    </row>
    <row r="1287" customFormat="false" ht="14.25" hidden="false" customHeight="true" outlineLevel="0" collapsed="false">
      <c r="A1287" s="1" t="s">
        <v>690</v>
      </c>
      <c r="B1287" s="1" t="s">
        <v>457</v>
      </c>
      <c r="C1287" s="1" t="s">
        <v>458</v>
      </c>
      <c r="D1287" s="1" t="s">
        <v>15</v>
      </c>
      <c r="E1287" s="1" t="n">
        <v>676</v>
      </c>
      <c r="F1287" s="1" t="n">
        <v>1.86</v>
      </c>
      <c r="G1287" s="1" t="n">
        <v>1257.36</v>
      </c>
      <c r="H1287" s="1" t="s">
        <v>699</v>
      </c>
    </row>
    <row r="1288" customFormat="false" ht="14.25" hidden="false" customHeight="true" outlineLevel="0" collapsed="false">
      <c r="A1288" s="1" t="s">
        <v>690</v>
      </c>
      <c r="B1288" s="1" t="s">
        <v>457</v>
      </c>
      <c r="C1288" s="1" t="s">
        <v>466</v>
      </c>
      <c r="D1288" s="1" t="s">
        <v>15</v>
      </c>
      <c r="E1288" s="1" t="n">
        <v>-1</v>
      </c>
      <c r="F1288" s="1" t="n">
        <v>439.04</v>
      </c>
      <c r="G1288" s="1" t="n">
        <v>-439.04</v>
      </c>
      <c r="H1288" s="1" t="s">
        <v>713</v>
      </c>
    </row>
    <row r="1289" customFormat="false" ht="14.25" hidden="false" customHeight="true" outlineLevel="0" collapsed="false">
      <c r="A1289" s="1" t="s">
        <v>690</v>
      </c>
      <c r="B1289" s="1" t="s">
        <v>457</v>
      </c>
      <c r="C1289" s="1" t="s">
        <v>466</v>
      </c>
      <c r="D1289" s="1" t="s">
        <v>15</v>
      </c>
      <c r="E1289" s="1" t="n">
        <v>131</v>
      </c>
      <c r="F1289" s="1" t="n">
        <v>27.68</v>
      </c>
      <c r="G1289" s="1" t="n">
        <v>3626.08</v>
      </c>
      <c r="H1289" s="1" t="s">
        <v>714</v>
      </c>
    </row>
    <row r="1290" customFormat="false" ht="14.25" hidden="false" customHeight="true" outlineLevel="0" collapsed="false">
      <c r="A1290" s="1" t="s">
        <v>690</v>
      </c>
      <c r="B1290" s="1" t="s">
        <v>457</v>
      </c>
      <c r="C1290" s="1" t="s">
        <v>497</v>
      </c>
      <c r="D1290" s="1" t="s">
        <v>15</v>
      </c>
      <c r="E1290" s="1" t="n">
        <v>1</v>
      </c>
      <c r="F1290" s="1" t="n">
        <v>348.349782230624</v>
      </c>
      <c r="G1290" s="1" t="n">
        <v>348.349782230624</v>
      </c>
      <c r="H1290" s="1" t="s">
        <v>715</v>
      </c>
    </row>
    <row r="1291" customFormat="false" ht="14.25" hidden="false" customHeight="true" outlineLevel="0" collapsed="false">
      <c r="A1291" s="1" t="s">
        <v>690</v>
      </c>
      <c r="B1291" s="1" t="s">
        <v>457</v>
      </c>
      <c r="C1291" s="1" t="s">
        <v>487</v>
      </c>
      <c r="D1291" s="1" t="s">
        <v>15</v>
      </c>
      <c r="E1291" s="1" t="n">
        <v>0</v>
      </c>
      <c r="F1291" s="1" t="n">
        <v>0</v>
      </c>
      <c r="G1291" s="1" t="n">
        <v>0</v>
      </c>
      <c r="H1291" s="1" t="s">
        <v>667</v>
      </c>
    </row>
    <row r="1292" customFormat="false" ht="14.25" hidden="false" customHeight="true" outlineLevel="0" collapsed="false">
      <c r="A1292" s="1" t="s">
        <v>690</v>
      </c>
      <c r="B1292" s="1" t="s">
        <v>457</v>
      </c>
      <c r="C1292" s="1" t="s">
        <v>647</v>
      </c>
      <c r="D1292" s="1" t="s">
        <v>15</v>
      </c>
      <c r="E1292" s="1" t="n">
        <v>0</v>
      </c>
      <c r="F1292" s="1" t="n">
        <v>0</v>
      </c>
      <c r="G1292" s="1" t="n">
        <v>0</v>
      </c>
      <c r="H1292" s="1" t="s">
        <v>667</v>
      </c>
    </row>
    <row r="1293" customFormat="false" ht="14.25" hidden="false" customHeight="true" outlineLevel="0" collapsed="false">
      <c r="A1293" s="1" t="s">
        <v>690</v>
      </c>
      <c r="B1293" s="1" t="s">
        <v>457</v>
      </c>
      <c r="C1293" s="1" t="s">
        <v>498</v>
      </c>
      <c r="D1293" s="1" t="s">
        <v>15</v>
      </c>
      <c r="E1293" s="1" t="n">
        <v>0</v>
      </c>
      <c r="F1293" s="1" t="n">
        <v>0</v>
      </c>
      <c r="G1293" s="1" t="n">
        <v>0</v>
      </c>
    </row>
    <row r="1294" customFormat="false" ht="14.25" hidden="false" customHeight="true" outlineLevel="0" collapsed="false">
      <c r="A1294" s="1" t="s">
        <v>690</v>
      </c>
      <c r="B1294" s="1" t="s">
        <v>143</v>
      </c>
      <c r="C1294" s="1" t="s">
        <v>519</v>
      </c>
      <c r="D1294" s="1" t="s">
        <v>15</v>
      </c>
      <c r="E1294" s="1" t="n">
        <v>6701</v>
      </c>
      <c r="F1294" s="1" t="n">
        <v>0.250576029595696</v>
      </c>
      <c r="G1294" s="1" t="n">
        <v>1679.10997432076</v>
      </c>
      <c r="H1294" s="1" t="s">
        <v>446</v>
      </c>
    </row>
    <row r="1295" customFormat="false" ht="14.25" hidden="false" customHeight="true" outlineLevel="0" collapsed="false">
      <c r="A1295" s="1" t="s">
        <v>690</v>
      </c>
      <c r="B1295" s="1" t="s">
        <v>50</v>
      </c>
      <c r="C1295" s="1" t="s">
        <v>527</v>
      </c>
      <c r="D1295" s="1" t="s">
        <v>15</v>
      </c>
      <c r="E1295" s="1" t="n">
        <v>0</v>
      </c>
      <c r="F1295" s="1" t="n">
        <v>0</v>
      </c>
      <c r="G1295" s="1" t="n">
        <v>0</v>
      </c>
      <c r="H1295" s="1" t="s">
        <v>529</v>
      </c>
    </row>
    <row r="1296" customFormat="false" ht="14.25" hidden="false" customHeight="true" outlineLevel="0" collapsed="false">
      <c r="A1296" s="1" t="s">
        <v>690</v>
      </c>
      <c r="B1296" s="1" t="s">
        <v>531</v>
      </c>
      <c r="C1296" s="1" t="s">
        <v>532</v>
      </c>
      <c r="D1296" s="1" t="s">
        <v>15</v>
      </c>
      <c r="E1296" s="1" t="n">
        <v>0</v>
      </c>
      <c r="F1296" s="1" t="n">
        <v>0</v>
      </c>
      <c r="G1296" s="1" t="n">
        <v>0</v>
      </c>
      <c r="H1296" s="1" t="s">
        <v>542</v>
      </c>
    </row>
    <row r="1297" customFormat="false" ht="14.25" hidden="false" customHeight="true" outlineLevel="0" collapsed="false">
      <c r="A1297" s="1" t="s">
        <v>690</v>
      </c>
      <c r="B1297" s="1" t="s">
        <v>531</v>
      </c>
      <c r="C1297" s="1" t="s">
        <v>534</v>
      </c>
      <c r="D1297" s="1" t="s">
        <v>15</v>
      </c>
      <c r="E1297" s="1" t="n">
        <v>0</v>
      </c>
      <c r="F1297" s="1" t="n">
        <v>0</v>
      </c>
      <c r="G1297" s="1" t="n">
        <v>0</v>
      </c>
      <c r="H1297" s="1" t="s">
        <v>543</v>
      </c>
    </row>
    <row r="1298" customFormat="false" ht="14.25" hidden="false" customHeight="true" outlineLevel="0" collapsed="false">
      <c r="A1298" s="1" t="s">
        <v>690</v>
      </c>
      <c r="B1298" s="1" t="s">
        <v>531</v>
      </c>
      <c r="C1298" s="1" t="s">
        <v>536</v>
      </c>
      <c r="D1298" s="1" t="s">
        <v>15</v>
      </c>
      <c r="E1298" s="1" t="n">
        <v>13</v>
      </c>
      <c r="F1298" s="1" t="n">
        <v>20</v>
      </c>
      <c r="G1298" s="1" t="n">
        <v>260</v>
      </c>
      <c r="H1298" s="1" t="s">
        <v>703</v>
      </c>
    </row>
    <row r="1299" customFormat="false" ht="14.25" hidden="false" customHeight="true" outlineLevel="0" collapsed="false">
      <c r="A1299" s="1" t="s">
        <v>690</v>
      </c>
      <c r="B1299" s="1" t="s">
        <v>531</v>
      </c>
      <c r="C1299" s="1" t="s">
        <v>538</v>
      </c>
      <c r="D1299" s="1" t="s">
        <v>15</v>
      </c>
      <c r="E1299" s="1" t="n">
        <v>0</v>
      </c>
      <c r="F1299" s="1" t="n">
        <v>0</v>
      </c>
      <c r="G1299" s="1" t="n">
        <v>0</v>
      </c>
      <c r="H1299" s="1" t="s">
        <v>671</v>
      </c>
    </row>
    <row r="1300" customFormat="false" ht="14.25" hidden="false" customHeight="true" outlineLevel="0" collapsed="false">
      <c r="A1300" s="1" t="s">
        <v>690</v>
      </c>
      <c r="B1300" s="1" t="s">
        <v>531</v>
      </c>
      <c r="C1300" s="1" t="s">
        <v>540</v>
      </c>
      <c r="D1300" s="1" t="s">
        <v>15</v>
      </c>
      <c r="E1300" s="1" t="n">
        <v>0</v>
      </c>
      <c r="F1300" s="1" t="n">
        <v>0</v>
      </c>
      <c r="G1300" s="1" t="n">
        <v>0</v>
      </c>
      <c r="H1300" s="1" t="s">
        <v>704</v>
      </c>
    </row>
    <row r="1301" customFormat="false" ht="14.25" hidden="false" customHeight="true" outlineLevel="0" collapsed="false">
      <c r="A1301" s="1" t="s">
        <v>690</v>
      </c>
      <c r="B1301" s="1" t="s">
        <v>548</v>
      </c>
      <c r="C1301" s="1" t="s">
        <v>551</v>
      </c>
      <c r="D1301" s="1" t="s">
        <v>15</v>
      </c>
      <c r="E1301" s="1" t="n">
        <v>0</v>
      </c>
      <c r="F1301" s="1" t="n">
        <v>0</v>
      </c>
      <c r="G1301" s="1" t="n">
        <v>0</v>
      </c>
      <c r="H1301" s="1" t="s">
        <v>558</v>
      </c>
    </row>
    <row r="1302" customFormat="false" ht="14.25" hidden="false" customHeight="true" outlineLevel="0" collapsed="false">
      <c r="A1302" s="1" t="s">
        <v>690</v>
      </c>
      <c r="B1302" s="1" t="s">
        <v>548</v>
      </c>
      <c r="C1302" s="1" t="s">
        <v>555</v>
      </c>
      <c r="D1302" s="1" t="s">
        <v>15</v>
      </c>
      <c r="E1302" s="1" t="n">
        <v>0</v>
      </c>
      <c r="F1302" s="1" t="n">
        <v>0</v>
      </c>
      <c r="G1302" s="1" t="n">
        <v>0</v>
      </c>
      <c r="H1302" s="1" t="s">
        <v>571</v>
      </c>
    </row>
    <row r="1303" customFormat="false" ht="14.25" hidden="false" customHeight="true" outlineLevel="0" collapsed="false">
      <c r="A1303" s="1" t="s">
        <v>690</v>
      </c>
      <c r="B1303" s="1" t="s">
        <v>585</v>
      </c>
      <c r="C1303" s="1" t="s">
        <v>655</v>
      </c>
      <c r="D1303" s="1" t="s">
        <v>15</v>
      </c>
      <c r="E1303" s="1" t="n">
        <v>-1</v>
      </c>
      <c r="F1303" s="1" t="n">
        <v>1046.56</v>
      </c>
      <c r="G1303" s="1" t="n">
        <v>-1046.56</v>
      </c>
      <c r="H1303" s="1" t="s">
        <v>716</v>
      </c>
    </row>
    <row r="1304" customFormat="false" ht="14.25" hidden="false" customHeight="true" outlineLevel="0" collapsed="false">
      <c r="A1304" s="1" t="s">
        <v>690</v>
      </c>
      <c r="B1304" s="1" t="s">
        <v>585</v>
      </c>
      <c r="C1304" s="1" t="s">
        <v>586</v>
      </c>
      <c r="D1304" s="1" t="s">
        <v>15</v>
      </c>
      <c r="E1304" s="1" t="n">
        <v>-1</v>
      </c>
      <c r="F1304" s="1" t="n">
        <v>238.88</v>
      </c>
      <c r="G1304" s="1" t="n">
        <v>-238.88</v>
      </c>
      <c r="H1304" s="1" t="s">
        <v>717</v>
      </c>
    </row>
    <row r="1305" customFormat="false" ht="14.25" hidden="false" customHeight="true" outlineLevel="0" collapsed="false">
      <c r="A1305" s="1" t="s">
        <v>690</v>
      </c>
      <c r="B1305" s="1" t="s">
        <v>585</v>
      </c>
      <c r="C1305" s="1" t="s">
        <v>586</v>
      </c>
      <c r="D1305" s="1" t="s">
        <v>15</v>
      </c>
      <c r="E1305" s="1" t="n">
        <v>-1</v>
      </c>
      <c r="F1305" s="1" t="n">
        <v>624.79</v>
      </c>
      <c r="G1305" s="1" t="n">
        <v>-624.79</v>
      </c>
      <c r="H1305" s="1" t="s">
        <v>717</v>
      </c>
    </row>
    <row r="1306" customFormat="false" ht="14.25" hidden="false" customHeight="true" outlineLevel="0" collapsed="false">
      <c r="A1306" s="1" t="s">
        <v>690</v>
      </c>
      <c r="B1306" s="1" t="s">
        <v>47</v>
      </c>
      <c r="C1306" s="1" t="s">
        <v>525</v>
      </c>
      <c r="D1306" s="1" t="s">
        <v>15</v>
      </c>
      <c r="E1306" s="1" t="n">
        <v>1</v>
      </c>
      <c r="F1306" s="1" t="n">
        <v>7137.6</v>
      </c>
      <c r="G1306" s="1" t="n">
        <v>7137.6</v>
      </c>
      <c r="H1306" s="1" t="s">
        <v>718</v>
      </c>
    </row>
    <row r="1307" customFormat="false" ht="14.25" hidden="false" customHeight="true" outlineLevel="0" collapsed="false">
      <c r="A1307" s="1" t="s">
        <v>690</v>
      </c>
      <c r="B1307" s="1" t="s">
        <v>85</v>
      </c>
      <c r="C1307" s="1" t="s">
        <v>604</v>
      </c>
      <c r="D1307" s="1" t="s">
        <v>15</v>
      </c>
      <c r="E1307" s="1" t="n">
        <v>23</v>
      </c>
      <c r="F1307" s="1" t="n">
        <v>151.64</v>
      </c>
      <c r="G1307" s="1" t="n">
        <v>3487.72</v>
      </c>
      <c r="H1307" s="1" t="s">
        <v>607</v>
      </c>
    </row>
    <row r="1308" customFormat="false" ht="14.25" hidden="false" customHeight="true" outlineLevel="0" collapsed="false">
      <c r="A1308" s="1" t="s">
        <v>690</v>
      </c>
      <c r="B1308" s="1" t="s">
        <v>32</v>
      </c>
      <c r="C1308" s="1" t="s">
        <v>608</v>
      </c>
      <c r="D1308" s="1" t="s">
        <v>15</v>
      </c>
      <c r="E1308" s="1" t="n">
        <v>0</v>
      </c>
      <c r="F1308" s="1" t="n">
        <v>0</v>
      </c>
      <c r="G1308" s="1" t="n">
        <v>0</v>
      </c>
      <c r="H1308" s="1" t="s">
        <v>609</v>
      </c>
    </row>
    <row r="1309" customFormat="false" ht="14.25" hidden="false" customHeight="true" outlineLevel="0" collapsed="false">
      <c r="A1309" s="1" t="s">
        <v>690</v>
      </c>
      <c r="B1309" s="1" t="s">
        <v>44</v>
      </c>
      <c r="C1309" s="1" t="s">
        <v>616</v>
      </c>
      <c r="D1309" s="1" t="s">
        <v>15</v>
      </c>
      <c r="E1309" s="1" t="n">
        <v>1</v>
      </c>
      <c r="F1309" s="1" t="n">
        <v>4507.16</v>
      </c>
      <c r="G1309" s="1" t="n">
        <v>4507.16</v>
      </c>
      <c r="H1309" s="1" t="s">
        <v>719</v>
      </c>
    </row>
    <row r="1310" customFormat="false" ht="14.25" hidden="false" customHeight="true" outlineLevel="0" collapsed="false">
      <c r="A1310" s="1" t="s">
        <v>690</v>
      </c>
      <c r="B1310" s="1" t="s">
        <v>44</v>
      </c>
      <c r="C1310" s="1" t="s">
        <v>626</v>
      </c>
      <c r="D1310" s="1" t="s">
        <v>15</v>
      </c>
      <c r="E1310" s="1" t="n">
        <v>0</v>
      </c>
      <c r="F1310" s="1" t="n">
        <v>0</v>
      </c>
      <c r="G1310" s="1" t="n">
        <v>0</v>
      </c>
      <c r="H1310" s="1" t="s">
        <v>619</v>
      </c>
    </row>
    <row r="1311" customFormat="false" ht="14.25" hidden="false" customHeight="true" outlineLevel="0" collapsed="false">
      <c r="A1311" s="1" t="s">
        <v>690</v>
      </c>
      <c r="B1311" s="1" t="s">
        <v>44</v>
      </c>
      <c r="C1311" s="1" t="s">
        <v>627</v>
      </c>
      <c r="D1311" s="1" t="s">
        <v>15</v>
      </c>
      <c r="E1311" s="1" t="n">
        <v>0</v>
      </c>
      <c r="F1311" s="1" t="n">
        <v>0</v>
      </c>
      <c r="G1311" s="1" t="n">
        <v>0</v>
      </c>
      <c r="H1311" s="1" t="s">
        <v>619</v>
      </c>
    </row>
    <row r="1312" customFormat="false" ht="14.25" hidden="false" customHeight="true" outlineLevel="0" collapsed="false">
      <c r="A1312" s="1" t="s">
        <v>690</v>
      </c>
      <c r="B1312" s="1" t="s">
        <v>44</v>
      </c>
      <c r="C1312" s="1" t="s">
        <v>629</v>
      </c>
      <c r="D1312" s="1" t="s">
        <v>15</v>
      </c>
      <c r="E1312" s="1" t="n">
        <v>0</v>
      </c>
      <c r="F1312" s="1" t="n">
        <v>0</v>
      </c>
      <c r="G1312" s="1" t="n">
        <v>0</v>
      </c>
      <c r="H1312" s="1" t="s">
        <v>623</v>
      </c>
    </row>
    <row r="1313" customFormat="false" ht="14.25" hidden="false" customHeight="true" outlineLevel="0" collapsed="false">
      <c r="A1313" s="1" t="s">
        <v>690</v>
      </c>
      <c r="B1313" s="1" t="s">
        <v>44</v>
      </c>
      <c r="C1313" s="1" t="s">
        <v>678</v>
      </c>
      <c r="D1313" s="1" t="s">
        <v>15</v>
      </c>
      <c r="E1313" s="1" t="n">
        <v>0</v>
      </c>
      <c r="F1313" s="1" t="n">
        <v>0</v>
      </c>
      <c r="G1313" s="1" t="n">
        <v>0</v>
      </c>
      <c r="H1313" s="1" t="s">
        <v>663</v>
      </c>
    </row>
    <row r="1314" customFormat="false" ht="14.25" hidden="false" customHeight="true" outlineLevel="0" collapsed="false">
      <c r="A1314" s="1" t="s">
        <v>690</v>
      </c>
      <c r="B1314" s="1" t="s">
        <v>44</v>
      </c>
      <c r="C1314" s="1" t="s">
        <v>664</v>
      </c>
      <c r="D1314" s="1" t="s">
        <v>15</v>
      </c>
      <c r="E1314" s="1" t="n">
        <v>0</v>
      </c>
      <c r="F1314" s="1" t="n">
        <v>0</v>
      </c>
      <c r="G1314" s="1" t="n">
        <v>0</v>
      </c>
      <c r="H1314" s="1" t="s">
        <v>623</v>
      </c>
    </row>
    <row r="1315" customFormat="false" ht="14.25" hidden="false" customHeight="true" outlineLevel="0" collapsed="false">
      <c r="A1315" s="1" t="s">
        <v>690</v>
      </c>
      <c r="B1315" s="1" t="s">
        <v>87</v>
      </c>
      <c r="C1315" s="1" t="s">
        <v>632</v>
      </c>
      <c r="D1315" s="1" t="s">
        <v>15</v>
      </c>
      <c r="E1315" s="1" t="n">
        <v>1</v>
      </c>
      <c r="F1315" s="1" t="n">
        <v>10</v>
      </c>
      <c r="G1315" s="1" t="n">
        <v>10</v>
      </c>
      <c r="H1315" s="1" t="s">
        <v>706</v>
      </c>
    </row>
    <row r="1316" customFormat="false" ht="14.25" hidden="false" customHeight="true" outlineLevel="0" collapsed="false">
      <c r="A1316" s="1" t="s">
        <v>690</v>
      </c>
      <c r="B1316" s="1" t="s">
        <v>87</v>
      </c>
      <c r="C1316" s="1" t="s">
        <v>632</v>
      </c>
      <c r="D1316" s="1" t="s">
        <v>15</v>
      </c>
      <c r="E1316" s="1" t="n">
        <v>5</v>
      </c>
      <c r="F1316" s="1" t="n">
        <v>50</v>
      </c>
      <c r="G1316" s="1" t="n">
        <v>250</v>
      </c>
      <c r="H1316" s="1" t="s">
        <v>706</v>
      </c>
    </row>
    <row r="1317" customFormat="false" ht="14.25" hidden="false" customHeight="true" outlineLevel="0" collapsed="false">
      <c r="A1317" s="1" t="s">
        <v>690</v>
      </c>
      <c r="B1317" s="1" t="s">
        <v>45</v>
      </c>
      <c r="C1317" s="1" t="s">
        <v>521</v>
      </c>
      <c r="D1317" s="1" t="s">
        <v>15</v>
      </c>
      <c r="E1317" s="1" t="n">
        <v>727</v>
      </c>
      <c r="F1317" s="1" t="n">
        <v>7.20444291609354</v>
      </c>
      <c r="G1317" s="1" t="n">
        <v>5237.63</v>
      </c>
      <c r="H1317" s="1" t="s">
        <v>522</v>
      </c>
    </row>
    <row r="1318" customFormat="false" ht="14.25" hidden="false" customHeight="true" outlineLevel="0" collapsed="false">
      <c r="A1318" s="1" t="s">
        <v>690</v>
      </c>
      <c r="B1318" s="1" t="s">
        <v>447</v>
      </c>
      <c r="C1318" s="1" t="s">
        <v>448</v>
      </c>
      <c r="D1318" s="1" t="s">
        <v>13</v>
      </c>
      <c r="E1318" s="1" t="n">
        <v>0</v>
      </c>
      <c r="F1318" s="1" t="n">
        <v>0</v>
      </c>
      <c r="G1318" s="1" t="n">
        <v>0</v>
      </c>
      <c r="H1318" s="1" t="s">
        <v>456</v>
      </c>
    </row>
    <row r="1319" customFormat="false" ht="14.25" hidden="false" customHeight="true" outlineLevel="0" collapsed="false">
      <c r="A1319" s="1" t="s">
        <v>690</v>
      </c>
      <c r="B1319" s="1" t="s">
        <v>457</v>
      </c>
      <c r="C1319" s="1" t="s">
        <v>458</v>
      </c>
      <c r="D1319" s="1" t="s">
        <v>13</v>
      </c>
      <c r="E1319" s="1" t="n">
        <v>455</v>
      </c>
      <c r="F1319" s="1" t="n">
        <v>1.86</v>
      </c>
      <c r="G1319" s="1" t="n">
        <v>846.3</v>
      </c>
      <c r="H1319" s="1" t="s">
        <v>699</v>
      </c>
    </row>
    <row r="1320" customFormat="false" ht="14.25" hidden="false" customHeight="true" outlineLevel="0" collapsed="false">
      <c r="A1320" s="1" t="s">
        <v>690</v>
      </c>
      <c r="B1320" s="1" t="s">
        <v>457</v>
      </c>
      <c r="C1320" s="1" t="s">
        <v>503</v>
      </c>
      <c r="D1320" s="1" t="s">
        <v>13</v>
      </c>
      <c r="E1320" s="1" t="n">
        <v>1</v>
      </c>
      <c r="F1320" s="1" t="n">
        <v>430.22</v>
      </c>
      <c r="G1320" s="1" t="n">
        <v>430.22</v>
      </c>
      <c r="H1320" s="1" t="s">
        <v>720</v>
      </c>
    </row>
    <row r="1321" customFormat="false" ht="14.25" hidden="false" customHeight="true" outlineLevel="0" collapsed="false">
      <c r="A1321" s="1" t="s">
        <v>690</v>
      </c>
      <c r="B1321" s="1" t="s">
        <v>457</v>
      </c>
      <c r="C1321" s="1" t="s">
        <v>503</v>
      </c>
      <c r="D1321" s="1" t="s">
        <v>13</v>
      </c>
      <c r="E1321" s="1" t="n">
        <v>166</v>
      </c>
      <c r="F1321" s="1" t="n">
        <v>20.33</v>
      </c>
      <c r="G1321" s="1" t="n">
        <v>3374.78</v>
      </c>
      <c r="H1321" s="1" t="s">
        <v>708</v>
      </c>
    </row>
    <row r="1322" customFormat="false" ht="14.25" hidden="false" customHeight="true" outlineLevel="0" collapsed="false">
      <c r="A1322" s="1" t="s">
        <v>690</v>
      </c>
      <c r="B1322" s="1" t="s">
        <v>457</v>
      </c>
      <c r="C1322" s="1" t="s">
        <v>507</v>
      </c>
      <c r="D1322" s="1" t="s">
        <v>13</v>
      </c>
      <c r="E1322" s="1" t="n">
        <v>0</v>
      </c>
      <c r="F1322" s="1" t="n">
        <v>0</v>
      </c>
      <c r="G1322" s="1" t="n">
        <v>0</v>
      </c>
      <c r="H1322" s="1" t="s">
        <v>470</v>
      </c>
    </row>
    <row r="1323" customFormat="false" ht="14.25" hidden="false" customHeight="true" outlineLevel="0" collapsed="false">
      <c r="A1323" s="1" t="s">
        <v>690</v>
      </c>
      <c r="B1323" s="1" t="s">
        <v>457</v>
      </c>
      <c r="C1323" s="1" t="s">
        <v>471</v>
      </c>
      <c r="D1323" s="1" t="s">
        <v>13</v>
      </c>
      <c r="E1323" s="1" t="n">
        <v>18</v>
      </c>
      <c r="F1323" s="1" t="n">
        <v>348.349782230624</v>
      </c>
      <c r="G1323" s="1" t="n">
        <v>6270.29608015123</v>
      </c>
      <c r="H1323" s="1" t="s">
        <v>715</v>
      </c>
    </row>
    <row r="1324" customFormat="false" ht="14.25" hidden="false" customHeight="true" outlineLevel="0" collapsed="false">
      <c r="A1324" s="1" t="s">
        <v>690</v>
      </c>
      <c r="B1324" s="1" t="s">
        <v>457</v>
      </c>
      <c r="C1324" s="1" t="s">
        <v>669</v>
      </c>
      <c r="D1324" s="1" t="s">
        <v>13</v>
      </c>
      <c r="E1324" s="1" t="n">
        <v>0</v>
      </c>
      <c r="F1324" s="1" t="n">
        <v>0</v>
      </c>
      <c r="G1324" s="1" t="n">
        <v>0</v>
      </c>
      <c r="H1324" s="1" t="s">
        <v>470</v>
      </c>
    </row>
    <row r="1325" customFormat="false" ht="14.25" hidden="false" customHeight="true" outlineLevel="0" collapsed="false">
      <c r="A1325" s="1" t="s">
        <v>690</v>
      </c>
      <c r="B1325" s="1" t="s">
        <v>457</v>
      </c>
      <c r="C1325" s="1" t="s">
        <v>506</v>
      </c>
      <c r="D1325" s="1" t="s">
        <v>13</v>
      </c>
      <c r="E1325" s="1" t="n">
        <v>1</v>
      </c>
      <c r="F1325" s="1" t="n">
        <v>430.994756521739</v>
      </c>
      <c r="G1325" s="1" t="n">
        <v>430.994756521739</v>
      </c>
      <c r="H1325" s="1" t="s">
        <v>470</v>
      </c>
    </row>
    <row r="1326" customFormat="false" ht="14.25" hidden="false" customHeight="true" outlineLevel="0" collapsed="false">
      <c r="A1326" s="1" t="s">
        <v>690</v>
      </c>
      <c r="B1326" s="1" t="s">
        <v>143</v>
      </c>
      <c r="C1326" s="1" t="s">
        <v>519</v>
      </c>
      <c r="D1326" s="1" t="s">
        <v>13</v>
      </c>
      <c r="E1326" s="1" t="n">
        <v>14824</v>
      </c>
      <c r="F1326" s="1" t="n">
        <v>0.250576029595696</v>
      </c>
      <c r="G1326" s="1" t="n">
        <v>3714.5390627266</v>
      </c>
      <c r="H1326" s="1" t="s">
        <v>446</v>
      </c>
    </row>
    <row r="1327" customFormat="false" ht="14.25" hidden="false" customHeight="true" outlineLevel="0" collapsed="false">
      <c r="A1327" s="1" t="s">
        <v>690</v>
      </c>
      <c r="B1327" s="1" t="s">
        <v>50</v>
      </c>
      <c r="C1327" s="1" t="s">
        <v>527</v>
      </c>
      <c r="D1327" s="1" t="s">
        <v>13</v>
      </c>
      <c r="E1327" s="1" t="n">
        <v>0</v>
      </c>
      <c r="F1327" s="1" t="n">
        <v>0</v>
      </c>
      <c r="G1327" s="1" t="n">
        <v>0</v>
      </c>
      <c r="H1327" s="1" t="s">
        <v>530</v>
      </c>
    </row>
    <row r="1328" customFormat="false" ht="14.25" hidden="false" customHeight="true" outlineLevel="0" collapsed="false">
      <c r="A1328" s="1" t="s">
        <v>690</v>
      </c>
      <c r="B1328" s="1" t="s">
        <v>531</v>
      </c>
      <c r="C1328" s="1" t="s">
        <v>536</v>
      </c>
      <c r="D1328" s="1" t="s">
        <v>13</v>
      </c>
      <c r="E1328" s="1" t="n">
        <v>20</v>
      </c>
      <c r="F1328" s="1" t="n">
        <v>20</v>
      </c>
      <c r="G1328" s="1" t="n">
        <v>400</v>
      </c>
      <c r="H1328" s="1" t="s">
        <v>703</v>
      </c>
    </row>
    <row r="1329" customFormat="false" ht="14.25" hidden="false" customHeight="true" outlineLevel="0" collapsed="false">
      <c r="A1329" s="1" t="s">
        <v>690</v>
      </c>
      <c r="B1329" s="1" t="s">
        <v>531</v>
      </c>
      <c r="C1329" s="1" t="s">
        <v>538</v>
      </c>
      <c r="D1329" s="1" t="s">
        <v>13</v>
      </c>
      <c r="E1329" s="1" t="n">
        <v>0</v>
      </c>
      <c r="F1329" s="1" t="n">
        <v>0</v>
      </c>
      <c r="G1329" s="1" t="n">
        <v>0</v>
      </c>
      <c r="H1329" s="1" t="s">
        <v>671</v>
      </c>
    </row>
    <row r="1330" customFormat="false" ht="14.25" hidden="false" customHeight="true" outlineLevel="0" collapsed="false">
      <c r="A1330" s="1" t="s">
        <v>690</v>
      </c>
      <c r="B1330" s="1" t="s">
        <v>531</v>
      </c>
      <c r="C1330" s="1" t="s">
        <v>545</v>
      </c>
      <c r="D1330" s="1" t="s">
        <v>13</v>
      </c>
      <c r="E1330" s="1" t="n">
        <v>0</v>
      </c>
      <c r="F1330" s="1" t="n">
        <v>0</v>
      </c>
      <c r="G1330" s="1" t="n">
        <v>0</v>
      </c>
      <c r="H1330" s="1" t="s">
        <v>671</v>
      </c>
    </row>
    <row r="1331" customFormat="false" ht="14.25" hidden="false" customHeight="true" outlineLevel="0" collapsed="false">
      <c r="A1331" s="1" t="s">
        <v>690</v>
      </c>
      <c r="B1331" s="1" t="s">
        <v>548</v>
      </c>
      <c r="C1331" s="1" t="s">
        <v>574</v>
      </c>
      <c r="D1331" s="1" t="s">
        <v>13</v>
      </c>
      <c r="E1331" s="1" t="n">
        <v>0</v>
      </c>
      <c r="F1331" s="1" t="n">
        <v>0</v>
      </c>
      <c r="G1331" s="1" t="n">
        <v>0</v>
      </c>
      <c r="H1331" s="1" t="s">
        <v>550</v>
      </c>
    </row>
    <row r="1332" customFormat="false" ht="14.25" hidden="false" customHeight="true" outlineLevel="0" collapsed="false">
      <c r="A1332" s="1" t="s">
        <v>690</v>
      </c>
      <c r="B1332" s="1" t="s">
        <v>548</v>
      </c>
      <c r="C1332" s="1" t="s">
        <v>572</v>
      </c>
      <c r="D1332" s="1" t="s">
        <v>13</v>
      </c>
      <c r="E1332" s="1" t="n">
        <v>0</v>
      </c>
      <c r="F1332" s="1" t="n">
        <v>0</v>
      </c>
      <c r="G1332" s="1" t="n">
        <v>0</v>
      </c>
      <c r="H1332" s="1" t="s">
        <v>573</v>
      </c>
    </row>
    <row r="1333" customFormat="false" ht="14.25" hidden="false" customHeight="true" outlineLevel="0" collapsed="false">
      <c r="A1333" s="1" t="s">
        <v>690</v>
      </c>
      <c r="B1333" s="1" t="s">
        <v>548</v>
      </c>
      <c r="C1333" s="1" t="s">
        <v>575</v>
      </c>
      <c r="D1333" s="1" t="s">
        <v>13</v>
      </c>
      <c r="E1333" s="1" t="n">
        <v>0</v>
      </c>
      <c r="F1333" s="1" t="n">
        <v>0</v>
      </c>
      <c r="G1333" s="1" t="n">
        <v>0</v>
      </c>
      <c r="H1333" s="1" t="s">
        <v>554</v>
      </c>
    </row>
    <row r="1334" customFormat="false" ht="14.25" hidden="false" customHeight="true" outlineLevel="0" collapsed="false">
      <c r="A1334" s="1" t="s">
        <v>690</v>
      </c>
      <c r="B1334" s="1" t="s">
        <v>548</v>
      </c>
      <c r="C1334" s="1" t="s">
        <v>576</v>
      </c>
      <c r="D1334" s="1" t="s">
        <v>13</v>
      </c>
      <c r="E1334" s="1" t="n">
        <v>0</v>
      </c>
      <c r="F1334" s="1" t="n">
        <v>0</v>
      </c>
      <c r="G1334" s="1" t="n">
        <v>0</v>
      </c>
      <c r="H1334" s="1" t="s">
        <v>560</v>
      </c>
    </row>
    <row r="1335" customFormat="false" ht="14.25" hidden="false" customHeight="true" outlineLevel="0" collapsed="false">
      <c r="A1335" s="1" t="s">
        <v>690</v>
      </c>
      <c r="B1335" s="1" t="s">
        <v>47</v>
      </c>
      <c r="C1335" s="1" t="s">
        <v>525</v>
      </c>
      <c r="D1335" s="1" t="s">
        <v>13</v>
      </c>
      <c r="E1335" s="1" t="n">
        <v>1</v>
      </c>
      <c r="F1335" s="1" t="n">
        <v>919.64</v>
      </c>
      <c r="G1335" s="1" t="n">
        <v>919.64</v>
      </c>
      <c r="H1335" s="1" t="s">
        <v>721</v>
      </c>
    </row>
    <row r="1336" customFormat="false" ht="14.25" hidden="false" customHeight="true" outlineLevel="0" collapsed="false">
      <c r="A1336" s="1" t="s">
        <v>690</v>
      </c>
      <c r="B1336" s="1" t="s">
        <v>85</v>
      </c>
      <c r="C1336" s="1" t="s">
        <v>604</v>
      </c>
      <c r="D1336" s="1" t="s">
        <v>13</v>
      </c>
      <c r="E1336" s="1" t="n">
        <v>13</v>
      </c>
      <c r="F1336" s="1" t="n">
        <v>168.74</v>
      </c>
      <c r="G1336" s="1" t="n">
        <v>2193.62</v>
      </c>
      <c r="H1336" s="1" t="s">
        <v>607</v>
      </c>
    </row>
    <row r="1337" customFormat="false" ht="14.25" hidden="false" customHeight="true" outlineLevel="0" collapsed="false">
      <c r="A1337" s="1" t="s">
        <v>690</v>
      </c>
      <c r="B1337" s="1" t="s">
        <v>32</v>
      </c>
      <c r="C1337" s="1" t="s">
        <v>608</v>
      </c>
      <c r="D1337" s="1" t="s">
        <v>13</v>
      </c>
      <c r="E1337" s="1" t="n">
        <v>1</v>
      </c>
      <c r="F1337" s="1" t="n">
        <v>609.6</v>
      </c>
      <c r="G1337" s="1" t="n">
        <v>609.6</v>
      </c>
      <c r="H1337" s="1" t="s">
        <v>609</v>
      </c>
    </row>
    <row r="1338" customFormat="false" ht="14.25" hidden="false" customHeight="true" outlineLevel="0" collapsed="false">
      <c r="A1338" s="1" t="s">
        <v>690</v>
      </c>
      <c r="B1338" s="1" t="s">
        <v>32</v>
      </c>
      <c r="C1338" s="1" t="s">
        <v>610</v>
      </c>
      <c r="D1338" s="1" t="s">
        <v>13</v>
      </c>
      <c r="E1338" s="1" t="n">
        <v>0</v>
      </c>
      <c r="F1338" s="1" t="n">
        <v>0</v>
      </c>
      <c r="G1338" s="1" t="n">
        <v>0</v>
      </c>
      <c r="H1338" s="1" t="s">
        <v>611</v>
      </c>
    </row>
    <row r="1339" customFormat="false" ht="14.25" hidden="false" customHeight="true" outlineLevel="0" collapsed="false">
      <c r="A1339" s="1" t="s">
        <v>690</v>
      </c>
      <c r="B1339" s="1" t="s">
        <v>44</v>
      </c>
      <c r="C1339" s="1" t="s">
        <v>616</v>
      </c>
      <c r="D1339" s="1" t="s">
        <v>13</v>
      </c>
      <c r="E1339" s="1" t="n">
        <v>1</v>
      </c>
      <c r="F1339" s="1" t="n">
        <v>1144.2</v>
      </c>
      <c r="G1339" s="1" t="n">
        <v>1144.2</v>
      </c>
      <c r="H1339" s="1" t="s">
        <v>662</v>
      </c>
    </row>
    <row r="1340" customFormat="false" ht="14.25" hidden="false" customHeight="true" outlineLevel="0" collapsed="false">
      <c r="A1340" s="1" t="s">
        <v>690</v>
      </c>
      <c r="B1340" s="1" t="s">
        <v>44</v>
      </c>
      <c r="C1340" s="1" t="s">
        <v>627</v>
      </c>
      <c r="D1340" s="1" t="s">
        <v>13</v>
      </c>
      <c r="E1340" s="1" t="n">
        <v>0</v>
      </c>
      <c r="F1340" s="1" t="n">
        <v>0</v>
      </c>
      <c r="G1340" s="1" t="n">
        <v>0</v>
      </c>
      <c r="H1340" s="1" t="s">
        <v>623</v>
      </c>
    </row>
    <row r="1341" customFormat="false" ht="14.25" hidden="false" customHeight="true" outlineLevel="0" collapsed="false">
      <c r="A1341" s="1" t="s">
        <v>690</v>
      </c>
      <c r="B1341" s="1" t="s">
        <v>44</v>
      </c>
      <c r="C1341" s="1" t="s">
        <v>628</v>
      </c>
      <c r="D1341" s="1" t="s">
        <v>13</v>
      </c>
      <c r="E1341" s="1" t="n">
        <v>0</v>
      </c>
      <c r="F1341" s="1" t="n">
        <v>0</v>
      </c>
      <c r="G1341" s="1" t="n">
        <v>0</v>
      </c>
      <c r="H1341" s="1" t="s">
        <v>623</v>
      </c>
    </row>
    <row r="1342" customFormat="false" ht="14.25" hidden="false" customHeight="true" outlineLevel="0" collapsed="false">
      <c r="A1342" s="1" t="s">
        <v>690</v>
      </c>
      <c r="B1342" s="1" t="s">
        <v>87</v>
      </c>
      <c r="C1342" s="1" t="s">
        <v>632</v>
      </c>
      <c r="D1342" s="1" t="s">
        <v>13</v>
      </c>
      <c r="E1342" s="1" t="n">
        <v>1</v>
      </c>
      <c r="F1342" s="1" t="n">
        <v>10</v>
      </c>
      <c r="G1342" s="1" t="n">
        <v>10</v>
      </c>
      <c r="H1342" s="1" t="s">
        <v>706</v>
      </c>
    </row>
    <row r="1343" customFormat="false" ht="14.25" hidden="false" customHeight="true" outlineLevel="0" collapsed="false">
      <c r="A1343" s="1" t="s">
        <v>690</v>
      </c>
      <c r="B1343" s="1" t="s">
        <v>87</v>
      </c>
      <c r="C1343" s="1" t="s">
        <v>632</v>
      </c>
      <c r="D1343" s="1" t="s">
        <v>13</v>
      </c>
      <c r="E1343" s="1" t="n">
        <v>2</v>
      </c>
      <c r="F1343" s="1" t="n">
        <v>50</v>
      </c>
      <c r="G1343" s="1" t="n">
        <v>100</v>
      </c>
      <c r="H1343" s="1" t="s">
        <v>706</v>
      </c>
    </row>
    <row r="1344" customFormat="false" ht="14.25" hidden="false" customHeight="true" outlineLevel="0" collapsed="false">
      <c r="A1344" s="1" t="s">
        <v>690</v>
      </c>
      <c r="B1344" s="1" t="s">
        <v>45</v>
      </c>
      <c r="C1344" s="1" t="s">
        <v>521</v>
      </c>
      <c r="D1344" s="1" t="s">
        <v>13</v>
      </c>
      <c r="E1344" s="1" t="n">
        <v>2981</v>
      </c>
      <c r="F1344" s="1" t="n">
        <v>7.19</v>
      </c>
      <c r="G1344" s="1" t="n">
        <v>21433.39</v>
      </c>
      <c r="H1344" s="1" t="s">
        <v>522</v>
      </c>
    </row>
    <row r="1345" customFormat="false" ht="14.25" hidden="false" customHeight="true" outlineLevel="0" collapsed="false">
      <c r="A1345" s="1" t="s">
        <v>690</v>
      </c>
      <c r="B1345" s="1" t="s">
        <v>447</v>
      </c>
      <c r="C1345" s="1" t="s">
        <v>448</v>
      </c>
      <c r="D1345" s="1" t="s">
        <v>16</v>
      </c>
      <c r="E1345" s="1" t="n">
        <v>0</v>
      </c>
      <c r="F1345" s="1" t="n">
        <v>0</v>
      </c>
      <c r="G1345" s="1" t="n">
        <v>0</v>
      </c>
      <c r="H1345" s="1" t="s">
        <v>452</v>
      </c>
    </row>
    <row r="1346" customFormat="false" ht="14.25" hidden="false" customHeight="true" outlineLevel="0" collapsed="false">
      <c r="A1346" s="1" t="s">
        <v>690</v>
      </c>
      <c r="B1346" s="1" t="s">
        <v>457</v>
      </c>
      <c r="C1346" s="1" t="s">
        <v>458</v>
      </c>
      <c r="D1346" s="1" t="s">
        <v>16</v>
      </c>
      <c r="E1346" s="1" t="n">
        <v>150</v>
      </c>
      <c r="F1346" s="1" t="n">
        <v>1.86</v>
      </c>
      <c r="G1346" s="1" t="n">
        <v>279</v>
      </c>
      <c r="H1346" s="1" t="s">
        <v>699</v>
      </c>
    </row>
    <row r="1347" customFormat="false" ht="14.25" hidden="false" customHeight="true" outlineLevel="0" collapsed="false">
      <c r="A1347" s="1" t="s">
        <v>690</v>
      </c>
      <c r="B1347" s="1" t="s">
        <v>457</v>
      </c>
      <c r="C1347" s="1" t="s">
        <v>503</v>
      </c>
      <c r="D1347" s="1" t="s">
        <v>16</v>
      </c>
      <c r="E1347" s="1" t="n">
        <v>1</v>
      </c>
      <c r="F1347" s="1" t="n">
        <v>483.14</v>
      </c>
      <c r="G1347" s="1" t="n">
        <v>483.14</v>
      </c>
      <c r="H1347" s="1" t="s">
        <v>720</v>
      </c>
    </row>
    <row r="1348" customFormat="false" ht="14.25" hidden="false" customHeight="true" outlineLevel="0" collapsed="false">
      <c r="A1348" s="1" t="s">
        <v>690</v>
      </c>
      <c r="B1348" s="1" t="s">
        <v>457</v>
      </c>
      <c r="C1348" s="1" t="s">
        <v>503</v>
      </c>
      <c r="D1348" s="1" t="s">
        <v>16</v>
      </c>
      <c r="E1348" s="1" t="n">
        <v>9</v>
      </c>
      <c r="F1348" s="1" t="n">
        <v>20.33</v>
      </c>
      <c r="G1348" s="1" t="n">
        <v>182.97</v>
      </c>
      <c r="H1348" s="1" t="s">
        <v>708</v>
      </c>
    </row>
    <row r="1349" customFormat="false" ht="14.25" hidden="false" customHeight="true" outlineLevel="0" collapsed="false">
      <c r="A1349" s="1" t="s">
        <v>690</v>
      </c>
      <c r="B1349" s="1" t="s">
        <v>457</v>
      </c>
      <c r="C1349" s="1" t="s">
        <v>471</v>
      </c>
      <c r="D1349" s="1" t="s">
        <v>16</v>
      </c>
      <c r="E1349" s="1" t="n">
        <v>0</v>
      </c>
      <c r="F1349" s="1" t="n">
        <v>0</v>
      </c>
      <c r="G1349" s="1" t="n">
        <v>0</v>
      </c>
      <c r="H1349" s="1" t="s">
        <v>470</v>
      </c>
    </row>
    <row r="1350" customFormat="false" ht="14.25" hidden="false" customHeight="true" outlineLevel="0" collapsed="false">
      <c r="A1350" s="1" t="s">
        <v>690</v>
      </c>
      <c r="B1350" s="1" t="s">
        <v>457</v>
      </c>
      <c r="C1350" s="1" t="s">
        <v>511</v>
      </c>
      <c r="D1350" s="1" t="s">
        <v>16</v>
      </c>
      <c r="E1350" s="1" t="n">
        <v>-4</v>
      </c>
      <c r="F1350" s="1" t="n">
        <v>341.91752195122</v>
      </c>
      <c r="G1350" s="1" t="n">
        <v>-1367.67008780488</v>
      </c>
      <c r="H1350" s="1" t="s">
        <v>722</v>
      </c>
    </row>
    <row r="1351" customFormat="false" ht="14.25" hidden="false" customHeight="true" outlineLevel="0" collapsed="false">
      <c r="A1351" s="1" t="s">
        <v>690</v>
      </c>
      <c r="B1351" s="1" t="s">
        <v>143</v>
      </c>
      <c r="C1351" s="1" t="s">
        <v>519</v>
      </c>
      <c r="D1351" s="1" t="s">
        <v>16</v>
      </c>
      <c r="E1351" s="1" t="n">
        <v>4839</v>
      </c>
      <c r="F1351" s="1" t="n">
        <v>0.250576029595696</v>
      </c>
      <c r="G1351" s="1" t="n">
        <v>1212.53740721357</v>
      </c>
      <c r="H1351" s="1" t="s">
        <v>446</v>
      </c>
    </row>
    <row r="1352" customFormat="false" ht="14.25" hidden="false" customHeight="true" outlineLevel="0" collapsed="false">
      <c r="A1352" s="1" t="s">
        <v>690</v>
      </c>
      <c r="B1352" s="1" t="s">
        <v>45</v>
      </c>
      <c r="C1352" s="1" t="s">
        <v>521</v>
      </c>
      <c r="D1352" s="1" t="s">
        <v>16</v>
      </c>
      <c r="E1352" s="1" t="n">
        <v>2548</v>
      </c>
      <c r="F1352" s="1" t="n">
        <v>7.19859497645212</v>
      </c>
      <c r="G1352" s="1" t="n">
        <v>18342.02</v>
      </c>
      <c r="H1352" s="1" t="s">
        <v>522</v>
      </c>
    </row>
    <row r="1353" customFormat="false" ht="14.25" hidden="false" customHeight="true" outlineLevel="0" collapsed="false">
      <c r="A1353" s="1" t="s">
        <v>690</v>
      </c>
      <c r="B1353" s="1" t="s">
        <v>50</v>
      </c>
      <c r="C1353" s="1" t="s">
        <v>527</v>
      </c>
      <c r="D1353" s="1" t="s">
        <v>16</v>
      </c>
      <c r="E1353" s="1" t="n">
        <v>0</v>
      </c>
      <c r="F1353" s="1" t="n">
        <v>0</v>
      </c>
      <c r="G1353" s="1" t="n">
        <v>0</v>
      </c>
      <c r="H1353" s="1" t="s">
        <v>528</v>
      </c>
    </row>
    <row r="1354" customFormat="false" ht="14.25" hidden="false" customHeight="true" outlineLevel="0" collapsed="false">
      <c r="A1354" s="1" t="s">
        <v>690</v>
      </c>
      <c r="B1354" s="1" t="s">
        <v>531</v>
      </c>
      <c r="C1354" s="1" t="s">
        <v>544</v>
      </c>
      <c r="D1354" s="1" t="s">
        <v>16</v>
      </c>
      <c r="E1354" s="1" t="n">
        <v>0</v>
      </c>
      <c r="F1354" s="1" t="n">
        <v>0</v>
      </c>
      <c r="G1354" s="1" t="n">
        <v>0</v>
      </c>
      <c r="H1354" s="1" t="s">
        <v>546</v>
      </c>
    </row>
    <row r="1355" customFormat="false" ht="14.25" hidden="false" customHeight="true" outlineLevel="0" collapsed="false">
      <c r="A1355" s="1" t="s">
        <v>690</v>
      </c>
      <c r="B1355" s="1" t="s">
        <v>531</v>
      </c>
      <c r="C1355" s="1" t="s">
        <v>536</v>
      </c>
      <c r="D1355" s="1" t="s">
        <v>16</v>
      </c>
      <c r="E1355" s="1" t="n">
        <v>4</v>
      </c>
      <c r="F1355" s="1" t="n">
        <v>20</v>
      </c>
      <c r="G1355" s="1" t="n">
        <v>80</v>
      </c>
      <c r="H1355" s="1" t="s">
        <v>703</v>
      </c>
    </row>
    <row r="1356" customFormat="false" ht="14.25" hidden="false" customHeight="true" outlineLevel="0" collapsed="false">
      <c r="A1356" s="1" t="s">
        <v>690</v>
      </c>
      <c r="B1356" s="1" t="s">
        <v>531</v>
      </c>
      <c r="C1356" s="1" t="s">
        <v>538</v>
      </c>
      <c r="D1356" s="1" t="s">
        <v>16</v>
      </c>
      <c r="E1356" s="1" t="n">
        <v>1</v>
      </c>
      <c r="F1356" s="1" t="n">
        <v>487.8</v>
      </c>
      <c r="G1356" s="1" t="n">
        <v>487.8</v>
      </c>
      <c r="H1356" s="1" t="s">
        <v>671</v>
      </c>
    </row>
    <row r="1357" customFormat="false" ht="14.25" hidden="false" customHeight="true" outlineLevel="0" collapsed="false">
      <c r="A1357" s="1" t="s">
        <v>690</v>
      </c>
      <c r="B1357" s="1" t="s">
        <v>531</v>
      </c>
      <c r="C1357" s="1" t="s">
        <v>545</v>
      </c>
      <c r="D1357" s="1" t="s">
        <v>16</v>
      </c>
      <c r="E1357" s="1" t="n">
        <v>0</v>
      </c>
      <c r="F1357" s="1" t="n">
        <v>0</v>
      </c>
      <c r="G1357" s="1" t="n">
        <v>0</v>
      </c>
      <c r="H1357" s="1" t="s">
        <v>704</v>
      </c>
    </row>
    <row r="1358" customFormat="false" ht="14.25" hidden="false" customHeight="true" outlineLevel="0" collapsed="false">
      <c r="A1358" s="1" t="s">
        <v>690</v>
      </c>
      <c r="B1358" s="1" t="s">
        <v>548</v>
      </c>
      <c r="C1358" s="1" t="s">
        <v>577</v>
      </c>
      <c r="D1358" s="1" t="s">
        <v>16</v>
      </c>
      <c r="E1358" s="1" t="n">
        <v>0</v>
      </c>
      <c r="F1358" s="1" t="n">
        <v>0</v>
      </c>
      <c r="G1358" s="1" t="n">
        <v>0</v>
      </c>
      <c r="H1358" s="1" t="s">
        <v>558</v>
      </c>
    </row>
    <row r="1359" customFormat="false" ht="14.25" hidden="false" customHeight="true" outlineLevel="0" collapsed="false">
      <c r="A1359" s="1" t="s">
        <v>690</v>
      </c>
      <c r="B1359" s="1" t="s">
        <v>548</v>
      </c>
      <c r="C1359" s="1" t="s">
        <v>572</v>
      </c>
      <c r="D1359" s="1" t="s">
        <v>16</v>
      </c>
      <c r="E1359" s="1" t="n">
        <v>0</v>
      </c>
      <c r="F1359" s="1" t="n">
        <v>0</v>
      </c>
      <c r="G1359" s="1" t="n">
        <v>0</v>
      </c>
      <c r="H1359" s="1" t="s">
        <v>558</v>
      </c>
    </row>
    <row r="1360" customFormat="false" ht="14.25" hidden="false" customHeight="true" outlineLevel="0" collapsed="false">
      <c r="A1360" s="1" t="s">
        <v>690</v>
      </c>
      <c r="B1360" s="1" t="s">
        <v>548</v>
      </c>
      <c r="C1360" s="1" t="s">
        <v>578</v>
      </c>
      <c r="D1360" s="1" t="s">
        <v>16</v>
      </c>
      <c r="E1360" s="1" t="n">
        <v>0</v>
      </c>
      <c r="F1360" s="1" t="n">
        <v>0</v>
      </c>
      <c r="G1360" s="1" t="n">
        <v>0</v>
      </c>
      <c r="H1360" s="1" t="s">
        <v>571</v>
      </c>
    </row>
    <row r="1361" customFormat="false" ht="14.25" hidden="false" customHeight="true" outlineLevel="0" collapsed="false">
      <c r="A1361" s="1" t="s">
        <v>690</v>
      </c>
      <c r="B1361" s="1" t="s">
        <v>548</v>
      </c>
      <c r="C1361" s="1" t="s">
        <v>576</v>
      </c>
      <c r="D1361" s="1" t="s">
        <v>16</v>
      </c>
      <c r="E1361" s="1" t="n">
        <v>0</v>
      </c>
      <c r="F1361" s="1" t="n">
        <v>0</v>
      </c>
      <c r="G1361" s="1" t="n">
        <v>0</v>
      </c>
      <c r="H1361" s="1" t="s">
        <v>579</v>
      </c>
    </row>
    <row r="1362" customFormat="false" ht="14.25" hidden="false" customHeight="true" outlineLevel="0" collapsed="false">
      <c r="A1362" s="1" t="s">
        <v>690</v>
      </c>
      <c r="B1362" s="1" t="s">
        <v>47</v>
      </c>
      <c r="C1362" s="1" t="s">
        <v>525</v>
      </c>
      <c r="D1362" s="1" t="s">
        <v>16</v>
      </c>
      <c r="E1362" s="1" t="n">
        <v>0</v>
      </c>
      <c r="F1362" s="1" t="n">
        <v>0</v>
      </c>
      <c r="G1362" s="1" t="n">
        <v>0</v>
      </c>
      <c r="H1362" s="1" t="s">
        <v>601</v>
      </c>
    </row>
    <row r="1363" customFormat="false" ht="14.25" hidden="false" customHeight="true" outlineLevel="0" collapsed="false">
      <c r="A1363" s="1" t="s">
        <v>690</v>
      </c>
      <c r="B1363" s="1" t="s">
        <v>85</v>
      </c>
      <c r="C1363" s="1" t="s">
        <v>604</v>
      </c>
      <c r="D1363" s="1" t="s">
        <v>16</v>
      </c>
      <c r="E1363" s="1" t="n">
        <v>1</v>
      </c>
      <c r="F1363" s="1" t="n">
        <v>143.82</v>
      </c>
      <c r="G1363" s="1" t="n">
        <v>143.82</v>
      </c>
      <c r="H1363" s="1" t="s">
        <v>607</v>
      </c>
    </row>
    <row r="1364" customFormat="false" ht="14.25" hidden="false" customHeight="true" outlineLevel="0" collapsed="false">
      <c r="A1364" s="1" t="s">
        <v>690</v>
      </c>
      <c r="B1364" s="1" t="s">
        <v>32</v>
      </c>
      <c r="C1364" s="1" t="s">
        <v>608</v>
      </c>
      <c r="D1364" s="1" t="s">
        <v>16</v>
      </c>
      <c r="E1364" s="1" t="n">
        <v>0</v>
      </c>
      <c r="F1364" s="1" t="n">
        <v>0</v>
      </c>
      <c r="G1364" s="1" t="n">
        <v>0</v>
      </c>
      <c r="H1364" s="1" t="s">
        <v>609</v>
      </c>
    </row>
    <row r="1365" customFormat="false" ht="14.25" hidden="false" customHeight="true" outlineLevel="0" collapsed="false">
      <c r="A1365" s="1" t="s">
        <v>690</v>
      </c>
      <c r="B1365" s="1" t="s">
        <v>44</v>
      </c>
      <c r="C1365" s="1" t="s">
        <v>616</v>
      </c>
      <c r="D1365" s="1" t="s">
        <v>16</v>
      </c>
      <c r="E1365" s="1" t="n">
        <v>-1</v>
      </c>
      <c r="F1365" s="1" t="n">
        <v>247.34</v>
      </c>
      <c r="G1365" s="1" t="n">
        <v>-247.34</v>
      </c>
      <c r="H1365" s="1" t="s">
        <v>663</v>
      </c>
    </row>
    <row r="1366" customFormat="false" ht="14.25" hidden="false" customHeight="true" outlineLevel="0" collapsed="false">
      <c r="A1366" s="1" t="s">
        <v>690</v>
      </c>
      <c r="B1366" s="1" t="s">
        <v>87</v>
      </c>
      <c r="C1366" s="1" t="s">
        <v>632</v>
      </c>
      <c r="D1366" s="1" t="s">
        <v>16</v>
      </c>
      <c r="E1366" s="1" t="n">
        <v>1</v>
      </c>
      <c r="F1366" s="1" t="n">
        <v>50</v>
      </c>
      <c r="G1366" s="1" t="n">
        <v>50</v>
      </c>
      <c r="H1366" s="1" t="s">
        <v>706</v>
      </c>
    </row>
    <row r="1367" customFormat="false" ht="14.25" hidden="false" customHeight="true" outlineLevel="0" collapsed="false">
      <c r="A1367" s="1" t="s">
        <v>690</v>
      </c>
      <c r="B1367" s="1" t="s">
        <v>457</v>
      </c>
      <c r="C1367" s="1" t="s">
        <v>649</v>
      </c>
      <c r="D1367" s="1" t="s">
        <v>17</v>
      </c>
      <c r="E1367" s="1" t="n">
        <v>0</v>
      </c>
      <c r="F1367" s="1" t="n">
        <v>0</v>
      </c>
      <c r="G1367" s="1" t="n">
        <v>0</v>
      </c>
      <c r="H1367" s="1" t="s">
        <v>470</v>
      </c>
    </row>
    <row r="1368" customFormat="false" ht="14.25" hidden="false" customHeight="true" outlineLevel="0" collapsed="false">
      <c r="A1368" s="1" t="s">
        <v>690</v>
      </c>
      <c r="B1368" s="1" t="s">
        <v>457</v>
      </c>
      <c r="C1368" s="1" t="s">
        <v>471</v>
      </c>
      <c r="D1368" s="1" t="s">
        <v>17</v>
      </c>
      <c r="E1368" s="1" t="n">
        <v>3</v>
      </c>
      <c r="F1368" s="1" t="n">
        <v>348.349782230624</v>
      </c>
      <c r="G1368" s="1" t="n">
        <v>1045.04934669187</v>
      </c>
      <c r="H1368" s="1" t="s">
        <v>670</v>
      </c>
    </row>
    <row r="1369" customFormat="false" ht="14.25" hidden="false" customHeight="true" outlineLevel="0" collapsed="false">
      <c r="A1369" s="1" t="s">
        <v>690</v>
      </c>
      <c r="B1369" s="1" t="s">
        <v>457</v>
      </c>
      <c r="C1369" s="1" t="s">
        <v>516</v>
      </c>
      <c r="D1369" s="1" t="s">
        <v>17</v>
      </c>
      <c r="E1369" s="1" t="n">
        <v>0</v>
      </c>
      <c r="F1369" s="1" t="n">
        <v>0</v>
      </c>
      <c r="G1369" s="1" t="n">
        <v>0</v>
      </c>
    </row>
    <row r="1370" customFormat="false" ht="14.25" hidden="false" customHeight="true" outlineLevel="0" collapsed="false">
      <c r="A1370" s="1" t="s">
        <v>690</v>
      </c>
      <c r="B1370" s="1" t="s">
        <v>457</v>
      </c>
      <c r="C1370" s="1" t="s">
        <v>506</v>
      </c>
      <c r="D1370" s="1" t="s">
        <v>17</v>
      </c>
      <c r="E1370" s="1" t="n">
        <v>-1</v>
      </c>
      <c r="F1370" s="1" t="n">
        <v>430.994756521739</v>
      </c>
      <c r="G1370" s="1" t="n">
        <v>-430.994756521739</v>
      </c>
    </row>
    <row r="1371" customFormat="false" ht="14.25" hidden="false" customHeight="true" outlineLevel="0" collapsed="false">
      <c r="A1371" s="1" t="s">
        <v>690</v>
      </c>
      <c r="B1371" s="1" t="s">
        <v>457</v>
      </c>
      <c r="C1371" s="1" t="s">
        <v>517</v>
      </c>
      <c r="D1371" s="1" t="s">
        <v>17</v>
      </c>
      <c r="E1371" s="1" t="n">
        <v>-27</v>
      </c>
      <c r="F1371" s="1" t="n">
        <v>430.994756521739</v>
      </c>
      <c r="G1371" s="1" t="n">
        <v>-11636.858426087</v>
      </c>
      <c r="H1371" s="1" t="s">
        <v>722</v>
      </c>
    </row>
    <row r="1372" customFormat="false" ht="14.25" hidden="false" customHeight="true" outlineLevel="0" collapsed="false">
      <c r="A1372" s="1" t="s">
        <v>690</v>
      </c>
      <c r="B1372" s="1" t="s">
        <v>143</v>
      </c>
      <c r="C1372" s="1" t="s">
        <v>519</v>
      </c>
      <c r="D1372" s="1" t="s">
        <v>17</v>
      </c>
      <c r="E1372" s="1" t="n">
        <v>4839</v>
      </c>
      <c r="F1372" s="1" t="n">
        <v>0.250576029595696</v>
      </c>
      <c r="G1372" s="1" t="n">
        <v>1212.53740721357</v>
      </c>
      <c r="H1372" s="1" t="s">
        <v>446</v>
      </c>
    </row>
    <row r="1373" customFormat="false" ht="14.25" hidden="false" customHeight="true" outlineLevel="0" collapsed="false">
      <c r="A1373" s="1" t="s">
        <v>690</v>
      </c>
      <c r="B1373" s="1" t="s">
        <v>45</v>
      </c>
      <c r="C1373" s="1" t="s">
        <v>523</v>
      </c>
      <c r="D1373" s="1" t="s">
        <v>17</v>
      </c>
      <c r="E1373" s="1" t="n">
        <v>0</v>
      </c>
      <c r="F1373" s="1" t="n">
        <v>0</v>
      </c>
      <c r="G1373" s="1" t="n">
        <v>0</v>
      </c>
      <c r="H1373" s="1" t="s">
        <v>524</v>
      </c>
    </row>
    <row r="1374" customFormat="false" ht="14.25" hidden="false" customHeight="true" outlineLevel="0" collapsed="false">
      <c r="A1374" s="1" t="s">
        <v>690</v>
      </c>
      <c r="B1374" s="1" t="s">
        <v>50</v>
      </c>
      <c r="C1374" s="1" t="s">
        <v>527</v>
      </c>
      <c r="D1374" s="1" t="s">
        <v>17</v>
      </c>
      <c r="E1374" s="1" t="n">
        <v>0</v>
      </c>
      <c r="F1374" s="1" t="n">
        <v>0</v>
      </c>
      <c r="G1374" s="1" t="n">
        <v>0</v>
      </c>
      <c r="H1374" s="1" t="s">
        <v>528</v>
      </c>
    </row>
    <row r="1375" customFormat="false" ht="14.25" hidden="false" customHeight="true" outlineLevel="0" collapsed="false">
      <c r="A1375" s="1" t="s">
        <v>690</v>
      </c>
      <c r="B1375" s="1" t="s">
        <v>531</v>
      </c>
      <c r="C1375" s="1" t="s">
        <v>532</v>
      </c>
      <c r="D1375" s="1" t="s">
        <v>17</v>
      </c>
      <c r="E1375" s="1" t="n">
        <v>0</v>
      </c>
      <c r="F1375" s="1" t="n">
        <v>0</v>
      </c>
      <c r="G1375" s="1" t="n">
        <v>0</v>
      </c>
      <c r="H1375" s="1" t="s">
        <v>547</v>
      </c>
    </row>
    <row r="1376" customFormat="false" ht="14.25" hidden="false" customHeight="true" outlineLevel="0" collapsed="false">
      <c r="A1376" s="1" t="s">
        <v>690</v>
      </c>
      <c r="B1376" s="1" t="s">
        <v>531</v>
      </c>
      <c r="C1376" s="1" t="s">
        <v>536</v>
      </c>
      <c r="D1376" s="1" t="s">
        <v>17</v>
      </c>
      <c r="E1376" s="1" t="n">
        <v>8</v>
      </c>
      <c r="F1376" s="1" t="n">
        <v>20</v>
      </c>
      <c r="G1376" s="1" t="n">
        <v>160</v>
      </c>
      <c r="H1376" s="1" t="s">
        <v>703</v>
      </c>
    </row>
    <row r="1377" customFormat="false" ht="14.25" hidden="false" customHeight="true" outlineLevel="0" collapsed="false">
      <c r="A1377" s="1" t="s">
        <v>690</v>
      </c>
      <c r="B1377" s="1" t="s">
        <v>531</v>
      </c>
      <c r="C1377" s="1" t="s">
        <v>538</v>
      </c>
      <c r="D1377" s="1" t="s">
        <v>17</v>
      </c>
      <c r="E1377" s="1" t="n">
        <v>1</v>
      </c>
      <c r="F1377" s="1" t="n">
        <v>753.05</v>
      </c>
      <c r="G1377" s="1" t="n">
        <v>753.05</v>
      </c>
      <c r="H1377" s="1" t="s">
        <v>538</v>
      </c>
    </row>
    <row r="1378" customFormat="false" ht="14.25" hidden="false" customHeight="true" outlineLevel="0" collapsed="false">
      <c r="A1378" s="1" t="s">
        <v>690</v>
      </c>
      <c r="B1378" s="1" t="s">
        <v>531</v>
      </c>
      <c r="C1378" s="1" t="s">
        <v>540</v>
      </c>
      <c r="D1378" s="1" t="s">
        <v>17</v>
      </c>
      <c r="E1378" s="1" t="n">
        <v>1</v>
      </c>
      <c r="F1378" s="1" t="n">
        <v>384</v>
      </c>
      <c r="G1378" s="1" t="n">
        <v>384</v>
      </c>
      <c r="H1378" s="1" t="s">
        <v>704</v>
      </c>
    </row>
    <row r="1379" customFormat="false" ht="14.25" hidden="false" customHeight="true" outlineLevel="0" collapsed="false">
      <c r="A1379" s="1" t="s">
        <v>690</v>
      </c>
      <c r="B1379" s="1" t="s">
        <v>548</v>
      </c>
      <c r="C1379" s="1" t="s">
        <v>580</v>
      </c>
      <c r="D1379" s="1" t="s">
        <v>17</v>
      </c>
      <c r="E1379" s="1" t="n">
        <v>4839</v>
      </c>
      <c r="F1379" s="1" t="n">
        <v>0.73</v>
      </c>
      <c r="G1379" s="1" t="n">
        <v>3532.47</v>
      </c>
      <c r="H1379" s="1" t="s">
        <v>446</v>
      </c>
    </row>
    <row r="1380" customFormat="false" ht="14.25" hidden="false" customHeight="true" outlineLevel="0" collapsed="false">
      <c r="A1380" s="1" t="s">
        <v>690</v>
      </c>
      <c r="B1380" s="1" t="s">
        <v>548</v>
      </c>
      <c r="C1380" s="1" t="s">
        <v>581</v>
      </c>
      <c r="D1380" s="1" t="s">
        <v>17</v>
      </c>
      <c r="E1380" s="1" t="n">
        <v>1</v>
      </c>
      <c r="F1380" s="1" t="n">
        <v>922.18</v>
      </c>
      <c r="G1380" s="1" t="n">
        <v>922.18</v>
      </c>
      <c r="H1380" s="1" t="s">
        <v>558</v>
      </c>
    </row>
    <row r="1381" customFormat="false" ht="14.25" hidden="false" customHeight="true" outlineLevel="0" collapsed="false">
      <c r="A1381" s="1" t="s">
        <v>690</v>
      </c>
      <c r="B1381" s="1" t="s">
        <v>548</v>
      </c>
      <c r="C1381" s="1" t="s">
        <v>582</v>
      </c>
      <c r="D1381" s="1" t="s">
        <v>17</v>
      </c>
      <c r="E1381" s="1" t="n">
        <v>0</v>
      </c>
      <c r="F1381" s="1" t="n">
        <v>0</v>
      </c>
      <c r="G1381" s="1" t="n">
        <v>0</v>
      </c>
      <c r="H1381" s="1" t="s">
        <v>558</v>
      </c>
    </row>
    <row r="1382" customFormat="false" ht="14.25" hidden="false" customHeight="true" outlineLevel="0" collapsed="false">
      <c r="A1382" s="1" t="s">
        <v>690</v>
      </c>
      <c r="B1382" s="1" t="s">
        <v>548</v>
      </c>
      <c r="C1382" s="1" t="s">
        <v>583</v>
      </c>
      <c r="D1382" s="1" t="s">
        <v>17</v>
      </c>
      <c r="E1382" s="1" t="n">
        <v>1</v>
      </c>
      <c r="F1382" s="1" t="n">
        <v>4711.01</v>
      </c>
      <c r="G1382" s="1" t="n">
        <v>4711.01</v>
      </c>
      <c r="H1382" s="1" t="s">
        <v>579</v>
      </c>
    </row>
    <row r="1383" customFormat="false" ht="14.25" hidden="false" customHeight="true" outlineLevel="0" collapsed="false">
      <c r="A1383" s="1" t="s">
        <v>690</v>
      </c>
      <c r="B1383" s="1" t="s">
        <v>548</v>
      </c>
      <c r="C1383" s="1" t="s">
        <v>584</v>
      </c>
      <c r="D1383" s="1" t="s">
        <v>17</v>
      </c>
      <c r="E1383" s="1" t="n">
        <v>0</v>
      </c>
      <c r="F1383" s="1" t="n">
        <v>0</v>
      </c>
      <c r="G1383" s="1" t="n">
        <v>0</v>
      </c>
      <c r="H1383" s="1" t="s">
        <v>571</v>
      </c>
    </row>
    <row r="1384" customFormat="false" ht="14.25" hidden="false" customHeight="true" outlineLevel="0" collapsed="false">
      <c r="A1384" s="1" t="s">
        <v>690</v>
      </c>
      <c r="B1384" s="1" t="s">
        <v>457</v>
      </c>
      <c r="C1384" s="1" t="s">
        <v>707</v>
      </c>
      <c r="D1384" s="1" t="s">
        <v>17</v>
      </c>
      <c r="E1384" s="1" t="n">
        <v>1</v>
      </c>
      <c r="F1384" s="1" t="n">
        <v>25.5</v>
      </c>
      <c r="G1384" s="1" t="n">
        <v>25.5</v>
      </c>
      <c r="H1384" s="1" t="s">
        <v>512</v>
      </c>
    </row>
    <row r="1385" customFormat="false" ht="14.25" hidden="false" customHeight="true" outlineLevel="0" collapsed="false">
      <c r="A1385" s="1" t="s">
        <v>690</v>
      </c>
      <c r="B1385" s="1" t="s">
        <v>585</v>
      </c>
      <c r="C1385" s="1" t="s">
        <v>589</v>
      </c>
      <c r="D1385" s="1" t="s">
        <v>17</v>
      </c>
      <c r="E1385" s="1" t="n">
        <v>1</v>
      </c>
      <c r="F1385" s="1" t="n">
        <v>67.33</v>
      </c>
      <c r="G1385" s="1" t="n">
        <v>67.33</v>
      </c>
      <c r="H1385" s="1" t="s">
        <v>598</v>
      </c>
    </row>
    <row r="1386" customFormat="false" ht="14.25" hidden="false" customHeight="true" outlineLevel="0" collapsed="false">
      <c r="A1386" s="1" t="s">
        <v>690</v>
      </c>
      <c r="B1386" s="1" t="s">
        <v>585</v>
      </c>
      <c r="C1386" s="1" t="s">
        <v>589</v>
      </c>
      <c r="D1386" s="1" t="s">
        <v>17</v>
      </c>
      <c r="E1386" s="1" t="n">
        <v>-1</v>
      </c>
      <c r="F1386" s="1" t="n">
        <v>510</v>
      </c>
      <c r="G1386" s="1" t="n">
        <v>-510</v>
      </c>
      <c r="H1386" s="1" t="s">
        <v>723</v>
      </c>
    </row>
    <row r="1387" customFormat="false" ht="14.25" hidden="false" customHeight="true" outlineLevel="0" collapsed="false">
      <c r="A1387" s="1" t="s">
        <v>690</v>
      </c>
      <c r="B1387" s="1" t="s">
        <v>47</v>
      </c>
      <c r="C1387" s="1" t="s">
        <v>525</v>
      </c>
      <c r="D1387" s="1" t="s">
        <v>17</v>
      </c>
      <c r="E1387" s="1" t="n">
        <v>0</v>
      </c>
      <c r="F1387" s="1" t="n">
        <v>0</v>
      </c>
      <c r="G1387" s="1" t="n">
        <v>0</v>
      </c>
      <c r="H1387" s="1" t="s">
        <v>675</v>
      </c>
    </row>
    <row r="1388" customFormat="false" ht="14.25" hidden="false" customHeight="true" outlineLevel="0" collapsed="false">
      <c r="A1388" s="1" t="s">
        <v>690</v>
      </c>
      <c r="B1388" s="1" t="s">
        <v>32</v>
      </c>
      <c r="C1388" s="1" t="s">
        <v>608</v>
      </c>
      <c r="D1388" s="1" t="s">
        <v>17</v>
      </c>
      <c r="E1388" s="1" t="n">
        <v>0</v>
      </c>
      <c r="F1388" s="1" t="n">
        <v>0</v>
      </c>
      <c r="G1388" s="1" t="n">
        <v>0</v>
      </c>
      <c r="H1388" s="1" t="s">
        <v>609</v>
      </c>
    </row>
    <row r="1389" customFormat="false" ht="14.25" hidden="false" customHeight="true" outlineLevel="0" collapsed="false">
      <c r="A1389" s="1" t="s">
        <v>690</v>
      </c>
      <c r="B1389" s="1" t="s">
        <v>32</v>
      </c>
      <c r="C1389" s="1" t="s">
        <v>610</v>
      </c>
      <c r="D1389" s="1" t="s">
        <v>17</v>
      </c>
      <c r="E1389" s="1" t="n">
        <v>0</v>
      </c>
      <c r="F1389" s="1" t="n">
        <v>0</v>
      </c>
      <c r="G1389" s="1" t="n">
        <v>0</v>
      </c>
      <c r="H1389" s="1" t="s">
        <v>724</v>
      </c>
    </row>
    <row r="1390" customFormat="false" ht="14.25" hidden="false" customHeight="true" outlineLevel="0" collapsed="false">
      <c r="A1390" s="1" t="s">
        <v>690</v>
      </c>
      <c r="B1390" s="1" t="s">
        <v>44</v>
      </c>
      <c r="C1390" s="1" t="s">
        <v>616</v>
      </c>
      <c r="D1390" s="1" t="s">
        <v>17</v>
      </c>
      <c r="E1390" s="1" t="n">
        <v>1</v>
      </c>
      <c r="F1390" s="1" t="n">
        <v>757.25</v>
      </c>
      <c r="G1390" s="1" t="n">
        <v>757.25</v>
      </c>
      <c r="H1390" s="1" t="s">
        <v>662</v>
      </c>
    </row>
    <row r="1391" customFormat="false" ht="14.25" hidden="false" customHeight="true" outlineLevel="0" collapsed="false">
      <c r="A1391" s="1" t="s">
        <v>690</v>
      </c>
      <c r="B1391" s="1" t="s">
        <v>44</v>
      </c>
      <c r="C1391" s="1" t="s">
        <v>616</v>
      </c>
      <c r="D1391" s="1" t="s">
        <v>17</v>
      </c>
      <c r="E1391" s="1" t="n">
        <v>-1</v>
      </c>
      <c r="F1391" s="1" t="n">
        <v>1197.53</v>
      </c>
      <c r="G1391" s="1" t="n">
        <v>-1197.53</v>
      </c>
      <c r="H1391" s="1" t="s">
        <v>663</v>
      </c>
    </row>
    <row r="1392" customFormat="false" ht="14.25" hidden="false" customHeight="true" outlineLevel="0" collapsed="false">
      <c r="A1392" s="1" t="s">
        <v>690</v>
      </c>
      <c r="B1392" s="1" t="s">
        <v>44</v>
      </c>
      <c r="C1392" s="1" t="s">
        <v>631</v>
      </c>
      <c r="D1392" s="1" t="s">
        <v>17</v>
      </c>
      <c r="E1392" s="1" t="n">
        <v>0</v>
      </c>
      <c r="F1392" s="1" t="n">
        <v>0</v>
      </c>
      <c r="G1392" s="1" t="n">
        <v>0</v>
      </c>
      <c r="H1392" s="1" t="s">
        <v>619</v>
      </c>
    </row>
    <row r="1393" customFormat="false" ht="14.25" hidden="false" customHeight="true" outlineLevel="0" collapsed="false">
      <c r="A1393" s="1" t="s">
        <v>690</v>
      </c>
      <c r="B1393" s="1" t="s">
        <v>44</v>
      </c>
      <c r="C1393" s="1" t="s">
        <v>625</v>
      </c>
      <c r="D1393" s="1" t="s">
        <v>17</v>
      </c>
      <c r="E1393" s="1" t="n">
        <v>0</v>
      </c>
      <c r="F1393" s="1" t="n">
        <v>0</v>
      </c>
      <c r="G1393" s="1" t="n">
        <v>0</v>
      </c>
      <c r="H1393" s="1" t="s">
        <v>623</v>
      </c>
    </row>
    <row r="1394" customFormat="false" ht="14.25" hidden="false" customHeight="true" outlineLevel="0" collapsed="false">
      <c r="A1394" s="1" t="s">
        <v>690</v>
      </c>
      <c r="B1394" s="1" t="s">
        <v>87</v>
      </c>
      <c r="C1394" s="1" t="s">
        <v>632</v>
      </c>
      <c r="D1394" s="1" t="s">
        <v>17</v>
      </c>
      <c r="E1394" s="1" t="n">
        <v>1</v>
      </c>
      <c r="F1394" s="1" t="n">
        <v>90</v>
      </c>
      <c r="G1394" s="1" t="n">
        <v>90</v>
      </c>
      <c r="H1394" s="1" t="s">
        <v>706</v>
      </c>
    </row>
    <row r="1395" customFormat="false" ht="14.25" hidden="false" customHeight="true" outlineLevel="0" collapsed="false">
      <c r="A1395" s="1" t="s">
        <v>690</v>
      </c>
      <c r="B1395" s="1" t="s">
        <v>87</v>
      </c>
      <c r="C1395" s="1" t="s">
        <v>632</v>
      </c>
      <c r="D1395" s="1" t="s">
        <v>17</v>
      </c>
      <c r="E1395" s="1" t="n">
        <v>2</v>
      </c>
      <c r="F1395" s="1" t="n">
        <v>10</v>
      </c>
      <c r="G1395" s="1" t="n">
        <v>20</v>
      </c>
      <c r="H1395" s="1" t="s">
        <v>706</v>
      </c>
    </row>
    <row r="1396" customFormat="false" ht="14.25" hidden="false" customHeight="true" outlineLevel="0" collapsed="false">
      <c r="A1396" s="1" t="s">
        <v>690</v>
      </c>
      <c r="B1396" s="1" t="s">
        <v>87</v>
      </c>
      <c r="C1396" s="1" t="s">
        <v>632</v>
      </c>
      <c r="D1396" s="1" t="s">
        <v>17</v>
      </c>
      <c r="E1396" s="1" t="n">
        <v>3</v>
      </c>
      <c r="F1396" s="1" t="n">
        <v>50</v>
      </c>
      <c r="G1396" s="1" t="n">
        <v>150</v>
      </c>
      <c r="H1396" s="1" t="s">
        <v>706</v>
      </c>
    </row>
    <row r="1397" customFormat="false" ht="14.25" hidden="false" customHeight="true" outlineLevel="0" collapsed="false">
      <c r="A1397" s="1" t="s">
        <v>690</v>
      </c>
      <c r="B1397" s="1" t="s">
        <v>45</v>
      </c>
      <c r="C1397" s="1" t="s">
        <v>521</v>
      </c>
      <c r="D1397" s="1" t="s">
        <v>17</v>
      </c>
      <c r="E1397" s="1" t="n">
        <v>1</v>
      </c>
      <c r="F1397" s="1" t="n">
        <v>25021.2</v>
      </c>
      <c r="G1397" s="1" t="n">
        <v>25021.2</v>
      </c>
      <c r="H1397" s="1" t="s">
        <v>522</v>
      </c>
    </row>
    <row r="1398" customFormat="false" ht="14.25" hidden="false" customHeight="true" outlineLevel="0" collapsed="false">
      <c r="A1398" s="1" t="s">
        <v>690</v>
      </c>
      <c r="B1398" s="1" t="s">
        <v>457</v>
      </c>
      <c r="C1398" s="1" t="s">
        <v>458</v>
      </c>
      <c r="D1398" s="1" t="s">
        <v>17</v>
      </c>
      <c r="E1398" s="1" t="n">
        <v>323</v>
      </c>
      <c r="F1398" s="1" t="n">
        <v>1.86</v>
      </c>
      <c r="G1398" s="1" t="n">
        <v>600.78</v>
      </c>
      <c r="H1398" s="1" t="s">
        <v>699</v>
      </c>
    </row>
    <row r="1399" customFormat="false" ht="14.25" hidden="false" customHeight="true" outlineLevel="0" collapsed="false">
      <c r="A1399" s="1" t="s">
        <v>690</v>
      </c>
      <c r="B1399" s="1" t="s">
        <v>85</v>
      </c>
      <c r="C1399" s="1" t="s">
        <v>604</v>
      </c>
      <c r="D1399" s="1" t="s">
        <v>17</v>
      </c>
      <c r="E1399" s="1" t="n">
        <v>13</v>
      </c>
      <c r="F1399" s="1" t="n">
        <v>154.89</v>
      </c>
      <c r="G1399" s="1" t="n">
        <v>2013.57</v>
      </c>
      <c r="H1399" s="1" t="s">
        <v>607</v>
      </c>
    </row>
    <row r="1400" customFormat="false" ht="14.25" hidden="false" customHeight="true" outlineLevel="0" collapsed="false">
      <c r="A1400" s="1" t="s">
        <v>690</v>
      </c>
      <c r="B1400" s="1" t="s">
        <v>457</v>
      </c>
      <c r="C1400" s="1" t="s">
        <v>725</v>
      </c>
      <c r="D1400" s="1" t="s">
        <v>17</v>
      </c>
      <c r="E1400" s="1" t="n">
        <v>-1</v>
      </c>
      <c r="F1400" s="1" t="n">
        <v>430.994756521739</v>
      </c>
      <c r="G1400" s="1" t="n">
        <v>-430.994756521739</v>
      </c>
      <c r="H1400" s="1" t="s">
        <v>670</v>
      </c>
    </row>
    <row r="1401" customFormat="false" ht="14.25" hidden="false" customHeight="true" outlineLevel="0" collapsed="false">
      <c r="A1401" s="1" t="s">
        <v>690</v>
      </c>
      <c r="B1401" s="1" t="s">
        <v>45</v>
      </c>
      <c r="C1401" s="1" t="s">
        <v>726</v>
      </c>
      <c r="D1401" s="1" t="s">
        <v>12</v>
      </c>
      <c r="E1401" s="1" t="n">
        <v>1</v>
      </c>
      <c r="F1401" s="1" t="n">
        <v>176</v>
      </c>
      <c r="G1401" s="1" t="n">
        <v>176</v>
      </c>
      <c r="H1401" s="1" t="s">
        <v>727</v>
      </c>
    </row>
    <row r="1402" customFormat="false" ht="14.25" hidden="false" customHeight="true" outlineLevel="0" collapsed="false">
      <c r="A1402" s="1" t="s">
        <v>690</v>
      </c>
      <c r="B1402" s="1" t="s">
        <v>457</v>
      </c>
      <c r="C1402" s="1" t="s">
        <v>725</v>
      </c>
      <c r="D1402" s="1" t="s">
        <v>12</v>
      </c>
      <c r="E1402" s="1" t="n">
        <v>1</v>
      </c>
      <c r="F1402" s="1" t="n">
        <v>430.994756521739</v>
      </c>
      <c r="G1402" s="1" t="n">
        <v>430.994756521739</v>
      </c>
      <c r="H1402" s="1" t="s">
        <v>670</v>
      </c>
    </row>
    <row r="1403" customFormat="false" ht="14.25" hidden="false" customHeight="true" outlineLevel="0" collapsed="false">
      <c r="A1403" s="1" t="s">
        <v>690</v>
      </c>
      <c r="B1403" s="1" t="s">
        <v>457</v>
      </c>
      <c r="C1403" s="1" t="s">
        <v>728</v>
      </c>
      <c r="D1403" s="1" t="s">
        <v>16</v>
      </c>
      <c r="E1403" s="1" t="n">
        <v>-1</v>
      </c>
      <c r="F1403" s="1" t="n">
        <v>341.91752195122</v>
      </c>
      <c r="G1403" s="1" t="n">
        <v>-341.91752195122</v>
      </c>
      <c r="H1403" s="1" t="s">
        <v>670</v>
      </c>
    </row>
    <row r="1404" customFormat="false" ht="14.25" hidden="false" customHeight="true" outlineLevel="0" collapsed="false">
      <c r="A1404" s="1" t="s">
        <v>690</v>
      </c>
      <c r="B1404" s="1" t="s">
        <v>457</v>
      </c>
      <c r="C1404" s="1" t="s">
        <v>728</v>
      </c>
      <c r="D1404" s="1" t="s">
        <v>15</v>
      </c>
      <c r="E1404" s="1" t="n">
        <v>1</v>
      </c>
      <c r="F1404" s="1" t="n">
        <v>341.91752195122</v>
      </c>
      <c r="G1404" s="1" t="n">
        <v>341.91752195122</v>
      </c>
      <c r="H1404" s="1" t="s">
        <v>670</v>
      </c>
    </row>
    <row r="1405" customFormat="false" ht="14.25" hidden="false" customHeight="true" outlineLevel="0" collapsed="false">
      <c r="A1405" s="1" t="s">
        <v>690</v>
      </c>
      <c r="B1405" s="1" t="s">
        <v>457</v>
      </c>
      <c r="C1405" s="1" t="s">
        <v>729</v>
      </c>
      <c r="D1405" s="1" t="s">
        <v>15</v>
      </c>
      <c r="E1405" s="1" t="n">
        <v>-1</v>
      </c>
      <c r="F1405" s="1" t="n">
        <v>931.403027160494</v>
      </c>
      <c r="G1405" s="1" t="n">
        <v>-931.403027160494</v>
      </c>
      <c r="H1405" s="1" t="s">
        <v>670</v>
      </c>
    </row>
    <row r="1406" customFormat="false" ht="14.25" hidden="false" customHeight="true" outlineLevel="0" collapsed="false">
      <c r="A1406" s="1" t="s">
        <v>690</v>
      </c>
      <c r="B1406" s="1" t="s">
        <v>457</v>
      </c>
      <c r="C1406" s="1" t="s">
        <v>729</v>
      </c>
      <c r="D1406" s="1" t="s">
        <v>16</v>
      </c>
      <c r="E1406" s="1" t="n">
        <v>1</v>
      </c>
      <c r="F1406" s="1" t="n">
        <v>931.403027160494</v>
      </c>
      <c r="G1406" s="1" t="n">
        <v>931.403027160494</v>
      </c>
      <c r="H1406" s="1" t="s">
        <v>670</v>
      </c>
    </row>
    <row r="1407" customFormat="false" ht="14.25" hidden="false" customHeight="true" outlineLevel="0" collapsed="false">
      <c r="A1407" s="1" t="s">
        <v>444</v>
      </c>
      <c r="B1407" s="1" t="s">
        <v>32</v>
      </c>
      <c r="C1407" s="1" t="s">
        <v>608</v>
      </c>
      <c r="D1407" s="1" t="s">
        <v>12</v>
      </c>
      <c r="E1407" s="1" t="n">
        <v>0</v>
      </c>
      <c r="F1407" s="1" t="n">
        <v>0</v>
      </c>
      <c r="G1407" s="1" t="n">
        <v>0</v>
      </c>
      <c r="H1407" s="1" t="s">
        <v>609</v>
      </c>
    </row>
    <row r="1408" customFormat="false" ht="14.25" hidden="false" customHeight="true" outlineLevel="0" collapsed="false">
      <c r="A1408" s="1" t="s">
        <v>634</v>
      </c>
      <c r="B1408" s="1" t="s">
        <v>32</v>
      </c>
      <c r="C1408" s="1" t="s">
        <v>608</v>
      </c>
      <c r="D1408" s="1" t="s">
        <v>12</v>
      </c>
      <c r="E1408" s="1" t="n">
        <v>0</v>
      </c>
      <c r="F1408" s="1" t="n">
        <v>0</v>
      </c>
      <c r="G1408" s="1" t="n">
        <v>0</v>
      </c>
      <c r="H1408" s="1" t="s">
        <v>609</v>
      </c>
    </row>
    <row r="1409" customFormat="false" ht="14.25" hidden="false" customHeight="true" outlineLevel="0" collapsed="false">
      <c r="A1409" s="1" t="s">
        <v>665</v>
      </c>
      <c r="B1409" s="1" t="s">
        <v>32</v>
      </c>
      <c r="C1409" s="1" t="s">
        <v>608</v>
      </c>
      <c r="D1409" s="1" t="s">
        <v>12</v>
      </c>
      <c r="E1409" s="1" t="n">
        <v>0</v>
      </c>
      <c r="F1409" s="1" t="n">
        <v>0</v>
      </c>
      <c r="G1409" s="1" t="n">
        <v>0</v>
      </c>
      <c r="H1409" s="1" t="s">
        <v>609</v>
      </c>
    </row>
    <row r="1410" customFormat="false" ht="14.25" hidden="false" customHeight="true" outlineLevel="0" collapsed="false">
      <c r="A1410" s="1" t="s">
        <v>444</v>
      </c>
      <c r="B1410" s="1" t="s">
        <v>141</v>
      </c>
      <c r="C1410" s="1" t="s">
        <v>520</v>
      </c>
      <c r="D1410" s="1" t="s">
        <v>12</v>
      </c>
      <c r="E1410" s="1" t="n">
        <v>13402</v>
      </c>
      <c r="F1410" s="1" t="n">
        <v>0.108205784866059</v>
      </c>
      <c r="G1410" s="1" t="n">
        <v>1450.17392877492</v>
      </c>
      <c r="H1410" s="1" t="s">
        <v>446</v>
      </c>
    </row>
    <row r="1411" customFormat="false" ht="14.25" hidden="false" customHeight="true" outlineLevel="0" collapsed="false">
      <c r="A1411" s="1" t="s">
        <v>444</v>
      </c>
      <c r="B1411" s="1" t="s">
        <v>50</v>
      </c>
      <c r="C1411" s="1" t="s">
        <v>527</v>
      </c>
      <c r="D1411" s="1" t="s">
        <v>12</v>
      </c>
      <c r="E1411" s="1" t="n">
        <v>1</v>
      </c>
      <c r="F1411" s="1" t="n">
        <v>676.8</v>
      </c>
      <c r="G1411" s="1" t="n">
        <v>676.8</v>
      </c>
      <c r="H1411" s="1" t="s">
        <v>528</v>
      </c>
    </row>
    <row r="1412" customFormat="false" ht="14.25" hidden="false" customHeight="true" outlineLevel="0" collapsed="false">
      <c r="A1412" s="1" t="s">
        <v>444</v>
      </c>
      <c r="B1412" s="1" t="s">
        <v>614</v>
      </c>
      <c r="C1412" s="1" t="s">
        <v>615</v>
      </c>
      <c r="D1412" s="1" t="s">
        <v>12</v>
      </c>
      <c r="E1412" s="1" t="n">
        <v>13402</v>
      </c>
      <c r="F1412" s="1" t="n">
        <v>2.64</v>
      </c>
      <c r="G1412" s="1" t="n">
        <v>35381.28</v>
      </c>
      <c r="H1412" s="1" t="s">
        <v>446</v>
      </c>
    </row>
    <row r="1413" customFormat="false" ht="14.25" hidden="false" customHeight="true" outlineLevel="0" collapsed="false">
      <c r="A1413" s="1" t="s">
        <v>444</v>
      </c>
      <c r="B1413" s="1" t="s">
        <v>32</v>
      </c>
      <c r="C1413" s="1" t="s">
        <v>610</v>
      </c>
      <c r="D1413" s="1" t="s">
        <v>12</v>
      </c>
      <c r="E1413" s="1" t="n">
        <v>0</v>
      </c>
      <c r="F1413" s="1" t="n">
        <v>0</v>
      </c>
      <c r="G1413" s="1" t="n">
        <v>0</v>
      </c>
      <c r="H1413" s="1" t="s">
        <v>611</v>
      </c>
    </row>
    <row r="1414" customFormat="false" ht="14.25" hidden="false" customHeight="true" outlineLevel="0" collapsed="false">
      <c r="A1414" s="1" t="s">
        <v>444</v>
      </c>
      <c r="B1414" s="1" t="s">
        <v>87</v>
      </c>
      <c r="C1414" s="1" t="s">
        <v>632</v>
      </c>
      <c r="D1414" s="1" t="s">
        <v>12</v>
      </c>
      <c r="E1414" s="1" t="n">
        <v>2</v>
      </c>
      <c r="F1414" s="1" t="n">
        <v>50</v>
      </c>
      <c r="G1414" s="1" t="n">
        <v>100</v>
      </c>
      <c r="H1414" s="1" t="s">
        <v>706</v>
      </c>
    </row>
    <row r="1415" customFormat="false" ht="14.25" hidden="false" customHeight="true" outlineLevel="0" collapsed="false">
      <c r="A1415" s="1" t="s">
        <v>634</v>
      </c>
      <c r="B1415" s="1" t="s">
        <v>141</v>
      </c>
      <c r="C1415" s="1" t="s">
        <v>520</v>
      </c>
      <c r="D1415" s="1" t="s">
        <v>12</v>
      </c>
      <c r="E1415" s="1" t="n">
        <v>13418</v>
      </c>
      <c r="F1415" s="1" t="n">
        <v>0.119761365635941</v>
      </c>
      <c r="G1415" s="1" t="n">
        <v>1606.95800410306</v>
      </c>
      <c r="H1415" s="1" t="s">
        <v>446</v>
      </c>
    </row>
    <row r="1416" customFormat="false" ht="14.25" hidden="false" customHeight="true" outlineLevel="0" collapsed="false">
      <c r="A1416" s="1" t="s">
        <v>634</v>
      </c>
      <c r="B1416" s="1" t="s">
        <v>50</v>
      </c>
      <c r="C1416" s="1" t="s">
        <v>527</v>
      </c>
      <c r="D1416" s="1" t="s">
        <v>12</v>
      </c>
      <c r="E1416" s="1" t="n">
        <v>0</v>
      </c>
      <c r="F1416" s="1" t="n">
        <v>0</v>
      </c>
      <c r="G1416" s="1" t="n">
        <v>0</v>
      </c>
      <c r="H1416" s="1" t="s">
        <v>528</v>
      </c>
    </row>
    <row r="1417" customFormat="false" ht="14.25" hidden="false" customHeight="true" outlineLevel="0" collapsed="false">
      <c r="A1417" s="1" t="s">
        <v>634</v>
      </c>
      <c r="B1417" s="1" t="s">
        <v>614</v>
      </c>
      <c r="C1417" s="1" t="s">
        <v>615</v>
      </c>
      <c r="D1417" s="1" t="s">
        <v>12</v>
      </c>
      <c r="E1417" s="1" t="n">
        <v>13418</v>
      </c>
      <c r="F1417" s="1" t="n">
        <v>3.23223677486643</v>
      </c>
      <c r="G1417" s="1" t="n">
        <v>43370.1530451578</v>
      </c>
      <c r="H1417" s="1" t="s">
        <v>446</v>
      </c>
    </row>
    <row r="1418" customFormat="false" ht="14.25" hidden="false" customHeight="true" outlineLevel="0" collapsed="false">
      <c r="A1418" s="1" t="s">
        <v>634</v>
      </c>
      <c r="B1418" s="1" t="s">
        <v>32</v>
      </c>
      <c r="C1418" s="1" t="s">
        <v>610</v>
      </c>
      <c r="D1418" s="1" t="s">
        <v>12</v>
      </c>
      <c r="E1418" s="1" t="n">
        <v>0</v>
      </c>
      <c r="F1418" s="1" t="n">
        <v>0</v>
      </c>
      <c r="G1418" s="1" t="n">
        <v>0</v>
      </c>
      <c r="H1418" s="1" t="s">
        <v>611</v>
      </c>
    </row>
    <row r="1419" customFormat="false" ht="14.25" hidden="false" customHeight="true" outlineLevel="0" collapsed="false">
      <c r="A1419" s="1" t="s">
        <v>634</v>
      </c>
      <c r="B1419" s="1" t="s">
        <v>87</v>
      </c>
      <c r="C1419" s="1" t="s">
        <v>632</v>
      </c>
      <c r="D1419" s="1" t="s">
        <v>12</v>
      </c>
      <c r="E1419" s="1" t="n">
        <v>2</v>
      </c>
      <c r="F1419" s="1" t="n">
        <v>50</v>
      </c>
      <c r="G1419" s="1" t="n">
        <v>100</v>
      </c>
      <c r="H1419" s="1" t="s">
        <v>706</v>
      </c>
    </row>
    <row r="1420" customFormat="false" ht="14.25" hidden="false" customHeight="true" outlineLevel="0" collapsed="false">
      <c r="A1420" s="1" t="s">
        <v>665</v>
      </c>
      <c r="B1420" s="1" t="s">
        <v>85</v>
      </c>
      <c r="C1420" s="1" t="s">
        <v>604</v>
      </c>
      <c r="D1420" s="1" t="s">
        <v>18</v>
      </c>
      <c r="E1420" s="1" t="n">
        <v>1</v>
      </c>
      <c r="F1420" s="1" t="n">
        <v>131.1</v>
      </c>
      <c r="G1420" s="1" t="n">
        <v>131.1</v>
      </c>
      <c r="H1420" s="1" t="s">
        <v>698</v>
      </c>
    </row>
    <row r="1421" customFormat="false" ht="14.25" hidden="false" customHeight="true" outlineLevel="0" collapsed="false">
      <c r="A1421" s="1" t="s">
        <v>665</v>
      </c>
      <c r="B1421" s="1" t="s">
        <v>457</v>
      </c>
      <c r="C1421" s="1" t="s">
        <v>469</v>
      </c>
      <c r="D1421" s="1" t="s">
        <v>10</v>
      </c>
      <c r="E1421" s="1" t="n">
        <v>-1</v>
      </c>
      <c r="F1421" s="1" t="n">
        <v>330.85192</v>
      </c>
      <c r="G1421" s="1" t="n">
        <v>-330.85192</v>
      </c>
      <c r="H1421" s="1" t="s">
        <v>667</v>
      </c>
    </row>
    <row r="1422" customFormat="false" ht="14.25" hidden="false" customHeight="true" outlineLevel="0" collapsed="false">
      <c r="A1422" s="1" t="s">
        <v>665</v>
      </c>
      <c r="B1422" s="1" t="s">
        <v>457</v>
      </c>
      <c r="C1422" s="1" t="s">
        <v>473</v>
      </c>
      <c r="D1422" s="1" t="s">
        <v>10</v>
      </c>
      <c r="E1422" s="1" t="n">
        <v>3</v>
      </c>
      <c r="F1422" s="1" t="n">
        <v>398.377812879708</v>
      </c>
      <c r="G1422" s="1" t="n">
        <v>1195.13343863913</v>
      </c>
      <c r="H1422" s="1" t="s">
        <v>667</v>
      </c>
    </row>
    <row r="1423" customFormat="false" ht="14.25" hidden="false" customHeight="true" outlineLevel="0" collapsed="false">
      <c r="A1423" s="1" t="s">
        <v>665</v>
      </c>
      <c r="B1423" s="1" t="s">
        <v>47</v>
      </c>
      <c r="C1423" s="1" t="s">
        <v>525</v>
      </c>
      <c r="D1423" s="1" t="s">
        <v>10</v>
      </c>
      <c r="E1423" s="1" t="n">
        <v>1</v>
      </c>
      <c r="F1423" s="1" t="n">
        <v>855.98</v>
      </c>
      <c r="G1423" s="1" t="n">
        <v>855.98</v>
      </c>
      <c r="H1423" s="1" t="s">
        <v>673</v>
      </c>
    </row>
    <row r="1424" customFormat="false" ht="14.25" hidden="false" customHeight="true" outlineLevel="0" collapsed="false">
      <c r="A1424" s="1" t="s">
        <v>665</v>
      </c>
      <c r="B1424" s="1" t="s">
        <v>85</v>
      </c>
      <c r="C1424" s="1" t="s">
        <v>604</v>
      </c>
      <c r="D1424" s="1" t="s">
        <v>10</v>
      </c>
      <c r="E1424" s="1" t="n">
        <v>2</v>
      </c>
      <c r="F1424" s="1" t="n">
        <v>134.85</v>
      </c>
      <c r="G1424" s="1" t="n">
        <v>269.7</v>
      </c>
      <c r="H1424" s="1" t="s">
        <v>676</v>
      </c>
    </row>
    <row r="1425" customFormat="false" ht="14.25" hidden="false" customHeight="true" outlineLevel="0" collapsed="false">
      <c r="A1425" s="1" t="s">
        <v>665</v>
      </c>
      <c r="B1425" s="1" t="s">
        <v>457</v>
      </c>
      <c r="C1425" s="1" t="s">
        <v>471</v>
      </c>
      <c r="D1425" s="1" t="s">
        <v>12</v>
      </c>
      <c r="E1425" s="1" t="n">
        <v>2</v>
      </c>
      <c r="F1425" s="1" t="n">
        <v>398.377812879708</v>
      </c>
      <c r="G1425" s="1" t="n">
        <v>796.755625759417</v>
      </c>
      <c r="H1425" s="1" t="s">
        <v>667</v>
      </c>
    </row>
    <row r="1426" customFormat="false" ht="14.25" hidden="false" customHeight="true" outlineLevel="0" collapsed="false">
      <c r="A1426" s="1" t="s">
        <v>665</v>
      </c>
      <c r="B1426" s="1" t="s">
        <v>457</v>
      </c>
      <c r="C1426" s="1" t="s">
        <v>483</v>
      </c>
      <c r="D1426" s="1" t="s">
        <v>12</v>
      </c>
      <c r="E1426" s="1" t="n">
        <v>1</v>
      </c>
      <c r="F1426" s="1" t="n">
        <v>330.85192</v>
      </c>
      <c r="G1426" s="1" t="n">
        <v>330.85192</v>
      </c>
      <c r="H1426" s="1" t="s">
        <v>667</v>
      </c>
    </row>
    <row r="1427" customFormat="false" ht="14.25" hidden="false" customHeight="true" outlineLevel="0" collapsed="false">
      <c r="A1427" s="1" t="s">
        <v>665</v>
      </c>
      <c r="B1427" s="1" t="s">
        <v>457</v>
      </c>
      <c r="C1427" s="1" t="s">
        <v>485</v>
      </c>
      <c r="D1427" s="1" t="s">
        <v>12</v>
      </c>
      <c r="E1427" s="1" t="n">
        <v>-6</v>
      </c>
      <c r="F1427" s="1" t="n">
        <v>398.377812879708</v>
      </c>
      <c r="G1427" s="1" t="n">
        <v>-2390.26687727825</v>
      </c>
      <c r="H1427" s="1" t="s">
        <v>667</v>
      </c>
    </row>
    <row r="1428" customFormat="false" ht="14.25" hidden="false" customHeight="true" outlineLevel="0" collapsed="false">
      <c r="A1428" s="1" t="s">
        <v>665</v>
      </c>
      <c r="B1428" s="1" t="s">
        <v>457</v>
      </c>
      <c r="C1428" s="1" t="s">
        <v>486</v>
      </c>
      <c r="D1428" s="1" t="s">
        <v>12</v>
      </c>
      <c r="E1428" s="1" t="n">
        <v>-3</v>
      </c>
      <c r="F1428" s="1" t="n">
        <v>398.377812879708</v>
      </c>
      <c r="G1428" s="1" t="n">
        <v>-1195.13343863913</v>
      </c>
      <c r="H1428" s="1" t="s">
        <v>667</v>
      </c>
    </row>
    <row r="1429" customFormat="false" ht="14.25" hidden="false" customHeight="true" outlineLevel="0" collapsed="false">
      <c r="A1429" s="1" t="s">
        <v>665</v>
      </c>
      <c r="B1429" s="1" t="s">
        <v>457</v>
      </c>
      <c r="C1429" s="1" t="s">
        <v>487</v>
      </c>
      <c r="D1429" s="1" t="s">
        <v>12</v>
      </c>
      <c r="E1429" s="1" t="n">
        <v>-2</v>
      </c>
      <c r="F1429" s="1" t="n">
        <v>398.377812879708</v>
      </c>
      <c r="G1429" s="1" t="n">
        <v>-796.755625759417</v>
      </c>
      <c r="H1429" s="1" t="s">
        <v>667</v>
      </c>
    </row>
    <row r="1430" customFormat="false" ht="14.25" hidden="false" customHeight="true" outlineLevel="0" collapsed="false">
      <c r="A1430" s="1" t="s">
        <v>665</v>
      </c>
      <c r="B1430" s="1" t="s">
        <v>141</v>
      </c>
      <c r="C1430" s="1" t="s">
        <v>520</v>
      </c>
      <c r="D1430" s="1" t="s">
        <v>12</v>
      </c>
      <c r="E1430" s="1" t="n">
        <v>13530</v>
      </c>
      <c r="F1430" s="1" t="n">
        <v>0.0878799443506403</v>
      </c>
      <c r="G1430" s="1" t="n">
        <v>1189.01564706416</v>
      </c>
      <c r="H1430" s="1" t="s">
        <v>446</v>
      </c>
    </row>
    <row r="1431" customFormat="false" ht="14.25" hidden="false" customHeight="true" outlineLevel="0" collapsed="false">
      <c r="A1431" s="1" t="s">
        <v>665</v>
      </c>
      <c r="B1431" s="1" t="s">
        <v>50</v>
      </c>
      <c r="C1431" s="1" t="s">
        <v>527</v>
      </c>
      <c r="D1431" s="1" t="s">
        <v>12</v>
      </c>
      <c r="E1431" s="1" t="n">
        <v>0</v>
      </c>
      <c r="F1431" s="1" t="n">
        <v>0</v>
      </c>
      <c r="G1431" s="1" t="n">
        <v>0</v>
      </c>
      <c r="H1431" s="1" t="s">
        <v>528</v>
      </c>
    </row>
    <row r="1432" customFormat="false" ht="14.25" hidden="false" customHeight="true" outlineLevel="0" collapsed="false">
      <c r="A1432" s="1" t="s">
        <v>665</v>
      </c>
      <c r="B1432" s="1" t="s">
        <v>85</v>
      </c>
      <c r="C1432" s="1" t="s">
        <v>604</v>
      </c>
      <c r="D1432" s="1" t="s">
        <v>12</v>
      </c>
      <c r="E1432" s="1" t="n">
        <v>22</v>
      </c>
      <c r="F1432" s="1" t="n">
        <v>130.76</v>
      </c>
      <c r="G1432" s="1" t="n">
        <v>2876.72</v>
      </c>
      <c r="H1432" s="1" t="s">
        <v>676</v>
      </c>
    </row>
    <row r="1433" customFormat="false" ht="14.25" hidden="false" customHeight="true" outlineLevel="0" collapsed="false">
      <c r="A1433" s="1" t="s">
        <v>665</v>
      </c>
      <c r="B1433" s="1" t="s">
        <v>614</v>
      </c>
      <c r="C1433" s="1" t="s">
        <v>615</v>
      </c>
      <c r="D1433" s="1" t="s">
        <v>12</v>
      </c>
      <c r="E1433" s="1" t="n">
        <v>13530</v>
      </c>
      <c r="F1433" s="1" t="n">
        <v>2.26208038267291</v>
      </c>
      <c r="G1433" s="1" t="n">
        <v>30605.9475775645</v>
      </c>
      <c r="H1433" s="1" t="s">
        <v>446</v>
      </c>
    </row>
    <row r="1434" customFormat="false" ht="14.25" hidden="false" customHeight="true" outlineLevel="0" collapsed="false">
      <c r="A1434" s="1" t="s">
        <v>665</v>
      </c>
      <c r="B1434" s="1" t="s">
        <v>32</v>
      </c>
      <c r="C1434" s="1" t="s">
        <v>610</v>
      </c>
      <c r="D1434" s="1" t="s">
        <v>12</v>
      </c>
      <c r="E1434" s="1" t="n">
        <v>0</v>
      </c>
      <c r="F1434" s="1" t="n">
        <v>0</v>
      </c>
      <c r="G1434" s="1" t="n">
        <v>0</v>
      </c>
      <c r="H1434" s="1" t="s">
        <v>611</v>
      </c>
    </row>
    <row r="1435" customFormat="false" ht="14.25" hidden="false" customHeight="true" outlineLevel="0" collapsed="false">
      <c r="A1435" s="1" t="s">
        <v>665</v>
      </c>
      <c r="B1435" s="1" t="s">
        <v>87</v>
      </c>
      <c r="C1435" s="1" t="s">
        <v>632</v>
      </c>
      <c r="D1435" s="1" t="s">
        <v>12</v>
      </c>
      <c r="E1435" s="1" t="n">
        <v>2</v>
      </c>
      <c r="F1435" s="1" t="n">
        <v>50</v>
      </c>
      <c r="G1435" s="1" t="n">
        <v>100</v>
      </c>
      <c r="H1435" s="1" t="s">
        <v>706</v>
      </c>
    </row>
    <row r="1436" customFormat="false" ht="14.25" hidden="false" customHeight="true" outlineLevel="0" collapsed="false">
      <c r="A1436" s="1" t="s">
        <v>665</v>
      </c>
      <c r="B1436" s="1" t="s">
        <v>457</v>
      </c>
      <c r="C1436" s="1" t="s">
        <v>471</v>
      </c>
      <c r="D1436" s="1" t="s">
        <v>14</v>
      </c>
      <c r="E1436" s="1" t="n">
        <v>1</v>
      </c>
      <c r="F1436" s="1" t="n">
        <v>398.377812879708</v>
      </c>
      <c r="G1436" s="1" t="n">
        <v>398.377812879708</v>
      </c>
      <c r="H1436" s="1" t="s">
        <v>667</v>
      </c>
    </row>
    <row r="1437" customFormat="false" ht="14.25" hidden="false" customHeight="true" outlineLevel="0" collapsed="false">
      <c r="A1437" s="1" t="s">
        <v>665</v>
      </c>
      <c r="B1437" s="1" t="s">
        <v>85</v>
      </c>
      <c r="C1437" s="1" t="s">
        <v>604</v>
      </c>
      <c r="D1437" s="1" t="s">
        <v>14</v>
      </c>
      <c r="E1437" s="1" t="n">
        <v>11</v>
      </c>
      <c r="F1437" s="1" t="n">
        <v>136.89</v>
      </c>
      <c r="G1437" s="1" t="n">
        <v>1505.79</v>
      </c>
      <c r="H1437" s="1" t="s">
        <v>676</v>
      </c>
    </row>
    <row r="1438" customFormat="false" ht="14.25" hidden="false" customHeight="true" outlineLevel="0" collapsed="false">
      <c r="A1438" s="1" t="s">
        <v>665</v>
      </c>
      <c r="B1438" s="1" t="s">
        <v>457</v>
      </c>
      <c r="C1438" s="1" t="s">
        <v>497</v>
      </c>
      <c r="D1438" s="1" t="s">
        <v>15</v>
      </c>
      <c r="E1438" s="1" t="n">
        <v>1</v>
      </c>
      <c r="F1438" s="1" t="n">
        <v>398.377812879708</v>
      </c>
      <c r="G1438" s="1" t="n">
        <v>398.377812879708</v>
      </c>
      <c r="H1438" s="1" t="s">
        <v>667</v>
      </c>
    </row>
    <row r="1439" customFormat="false" ht="14.25" hidden="false" customHeight="true" outlineLevel="0" collapsed="false">
      <c r="A1439" s="1" t="s">
        <v>665</v>
      </c>
      <c r="B1439" s="1" t="s">
        <v>457</v>
      </c>
      <c r="C1439" s="1" t="s">
        <v>487</v>
      </c>
      <c r="D1439" s="1" t="s">
        <v>15</v>
      </c>
      <c r="E1439" s="1" t="n">
        <v>2</v>
      </c>
      <c r="F1439" s="1" t="n">
        <v>398.377812879708</v>
      </c>
      <c r="G1439" s="1" t="n">
        <v>796.755625759417</v>
      </c>
      <c r="H1439" s="1" t="s">
        <v>667</v>
      </c>
    </row>
    <row r="1440" customFormat="false" ht="14.25" hidden="false" customHeight="true" outlineLevel="0" collapsed="false">
      <c r="A1440" s="1" t="s">
        <v>665</v>
      </c>
      <c r="B1440" s="1" t="s">
        <v>47</v>
      </c>
      <c r="C1440" s="1" t="s">
        <v>525</v>
      </c>
      <c r="D1440" s="1" t="s">
        <v>15</v>
      </c>
      <c r="E1440" s="1" t="n">
        <v>1</v>
      </c>
      <c r="F1440" s="1" t="n">
        <v>8714.57</v>
      </c>
      <c r="G1440" s="1" t="n">
        <v>8714.57</v>
      </c>
      <c r="H1440" s="1" t="s">
        <v>674</v>
      </c>
    </row>
    <row r="1441" customFormat="false" ht="14.25" hidden="false" customHeight="true" outlineLevel="0" collapsed="false">
      <c r="A1441" s="1" t="s">
        <v>665</v>
      </c>
      <c r="B1441" s="1" t="s">
        <v>85</v>
      </c>
      <c r="C1441" s="1" t="s">
        <v>604</v>
      </c>
      <c r="D1441" s="1" t="s">
        <v>15</v>
      </c>
      <c r="E1441" s="1" t="n">
        <v>2</v>
      </c>
      <c r="F1441" s="1" t="n">
        <v>59.92</v>
      </c>
      <c r="G1441" s="1" t="n">
        <v>119.84</v>
      </c>
      <c r="H1441" s="1" t="s">
        <v>698</v>
      </c>
    </row>
    <row r="1442" customFormat="false" ht="14.25" hidden="false" customHeight="true" outlineLevel="0" collapsed="false">
      <c r="A1442" s="1" t="s">
        <v>665</v>
      </c>
      <c r="B1442" s="1" t="s">
        <v>457</v>
      </c>
      <c r="C1442" s="1" t="s">
        <v>471</v>
      </c>
      <c r="D1442" s="1" t="s">
        <v>13</v>
      </c>
      <c r="E1442" s="1" t="n">
        <v>6</v>
      </c>
      <c r="F1442" s="1" t="n">
        <v>398.377812879708</v>
      </c>
      <c r="G1442" s="1" t="n">
        <v>2390.26687727825</v>
      </c>
      <c r="H1442" s="1" t="s">
        <v>667</v>
      </c>
    </row>
    <row r="1443" customFormat="false" ht="14.25" hidden="false" customHeight="true" outlineLevel="0" collapsed="false">
      <c r="A1443" s="1" t="s">
        <v>665</v>
      </c>
      <c r="B1443" s="1" t="s">
        <v>85</v>
      </c>
      <c r="C1443" s="1" t="s">
        <v>604</v>
      </c>
      <c r="D1443" s="1" t="s">
        <v>13</v>
      </c>
      <c r="E1443" s="1" t="n">
        <v>10</v>
      </c>
      <c r="F1443" s="1" t="n">
        <v>125.85</v>
      </c>
      <c r="G1443" s="1" t="n">
        <v>1258.5</v>
      </c>
      <c r="H1443" s="1" t="s">
        <v>676</v>
      </c>
    </row>
    <row r="1444" customFormat="false" ht="14.25" hidden="false" customHeight="true" outlineLevel="0" collapsed="false">
      <c r="A1444" s="1" t="s">
        <v>665</v>
      </c>
      <c r="B1444" s="1" t="s">
        <v>457</v>
      </c>
      <c r="C1444" s="1" t="s">
        <v>511</v>
      </c>
      <c r="D1444" s="1" t="s">
        <v>16</v>
      </c>
      <c r="E1444" s="1" t="n">
        <v>-8</v>
      </c>
      <c r="F1444" s="1" t="n">
        <v>307.534</v>
      </c>
      <c r="G1444" s="1" t="n">
        <v>-2460.272</v>
      </c>
      <c r="H1444" s="1" t="s">
        <v>667</v>
      </c>
    </row>
    <row r="1445" customFormat="false" ht="14.25" hidden="false" customHeight="true" outlineLevel="0" collapsed="false">
      <c r="A1445" s="1" t="s">
        <v>665</v>
      </c>
      <c r="B1445" s="1" t="s">
        <v>457</v>
      </c>
      <c r="C1445" s="1" t="s">
        <v>471</v>
      </c>
      <c r="D1445" s="1" t="s">
        <v>17</v>
      </c>
      <c r="E1445" s="1" t="n">
        <v>5</v>
      </c>
      <c r="F1445" s="1" t="n">
        <v>398.377812879708</v>
      </c>
      <c r="G1445" s="1" t="n">
        <v>1991.88906439854</v>
      </c>
      <c r="H1445" s="1" t="s">
        <v>670</v>
      </c>
    </row>
    <row r="1446" customFormat="false" ht="14.25" hidden="false" customHeight="true" outlineLevel="0" collapsed="false">
      <c r="A1446" s="1" t="s">
        <v>665</v>
      </c>
      <c r="B1446" s="1" t="s">
        <v>548</v>
      </c>
      <c r="C1446" s="1" t="s">
        <v>581</v>
      </c>
      <c r="D1446" s="1" t="s">
        <v>17</v>
      </c>
      <c r="E1446" s="1" t="n">
        <v>1</v>
      </c>
      <c r="F1446" s="1" t="n">
        <v>510.58</v>
      </c>
      <c r="G1446" s="1" t="n">
        <v>510.58</v>
      </c>
      <c r="H1446" s="1" t="s">
        <v>558</v>
      </c>
    </row>
    <row r="1447" customFormat="false" ht="14.25" hidden="false" customHeight="true" outlineLevel="0" collapsed="false">
      <c r="A1447" s="1" t="s">
        <v>665</v>
      </c>
      <c r="B1447" s="1" t="s">
        <v>548</v>
      </c>
      <c r="C1447" s="1" t="s">
        <v>583</v>
      </c>
      <c r="D1447" s="1" t="s">
        <v>17</v>
      </c>
      <c r="E1447" s="1" t="n">
        <v>1</v>
      </c>
      <c r="F1447" s="1" t="n">
        <v>1848.64</v>
      </c>
      <c r="G1447" s="1" t="n">
        <v>1848.64</v>
      </c>
      <c r="H1447" s="1" t="s">
        <v>579</v>
      </c>
    </row>
    <row r="1448" customFormat="false" ht="14.25" hidden="false" customHeight="true" outlineLevel="0" collapsed="false">
      <c r="A1448" s="1" t="s">
        <v>665</v>
      </c>
      <c r="B1448" s="1" t="s">
        <v>47</v>
      </c>
      <c r="C1448" s="1" t="s">
        <v>525</v>
      </c>
      <c r="D1448" s="1" t="s">
        <v>17</v>
      </c>
      <c r="E1448" s="1" t="n">
        <v>1</v>
      </c>
      <c r="F1448" s="1" t="n">
        <v>309.54</v>
      </c>
      <c r="G1448" s="1" t="n">
        <v>309.54</v>
      </c>
      <c r="H1448" s="1" t="s">
        <v>675</v>
      </c>
    </row>
    <row r="1449" customFormat="false" ht="14.25" hidden="false" customHeight="true" outlineLevel="0" collapsed="false">
      <c r="A1449" s="1" t="s">
        <v>444</v>
      </c>
      <c r="B1449" s="1" t="s">
        <v>43</v>
      </c>
      <c r="C1449" s="1" t="s">
        <v>43</v>
      </c>
      <c r="D1449" s="1" t="s">
        <v>10</v>
      </c>
      <c r="E1449" s="1" t="n">
        <v>6280</v>
      </c>
      <c r="F1449" s="1" t="n">
        <v>0.117855399394753</v>
      </c>
      <c r="G1449" s="1" t="n">
        <v>740.131908199049</v>
      </c>
      <c r="H1449" s="1" t="s">
        <v>446</v>
      </c>
    </row>
    <row r="1450" customFormat="false" ht="14.25" hidden="false" customHeight="true" outlineLevel="0" collapsed="false">
      <c r="A1450" s="1" t="s">
        <v>444</v>
      </c>
      <c r="B1450" s="1" t="s">
        <v>43</v>
      </c>
      <c r="C1450" s="1" t="s">
        <v>43</v>
      </c>
      <c r="D1450" s="1" t="s">
        <v>13</v>
      </c>
      <c r="E1450" s="1" t="n">
        <v>14331</v>
      </c>
      <c r="F1450" s="1" t="n">
        <v>0.117855399394753</v>
      </c>
      <c r="G1450" s="1" t="n">
        <v>1688.98572872621</v>
      </c>
      <c r="H1450" s="1" t="s">
        <v>446</v>
      </c>
    </row>
    <row r="1451" customFormat="false" ht="14.25" hidden="false" customHeight="true" outlineLevel="0" collapsed="false">
      <c r="A1451" s="1" t="s">
        <v>444</v>
      </c>
      <c r="B1451" s="1" t="s">
        <v>43</v>
      </c>
      <c r="C1451" s="1" t="s">
        <v>43</v>
      </c>
      <c r="D1451" s="1" t="s">
        <v>14</v>
      </c>
      <c r="E1451" s="1" t="n">
        <v>3650</v>
      </c>
      <c r="F1451" s="1" t="n">
        <v>0.117855399394753</v>
      </c>
      <c r="G1451" s="1" t="n">
        <v>430.172207790848</v>
      </c>
      <c r="H1451" s="1" t="s">
        <v>446</v>
      </c>
    </row>
    <row r="1452" customFormat="false" ht="14.25" hidden="false" customHeight="true" outlineLevel="0" collapsed="false">
      <c r="A1452" s="1" t="s">
        <v>444</v>
      </c>
      <c r="B1452" s="1" t="s">
        <v>43</v>
      </c>
      <c r="C1452" s="1" t="s">
        <v>43</v>
      </c>
      <c r="D1452" s="1" t="s">
        <v>15</v>
      </c>
      <c r="E1452" s="1" t="n">
        <v>6396</v>
      </c>
      <c r="F1452" s="1" t="n">
        <v>0.117855399394753</v>
      </c>
      <c r="G1452" s="1" t="n">
        <v>753.80313452884</v>
      </c>
      <c r="H1452" s="1" t="s">
        <v>446</v>
      </c>
    </row>
    <row r="1453" customFormat="false" ht="14.25" hidden="false" customHeight="true" outlineLevel="0" collapsed="false">
      <c r="A1453" s="1" t="s">
        <v>444</v>
      </c>
      <c r="B1453" s="1" t="s">
        <v>43</v>
      </c>
      <c r="C1453" s="1" t="s">
        <v>43</v>
      </c>
      <c r="D1453" s="1" t="s">
        <v>16</v>
      </c>
      <c r="E1453" s="1" t="n">
        <v>4730</v>
      </c>
      <c r="F1453" s="1" t="n">
        <v>0.117855399394753</v>
      </c>
      <c r="G1453" s="1" t="n">
        <v>557.456039137182</v>
      </c>
      <c r="H1453" s="1" t="s">
        <v>446</v>
      </c>
    </row>
    <row r="1454" customFormat="false" ht="14.25" hidden="false" customHeight="true" outlineLevel="0" collapsed="false">
      <c r="A1454" s="1" t="s">
        <v>444</v>
      </c>
      <c r="B1454" s="1" t="s">
        <v>43</v>
      </c>
      <c r="C1454" s="1" t="s">
        <v>43</v>
      </c>
      <c r="D1454" s="1" t="s">
        <v>17</v>
      </c>
      <c r="E1454" s="1" t="n">
        <v>4782</v>
      </c>
      <c r="F1454" s="1" t="n">
        <v>0.117855399394753</v>
      </c>
      <c r="G1454" s="1" t="n">
        <v>563.584519905709</v>
      </c>
      <c r="H1454" s="1" t="s">
        <v>446</v>
      </c>
    </row>
    <row r="1455" customFormat="false" ht="14.25" hidden="false" customHeight="true" outlineLevel="0" collapsed="false">
      <c r="A1455" s="1" t="s">
        <v>444</v>
      </c>
      <c r="B1455" s="1" t="s">
        <v>43</v>
      </c>
      <c r="C1455" s="1" t="s">
        <v>43</v>
      </c>
      <c r="D1455" s="1" t="s">
        <v>18</v>
      </c>
      <c r="E1455" s="1" t="n">
        <v>137756</v>
      </c>
      <c r="F1455" s="1" t="n">
        <v>0.117855399394753</v>
      </c>
      <c r="G1455" s="1" t="n">
        <v>16235.2883990236</v>
      </c>
      <c r="H1455" s="1" t="s">
        <v>446</v>
      </c>
    </row>
    <row r="1456" customFormat="false" ht="14.25" hidden="false" customHeight="true" outlineLevel="0" collapsed="false">
      <c r="A1456" s="1" t="s">
        <v>634</v>
      </c>
      <c r="B1456" s="1" t="s">
        <v>43</v>
      </c>
      <c r="C1456" s="1" t="s">
        <v>43</v>
      </c>
      <c r="D1456" s="1" t="s">
        <v>10</v>
      </c>
      <c r="E1456" s="1" t="n">
        <v>6445</v>
      </c>
      <c r="F1456" s="1" t="n">
        <v>0.125341892703356</v>
      </c>
      <c r="G1456" s="1" t="n">
        <v>807.828498473129</v>
      </c>
      <c r="H1456" s="1" t="s">
        <v>446</v>
      </c>
    </row>
    <row r="1457" customFormat="false" ht="14.25" hidden="false" customHeight="true" outlineLevel="0" collapsed="false">
      <c r="A1457" s="1" t="s">
        <v>634</v>
      </c>
      <c r="B1457" s="1" t="s">
        <v>43</v>
      </c>
      <c r="C1457" s="1" t="s">
        <v>43</v>
      </c>
      <c r="D1457" s="1" t="s">
        <v>13</v>
      </c>
      <c r="E1457" s="1" t="n">
        <v>14441</v>
      </c>
      <c r="F1457" s="1" t="n">
        <v>0.125341892703356</v>
      </c>
      <c r="G1457" s="1" t="n">
        <v>1810.06227252916</v>
      </c>
      <c r="H1457" s="1" t="s">
        <v>446</v>
      </c>
    </row>
    <row r="1458" customFormat="false" ht="14.25" hidden="false" customHeight="true" outlineLevel="0" collapsed="false">
      <c r="A1458" s="1" t="s">
        <v>634</v>
      </c>
      <c r="B1458" s="1" t="s">
        <v>43</v>
      </c>
      <c r="C1458" s="1" t="s">
        <v>43</v>
      </c>
      <c r="D1458" s="1" t="s">
        <v>14</v>
      </c>
      <c r="E1458" s="1" t="n">
        <v>3704</v>
      </c>
      <c r="F1458" s="1" t="n">
        <v>0.125341892703356</v>
      </c>
      <c r="G1458" s="1" t="n">
        <v>464.266370573231</v>
      </c>
      <c r="H1458" s="1" t="s">
        <v>446</v>
      </c>
    </row>
    <row r="1459" customFormat="false" ht="14.25" hidden="false" customHeight="true" outlineLevel="0" collapsed="false">
      <c r="A1459" s="1" t="s">
        <v>634</v>
      </c>
      <c r="B1459" s="1" t="s">
        <v>43</v>
      </c>
      <c r="C1459" s="1" t="s">
        <v>43</v>
      </c>
      <c r="D1459" s="1" t="s">
        <v>15</v>
      </c>
      <c r="E1459" s="1" t="n">
        <v>6434</v>
      </c>
      <c r="F1459" s="1" t="n">
        <v>0.125341892703356</v>
      </c>
      <c r="G1459" s="1" t="n">
        <v>806.449737653393</v>
      </c>
      <c r="H1459" s="1" t="s">
        <v>446</v>
      </c>
    </row>
    <row r="1460" customFormat="false" ht="14.25" hidden="false" customHeight="true" outlineLevel="0" collapsed="false">
      <c r="A1460" s="1" t="s">
        <v>634</v>
      </c>
      <c r="B1460" s="1" t="s">
        <v>43</v>
      </c>
      <c r="C1460" s="1" t="s">
        <v>43</v>
      </c>
      <c r="D1460" s="1" t="s">
        <v>16</v>
      </c>
      <c r="E1460" s="1" t="n">
        <v>4749</v>
      </c>
      <c r="F1460" s="1" t="n">
        <v>0.125341892703356</v>
      </c>
      <c r="G1460" s="1" t="n">
        <v>595.248648448238</v>
      </c>
      <c r="H1460" s="1" t="s">
        <v>446</v>
      </c>
    </row>
    <row r="1461" customFormat="false" ht="14.25" hidden="false" customHeight="true" outlineLevel="0" collapsed="false">
      <c r="A1461" s="1" t="s">
        <v>634</v>
      </c>
      <c r="B1461" s="1" t="s">
        <v>43</v>
      </c>
      <c r="C1461" s="1" t="s">
        <v>43</v>
      </c>
      <c r="D1461" s="1" t="s">
        <v>17</v>
      </c>
      <c r="E1461" s="1" t="n">
        <v>4795</v>
      </c>
      <c r="F1461" s="1" t="n">
        <v>0.125341892703356</v>
      </c>
      <c r="G1461" s="1" t="n">
        <v>601.014375512592</v>
      </c>
      <c r="H1461" s="1" t="s">
        <v>446</v>
      </c>
    </row>
    <row r="1462" customFormat="false" ht="14.25" hidden="false" customHeight="true" outlineLevel="0" collapsed="false">
      <c r="A1462" s="1" t="s">
        <v>634</v>
      </c>
      <c r="B1462" s="1" t="s">
        <v>43</v>
      </c>
      <c r="C1462" s="1" t="s">
        <v>43</v>
      </c>
      <c r="D1462" s="1" t="s">
        <v>18</v>
      </c>
      <c r="E1462" s="1" t="n">
        <v>140857</v>
      </c>
      <c r="F1462" s="1" t="n">
        <v>0.125341892703356</v>
      </c>
      <c r="G1462" s="1" t="n">
        <v>17655.2829805166</v>
      </c>
      <c r="H1462" s="1" t="s">
        <v>446</v>
      </c>
    </row>
    <row r="1463" customFormat="false" ht="14.25" hidden="false" customHeight="true" outlineLevel="0" collapsed="false">
      <c r="A1463" s="1" t="s">
        <v>444</v>
      </c>
      <c r="B1463" s="1" t="s">
        <v>36</v>
      </c>
      <c r="C1463" s="1" t="s">
        <v>36</v>
      </c>
      <c r="D1463" s="1" t="s">
        <v>10</v>
      </c>
      <c r="E1463" s="1" t="n">
        <v>6280</v>
      </c>
      <c r="F1463" s="1" t="n">
        <v>0.373533299534305</v>
      </c>
      <c r="G1463" s="1" t="n">
        <v>2345.78912107544</v>
      </c>
      <c r="H1463" s="1" t="s">
        <v>446</v>
      </c>
    </row>
    <row r="1464" customFormat="false" ht="14.25" hidden="false" customHeight="true" outlineLevel="0" collapsed="false">
      <c r="A1464" s="1" t="s">
        <v>444</v>
      </c>
      <c r="B1464" s="1" t="s">
        <v>36</v>
      </c>
      <c r="C1464" s="1" t="s">
        <v>36</v>
      </c>
      <c r="D1464" s="1" t="s">
        <v>13</v>
      </c>
      <c r="E1464" s="1" t="n">
        <v>14331</v>
      </c>
      <c r="F1464" s="1" t="n">
        <v>0.373533299534305</v>
      </c>
      <c r="G1464" s="1" t="n">
        <v>5353.10571562613</v>
      </c>
      <c r="H1464" s="1" t="s">
        <v>446</v>
      </c>
    </row>
    <row r="1465" customFormat="false" ht="14.25" hidden="false" customHeight="true" outlineLevel="0" collapsed="false">
      <c r="A1465" s="1" t="s">
        <v>444</v>
      </c>
      <c r="B1465" s="1" t="s">
        <v>36</v>
      </c>
      <c r="C1465" s="1" t="s">
        <v>36</v>
      </c>
      <c r="D1465" s="1" t="s">
        <v>14</v>
      </c>
      <c r="E1465" s="1" t="n">
        <v>3650</v>
      </c>
      <c r="F1465" s="1" t="n">
        <v>0.373533299534305</v>
      </c>
      <c r="G1465" s="1" t="n">
        <v>1363.39654330021</v>
      </c>
      <c r="H1465" s="1" t="s">
        <v>446</v>
      </c>
    </row>
    <row r="1466" customFormat="false" ht="14.25" hidden="false" customHeight="true" outlineLevel="0" collapsed="false">
      <c r="A1466" s="1" t="s">
        <v>444</v>
      </c>
      <c r="B1466" s="1" t="s">
        <v>36</v>
      </c>
      <c r="C1466" s="1" t="s">
        <v>36</v>
      </c>
      <c r="D1466" s="1" t="s">
        <v>15</v>
      </c>
      <c r="E1466" s="1" t="n">
        <v>6396</v>
      </c>
      <c r="F1466" s="1" t="n">
        <v>0.373533299534305</v>
      </c>
      <c r="G1466" s="1" t="n">
        <v>2389.11898382142</v>
      </c>
      <c r="H1466" s="1" t="s">
        <v>446</v>
      </c>
    </row>
    <row r="1467" customFormat="false" ht="14.25" hidden="false" customHeight="true" outlineLevel="0" collapsed="false">
      <c r="A1467" s="1" t="s">
        <v>444</v>
      </c>
      <c r="B1467" s="1" t="s">
        <v>36</v>
      </c>
      <c r="C1467" s="1" t="s">
        <v>36</v>
      </c>
      <c r="D1467" s="1" t="s">
        <v>16</v>
      </c>
      <c r="E1467" s="1" t="n">
        <v>4730</v>
      </c>
      <c r="F1467" s="1" t="n">
        <v>0.373533299534305</v>
      </c>
      <c r="G1467" s="1" t="n">
        <v>1766.81250679726</v>
      </c>
      <c r="H1467" s="1" t="s">
        <v>446</v>
      </c>
    </row>
    <row r="1468" customFormat="false" ht="14.25" hidden="false" customHeight="true" outlineLevel="0" collapsed="false">
      <c r="A1468" s="1" t="s">
        <v>444</v>
      </c>
      <c r="B1468" s="1" t="s">
        <v>36</v>
      </c>
      <c r="C1468" s="1" t="s">
        <v>36</v>
      </c>
      <c r="D1468" s="1" t="s">
        <v>17</v>
      </c>
      <c r="E1468" s="1" t="n">
        <v>4782</v>
      </c>
      <c r="F1468" s="1" t="n">
        <v>0.373533299534305</v>
      </c>
      <c r="G1468" s="1" t="n">
        <v>1786.23623837305</v>
      </c>
      <c r="H1468" s="1" t="s">
        <v>446</v>
      </c>
    </row>
    <row r="1469" customFormat="false" ht="14.25" hidden="false" customHeight="true" outlineLevel="0" collapsed="false">
      <c r="A1469" s="1" t="s">
        <v>444</v>
      </c>
      <c r="B1469" s="1" t="s">
        <v>36</v>
      </c>
      <c r="C1469" s="1" t="s">
        <v>36</v>
      </c>
      <c r="D1469" s="1" t="s">
        <v>18</v>
      </c>
      <c r="E1469" s="1" t="n">
        <v>137756</v>
      </c>
      <c r="F1469" s="1" t="n">
        <v>0.373533299534305</v>
      </c>
      <c r="G1469" s="1" t="n">
        <v>51456.4532106477</v>
      </c>
      <c r="H1469" s="1" t="s">
        <v>446</v>
      </c>
    </row>
    <row r="1470" customFormat="false" ht="14.25" hidden="false" customHeight="true" outlineLevel="0" collapsed="false">
      <c r="A1470" s="1" t="s">
        <v>634</v>
      </c>
      <c r="B1470" s="1" t="s">
        <v>36</v>
      </c>
      <c r="C1470" s="1" t="s">
        <v>36</v>
      </c>
      <c r="D1470" s="1" t="s">
        <v>10</v>
      </c>
      <c r="E1470" s="1" t="n">
        <v>6445</v>
      </c>
      <c r="F1470" s="1" t="n">
        <v>0.368502976755644</v>
      </c>
      <c r="G1470" s="1" t="n">
        <v>2375.00168519013</v>
      </c>
      <c r="H1470" s="1" t="s">
        <v>446</v>
      </c>
    </row>
    <row r="1471" customFormat="false" ht="14.25" hidden="false" customHeight="true" outlineLevel="0" collapsed="false">
      <c r="A1471" s="1" t="s">
        <v>634</v>
      </c>
      <c r="B1471" s="1" t="s">
        <v>36</v>
      </c>
      <c r="C1471" s="1" t="s">
        <v>36</v>
      </c>
      <c r="D1471" s="1" t="s">
        <v>13</v>
      </c>
      <c r="E1471" s="1" t="n">
        <v>14441</v>
      </c>
      <c r="F1471" s="1" t="n">
        <v>0.368502976755644</v>
      </c>
      <c r="G1471" s="1" t="n">
        <v>5321.55148732826</v>
      </c>
      <c r="H1471" s="1" t="s">
        <v>446</v>
      </c>
    </row>
    <row r="1472" customFormat="false" ht="14.25" hidden="false" customHeight="true" outlineLevel="0" collapsed="false">
      <c r="A1472" s="1" t="s">
        <v>634</v>
      </c>
      <c r="B1472" s="1" t="s">
        <v>36</v>
      </c>
      <c r="C1472" s="1" t="s">
        <v>36</v>
      </c>
      <c r="D1472" s="1" t="s">
        <v>14</v>
      </c>
      <c r="E1472" s="1" t="n">
        <v>3704</v>
      </c>
      <c r="F1472" s="1" t="n">
        <v>0.368502976755644</v>
      </c>
      <c r="G1472" s="1" t="n">
        <v>1364.93502590291</v>
      </c>
      <c r="H1472" s="1" t="s">
        <v>446</v>
      </c>
    </row>
    <row r="1473" customFormat="false" ht="14.25" hidden="false" customHeight="true" outlineLevel="0" collapsed="false">
      <c r="A1473" s="1" t="s">
        <v>634</v>
      </c>
      <c r="B1473" s="1" t="s">
        <v>36</v>
      </c>
      <c r="C1473" s="1" t="s">
        <v>36</v>
      </c>
      <c r="D1473" s="1" t="s">
        <v>15</v>
      </c>
      <c r="E1473" s="1" t="n">
        <v>6434</v>
      </c>
      <c r="F1473" s="1" t="n">
        <v>0.368502976755644</v>
      </c>
      <c r="G1473" s="1" t="n">
        <v>2370.94815244581</v>
      </c>
      <c r="H1473" s="1" t="s">
        <v>446</v>
      </c>
    </row>
    <row r="1474" customFormat="false" ht="14.25" hidden="false" customHeight="true" outlineLevel="0" collapsed="false">
      <c r="A1474" s="1" t="s">
        <v>634</v>
      </c>
      <c r="B1474" s="1" t="s">
        <v>36</v>
      </c>
      <c r="C1474" s="1" t="s">
        <v>36</v>
      </c>
      <c r="D1474" s="1" t="s">
        <v>16</v>
      </c>
      <c r="E1474" s="1" t="n">
        <v>4749</v>
      </c>
      <c r="F1474" s="1" t="n">
        <v>0.368502976755644</v>
      </c>
      <c r="G1474" s="1" t="n">
        <v>1750.02063661255</v>
      </c>
      <c r="H1474" s="1" t="s">
        <v>446</v>
      </c>
    </row>
    <row r="1475" customFormat="false" ht="14.25" hidden="false" customHeight="true" outlineLevel="0" collapsed="false">
      <c r="A1475" s="1" t="s">
        <v>634</v>
      </c>
      <c r="B1475" s="1" t="s">
        <v>36</v>
      </c>
      <c r="C1475" s="1" t="s">
        <v>36</v>
      </c>
      <c r="D1475" s="1" t="s">
        <v>17</v>
      </c>
      <c r="E1475" s="1" t="n">
        <v>4795</v>
      </c>
      <c r="F1475" s="1" t="n">
        <v>0.368502976755644</v>
      </c>
      <c r="G1475" s="1" t="n">
        <v>1766.97177354331</v>
      </c>
      <c r="H1475" s="1" t="s">
        <v>446</v>
      </c>
    </row>
    <row r="1476" customFormat="false" ht="14.25" hidden="false" customHeight="true" outlineLevel="0" collapsed="false">
      <c r="A1476" s="1" t="s">
        <v>634</v>
      </c>
      <c r="B1476" s="1" t="s">
        <v>36</v>
      </c>
      <c r="C1476" s="1" t="s">
        <v>36</v>
      </c>
      <c r="D1476" s="1" t="s">
        <v>18</v>
      </c>
      <c r="E1476" s="1" t="n">
        <v>140857</v>
      </c>
      <c r="F1476" s="1" t="n">
        <v>0.368502976755644</v>
      </c>
      <c r="G1476" s="1" t="n">
        <v>51906.2237968697</v>
      </c>
      <c r="H1476" s="1" t="s">
        <v>446</v>
      </c>
    </row>
    <row r="1477" customFormat="false" ht="14.25" hidden="false" customHeight="true" outlineLevel="0" collapsed="false">
      <c r="A1477" s="1" t="s">
        <v>444</v>
      </c>
      <c r="B1477" s="1" t="s">
        <v>83</v>
      </c>
      <c r="C1477" s="1" t="s">
        <v>83</v>
      </c>
      <c r="D1477" s="1" t="s">
        <v>10</v>
      </c>
      <c r="E1477" s="1" t="n">
        <v>6280</v>
      </c>
      <c r="F1477" s="1" t="n">
        <v>0.066281967521573</v>
      </c>
      <c r="G1477" s="1" t="n">
        <v>416.250756035478</v>
      </c>
      <c r="H1477" s="1" t="s">
        <v>446</v>
      </c>
    </row>
    <row r="1478" customFormat="false" ht="14.25" hidden="false" customHeight="true" outlineLevel="0" collapsed="false">
      <c r="A1478" s="1" t="s">
        <v>444</v>
      </c>
      <c r="B1478" s="1" t="s">
        <v>83</v>
      </c>
      <c r="C1478" s="1" t="s">
        <v>83</v>
      </c>
      <c r="D1478" s="1" t="s">
        <v>13</v>
      </c>
      <c r="E1478" s="1" t="n">
        <v>14331</v>
      </c>
      <c r="F1478" s="1" t="n">
        <v>0.066281967521573</v>
      </c>
      <c r="G1478" s="1" t="n">
        <v>949.886876551663</v>
      </c>
      <c r="H1478" s="1" t="s">
        <v>446</v>
      </c>
    </row>
    <row r="1479" customFormat="false" ht="14.25" hidden="false" customHeight="true" outlineLevel="0" collapsed="false">
      <c r="A1479" s="1" t="s">
        <v>444</v>
      </c>
      <c r="B1479" s="1" t="s">
        <v>83</v>
      </c>
      <c r="C1479" s="1" t="s">
        <v>83</v>
      </c>
      <c r="D1479" s="1" t="s">
        <v>14</v>
      </c>
      <c r="E1479" s="1" t="n">
        <v>3650</v>
      </c>
      <c r="F1479" s="1" t="n">
        <v>0.066281967521573</v>
      </c>
      <c r="G1479" s="1" t="n">
        <v>241.929181453742</v>
      </c>
      <c r="H1479" s="1" t="s">
        <v>446</v>
      </c>
    </row>
    <row r="1480" customFormat="false" ht="14.25" hidden="false" customHeight="true" outlineLevel="0" collapsed="false">
      <c r="A1480" s="1" t="s">
        <v>444</v>
      </c>
      <c r="B1480" s="1" t="s">
        <v>83</v>
      </c>
      <c r="C1480" s="1" t="s">
        <v>83</v>
      </c>
      <c r="D1480" s="1" t="s">
        <v>15</v>
      </c>
      <c r="E1480" s="1" t="n">
        <v>6396</v>
      </c>
      <c r="F1480" s="1" t="n">
        <v>0.066281967521573</v>
      </c>
      <c r="G1480" s="1" t="n">
        <v>423.939464267981</v>
      </c>
      <c r="H1480" s="1" t="s">
        <v>446</v>
      </c>
    </row>
    <row r="1481" customFormat="false" ht="14.25" hidden="false" customHeight="true" outlineLevel="0" collapsed="false">
      <c r="A1481" s="1" t="s">
        <v>444</v>
      </c>
      <c r="B1481" s="1" t="s">
        <v>83</v>
      </c>
      <c r="C1481" s="1" t="s">
        <v>83</v>
      </c>
      <c r="D1481" s="1" t="s">
        <v>16</v>
      </c>
      <c r="E1481" s="1" t="n">
        <v>4730</v>
      </c>
      <c r="F1481" s="1" t="n">
        <v>0.066281967521573</v>
      </c>
      <c r="G1481" s="1" t="n">
        <v>313.51370637704</v>
      </c>
      <c r="H1481" s="1" t="s">
        <v>446</v>
      </c>
    </row>
    <row r="1482" customFormat="false" ht="14.25" hidden="false" customHeight="true" outlineLevel="0" collapsed="false">
      <c r="A1482" s="1" t="s">
        <v>444</v>
      </c>
      <c r="B1482" s="1" t="s">
        <v>83</v>
      </c>
      <c r="C1482" s="1" t="s">
        <v>83</v>
      </c>
      <c r="D1482" s="1" t="s">
        <v>17</v>
      </c>
      <c r="E1482" s="1" t="n">
        <v>4782</v>
      </c>
      <c r="F1482" s="1" t="n">
        <v>0.066281967521573</v>
      </c>
      <c r="G1482" s="1" t="n">
        <v>316.960368688162</v>
      </c>
      <c r="H1482" s="1" t="s">
        <v>446</v>
      </c>
    </row>
    <row r="1483" customFormat="false" ht="14.25" hidden="false" customHeight="true" outlineLevel="0" collapsed="false">
      <c r="A1483" s="1" t="s">
        <v>444</v>
      </c>
      <c r="B1483" s="1" t="s">
        <v>83</v>
      </c>
      <c r="C1483" s="1" t="s">
        <v>83</v>
      </c>
      <c r="D1483" s="1" t="s">
        <v>18</v>
      </c>
      <c r="E1483" s="1" t="n">
        <v>137756</v>
      </c>
      <c r="F1483" s="1" t="n">
        <v>0.066281967521573</v>
      </c>
      <c r="G1483" s="1" t="n">
        <v>9130.73871790181</v>
      </c>
      <c r="H1483" s="1" t="s">
        <v>446</v>
      </c>
    </row>
    <row r="1484" customFormat="false" ht="14.25" hidden="false" customHeight="true" outlineLevel="0" collapsed="false">
      <c r="A1484" s="1" t="s">
        <v>634</v>
      </c>
      <c r="B1484" s="1" t="s">
        <v>83</v>
      </c>
      <c r="C1484" s="1" t="s">
        <v>83</v>
      </c>
      <c r="D1484" s="1" t="s">
        <v>10</v>
      </c>
      <c r="E1484" s="1" t="n">
        <v>6445</v>
      </c>
      <c r="F1484" s="1" t="n">
        <v>0.0801052642383868</v>
      </c>
      <c r="G1484" s="1" t="n">
        <v>516.278428016403</v>
      </c>
      <c r="H1484" s="1" t="s">
        <v>446</v>
      </c>
    </row>
    <row r="1485" customFormat="false" ht="14.25" hidden="false" customHeight="true" outlineLevel="0" collapsed="false">
      <c r="A1485" s="1" t="s">
        <v>634</v>
      </c>
      <c r="B1485" s="1" t="s">
        <v>83</v>
      </c>
      <c r="C1485" s="1" t="s">
        <v>83</v>
      </c>
      <c r="D1485" s="1" t="s">
        <v>13</v>
      </c>
      <c r="E1485" s="1" t="n">
        <v>14441</v>
      </c>
      <c r="F1485" s="1" t="n">
        <v>0.0801052642383868</v>
      </c>
      <c r="G1485" s="1" t="n">
        <v>1156.80012086654</v>
      </c>
      <c r="H1485" s="1" t="s">
        <v>446</v>
      </c>
    </row>
    <row r="1486" customFormat="false" ht="14.25" hidden="false" customHeight="true" outlineLevel="0" collapsed="false">
      <c r="A1486" s="1" t="s">
        <v>634</v>
      </c>
      <c r="B1486" s="1" t="s">
        <v>83</v>
      </c>
      <c r="C1486" s="1" t="s">
        <v>83</v>
      </c>
      <c r="D1486" s="1" t="s">
        <v>14</v>
      </c>
      <c r="E1486" s="1" t="n">
        <v>3704</v>
      </c>
      <c r="F1486" s="1" t="n">
        <v>0.0801052642383868</v>
      </c>
      <c r="G1486" s="1" t="n">
        <v>296.709898738985</v>
      </c>
      <c r="H1486" s="1" t="s">
        <v>446</v>
      </c>
    </row>
    <row r="1487" customFormat="false" ht="14.25" hidden="false" customHeight="true" outlineLevel="0" collapsed="false">
      <c r="A1487" s="1" t="s">
        <v>634</v>
      </c>
      <c r="B1487" s="1" t="s">
        <v>83</v>
      </c>
      <c r="C1487" s="1" t="s">
        <v>83</v>
      </c>
      <c r="D1487" s="1" t="s">
        <v>15</v>
      </c>
      <c r="E1487" s="1" t="n">
        <v>6434</v>
      </c>
      <c r="F1487" s="1" t="n">
        <v>0.0801052642383868</v>
      </c>
      <c r="G1487" s="1" t="n">
        <v>515.397270109781</v>
      </c>
      <c r="H1487" s="1" t="s">
        <v>446</v>
      </c>
    </row>
    <row r="1488" customFormat="false" ht="14.25" hidden="false" customHeight="true" outlineLevel="0" collapsed="false">
      <c r="A1488" s="1" t="s">
        <v>634</v>
      </c>
      <c r="B1488" s="1" t="s">
        <v>83</v>
      </c>
      <c r="C1488" s="1" t="s">
        <v>83</v>
      </c>
      <c r="D1488" s="1" t="s">
        <v>16</v>
      </c>
      <c r="E1488" s="1" t="n">
        <v>4749</v>
      </c>
      <c r="F1488" s="1" t="n">
        <v>0.0801052642383868</v>
      </c>
      <c r="G1488" s="1" t="n">
        <v>380.419899868099</v>
      </c>
      <c r="H1488" s="1" t="s">
        <v>446</v>
      </c>
    </row>
    <row r="1489" customFormat="false" ht="14.25" hidden="false" customHeight="true" outlineLevel="0" collapsed="false">
      <c r="A1489" s="1" t="s">
        <v>634</v>
      </c>
      <c r="B1489" s="1" t="s">
        <v>83</v>
      </c>
      <c r="C1489" s="1" t="s">
        <v>83</v>
      </c>
      <c r="D1489" s="1" t="s">
        <v>17</v>
      </c>
      <c r="E1489" s="1" t="n">
        <v>4795</v>
      </c>
      <c r="F1489" s="1" t="n">
        <v>0.0801052642383868</v>
      </c>
      <c r="G1489" s="1" t="n">
        <v>384.104742023065</v>
      </c>
      <c r="H1489" s="1" t="s">
        <v>446</v>
      </c>
    </row>
    <row r="1490" customFormat="false" ht="14.25" hidden="false" customHeight="true" outlineLevel="0" collapsed="false">
      <c r="A1490" s="1" t="s">
        <v>634</v>
      </c>
      <c r="B1490" s="1" t="s">
        <v>83</v>
      </c>
      <c r="C1490" s="1" t="s">
        <v>83</v>
      </c>
      <c r="D1490" s="1" t="s">
        <v>18</v>
      </c>
      <c r="E1490" s="1" t="n">
        <v>140857</v>
      </c>
      <c r="F1490" s="1" t="n">
        <v>0.0801052642383868</v>
      </c>
      <c r="G1490" s="1" t="n">
        <v>11283.3872048265</v>
      </c>
      <c r="H1490" s="1" t="s">
        <v>446</v>
      </c>
    </row>
    <row r="1491" customFormat="false" ht="14.25" hidden="false" customHeight="true" outlineLevel="0" collapsed="false">
      <c r="A1491" s="1" t="s">
        <v>444</v>
      </c>
      <c r="B1491" s="1" t="s">
        <v>81</v>
      </c>
      <c r="C1491" s="1" t="s">
        <v>81</v>
      </c>
      <c r="D1491" s="1" t="s">
        <v>10</v>
      </c>
      <c r="E1491" s="1" t="n">
        <v>6280</v>
      </c>
      <c r="F1491" s="1" t="n">
        <v>0.051652627292541</v>
      </c>
      <c r="G1491" s="1" t="n">
        <v>324.378499397157</v>
      </c>
      <c r="H1491" s="1" t="s">
        <v>446</v>
      </c>
    </row>
    <row r="1492" customFormat="false" ht="14.25" hidden="false" customHeight="true" outlineLevel="0" collapsed="false">
      <c r="A1492" s="1" t="s">
        <v>444</v>
      </c>
      <c r="B1492" s="1" t="s">
        <v>81</v>
      </c>
      <c r="C1492" s="1" t="s">
        <v>81</v>
      </c>
      <c r="D1492" s="1" t="s">
        <v>12</v>
      </c>
      <c r="E1492" s="1" t="n">
        <v>13402</v>
      </c>
      <c r="F1492" s="1" t="n">
        <v>0.051652627292541</v>
      </c>
      <c r="G1492" s="1" t="n">
        <v>692.248510974634</v>
      </c>
      <c r="H1492" s="1" t="s">
        <v>446</v>
      </c>
    </row>
    <row r="1493" customFormat="false" ht="14.25" hidden="false" customHeight="true" outlineLevel="0" collapsed="false">
      <c r="A1493" s="1" t="s">
        <v>444</v>
      </c>
      <c r="B1493" s="1" t="s">
        <v>81</v>
      </c>
      <c r="C1493" s="1" t="s">
        <v>81</v>
      </c>
      <c r="D1493" s="1" t="s">
        <v>13</v>
      </c>
      <c r="E1493" s="1" t="n">
        <v>14331</v>
      </c>
      <c r="F1493" s="1" t="n">
        <v>0.051652627292541</v>
      </c>
      <c r="G1493" s="1" t="n">
        <v>740.233801729405</v>
      </c>
      <c r="H1493" s="1" t="s">
        <v>446</v>
      </c>
    </row>
    <row r="1494" customFormat="false" ht="14.25" hidden="false" customHeight="true" outlineLevel="0" collapsed="false">
      <c r="A1494" s="1" t="s">
        <v>444</v>
      </c>
      <c r="B1494" s="1" t="s">
        <v>81</v>
      </c>
      <c r="C1494" s="1" t="s">
        <v>81</v>
      </c>
      <c r="D1494" s="1" t="s">
        <v>14</v>
      </c>
      <c r="E1494" s="1" t="n">
        <v>3650</v>
      </c>
      <c r="F1494" s="1" t="n">
        <v>0.051652627292541</v>
      </c>
      <c r="G1494" s="1" t="n">
        <v>188.532089617775</v>
      </c>
      <c r="H1494" s="1" t="s">
        <v>446</v>
      </c>
    </row>
    <row r="1495" customFormat="false" ht="14.25" hidden="false" customHeight="true" outlineLevel="0" collapsed="false">
      <c r="A1495" s="1" t="s">
        <v>444</v>
      </c>
      <c r="B1495" s="1" t="s">
        <v>81</v>
      </c>
      <c r="C1495" s="1" t="s">
        <v>81</v>
      </c>
      <c r="D1495" s="1" t="s">
        <v>15</v>
      </c>
      <c r="E1495" s="1" t="n">
        <v>6396</v>
      </c>
      <c r="F1495" s="1" t="n">
        <v>0.051652627292541</v>
      </c>
      <c r="G1495" s="1" t="n">
        <v>330.370204163092</v>
      </c>
      <c r="H1495" s="1" t="s">
        <v>446</v>
      </c>
    </row>
    <row r="1496" customFormat="false" ht="14.25" hidden="false" customHeight="true" outlineLevel="0" collapsed="false">
      <c r="A1496" s="1" t="s">
        <v>444</v>
      </c>
      <c r="B1496" s="1" t="s">
        <v>81</v>
      </c>
      <c r="C1496" s="1" t="s">
        <v>81</v>
      </c>
      <c r="D1496" s="1" t="s">
        <v>16</v>
      </c>
      <c r="E1496" s="1" t="n">
        <v>4730</v>
      </c>
      <c r="F1496" s="1" t="n">
        <v>0.051652627292541</v>
      </c>
      <c r="G1496" s="1" t="n">
        <v>244.316927093719</v>
      </c>
      <c r="H1496" s="1" t="s">
        <v>446</v>
      </c>
    </row>
    <row r="1497" customFormat="false" ht="14.25" hidden="false" customHeight="true" outlineLevel="0" collapsed="false">
      <c r="A1497" s="1" t="s">
        <v>444</v>
      </c>
      <c r="B1497" s="1" t="s">
        <v>81</v>
      </c>
      <c r="C1497" s="1" t="s">
        <v>81</v>
      </c>
      <c r="D1497" s="1" t="s">
        <v>17</v>
      </c>
      <c r="E1497" s="1" t="n">
        <v>4782</v>
      </c>
      <c r="F1497" s="1" t="n">
        <v>0.051652627292541</v>
      </c>
      <c r="G1497" s="1" t="n">
        <v>247.002863712931</v>
      </c>
      <c r="H1497" s="1" t="s">
        <v>446</v>
      </c>
    </row>
    <row r="1498" customFormat="false" ht="14.25" hidden="false" customHeight="true" outlineLevel="0" collapsed="false">
      <c r="A1498" s="1" t="s">
        <v>444</v>
      </c>
      <c r="B1498" s="1" t="s">
        <v>81</v>
      </c>
      <c r="C1498" s="1" t="s">
        <v>81</v>
      </c>
      <c r="D1498" s="1" t="s">
        <v>18</v>
      </c>
      <c r="E1498" s="1" t="n">
        <v>137756</v>
      </c>
      <c r="F1498" s="1" t="n">
        <v>0.051652627292541</v>
      </c>
      <c r="G1498" s="1" t="n">
        <v>7115.45932531128</v>
      </c>
      <c r="H1498" s="1" t="s">
        <v>446</v>
      </c>
    </row>
    <row r="1499" customFormat="false" ht="14.25" hidden="false" customHeight="true" outlineLevel="0" collapsed="false">
      <c r="A1499" s="1" t="s">
        <v>634</v>
      </c>
      <c r="B1499" s="1" t="s">
        <v>81</v>
      </c>
      <c r="C1499" s="1" t="s">
        <v>81</v>
      </c>
      <c r="D1499" s="1" t="s">
        <v>10</v>
      </c>
      <c r="E1499" s="1" t="n">
        <v>6445</v>
      </c>
      <c r="F1499" s="1" t="n">
        <v>0.0687137476224447</v>
      </c>
      <c r="G1499" s="1" t="n">
        <v>442.860103426656</v>
      </c>
      <c r="H1499" s="1" t="s">
        <v>446</v>
      </c>
    </row>
    <row r="1500" customFormat="false" ht="14.25" hidden="false" customHeight="true" outlineLevel="0" collapsed="false">
      <c r="A1500" s="1" t="s">
        <v>634</v>
      </c>
      <c r="B1500" s="1" t="s">
        <v>81</v>
      </c>
      <c r="C1500" s="1" t="s">
        <v>81</v>
      </c>
      <c r="D1500" s="1" t="s">
        <v>12</v>
      </c>
      <c r="E1500" s="1" t="n">
        <v>13418</v>
      </c>
      <c r="F1500" s="1" t="n">
        <v>0.0687137476224447</v>
      </c>
      <c r="G1500" s="1" t="n">
        <v>922.001065597963</v>
      </c>
      <c r="H1500" s="1" t="s">
        <v>446</v>
      </c>
    </row>
    <row r="1501" customFormat="false" ht="14.25" hidden="false" customHeight="true" outlineLevel="0" collapsed="false">
      <c r="A1501" s="1" t="s">
        <v>634</v>
      </c>
      <c r="B1501" s="1" t="s">
        <v>81</v>
      </c>
      <c r="C1501" s="1" t="s">
        <v>81</v>
      </c>
      <c r="D1501" s="1" t="s">
        <v>13</v>
      </c>
      <c r="E1501" s="1" t="n">
        <v>14441</v>
      </c>
      <c r="F1501" s="1" t="n">
        <v>0.0687137476224447</v>
      </c>
      <c r="G1501" s="1" t="n">
        <v>992.295229415724</v>
      </c>
      <c r="H1501" s="1" t="s">
        <v>446</v>
      </c>
    </row>
    <row r="1502" customFormat="false" ht="14.25" hidden="false" customHeight="true" outlineLevel="0" collapsed="false">
      <c r="A1502" s="1" t="s">
        <v>634</v>
      </c>
      <c r="B1502" s="1" t="s">
        <v>81</v>
      </c>
      <c r="C1502" s="1" t="s">
        <v>81</v>
      </c>
      <c r="D1502" s="1" t="s">
        <v>14</v>
      </c>
      <c r="E1502" s="1" t="n">
        <v>3704</v>
      </c>
      <c r="F1502" s="1" t="n">
        <v>0.0687137476224447</v>
      </c>
      <c r="G1502" s="1" t="n">
        <v>254.515721193535</v>
      </c>
      <c r="H1502" s="1" t="s">
        <v>446</v>
      </c>
    </row>
    <row r="1503" customFormat="false" ht="14.25" hidden="false" customHeight="true" outlineLevel="0" collapsed="false">
      <c r="A1503" s="1" t="s">
        <v>634</v>
      </c>
      <c r="B1503" s="1" t="s">
        <v>81</v>
      </c>
      <c r="C1503" s="1" t="s">
        <v>81</v>
      </c>
      <c r="D1503" s="1" t="s">
        <v>15</v>
      </c>
      <c r="E1503" s="1" t="n">
        <v>6434</v>
      </c>
      <c r="F1503" s="1" t="n">
        <v>0.0687137476224447</v>
      </c>
      <c r="G1503" s="1" t="n">
        <v>442.104252202809</v>
      </c>
      <c r="H1503" s="1" t="s">
        <v>446</v>
      </c>
    </row>
    <row r="1504" customFormat="false" ht="14.25" hidden="false" customHeight="true" outlineLevel="0" collapsed="false">
      <c r="A1504" s="1" t="s">
        <v>634</v>
      </c>
      <c r="B1504" s="1" t="s">
        <v>81</v>
      </c>
      <c r="C1504" s="1" t="s">
        <v>81</v>
      </c>
      <c r="D1504" s="1" t="s">
        <v>16</v>
      </c>
      <c r="E1504" s="1" t="n">
        <v>4749</v>
      </c>
      <c r="F1504" s="1" t="n">
        <v>0.0687137476224447</v>
      </c>
      <c r="G1504" s="1" t="n">
        <v>326.32158745899</v>
      </c>
      <c r="H1504" s="1" t="s">
        <v>446</v>
      </c>
    </row>
    <row r="1505" customFormat="false" ht="14.25" hidden="false" customHeight="true" outlineLevel="0" collapsed="false">
      <c r="A1505" s="1" t="s">
        <v>634</v>
      </c>
      <c r="B1505" s="1" t="s">
        <v>81</v>
      </c>
      <c r="C1505" s="1" t="s">
        <v>81</v>
      </c>
      <c r="D1505" s="1" t="s">
        <v>17</v>
      </c>
      <c r="E1505" s="1" t="n">
        <v>4795</v>
      </c>
      <c r="F1505" s="1" t="n">
        <v>0.0687137476224447</v>
      </c>
      <c r="G1505" s="1" t="n">
        <v>329.482419849622</v>
      </c>
      <c r="H1505" s="1" t="s">
        <v>446</v>
      </c>
    </row>
    <row r="1506" customFormat="false" ht="14.25" hidden="false" customHeight="true" outlineLevel="0" collapsed="false">
      <c r="A1506" s="1" t="s">
        <v>634</v>
      </c>
      <c r="B1506" s="1" t="s">
        <v>81</v>
      </c>
      <c r="C1506" s="1" t="s">
        <v>81</v>
      </c>
      <c r="D1506" s="1" t="s">
        <v>18</v>
      </c>
      <c r="E1506" s="1" t="n">
        <v>140857</v>
      </c>
      <c r="F1506" s="1" t="n">
        <v>0.0687137476224447</v>
      </c>
      <c r="G1506" s="1" t="n">
        <v>9678.81234885469</v>
      </c>
      <c r="H1506" s="1" t="s">
        <v>446</v>
      </c>
    </row>
    <row r="1507" customFormat="false" ht="14.25" hidden="false" customHeight="true" outlineLevel="0" collapsed="false">
      <c r="A1507" s="1" t="s">
        <v>444</v>
      </c>
      <c r="B1507" s="1" t="s">
        <v>31</v>
      </c>
      <c r="C1507" s="1" t="s">
        <v>31</v>
      </c>
      <c r="D1507" s="1" t="s">
        <v>10</v>
      </c>
      <c r="E1507" s="1" t="n">
        <v>6280</v>
      </c>
      <c r="F1507" s="1" t="n">
        <v>0.254971087196266</v>
      </c>
      <c r="G1507" s="1" t="n">
        <v>1601.21842759255</v>
      </c>
      <c r="H1507" s="1" t="s">
        <v>446</v>
      </c>
    </row>
    <row r="1508" customFormat="false" ht="14.25" hidden="false" customHeight="true" outlineLevel="0" collapsed="false">
      <c r="A1508" s="1" t="s">
        <v>444</v>
      </c>
      <c r="B1508" s="1" t="s">
        <v>31</v>
      </c>
      <c r="C1508" s="1" t="s">
        <v>31</v>
      </c>
      <c r="D1508" s="1" t="s">
        <v>12</v>
      </c>
      <c r="E1508" s="1" t="n">
        <v>13402</v>
      </c>
      <c r="F1508" s="1" t="n">
        <v>0.254971087196266</v>
      </c>
      <c r="G1508" s="1" t="n">
        <v>3417.12251060436</v>
      </c>
      <c r="H1508" s="1" t="s">
        <v>446</v>
      </c>
    </row>
    <row r="1509" customFormat="false" ht="14.25" hidden="false" customHeight="true" outlineLevel="0" collapsed="false">
      <c r="A1509" s="1" t="s">
        <v>444</v>
      </c>
      <c r="B1509" s="1" t="s">
        <v>31</v>
      </c>
      <c r="C1509" s="1" t="s">
        <v>31</v>
      </c>
      <c r="D1509" s="1" t="s">
        <v>13</v>
      </c>
      <c r="E1509" s="1" t="n">
        <v>14331</v>
      </c>
      <c r="F1509" s="1" t="n">
        <v>0.254971087196266</v>
      </c>
      <c r="G1509" s="1" t="n">
        <v>3653.99065060969</v>
      </c>
      <c r="H1509" s="1" t="s">
        <v>446</v>
      </c>
    </row>
    <row r="1510" customFormat="false" ht="14.25" hidden="false" customHeight="true" outlineLevel="0" collapsed="false">
      <c r="A1510" s="1" t="s">
        <v>444</v>
      </c>
      <c r="B1510" s="1" t="s">
        <v>31</v>
      </c>
      <c r="C1510" s="1" t="s">
        <v>31</v>
      </c>
      <c r="D1510" s="1" t="s">
        <v>14</v>
      </c>
      <c r="E1510" s="1" t="n">
        <v>3650</v>
      </c>
      <c r="F1510" s="1" t="n">
        <v>0.254971087196266</v>
      </c>
      <c r="G1510" s="1" t="n">
        <v>930.644468266371</v>
      </c>
      <c r="H1510" s="1" t="s">
        <v>446</v>
      </c>
    </row>
    <row r="1511" customFormat="false" ht="14.25" hidden="false" customHeight="true" outlineLevel="0" collapsed="false">
      <c r="A1511" s="1" t="s">
        <v>444</v>
      </c>
      <c r="B1511" s="1" t="s">
        <v>31</v>
      </c>
      <c r="C1511" s="1" t="s">
        <v>31</v>
      </c>
      <c r="D1511" s="1" t="s">
        <v>15</v>
      </c>
      <c r="E1511" s="1" t="n">
        <v>6396</v>
      </c>
      <c r="F1511" s="1" t="n">
        <v>0.254971087196266</v>
      </c>
      <c r="G1511" s="1" t="n">
        <v>1630.79507370732</v>
      </c>
      <c r="H1511" s="1" t="s">
        <v>446</v>
      </c>
    </row>
    <row r="1512" customFormat="false" ht="14.25" hidden="false" customHeight="true" outlineLevel="0" collapsed="false">
      <c r="A1512" s="1" t="s">
        <v>444</v>
      </c>
      <c r="B1512" s="1" t="s">
        <v>31</v>
      </c>
      <c r="C1512" s="1" t="s">
        <v>31</v>
      </c>
      <c r="D1512" s="1" t="s">
        <v>16</v>
      </c>
      <c r="E1512" s="1" t="n">
        <v>4730</v>
      </c>
      <c r="F1512" s="1" t="n">
        <v>0.254971087196266</v>
      </c>
      <c r="G1512" s="1" t="n">
        <v>1206.01324243834</v>
      </c>
      <c r="H1512" s="1" t="s">
        <v>446</v>
      </c>
    </row>
    <row r="1513" customFormat="false" ht="14.25" hidden="false" customHeight="true" outlineLevel="0" collapsed="false">
      <c r="A1513" s="1" t="s">
        <v>444</v>
      </c>
      <c r="B1513" s="1" t="s">
        <v>31</v>
      </c>
      <c r="C1513" s="1" t="s">
        <v>31</v>
      </c>
      <c r="D1513" s="1" t="s">
        <v>17</v>
      </c>
      <c r="E1513" s="1" t="n">
        <v>4782</v>
      </c>
      <c r="F1513" s="1" t="n">
        <v>0.254971087196266</v>
      </c>
      <c r="G1513" s="1" t="n">
        <v>1219.27173897254</v>
      </c>
      <c r="H1513" s="1" t="s">
        <v>446</v>
      </c>
    </row>
    <row r="1514" customFormat="false" ht="14.25" hidden="false" customHeight="true" outlineLevel="0" collapsed="false">
      <c r="A1514" s="1" t="s">
        <v>444</v>
      </c>
      <c r="B1514" s="1" t="s">
        <v>31</v>
      </c>
      <c r="C1514" s="1" t="s">
        <v>31</v>
      </c>
      <c r="D1514" s="1" t="s">
        <v>18</v>
      </c>
      <c r="E1514" s="1" t="n">
        <v>137756</v>
      </c>
      <c r="F1514" s="1" t="n">
        <v>0.254971087196266</v>
      </c>
      <c r="G1514" s="1" t="n">
        <v>35123.7970878088</v>
      </c>
      <c r="H1514" s="1" t="s">
        <v>446</v>
      </c>
    </row>
    <row r="1515" customFormat="false" ht="14.25" hidden="false" customHeight="true" outlineLevel="0" collapsed="false">
      <c r="A1515" s="1" t="s">
        <v>634</v>
      </c>
      <c r="B1515" s="1" t="s">
        <v>31</v>
      </c>
      <c r="C1515" s="1" t="s">
        <v>31</v>
      </c>
      <c r="D1515" s="1" t="s">
        <v>10</v>
      </c>
      <c r="E1515" s="1" t="n">
        <v>6445</v>
      </c>
      <c r="F1515" s="1" t="n">
        <v>0.362727175726097</v>
      </c>
      <c r="G1515" s="1" t="n">
        <v>2337.7766475547</v>
      </c>
      <c r="H1515" s="1" t="s">
        <v>446</v>
      </c>
    </row>
    <row r="1516" customFormat="false" ht="14.25" hidden="false" customHeight="true" outlineLevel="0" collapsed="false">
      <c r="A1516" s="1" t="s">
        <v>634</v>
      </c>
      <c r="B1516" s="1" t="s">
        <v>31</v>
      </c>
      <c r="C1516" s="1" t="s">
        <v>31</v>
      </c>
      <c r="D1516" s="1" t="s">
        <v>12</v>
      </c>
      <c r="E1516" s="1" t="n">
        <v>13418</v>
      </c>
      <c r="F1516" s="1" t="n">
        <v>0.362727175726097</v>
      </c>
      <c r="G1516" s="1" t="n">
        <v>4867.07324389277</v>
      </c>
      <c r="H1516" s="1" t="s">
        <v>446</v>
      </c>
    </row>
    <row r="1517" customFormat="false" ht="14.25" hidden="false" customHeight="true" outlineLevel="0" collapsed="false">
      <c r="A1517" s="1" t="s">
        <v>634</v>
      </c>
      <c r="B1517" s="1" t="s">
        <v>31</v>
      </c>
      <c r="C1517" s="1" t="s">
        <v>31</v>
      </c>
      <c r="D1517" s="1" t="s">
        <v>13</v>
      </c>
      <c r="E1517" s="1" t="n">
        <v>14441</v>
      </c>
      <c r="F1517" s="1" t="n">
        <v>0.362727175726097</v>
      </c>
      <c r="G1517" s="1" t="n">
        <v>5238.14314466057</v>
      </c>
      <c r="H1517" s="1" t="s">
        <v>446</v>
      </c>
    </row>
    <row r="1518" customFormat="false" ht="14.25" hidden="false" customHeight="true" outlineLevel="0" collapsed="false">
      <c r="A1518" s="1" t="s">
        <v>634</v>
      </c>
      <c r="B1518" s="1" t="s">
        <v>31</v>
      </c>
      <c r="C1518" s="1" t="s">
        <v>31</v>
      </c>
      <c r="D1518" s="1" t="s">
        <v>14</v>
      </c>
      <c r="E1518" s="1" t="n">
        <v>3704</v>
      </c>
      <c r="F1518" s="1" t="n">
        <v>0.362727175726097</v>
      </c>
      <c r="G1518" s="1" t="n">
        <v>1343.54145888946</v>
      </c>
      <c r="H1518" s="1" t="s">
        <v>446</v>
      </c>
    </row>
    <row r="1519" customFormat="false" ht="14.25" hidden="false" customHeight="true" outlineLevel="0" collapsed="false">
      <c r="A1519" s="1" t="s">
        <v>634</v>
      </c>
      <c r="B1519" s="1" t="s">
        <v>31</v>
      </c>
      <c r="C1519" s="1" t="s">
        <v>31</v>
      </c>
      <c r="D1519" s="1" t="s">
        <v>15</v>
      </c>
      <c r="E1519" s="1" t="n">
        <v>6434</v>
      </c>
      <c r="F1519" s="1" t="n">
        <v>0.362727175726097</v>
      </c>
      <c r="G1519" s="1" t="n">
        <v>2333.78664862171</v>
      </c>
      <c r="H1519" s="1" t="s">
        <v>446</v>
      </c>
    </row>
    <row r="1520" customFormat="false" ht="14.25" hidden="false" customHeight="true" outlineLevel="0" collapsed="false">
      <c r="A1520" s="1" t="s">
        <v>634</v>
      </c>
      <c r="B1520" s="1" t="s">
        <v>31</v>
      </c>
      <c r="C1520" s="1" t="s">
        <v>31</v>
      </c>
      <c r="D1520" s="1" t="s">
        <v>16</v>
      </c>
      <c r="E1520" s="1" t="n">
        <v>4749</v>
      </c>
      <c r="F1520" s="1" t="n">
        <v>0.362727175726097</v>
      </c>
      <c r="G1520" s="1" t="n">
        <v>1722.59135752324</v>
      </c>
      <c r="H1520" s="1" t="s">
        <v>446</v>
      </c>
    </row>
    <row r="1521" customFormat="false" ht="14.25" hidden="false" customHeight="true" outlineLevel="0" collapsed="false">
      <c r="A1521" s="1" t="s">
        <v>634</v>
      </c>
      <c r="B1521" s="1" t="s">
        <v>31</v>
      </c>
      <c r="C1521" s="1" t="s">
        <v>31</v>
      </c>
      <c r="D1521" s="1" t="s">
        <v>17</v>
      </c>
      <c r="E1521" s="1" t="n">
        <v>4795</v>
      </c>
      <c r="F1521" s="1" t="n">
        <v>0.362727175726097</v>
      </c>
      <c r="G1521" s="1" t="n">
        <v>1739.27680760664</v>
      </c>
      <c r="H1521" s="1" t="s">
        <v>446</v>
      </c>
    </row>
    <row r="1522" customFormat="false" ht="14.25" hidden="false" customHeight="true" outlineLevel="0" collapsed="false">
      <c r="A1522" s="1" t="s">
        <v>634</v>
      </c>
      <c r="B1522" s="1" t="s">
        <v>31</v>
      </c>
      <c r="C1522" s="1" t="s">
        <v>31</v>
      </c>
      <c r="D1522" s="1" t="s">
        <v>18</v>
      </c>
      <c r="E1522" s="1" t="n">
        <v>140857</v>
      </c>
      <c r="F1522" s="1" t="n">
        <v>0.362727175726097</v>
      </c>
      <c r="G1522" s="1" t="n">
        <v>51092.6617912508</v>
      </c>
      <c r="H1522" s="1" t="s">
        <v>446</v>
      </c>
    </row>
    <row r="1523" customFormat="false" ht="14.25" hidden="false" customHeight="true" outlineLevel="0" collapsed="false">
      <c r="A1523" s="1" t="s">
        <v>444</v>
      </c>
      <c r="B1523" s="1" t="s">
        <v>445</v>
      </c>
      <c r="C1523" s="1" t="s">
        <v>86</v>
      </c>
      <c r="D1523" s="1" t="s">
        <v>10</v>
      </c>
      <c r="E1523" s="1" t="n">
        <v>6280</v>
      </c>
      <c r="F1523" s="1" t="n">
        <v>0.135375967725413</v>
      </c>
      <c r="G1523" s="1" t="n">
        <v>850.161077315594</v>
      </c>
      <c r="H1523" s="1" t="s">
        <v>446</v>
      </c>
    </row>
    <row r="1524" customFormat="false" ht="14.25" hidden="false" customHeight="true" outlineLevel="0" collapsed="false">
      <c r="A1524" s="1" t="s">
        <v>444</v>
      </c>
      <c r="B1524" s="1" t="s">
        <v>445</v>
      </c>
      <c r="C1524" s="1" t="s">
        <v>86</v>
      </c>
      <c r="D1524" s="1" t="s">
        <v>13</v>
      </c>
      <c r="E1524" s="1" t="n">
        <v>14331</v>
      </c>
      <c r="F1524" s="1" t="n">
        <v>0.135375967725413</v>
      </c>
      <c r="G1524" s="1" t="n">
        <v>1940.07299347289</v>
      </c>
      <c r="H1524" s="1" t="s">
        <v>446</v>
      </c>
    </row>
    <row r="1525" customFormat="false" ht="14.25" hidden="false" customHeight="true" outlineLevel="0" collapsed="false">
      <c r="A1525" s="1" t="s">
        <v>444</v>
      </c>
      <c r="B1525" s="1" t="s">
        <v>445</v>
      </c>
      <c r="C1525" s="1" t="s">
        <v>86</v>
      </c>
      <c r="D1525" s="1" t="s">
        <v>14</v>
      </c>
      <c r="E1525" s="1" t="n">
        <v>3650</v>
      </c>
      <c r="F1525" s="1" t="n">
        <v>0.135375967725413</v>
      </c>
      <c r="G1525" s="1" t="n">
        <v>494.122282197757</v>
      </c>
      <c r="H1525" s="1" t="s">
        <v>446</v>
      </c>
    </row>
    <row r="1526" customFormat="false" ht="14.25" hidden="false" customHeight="true" outlineLevel="0" collapsed="false">
      <c r="A1526" s="1" t="s">
        <v>444</v>
      </c>
      <c r="B1526" s="1" t="s">
        <v>445</v>
      </c>
      <c r="C1526" s="1" t="s">
        <v>86</v>
      </c>
      <c r="D1526" s="1" t="s">
        <v>15</v>
      </c>
      <c r="E1526" s="1" t="n">
        <v>6396</v>
      </c>
      <c r="F1526" s="1" t="n">
        <v>0.135375967725413</v>
      </c>
      <c r="G1526" s="1" t="n">
        <v>865.864689571742</v>
      </c>
      <c r="H1526" s="1" t="s">
        <v>446</v>
      </c>
    </row>
    <row r="1527" customFormat="false" ht="14.25" hidden="false" customHeight="true" outlineLevel="0" collapsed="false">
      <c r="A1527" s="1" t="s">
        <v>444</v>
      </c>
      <c r="B1527" s="1" t="s">
        <v>445</v>
      </c>
      <c r="C1527" s="1" t="s">
        <v>86</v>
      </c>
      <c r="D1527" s="1" t="s">
        <v>16</v>
      </c>
      <c r="E1527" s="1" t="n">
        <v>4730</v>
      </c>
      <c r="F1527" s="1" t="n">
        <v>0.135375967725413</v>
      </c>
      <c r="G1527" s="1" t="n">
        <v>640.328327341204</v>
      </c>
      <c r="H1527" s="1" t="s">
        <v>446</v>
      </c>
    </row>
    <row r="1528" customFormat="false" ht="14.25" hidden="false" customHeight="true" outlineLevel="0" collapsed="false">
      <c r="A1528" s="1" t="s">
        <v>444</v>
      </c>
      <c r="B1528" s="1" t="s">
        <v>445</v>
      </c>
      <c r="C1528" s="1" t="s">
        <v>86</v>
      </c>
      <c r="D1528" s="1" t="s">
        <v>17</v>
      </c>
      <c r="E1528" s="1" t="n">
        <v>4782</v>
      </c>
      <c r="F1528" s="1" t="n">
        <v>0.135375967725413</v>
      </c>
      <c r="G1528" s="1" t="n">
        <v>647.367877662925</v>
      </c>
      <c r="H1528" s="1" t="s">
        <v>446</v>
      </c>
    </row>
    <row r="1529" customFormat="false" ht="14.25" hidden="false" customHeight="true" outlineLevel="0" collapsed="false">
      <c r="A1529" s="1" t="s">
        <v>444</v>
      </c>
      <c r="B1529" s="1" t="s">
        <v>445</v>
      </c>
      <c r="C1529" s="1" t="s">
        <v>86</v>
      </c>
      <c r="D1529" s="1" t="s">
        <v>18</v>
      </c>
      <c r="E1529" s="1" t="n">
        <v>137756</v>
      </c>
      <c r="F1529" s="1" t="n">
        <v>0.135375967725413</v>
      </c>
      <c r="G1529" s="1" t="n">
        <v>18648.851809982</v>
      </c>
      <c r="H1529" s="1" t="s">
        <v>446</v>
      </c>
    </row>
    <row r="1530" customFormat="false" ht="14.25" hidden="false" customHeight="true" outlineLevel="0" collapsed="false">
      <c r="A1530" s="1" t="s">
        <v>634</v>
      </c>
      <c r="B1530" s="1" t="s">
        <v>445</v>
      </c>
      <c r="C1530" s="1" t="s">
        <v>86</v>
      </c>
      <c r="D1530" s="1" t="s">
        <v>10</v>
      </c>
      <c r="E1530" s="1" t="n">
        <v>6445</v>
      </c>
      <c r="F1530" s="1" t="n">
        <v>0.179820937431676</v>
      </c>
      <c r="G1530" s="1" t="n">
        <v>1158.94594174715</v>
      </c>
      <c r="H1530" s="1" t="s">
        <v>446</v>
      </c>
    </row>
    <row r="1531" customFormat="false" ht="14.25" hidden="false" customHeight="true" outlineLevel="0" collapsed="false">
      <c r="A1531" s="1" t="s">
        <v>634</v>
      </c>
      <c r="B1531" s="1" t="s">
        <v>445</v>
      </c>
      <c r="C1531" s="1" t="s">
        <v>86</v>
      </c>
      <c r="D1531" s="1" t="s">
        <v>13</v>
      </c>
      <c r="E1531" s="1" t="n">
        <v>14441</v>
      </c>
      <c r="F1531" s="1" t="n">
        <v>0.179820937431676</v>
      </c>
      <c r="G1531" s="1" t="n">
        <v>2596.79415745083</v>
      </c>
      <c r="H1531" s="1" t="s">
        <v>446</v>
      </c>
    </row>
    <row r="1532" customFormat="false" ht="14.25" hidden="false" customHeight="true" outlineLevel="0" collapsed="false">
      <c r="A1532" s="1" t="s">
        <v>634</v>
      </c>
      <c r="B1532" s="1" t="s">
        <v>445</v>
      </c>
      <c r="C1532" s="1" t="s">
        <v>86</v>
      </c>
      <c r="D1532" s="1" t="s">
        <v>14</v>
      </c>
      <c r="E1532" s="1" t="n">
        <v>3704</v>
      </c>
      <c r="F1532" s="1" t="n">
        <v>0.179820937431676</v>
      </c>
      <c r="G1532" s="1" t="n">
        <v>666.056752246928</v>
      </c>
      <c r="H1532" s="1" t="s">
        <v>446</v>
      </c>
    </row>
    <row r="1533" customFormat="false" ht="14.25" hidden="false" customHeight="true" outlineLevel="0" collapsed="false">
      <c r="A1533" s="1" t="s">
        <v>634</v>
      </c>
      <c r="B1533" s="1" t="s">
        <v>445</v>
      </c>
      <c r="C1533" s="1" t="s">
        <v>86</v>
      </c>
      <c r="D1533" s="1" t="s">
        <v>15</v>
      </c>
      <c r="E1533" s="1" t="n">
        <v>6434</v>
      </c>
      <c r="F1533" s="1" t="n">
        <v>0.179820937431676</v>
      </c>
      <c r="G1533" s="1" t="n">
        <v>1156.9679114354</v>
      </c>
      <c r="H1533" s="1" t="s">
        <v>446</v>
      </c>
    </row>
    <row r="1534" customFormat="false" ht="14.25" hidden="false" customHeight="true" outlineLevel="0" collapsed="false">
      <c r="A1534" s="1" t="s">
        <v>634</v>
      </c>
      <c r="B1534" s="1" t="s">
        <v>445</v>
      </c>
      <c r="C1534" s="1" t="s">
        <v>86</v>
      </c>
      <c r="D1534" s="1" t="s">
        <v>16</v>
      </c>
      <c r="E1534" s="1" t="n">
        <v>4749</v>
      </c>
      <c r="F1534" s="1" t="n">
        <v>0.179820937431676</v>
      </c>
      <c r="G1534" s="1" t="n">
        <v>853.969631863029</v>
      </c>
      <c r="H1534" s="1" t="s">
        <v>446</v>
      </c>
    </row>
    <row r="1535" customFormat="false" ht="14.25" hidden="false" customHeight="true" outlineLevel="0" collapsed="false">
      <c r="A1535" s="1" t="s">
        <v>634</v>
      </c>
      <c r="B1535" s="1" t="s">
        <v>445</v>
      </c>
      <c r="C1535" s="1" t="s">
        <v>86</v>
      </c>
      <c r="D1535" s="1" t="s">
        <v>17</v>
      </c>
      <c r="E1535" s="1" t="n">
        <v>4795</v>
      </c>
      <c r="F1535" s="1" t="n">
        <v>0.179820937431676</v>
      </c>
      <c r="G1535" s="1" t="n">
        <v>862.241394984886</v>
      </c>
      <c r="H1535" s="1" t="s">
        <v>446</v>
      </c>
    </row>
    <row r="1536" customFormat="false" ht="14.25" hidden="false" customHeight="true" outlineLevel="0" collapsed="false">
      <c r="A1536" s="1" t="s">
        <v>634</v>
      </c>
      <c r="B1536" s="1" t="s">
        <v>445</v>
      </c>
      <c r="C1536" s="1" t="s">
        <v>86</v>
      </c>
      <c r="D1536" s="1" t="s">
        <v>18</v>
      </c>
      <c r="E1536" s="1" t="n">
        <v>140857</v>
      </c>
      <c r="F1536" s="1" t="n">
        <v>0.179820937431676</v>
      </c>
      <c r="G1536" s="1" t="n">
        <v>25329.0377838136</v>
      </c>
      <c r="H1536" s="1" t="s">
        <v>446</v>
      </c>
    </row>
    <row r="1537" customFormat="false" ht="14.25" hidden="false" customHeight="true" outlineLevel="0" collapsed="false">
      <c r="A1537" s="1" t="s">
        <v>444</v>
      </c>
      <c r="B1537" s="1" t="s">
        <v>32</v>
      </c>
      <c r="C1537" s="1" t="s">
        <v>679</v>
      </c>
      <c r="D1537" s="1" t="s">
        <v>10</v>
      </c>
      <c r="E1537" s="1" t="n">
        <v>35</v>
      </c>
      <c r="F1537" s="1" t="n">
        <v>28.5122484748338</v>
      </c>
      <c r="G1537" s="1" t="n">
        <v>997.928697</v>
      </c>
      <c r="H1537" s="1" t="s">
        <v>730</v>
      </c>
    </row>
    <row r="1538" customFormat="false" ht="14.25" hidden="false" customHeight="true" outlineLevel="0" collapsed="false">
      <c r="A1538" s="1" t="s">
        <v>444</v>
      </c>
      <c r="B1538" s="1" t="s">
        <v>32</v>
      </c>
      <c r="C1538" s="1" t="s">
        <v>679</v>
      </c>
      <c r="D1538" s="1" t="s">
        <v>14</v>
      </c>
      <c r="E1538" s="1" t="n">
        <v>11</v>
      </c>
      <c r="F1538" s="1" t="n">
        <v>28.5122484748338</v>
      </c>
      <c r="G1538" s="1" t="n">
        <v>313.634733</v>
      </c>
      <c r="H1538" s="1" t="s">
        <v>730</v>
      </c>
    </row>
    <row r="1539" customFormat="false" ht="14.25" hidden="false" customHeight="true" outlineLevel="0" collapsed="false">
      <c r="A1539" s="1" t="s">
        <v>444</v>
      </c>
      <c r="B1539" s="1" t="s">
        <v>32</v>
      </c>
      <c r="C1539" s="1" t="s">
        <v>679</v>
      </c>
      <c r="D1539" s="1" t="s">
        <v>15</v>
      </c>
      <c r="E1539" s="1" t="n">
        <v>42</v>
      </c>
      <c r="F1539" s="1" t="n">
        <v>28.5122484748338</v>
      </c>
      <c r="G1539" s="1" t="n">
        <v>1197.514436</v>
      </c>
      <c r="H1539" s="1" t="s">
        <v>730</v>
      </c>
    </row>
    <row r="1540" customFormat="false" ht="14.25" hidden="false" customHeight="true" outlineLevel="0" collapsed="false">
      <c r="A1540" s="1" t="s">
        <v>444</v>
      </c>
      <c r="B1540" s="1" t="s">
        <v>32</v>
      </c>
      <c r="C1540" s="1" t="s">
        <v>679</v>
      </c>
      <c r="D1540" s="1" t="s">
        <v>13</v>
      </c>
      <c r="E1540" s="1" t="n">
        <v>42</v>
      </c>
      <c r="F1540" s="1" t="n">
        <v>28.5122484748338</v>
      </c>
      <c r="G1540" s="1" t="n">
        <v>1197.514436</v>
      </c>
      <c r="H1540" s="1" t="s">
        <v>730</v>
      </c>
    </row>
    <row r="1541" customFormat="false" ht="14.25" hidden="false" customHeight="true" outlineLevel="0" collapsed="false">
      <c r="A1541" s="1" t="s">
        <v>444</v>
      </c>
      <c r="B1541" s="1" t="s">
        <v>32</v>
      </c>
      <c r="C1541" s="1" t="s">
        <v>679</v>
      </c>
      <c r="D1541" s="1" t="s">
        <v>16</v>
      </c>
      <c r="E1541" s="1" t="n">
        <v>18</v>
      </c>
      <c r="F1541" s="1" t="n">
        <v>28.5122484748338</v>
      </c>
      <c r="G1541" s="1" t="n">
        <v>513.220473</v>
      </c>
      <c r="H1541" s="1" t="s">
        <v>730</v>
      </c>
    </row>
    <row r="1542" customFormat="false" ht="14.25" hidden="false" customHeight="true" outlineLevel="0" collapsed="false">
      <c r="A1542" s="1" t="s">
        <v>444</v>
      </c>
      <c r="B1542" s="1" t="s">
        <v>32</v>
      </c>
      <c r="C1542" s="1" t="s">
        <v>679</v>
      </c>
      <c r="D1542" s="1" t="s">
        <v>17</v>
      </c>
      <c r="E1542" s="1" t="n">
        <v>20</v>
      </c>
      <c r="F1542" s="1" t="n">
        <v>28.5122484748338</v>
      </c>
      <c r="G1542" s="1" t="n">
        <v>570.244969</v>
      </c>
      <c r="H1542" s="1" t="s">
        <v>730</v>
      </c>
    </row>
    <row r="1543" customFormat="false" ht="14.25" hidden="false" customHeight="true" outlineLevel="0" collapsed="false">
      <c r="A1543" s="1" t="s">
        <v>634</v>
      </c>
      <c r="B1543" s="1" t="s">
        <v>32</v>
      </c>
      <c r="C1543" s="1" t="s">
        <v>679</v>
      </c>
      <c r="D1543" s="1" t="s">
        <v>10</v>
      </c>
      <c r="E1543" s="1" t="n">
        <v>34</v>
      </c>
      <c r="F1543" s="1" t="n">
        <v>34.9215198817922</v>
      </c>
      <c r="G1543" s="1" t="n">
        <v>1187.331676</v>
      </c>
      <c r="H1543" s="1" t="s">
        <v>730</v>
      </c>
    </row>
    <row r="1544" customFormat="false" ht="14.25" hidden="false" customHeight="true" outlineLevel="0" collapsed="false">
      <c r="A1544" s="1" t="s">
        <v>634</v>
      </c>
      <c r="B1544" s="1" t="s">
        <v>32</v>
      </c>
      <c r="C1544" s="1" t="s">
        <v>679</v>
      </c>
      <c r="D1544" s="1" t="s">
        <v>14</v>
      </c>
      <c r="E1544" s="1" t="n">
        <v>11</v>
      </c>
      <c r="F1544" s="1" t="n">
        <v>34.9215198817922</v>
      </c>
      <c r="G1544" s="1" t="n">
        <v>384.136719</v>
      </c>
      <c r="H1544" s="1" t="s">
        <v>730</v>
      </c>
    </row>
    <row r="1545" customFormat="false" ht="14.25" hidden="false" customHeight="true" outlineLevel="0" collapsed="false">
      <c r="A1545" s="1" t="s">
        <v>634</v>
      </c>
      <c r="B1545" s="1" t="s">
        <v>32</v>
      </c>
      <c r="C1545" s="1" t="s">
        <v>679</v>
      </c>
      <c r="D1545" s="1" t="s">
        <v>15</v>
      </c>
      <c r="E1545" s="1" t="n">
        <v>43</v>
      </c>
      <c r="F1545" s="1" t="n">
        <v>34.9215198817922</v>
      </c>
      <c r="G1545" s="1" t="n">
        <v>1501.625355</v>
      </c>
      <c r="H1545" s="1" t="s">
        <v>730</v>
      </c>
    </row>
    <row r="1546" customFormat="false" ht="14.25" hidden="false" customHeight="true" outlineLevel="0" collapsed="false">
      <c r="A1546" s="1" t="s">
        <v>634</v>
      </c>
      <c r="B1546" s="1" t="s">
        <v>32</v>
      </c>
      <c r="C1546" s="1" t="s">
        <v>679</v>
      </c>
      <c r="D1546" s="1" t="s">
        <v>13</v>
      </c>
      <c r="E1546" s="1" t="n">
        <v>44</v>
      </c>
      <c r="F1546" s="1" t="n">
        <v>34.9215198817922</v>
      </c>
      <c r="G1546" s="1" t="n">
        <v>1536.546875</v>
      </c>
      <c r="H1546" s="1" t="s">
        <v>730</v>
      </c>
    </row>
    <row r="1547" customFormat="false" ht="14.25" hidden="false" customHeight="true" outlineLevel="0" collapsed="false">
      <c r="A1547" s="1" t="s">
        <v>634</v>
      </c>
      <c r="B1547" s="1" t="s">
        <v>32</v>
      </c>
      <c r="C1547" s="1" t="s">
        <v>679</v>
      </c>
      <c r="D1547" s="1" t="s">
        <v>16</v>
      </c>
      <c r="E1547" s="1" t="n">
        <v>18</v>
      </c>
      <c r="F1547" s="1" t="n">
        <v>34.9215198817922</v>
      </c>
      <c r="G1547" s="1" t="n">
        <v>628.587358</v>
      </c>
      <c r="H1547" s="1" t="s">
        <v>730</v>
      </c>
    </row>
    <row r="1548" customFormat="false" ht="14.25" hidden="false" customHeight="true" outlineLevel="0" collapsed="false">
      <c r="A1548" s="1" t="s">
        <v>634</v>
      </c>
      <c r="B1548" s="1" t="s">
        <v>32</v>
      </c>
      <c r="C1548" s="1" t="s">
        <v>679</v>
      </c>
      <c r="D1548" s="1" t="s">
        <v>17</v>
      </c>
      <c r="E1548" s="1" t="n">
        <v>20</v>
      </c>
      <c r="F1548" s="1" t="n">
        <v>34.9215198817922</v>
      </c>
      <c r="G1548" s="1" t="n">
        <v>698.430398</v>
      </c>
      <c r="H1548" s="1" t="s">
        <v>730</v>
      </c>
    </row>
    <row r="1549" customFormat="false" ht="14.25" hidden="false" customHeight="true" outlineLevel="0" collapsed="false">
      <c r="A1549" s="1" t="s">
        <v>444</v>
      </c>
      <c r="B1549" s="1" t="s">
        <v>33</v>
      </c>
      <c r="C1549" s="1" t="s">
        <v>681</v>
      </c>
      <c r="D1549" s="1" t="s">
        <v>10</v>
      </c>
      <c r="E1549" s="1" t="n">
        <v>35</v>
      </c>
      <c r="F1549" s="1" t="n">
        <v>47.3185621082621</v>
      </c>
      <c r="G1549" s="1" t="n">
        <v>1656.149674</v>
      </c>
      <c r="H1549" s="1" t="s">
        <v>730</v>
      </c>
    </row>
    <row r="1550" customFormat="false" ht="14.25" hidden="false" customHeight="true" outlineLevel="0" collapsed="false">
      <c r="A1550" s="1" t="s">
        <v>444</v>
      </c>
      <c r="B1550" s="1" t="s">
        <v>33</v>
      </c>
      <c r="C1550" s="1" t="s">
        <v>681</v>
      </c>
      <c r="D1550" s="1" t="s">
        <v>14</v>
      </c>
      <c r="E1550" s="1" t="n">
        <v>11</v>
      </c>
      <c r="F1550" s="1" t="n">
        <v>47.3185621082621</v>
      </c>
      <c r="G1550" s="1" t="n">
        <v>520.504183</v>
      </c>
      <c r="H1550" s="1" t="s">
        <v>730</v>
      </c>
    </row>
    <row r="1551" customFormat="false" ht="14.25" hidden="false" customHeight="true" outlineLevel="0" collapsed="false">
      <c r="A1551" s="1" t="s">
        <v>444</v>
      </c>
      <c r="B1551" s="1" t="s">
        <v>33</v>
      </c>
      <c r="C1551" s="1" t="s">
        <v>681</v>
      </c>
      <c r="D1551" s="1" t="s">
        <v>15</v>
      </c>
      <c r="E1551" s="1" t="n">
        <v>42</v>
      </c>
      <c r="F1551" s="1" t="n">
        <v>47.3185621082621</v>
      </c>
      <c r="G1551" s="1" t="n">
        <v>1987.379609</v>
      </c>
      <c r="H1551" s="1" t="s">
        <v>730</v>
      </c>
    </row>
    <row r="1552" customFormat="false" ht="14.25" hidden="false" customHeight="true" outlineLevel="0" collapsed="false">
      <c r="A1552" s="1" t="s">
        <v>444</v>
      </c>
      <c r="B1552" s="1" t="s">
        <v>33</v>
      </c>
      <c r="C1552" s="1" t="s">
        <v>681</v>
      </c>
      <c r="D1552" s="1" t="s">
        <v>13</v>
      </c>
      <c r="E1552" s="1" t="n">
        <v>42</v>
      </c>
      <c r="F1552" s="1" t="n">
        <v>47.3185621082621</v>
      </c>
      <c r="G1552" s="1" t="n">
        <v>1987.379609</v>
      </c>
      <c r="H1552" s="1" t="s">
        <v>730</v>
      </c>
    </row>
    <row r="1553" customFormat="false" ht="14.25" hidden="false" customHeight="true" outlineLevel="0" collapsed="false">
      <c r="A1553" s="1" t="s">
        <v>444</v>
      </c>
      <c r="B1553" s="1" t="s">
        <v>33</v>
      </c>
      <c r="C1553" s="1" t="s">
        <v>681</v>
      </c>
      <c r="D1553" s="1" t="s">
        <v>16</v>
      </c>
      <c r="E1553" s="1" t="n">
        <v>18</v>
      </c>
      <c r="F1553" s="1" t="n">
        <v>47.3185621082621</v>
      </c>
      <c r="G1553" s="1" t="n">
        <v>851.734118</v>
      </c>
      <c r="H1553" s="1" t="s">
        <v>730</v>
      </c>
    </row>
    <row r="1554" customFormat="false" ht="14.25" hidden="false" customHeight="true" outlineLevel="0" collapsed="false">
      <c r="A1554" s="1" t="s">
        <v>444</v>
      </c>
      <c r="B1554" s="1" t="s">
        <v>33</v>
      </c>
      <c r="C1554" s="1" t="s">
        <v>681</v>
      </c>
      <c r="D1554" s="1" t="s">
        <v>17</v>
      </c>
      <c r="E1554" s="1" t="n">
        <v>20</v>
      </c>
      <c r="F1554" s="1" t="n">
        <v>47.3185621082621</v>
      </c>
      <c r="G1554" s="1" t="n">
        <v>946.371242</v>
      </c>
      <c r="H1554" s="1" t="s">
        <v>730</v>
      </c>
    </row>
    <row r="1555" customFormat="false" ht="14.25" hidden="false" customHeight="true" outlineLevel="0" collapsed="false">
      <c r="A1555" s="1" t="s">
        <v>634</v>
      </c>
      <c r="B1555" s="1" t="s">
        <v>33</v>
      </c>
      <c r="C1555" s="1" t="s">
        <v>681</v>
      </c>
      <c r="D1555" s="1" t="s">
        <v>10</v>
      </c>
      <c r="E1555" s="1" t="n">
        <v>34</v>
      </c>
      <c r="F1555" s="1" t="n">
        <v>53.0403007626311</v>
      </c>
      <c r="G1555" s="1" t="n">
        <v>1803.370226</v>
      </c>
      <c r="H1555" s="1" t="s">
        <v>730</v>
      </c>
    </row>
    <row r="1556" customFormat="false" ht="14.25" hidden="false" customHeight="true" outlineLevel="0" collapsed="false">
      <c r="A1556" s="1" t="s">
        <v>634</v>
      </c>
      <c r="B1556" s="1" t="s">
        <v>33</v>
      </c>
      <c r="C1556" s="1" t="s">
        <v>681</v>
      </c>
      <c r="D1556" s="1" t="s">
        <v>14</v>
      </c>
      <c r="E1556" s="1" t="n">
        <v>11</v>
      </c>
      <c r="F1556" s="1" t="n">
        <v>53.0403007626311</v>
      </c>
      <c r="G1556" s="1" t="n">
        <v>583.443308</v>
      </c>
      <c r="H1556" s="1" t="s">
        <v>730</v>
      </c>
    </row>
    <row r="1557" customFormat="false" ht="14.25" hidden="false" customHeight="true" outlineLevel="0" collapsed="false">
      <c r="A1557" s="1" t="s">
        <v>634</v>
      </c>
      <c r="B1557" s="1" t="s">
        <v>33</v>
      </c>
      <c r="C1557" s="1" t="s">
        <v>681</v>
      </c>
      <c r="D1557" s="1" t="s">
        <v>15</v>
      </c>
      <c r="E1557" s="1" t="n">
        <v>43</v>
      </c>
      <c r="F1557" s="1" t="n">
        <v>53.0403007626311</v>
      </c>
      <c r="G1557" s="1" t="n">
        <v>2280.732933</v>
      </c>
      <c r="H1557" s="1" t="s">
        <v>730</v>
      </c>
    </row>
    <row r="1558" customFormat="false" ht="14.25" hidden="false" customHeight="true" outlineLevel="0" collapsed="false">
      <c r="A1558" s="1" t="s">
        <v>634</v>
      </c>
      <c r="B1558" s="1" t="s">
        <v>33</v>
      </c>
      <c r="C1558" s="1" t="s">
        <v>681</v>
      </c>
      <c r="D1558" s="1" t="s">
        <v>13</v>
      </c>
      <c r="E1558" s="1" t="n">
        <v>44</v>
      </c>
      <c r="F1558" s="1" t="n">
        <v>53.0403007626311</v>
      </c>
      <c r="G1558" s="1" t="n">
        <v>2333.773234</v>
      </c>
      <c r="H1558" s="1" t="s">
        <v>730</v>
      </c>
    </row>
    <row r="1559" customFormat="false" ht="14.25" hidden="false" customHeight="true" outlineLevel="0" collapsed="false">
      <c r="A1559" s="1" t="s">
        <v>634</v>
      </c>
      <c r="B1559" s="1" t="s">
        <v>33</v>
      </c>
      <c r="C1559" s="1" t="s">
        <v>681</v>
      </c>
      <c r="D1559" s="1" t="s">
        <v>16</v>
      </c>
      <c r="E1559" s="1" t="n">
        <v>18</v>
      </c>
      <c r="F1559" s="1" t="n">
        <v>53.0403007626311</v>
      </c>
      <c r="G1559" s="1" t="n">
        <v>954.725414</v>
      </c>
      <c r="H1559" s="1" t="s">
        <v>730</v>
      </c>
    </row>
    <row r="1560" customFormat="false" ht="14.25" hidden="false" customHeight="true" outlineLevel="0" collapsed="false">
      <c r="A1560" s="1" t="s">
        <v>634</v>
      </c>
      <c r="B1560" s="1" t="s">
        <v>33</v>
      </c>
      <c r="C1560" s="1" t="s">
        <v>681</v>
      </c>
      <c r="D1560" s="1" t="s">
        <v>17</v>
      </c>
      <c r="E1560" s="1" t="n">
        <v>20</v>
      </c>
      <c r="F1560" s="1" t="n">
        <v>53.0403007626311</v>
      </c>
      <c r="G1560" s="1" t="n">
        <v>1060.806015</v>
      </c>
      <c r="H1560" s="1" t="s">
        <v>730</v>
      </c>
    </row>
    <row r="1561" customFormat="false" ht="14.25" hidden="false" customHeight="true" outlineLevel="0" collapsed="false">
      <c r="A1561" s="1" t="s">
        <v>444</v>
      </c>
      <c r="B1561" s="1" t="s">
        <v>78</v>
      </c>
      <c r="C1561" s="1" t="s">
        <v>731</v>
      </c>
      <c r="D1561" s="1" t="s">
        <v>18</v>
      </c>
      <c r="E1561" s="1" t="n">
        <v>137756</v>
      </c>
      <c r="F1561" s="1" t="n">
        <v>0.447345643845354</v>
      </c>
      <c r="G1561" s="1" t="n">
        <v>61624.546514</v>
      </c>
      <c r="H1561" s="1" t="s">
        <v>732</v>
      </c>
    </row>
    <row r="1562" customFormat="false" ht="14.25" hidden="false" customHeight="true" outlineLevel="0" collapsed="false">
      <c r="A1562" s="1" t="s">
        <v>444</v>
      </c>
      <c r="B1562" s="1" t="s">
        <v>78</v>
      </c>
      <c r="C1562" s="1" t="s">
        <v>731</v>
      </c>
      <c r="D1562" s="1" t="s">
        <v>14</v>
      </c>
      <c r="E1562" s="1" t="n">
        <v>3650</v>
      </c>
      <c r="F1562" s="1" t="n">
        <v>0.447345643845354</v>
      </c>
      <c r="G1562" s="1" t="n">
        <v>1632.8116</v>
      </c>
      <c r="H1562" s="1" t="s">
        <v>732</v>
      </c>
    </row>
    <row r="1563" customFormat="false" ht="14.25" hidden="false" customHeight="true" outlineLevel="0" collapsed="false">
      <c r="A1563" s="1" t="s">
        <v>444</v>
      </c>
      <c r="B1563" s="1" t="s">
        <v>78</v>
      </c>
      <c r="C1563" s="1" t="s">
        <v>731</v>
      </c>
      <c r="D1563" s="1" t="s">
        <v>13</v>
      </c>
      <c r="E1563" s="1" t="n">
        <v>14331</v>
      </c>
      <c r="F1563" s="1" t="n">
        <v>0.447345643845354</v>
      </c>
      <c r="G1563" s="1" t="n">
        <v>6410.910422</v>
      </c>
      <c r="H1563" s="1" t="s">
        <v>732</v>
      </c>
    </row>
    <row r="1564" customFormat="false" ht="14.25" hidden="false" customHeight="true" outlineLevel="0" collapsed="false">
      <c r="A1564" s="1" t="s">
        <v>444</v>
      </c>
      <c r="B1564" s="1" t="s">
        <v>78</v>
      </c>
      <c r="C1564" s="1" t="s">
        <v>731</v>
      </c>
      <c r="D1564" s="1" t="s">
        <v>17</v>
      </c>
      <c r="E1564" s="1" t="n">
        <v>4782</v>
      </c>
      <c r="F1564" s="1" t="n">
        <v>0.447345643845354</v>
      </c>
      <c r="G1564" s="1" t="n">
        <v>2139.206869</v>
      </c>
      <c r="H1564" s="1" t="s">
        <v>732</v>
      </c>
    </row>
    <row r="1565" customFormat="false" ht="14.25" hidden="false" customHeight="true" outlineLevel="0" collapsed="false">
      <c r="A1565" s="1" t="s">
        <v>634</v>
      </c>
      <c r="B1565" s="1" t="s">
        <v>78</v>
      </c>
      <c r="C1565" s="1" t="s">
        <v>731</v>
      </c>
      <c r="D1565" s="1" t="s">
        <v>18</v>
      </c>
      <c r="E1565" s="1" t="n">
        <v>140857</v>
      </c>
      <c r="F1565" s="1" t="n">
        <v>0.485340153354239</v>
      </c>
      <c r="G1565" s="1" t="n">
        <v>68363.557981</v>
      </c>
      <c r="H1565" s="1" t="s">
        <v>732</v>
      </c>
    </row>
    <row r="1566" customFormat="false" ht="14.25" hidden="false" customHeight="true" outlineLevel="0" collapsed="false">
      <c r="A1566" s="1" t="s">
        <v>634</v>
      </c>
      <c r="B1566" s="1" t="s">
        <v>78</v>
      </c>
      <c r="C1566" s="1" t="s">
        <v>731</v>
      </c>
      <c r="D1566" s="1" t="s">
        <v>14</v>
      </c>
      <c r="E1566" s="1" t="n">
        <v>3704</v>
      </c>
      <c r="F1566" s="1" t="n">
        <v>0.485340153354239</v>
      </c>
      <c r="G1566" s="1" t="n">
        <v>1797.699928</v>
      </c>
      <c r="H1566" s="1" t="s">
        <v>732</v>
      </c>
    </row>
    <row r="1567" customFormat="false" ht="14.25" hidden="false" customHeight="true" outlineLevel="0" collapsed="false">
      <c r="A1567" s="1" t="s">
        <v>634</v>
      </c>
      <c r="B1567" s="1" t="s">
        <v>78</v>
      </c>
      <c r="C1567" s="1" t="s">
        <v>731</v>
      </c>
      <c r="D1567" s="1" t="s">
        <v>13</v>
      </c>
      <c r="E1567" s="1" t="n">
        <v>14441</v>
      </c>
      <c r="F1567" s="1" t="n">
        <v>0.485340153354239</v>
      </c>
      <c r="G1567" s="1" t="n">
        <v>7008.797155</v>
      </c>
      <c r="H1567" s="1" t="s">
        <v>732</v>
      </c>
    </row>
    <row r="1568" customFormat="false" ht="14.25" hidden="false" customHeight="true" outlineLevel="0" collapsed="false">
      <c r="A1568" s="1" t="s">
        <v>634</v>
      </c>
      <c r="B1568" s="1" t="s">
        <v>78</v>
      </c>
      <c r="C1568" s="1" t="s">
        <v>731</v>
      </c>
      <c r="D1568" s="1" t="s">
        <v>17</v>
      </c>
      <c r="E1568" s="1" t="n">
        <v>4795</v>
      </c>
      <c r="F1568" s="1" t="n">
        <v>0.485340153354239</v>
      </c>
      <c r="G1568" s="1" t="n">
        <v>2327.206035</v>
      </c>
      <c r="H1568" s="1" t="s">
        <v>732</v>
      </c>
    </row>
    <row r="1569" customFormat="false" ht="14.25" hidden="false" customHeight="true" outlineLevel="0" collapsed="false">
      <c r="A1569" s="1" t="s">
        <v>665</v>
      </c>
      <c r="B1569" s="1" t="s">
        <v>78</v>
      </c>
      <c r="C1569" s="1" t="s">
        <v>731</v>
      </c>
      <c r="D1569" s="1" t="s">
        <v>18</v>
      </c>
      <c r="E1569" s="1" t="n">
        <v>146740</v>
      </c>
      <c r="F1569" s="1" t="n">
        <v>0.389634477966758</v>
      </c>
      <c r="G1569" s="1" t="n">
        <v>57174.963297</v>
      </c>
      <c r="H1569" s="1" t="s">
        <v>732</v>
      </c>
    </row>
    <row r="1570" customFormat="false" ht="14.25" hidden="false" customHeight="true" outlineLevel="0" collapsed="false">
      <c r="A1570" s="1" t="s">
        <v>665</v>
      </c>
      <c r="B1570" s="1" t="s">
        <v>78</v>
      </c>
      <c r="C1570" s="1" t="s">
        <v>731</v>
      </c>
      <c r="D1570" s="1" t="s">
        <v>14</v>
      </c>
      <c r="E1570" s="1" t="n">
        <v>3765</v>
      </c>
      <c r="F1570" s="1" t="n">
        <v>0.389634477966758</v>
      </c>
      <c r="G1570" s="1" t="n">
        <v>1466.97381</v>
      </c>
      <c r="H1570" s="1" t="s">
        <v>732</v>
      </c>
    </row>
    <row r="1571" customFormat="false" ht="14.25" hidden="false" customHeight="true" outlineLevel="0" collapsed="false">
      <c r="A1571" s="1" t="s">
        <v>665</v>
      </c>
      <c r="B1571" s="1" t="s">
        <v>78</v>
      </c>
      <c r="C1571" s="1" t="s">
        <v>731</v>
      </c>
      <c r="D1571" s="1" t="s">
        <v>13</v>
      </c>
      <c r="E1571" s="1" t="n">
        <v>14689</v>
      </c>
      <c r="F1571" s="1" t="n">
        <v>0.389634477966758</v>
      </c>
      <c r="G1571" s="1" t="n">
        <v>5723.340847</v>
      </c>
      <c r="H1571" s="1" t="s">
        <v>732</v>
      </c>
    </row>
    <row r="1572" customFormat="false" ht="14.25" hidden="false" customHeight="true" outlineLevel="0" collapsed="false">
      <c r="A1572" s="1" t="s">
        <v>665</v>
      </c>
      <c r="B1572" s="1" t="s">
        <v>78</v>
      </c>
      <c r="C1572" s="1" t="s">
        <v>731</v>
      </c>
      <c r="D1572" s="1" t="s">
        <v>17</v>
      </c>
      <c r="E1572" s="1" t="n">
        <v>4806</v>
      </c>
      <c r="F1572" s="1" t="n">
        <v>0.389634477966758</v>
      </c>
      <c r="G1572" s="1" t="n">
        <v>1872.583301</v>
      </c>
      <c r="H1572" s="1" t="s">
        <v>732</v>
      </c>
    </row>
    <row r="1573" customFormat="false" ht="14.25" hidden="false" customHeight="true" outlineLevel="0" collapsed="false">
      <c r="A1573" s="1" t="s">
        <v>690</v>
      </c>
      <c r="B1573" s="1" t="s">
        <v>78</v>
      </c>
      <c r="C1573" s="1" t="s">
        <v>731</v>
      </c>
      <c r="D1573" s="1" t="s">
        <v>18</v>
      </c>
      <c r="E1573" s="1" t="n">
        <v>143735</v>
      </c>
      <c r="F1573" s="1" t="n">
        <v>0.380674690807352</v>
      </c>
      <c r="G1573" s="1" t="n">
        <v>54716.276683</v>
      </c>
      <c r="H1573" s="1" t="s">
        <v>732</v>
      </c>
    </row>
    <row r="1574" customFormat="false" ht="14.25" hidden="false" customHeight="true" outlineLevel="0" collapsed="false">
      <c r="A1574" s="1" t="s">
        <v>690</v>
      </c>
      <c r="B1574" s="1" t="s">
        <v>78</v>
      </c>
      <c r="C1574" s="1" t="s">
        <v>731</v>
      </c>
      <c r="D1574" s="1" t="s">
        <v>14</v>
      </c>
      <c r="E1574" s="1" t="n">
        <v>3823</v>
      </c>
      <c r="F1574" s="1" t="n">
        <v>0.380674690807352</v>
      </c>
      <c r="G1574" s="1" t="n">
        <v>1455.319343</v>
      </c>
      <c r="H1574" s="1" t="s">
        <v>732</v>
      </c>
    </row>
    <row r="1575" customFormat="false" ht="14.25" hidden="false" customHeight="true" outlineLevel="0" collapsed="false">
      <c r="A1575" s="1" t="s">
        <v>690</v>
      </c>
      <c r="B1575" s="1" t="s">
        <v>78</v>
      </c>
      <c r="C1575" s="1" t="s">
        <v>731</v>
      </c>
      <c r="D1575" s="1" t="s">
        <v>13</v>
      </c>
      <c r="E1575" s="1" t="n">
        <v>14824</v>
      </c>
      <c r="F1575" s="1" t="n">
        <v>0.380674690807352</v>
      </c>
      <c r="G1575" s="1" t="n">
        <v>5643.121617</v>
      </c>
      <c r="H1575" s="1" t="s">
        <v>732</v>
      </c>
    </row>
    <row r="1576" customFormat="false" ht="14.25" hidden="false" customHeight="true" outlineLevel="0" collapsed="false">
      <c r="A1576" s="1" t="s">
        <v>690</v>
      </c>
      <c r="B1576" s="1" t="s">
        <v>78</v>
      </c>
      <c r="C1576" s="1" t="s">
        <v>731</v>
      </c>
      <c r="D1576" s="1" t="s">
        <v>17</v>
      </c>
      <c r="E1576" s="1" t="n">
        <v>4839</v>
      </c>
      <c r="F1576" s="1" t="n">
        <v>0.380674690807352</v>
      </c>
      <c r="G1576" s="1" t="n">
        <v>1842.084829</v>
      </c>
      <c r="H1576" s="1" t="s">
        <v>732</v>
      </c>
    </row>
    <row r="1577" customFormat="false" ht="14.25" hidden="false" customHeight="true" outlineLevel="0" collapsed="false">
      <c r="A1577" s="1" t="s">
        <v>444</v>
      </c>
      <c r="B1577" s="1" t="s">
        <v>45</v>
      </c>
      <c r="C1577" s="1" t="s">
        <v>733</v>
      </c>
      <c r="D1577" s="1" t="s">
        <v>18</v>
      </c>
      <c r="E1577" s="1" t="n">
        <v>137756</v>
      </c>
      <c r="F1577" s="1" t="n">
        <v>0.383342288333586</v>
      </c>
      <c r="G1577" s="1" t="n">
        <v>52807.700272</v>
      </c>
      <c r="H1577" s="1" t="s">
        <v>734</v>
      </c>
    </row>
    <row r="1578" customFormat="false" ht="14.25" hidden="false" customHeight="true" outlineLevel="0" collapsed="false">
      <c r="A1578" s="1" t="s">
        <v>634</v>
      </c>
      <c r="B1578" s="1" t="s">
        <v>45</v>
      </c>
      <c r="C1578" s="1" t="s">
        <v>733</v>
      </c>
      <c r="D1578" s="1" t="s">
        <v>18</v>
      </c>
      <c r="E1578" s="1" t="n">
        <v>140857</v>
      </c>
      <c r="F1578" s="1" t="n">
        <v>0.381635474202307</v>
      </c>
      <c r="G1578" s="1" t="n">
        <v>53756.02799</v>
      </c>
      <c r="H1578" s="1" t="s">
        <v>734</v>
      </c>
    </row>
    <row r="1579" customFormat="false" ht="14.25" hidden="false" customHeight="true" outlineLevel="0" collapsed="false">
      <c r="A1579" s="1" t="s">
        <v>665</v>
      </c>
      <c r="B1579" s="1" t="s">
        <v>45</v>
      </c>
      <c r="C1579" s="1" t="s">
        <v>733</v>
      </c>
      <c r="D1579" s="1" t="s">
        <v>18</v>
      </c>
      <c r="E1579" s="1" t="n">
        <v>146740</v>
      </c>
      <c r="F1579" s="1" t="n">
        <v>0.443946821446119</v>
      </c>
      <c r="G1579" s="1" t="n">
        <v>65144.756579</v>
      </c>
      <c r="H1579" s="1" t="s">
        <v>734</v>
      </c>
    </row>
    <row r="1580" customFormat="false" ht="14.25" hidden="false" customHeight="true" outlineLevel="0" collapsed="false">
      <c r="A1580" s="1" t="s">
        <v>690</v>
      </c>
      <c r="B1580" s="1" t="s">
        <v>45</v>
      </c>
      <c r="C1580" s="1" t="s">
        <v>733</v>
      </c>
      <c r="D1580" s="1" t="s">
        <v>18</v>
      </c>
      <c r="E1580" s="1" t="n">
        <v>143735</v>
      </c>
      <c r="F1580" s="1" t="n">
        <v>0.37013595299448</v>
      </c>
      <c r="G1580" s="1" t="n">
        <v>53201.491204</v>
      </c>
      <c r="H1580" s="1" t="s">
        <v>734</v>
      </c>
    </row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  <row r="1610" customFormat="false" ht="14.25" hidden="false" customHeight="true" outlineLevel="0" collapsed="false"/>
    <row r="1611" customFormat="false" ht="14.25" hidden="false" customHeight="true" outlineLevel="0" collapsed="false"/>
    <row r="1612" customFormat="false" ht="14.25" hidden="false" customHeight="true" outlineLevel="0" collapsed="false"/>
    <row r="1613" customFormat="false" ht="14.25" hidden="false" customHeight="true" outlineLevel="0" collapsed="false"/>
    <row r="1614" customFormat="false" ht="14.25" hidden="false" customHeight="true" outlineLevel="0" collapsed="false"/>
    <row r="1615" customFormat="false" ht="14.25" hidden="false" customHeight="true" outlineLevel="0" collapsed="false"/>
    <row r="1616" customFormat="false" ht="14.25" hidden="false" customHeight="true" outlineLevel="0" collapsed="false"/>
    <row r="1617" customFormat="false" ht="14.25" hidden="false" customHeight="true" outlineLevel="0" collapsed="false"/>
    <row r="1618" customFormat="false" ht="14.25" hidden="false" customHeight="true" outlineLevel="0" collapsed="false"/>
    <row r="1619" customFormat="false" ht="14.25" hidden="false" customHeight="true" outlineLevel="0" collapsed="false"/>
    <row r="1620" customFormat="false" ht="14.25" hidden="false" customHeight="true" outlineLevel="0" collapsed="false"/>
    <row r="1621" customFormat="false" ht="14.25" hidden="false" customHeight="true" outlineLevel="0" collapsed="false"/>
    <row r="1622" customFormat="false" ht="14.25" hidden="false" customHeight="true" outlineLevel="0" collapsed="false"/>
    <row r="1623" customFormat="false" ht="14.25" hidden="false" customHeight="true" outlineLevel="0" collapsed="false"/>
    <row r="1624" customFormat="false" ht="14.25" hidden="false" customHeight="true" outlineLevel="0" collapsed="false"/>
    <row r="1625" customFormat="false" ht="14.25" hidden="false" customHeight="true" outlineLevel="0" collapsed="false"/>
    <row r="1626" customFormat="false" ht="14.25" hidden="false" customHeight="true" outlineLevel="0" collapsed="false"/>
    <row r="1627" customFormat="false" ht="14.25" hidden="false" customHeight="true" outlineLevel="0" collapsed="false"/>
    <row r="1628" customFormat="false" ht="14.25" hidden="false" customHeight="true" outlineLevel="0" collapsed="false"/>
    <row r="1629" customFormat="false" ht="14.25" hidden="false" customHeight="true" outlineLevel="0" collapsed="false"/>
    <row r="1630" customFormat="false" ht="14.25" hidden="false" customHeight="true" outlineLevel="0" collapsed="false"/>
    <row r="1631" customFormat="false" ht="14.25" hidden="false" customHeight="true" outlineLevel="0" collapsed="false"/>
    <row r="1632" customFormat="false" ht="14.25" hidden="false" customHeight="true" outlineLevel="0" collapsed="false"/>
    <row r="1633" customFormat="false" ht="14.25" hidden="false" customHeight="true" outlineLevel="0" collapsed="false"/>
    <row r="1634" customFormat="false" ht="14.25" hidden="false" customHeight="true" outlineLevel="0" collapsed="false"/>
    <row r="1635" customFormat="false" ht="14.25" hidden="false" customHeight="true" outlineLevel="0" collapsed="false"/>
    <row r="1636" customFormat="false" ht="14.25" hidden="false" customHeight="true" outlineLevel="0" collapsed="false"/>
    <row r="1637" customFormat="false" ht="14.25" hidden="false" customHeight="true" outlineLevel="0" collapsed="false"/>
    <row r="1638" customFormat="false" ht="14.25" hidden="false" customHeight="true" outlineLevel="0" collapsed="false"/>
    <row r="1639" customFormat="false" ht="14.25" hidden="false" customHeight="true" outlineLevel="0" collapsed="false"/>
    <row r="1640" customFormat="false" ht="14.25" hidden="false" customHeight="true" outlineLevel="0" collapsed="false"/>
    <row r="1641" customFormat="false" ht="14.25" hidden="false" customHeight="true" outlineLevel="0" collapsed="false"/>
    <row r="1642" customFormat="false" ht="14.25" hidden="false" customHeight="true" outlineLevel="0" collapsed="false"/>
    <row r="1643" customFormat="false" ht="14.25" hidden="false" customHeight="true" outlineLevel="0" collapsed="false"/>
    <row r="1644" customFormat="false" ht="14.25" hidden="false" customHeight="true" outlineLevel="0" collapsed="false"/>
    <row r="1645" customFormat="false" ht="14.25" hidden="false" customHeight="true" outlineLevel="0" collapsed="false"/>
    <row r="1646" customFormat="false" ht="14.25" hidden="false" customHeight="true" outlineLevel="0" collapsed="false"/>
    <row r="1647" customFormat="false" ht="14.25" hidden="false" customHeight="true" outlineLevel="0" collapsed="false"/>
    <row r="1648" customFormat="false" ht="14.25" hidden="false" customHeight="true" outlineLevel="0" collapsed="false"/>
    <row r="1649" customFormat="false" ht="14.25" hidden="false" customHeight="true" outlineLevel="0" collapsed="false"/>
    <row r="1650" customFormat="false" ht="14.25" hidden="false" customHeight="true" outlineLevel="0" collapsed="false"/>
    <row r="1651" customFormat="false" ht="14.25" hidden="false" customHeight="true" outlineLevel="0" collapsed="false"/>
    <row r="1652" customFormat="false" ht="14.25" hidden="false" customHeight="true" outlineLevel="0" collapsed="false"/>
    <row r="1653" customFormat="false" ht="14.25" hidden="false" customHeight="true" outlineLevel="0" collapsed="false"/>
    <row r="1654" customFormat="false" ht="14.25" hidden="false" customHeight="true" outlineLevel="0" collapsed="false"/>
    <row r="1655" customFormat="false" ht="14.25" hidden="false" customHeight="true" outlineLevel="0" collapsed="false"/>
    <row r="1656" customFormat="false" ht="14.25" hidden="false" customHeight="true" outlineLevel="0" collapsed="false"/>
    <row r="1657" customFormat="false" ht="14.25" hidden="false" customHeight="true" outlineLevel="0" collapsed="false"/>
    <row r="1658" customFormat="false" ht="14.25" hidden="false" customHeight="true" outlineLevel="0" collapsed="false"/>
    <row r="1659" customFormat="false" ht="14.25" hidden="false" customHeight="true" outlineLevel="0" collapsed="false"/>
    <row r="1660" customFormat="false" ht="14.25" hidden="false" customHeight="true" outlineLevel="0" collapsed="false"/>
    <row r="1661" customFormat="false" ht="14.25" hidden="false" customHeight="true" outlineLevel="0" collapsed="false"/>
    <row r="1662" customFormat="false" ht="14.25" hidden="false" customHeight="true" outlineLevel="0" collapsed="false"/>
    <row r="1663" customFormat="false" ht="14.25" hidden="false" customHeight="true" outlineLevel="0" collapsed="false"/>
    <row r="1664" customFormat="false" ht="14.25" hidden="false" customHeight="true" outlineLevel="0" collapsed="false"/>
    <row r="1665" customFormat="false" ht="14.25" hidden="false" customHeight="true" outlineLevel="0" collapsed="false"/>
    <row r="1666" customFormat="false" ht="14.25" hidden="false" customHeight="true" outlineLevel="0" collapsed="false"/>
    <row r="1667" customFormat="false" ht="14.25" hidden="false" customHeight="true" outlineLevel="0" collapsed="false"/>
    <row r="1668" customFormat="false" ht="14.25" hidden="false" customHeight="true" outlineLevel="0" collapsed="false"/>
    <row r="1669" customFormat="false" ht="14.25" hidden="false" customHeight="true" outlineLevel="0" collapsed="false"/>
    <row r="1670" customFormat="false" ht="14.25" hidden="false" customHeight="true" outlineLevel="0" collapsed="false"/>
    <row r="1671" customFormat="false" ht="14.25" hidden="false" customHeight="true" outlineLevel="0" collapsed="false"/>
    <row r="1672" customFormat="false" ht="14.25" hidden="false" customHeight="true" outlineLevel="0" collapsed="false"/>
    <row r="1673" customFormat="false" ht="14.25" hidden="false" customHeight="true" outlineLevel="0" collapsed="false"/>
    <row r="1674" customFormat="false" ht="14.25" hidden="false" customHeight="true" outlineLevel="0" collapsed="false"/>
    <row r="1675" customFormat="false" ht="14.25" hidden="false" customHeight="true" outlineLevel="0" collapsed="false"/>
    <row r="1676" customFormat="false" ht="14.25" hidden="false" customHeight="true" outlineLevel="0" collapsed="false"/>
    <row r="1677" customFormat="false" ht="14.25" hidden="false" customHeight="true" outlineLevel="0" collapsed="false"/>
    <row r="1678" customFormat="false" ht="14.25" hidden="false" customHeight="true" outlineLevel="0" collapsed="false"/>
    <row r="1679" customFormat="false" ht="14.25" hidden="false" customHeight="true" outlineLevel="0" collapsed="false"/>
    <row r="1680" customFormat="false" ht="14.25" hidden="false" customHeight="true" outlineLevel="0" collapsed="false"/>
    <row r="1681" customFormat="false" ht="14.25" hidden="false" customHeight="true" outlineLevel="0" collapsed="false"/>
    <row r="1682" customFormat="false" ht="14.25" hidden="false" customHeight="true" outlineLevel="0" collapsed="false"/>
    <row r="1683" customFormat="false" ht="14.25" hidden="false" customHeight="true" outlineLevel="0" collapsed="false"/>
    <row r="1684" customFormat="false" ht="14.25" hidden="false" customHeight="true" outlineLevel="0" collapsed="false"/>
    <row r="1685" customFormat="false" ht="14.25" hidden="false" customHeight="true" outlineLevel="0" collapsed="false"/>
    <row r="1686" customFormat="false" ht="14.25" hidden="false" customHeight="true" outlineLevel="0" collapsed="false"/>
    <row r="1687" customFormat="false" ht="14.25" hidden="false" customHeight="true" outlineLevel="0" collapsed="false"/>
    <row r="1688" customFormat="false" ht="14.25" hidden="false" customHeight="true" outlineLevel="0" collapsed="false"/>
    <row r="1689" customFormat="false" ht="14.25" hidden="false" customHeight="true" outlineLevel="0" collapsed="false"/>
    <row r="1690" customFormat="false" ht="14.25" hidden="false" customHeight="true" outlineLevel="0" collapsed="false"/>
    <row r="1691" customFormat="false" ht="14.25" hidden="false" customHeight="true" outlineLevel="0" collapsed="false"/>
    <row r="1692" customFormat="false" ht="14.25" hidden="false" customHeight="true" outlineLevel="0" collapsed="false"/>
    <row r="1693" customFormat="false" ht="14.25" hidden="false" customHeight="true" outlineLevel="0" collapsed="false"/>
    <row r="1694" customFormat="false" ht="14.25" hidden="false" customHeight="true" outlineLevel="0" collapsed="false"/>
    <row r="1695" customFormat="false" ht="14.25" hidden="false" customHeight="true" outlineLevel="0" collapsed="false"/>
    <row r="1696" customFormat="false" ht="14.25" hidden="false" customHeight="true" outlineLevel="0" collapsed="false"/>
    <row r="1697" customFormat="false" ht="14.25" hidden="false" customHeight="true" outlineLevel="0" collapsed="false"/>
    <row r="1698" customFormat="false" ht="14.25" hidden="false" customHeight="true" outlineLevel="0" collapsed="false"/>
    <row r="1699" customFormat="false" ht="14.25" hidden="false" customHeight="true" outlineLevel="0" collapsed="false"/>
    <row r="1700" customFormat="false" ht="14.25" hidden="false" customHeight="true" outlineLevel="0" collapsed="false"/>
    <row r="1701" customFormat="false" ht="14.25" hidden="false" customHeight="true" outlineLevel="0" collapsed="false"/>
    <row r="1702" customFormat="false" ht="14.25" hidden="false" customHeight="true" outlineLevel="0" collapsed="false"/>
    <row r="1703" customFormat="false" ht="14.25" hidden="false" customHeight="true" outlineLevel="0" collapsed="false"/>
    <row r="1704" customFormat="false" ht="14.25" hidden="false" customHeight="true" outlineLevel="0" collapsed="false"/>
    <row r="1705" customFormat="false" ht="14.25" hidden="false" customHeight="true" outlineLevel="0" collapsed="false"/>
    <row r="1706" customFormat="false" ht="14.25" hidden="false" customHeight="true" outlineLevel="0" collapsed="false"/>
    <row r="1707" customFormat="false" ht="14.25" hidden="false" customHeight="true" outlineLevel="0" collapsed="false"/>
    <row r="1708" customFormat="false" ht="14.25" hidden="false" customHeight="true" outlineLevel="0" collapsed="false"/>
    <row r="1709" customFormat="false" ht="14.25" hidden="false" customHeight="true" outlineLevel="0" collapsed="false"/>
    <row r="1710" customFormat="false" ht="14.25" hidden="false" customHeight="true" outlineLevel="0" collapsed="false"/>
    <row r="1711" customFormat="false" ht="14.25" hidden="false" customHeight="true" outlineLevel="0" collapsed="false"/>
    <row r="1712" customFormat="false" ht="14.25" hidden="false" customHeight="true" outlineLevel="0" collapsed="false"/>
    <row r="1713" customFormat="false" ht="14.25" hidden="false" customHeight="true" outlineLevel="0" collapsed="false"/>
    <row r="1714" customFormat="false" ht="14.25" hidden="false" customHeight="true" outlineLevel="0" collapsed="false"/>
    <row r="1715" customFormat="false" ht="14.25" hidden="false" customHeight="true" outlineLevel="0" collapsed="false"/>
    <row r="1716" customFormat="false" ht="14.25" hidden="false" customHeight="true" outlineLevel="0" collapsed="false"/>
    <row r="1717" customFormat="false" ht="14.25" hidden="false" customHeight="true" outlineLevel="0" collapsed="false"/>
    <row r="1718" customFormat="false" ht="14.25" hidden="false" customHeight="true" outlineLevel="0" collapsed="false"/>
    <row r="1719" customFormat="false" ht="14.25" hidden="false" customHeight="true" outlineLevel="0" collapsed="false"/>
    <row r="1720" customFormat="false" ht="14.25" hidden="false" customHeight="true" outlineLevel="0" collapsed="false"/>
    <row r="1721" customFormat="false" ht="14.25" hidden="false" customHeight="true" outlineLevel="0" collapsed="false"/>
    <row r="1722" customFormat="false" ht="14.25" hidden="false" customHeight="true" outlineLevel="0" collapsed="false"/>
    <row r="1723" customFormat="false" ht="14.25" hidden="false" customHeight="true" outlineLevel="0" collapsed="false"/>
    <row r="1724" customFormat="false" ht="14.25" hidden="false" customHeight="true" outlineLevel="0" collapsed="false"/>
    <row r="1725" customFormat="false" ht="14.25" hidden="false" customHeight="true" outlineLevel="0" collapsed="false"/>
    <row r="1726" customFormat="false" ht="14.25" hidden="false" customHeight="true" outlineLevel="0" collapsed="false"/>
    <row r="1727" customFormat="false" ht="14.25" hidden="false" customHeight="true" outlineLevel="0" collapsed="false"/>
    <row r="1728" customFormat="false" ht="14.25" hidden="false" customHeight="true" outlineLevel="0" collapsed="false"/>
    <row r="1729" customFormat="false" ht="14.25" hidden="false" customHeight="true" outlineLevel="0" collapsed="false"/>
    <row r="1730" customFormat="false" ht="14.25" hidden="false" customHeight="true" outlineLevel="0" collapsed="false"/>
    <row r="1731" customFormat="false" ht="14.25" hidden="false" customHeight="true" outlineLevel="0" collapsed="false"/>
    <row r="1732" customFormat="false" ht="14.25" hidden="false" customHeight="true" outlineLevel="0" collapsed="false"/>
    <row r="1733" customFormat="false" ht="14.25" hidden="false" customHeight="true" outlineLevel="0" collapsed="false"/>
    <row r="1734" customFormat="false" ht="14.25" hidden="false" customHeight="true" outlineLevel="0" collapsed="false"/>
    <row r="1735" customFormat="false" ht="14.25" hidden="false" customHeight="true" outlineLevel="0" collapsed="false"/>
    <row r="1736" customFormat="false" ht="14.25" hidden="false" customHeight="true" outlineLevel="0" collapsed="false"/>
    <row r="1737" customFormat="false" ht="14.25" hidden="false" customHeight="true" outlineLevel="0" collapsed="false"/>
    <row r="1738" customFormat="false" ht="14.25" hidden="false" customHeight="true" outlineLevel="0" collapsed="false"/>
    <row r="1739" customFormat="false" ht="14.25" hidden="false" customHeight="true" outlineLevel="0" collapsed="false"/>
    <row r="1740" customFormat="false" ht="14.25" hidden="false" customHeight="true" outlineLevel="0" collapsed="false"/>
    <row r="1741" customFormat="false" ht="14.25" hidden="false" customHeight="true" outlineLevel="0" collapsed="false"/>
    <row r="1742" customFormat="false" ht="14.25" hidden="false" customHeight="true" outlineLevel="0" collapsed="false"/>
    <row r="1743" customFormat="false" ht="14.25" hidden="false" customHeight="true" outlineLevel="0" collapsed="false"/>
    <row r="1744" customFormat="false" ht="14.25" hidden="false" customHeight="true" outlineLevel="0" collapsed="false"/>
    <row r="1745" customFormat="false" ht="14.25" hidden="false" customHeight="true" outlineLevel="0" collapsed="false"/>
    <row r="1746" customFormat="false" ht="14.25" hidden="false" customHeight="true" outlineLevel="0" collapsed="false"/>
    <row r="1747" customFormat="false" ht="14.25" hidden="false" customHeight="true" outlineLevel="0" collapsed="false"/>
    <row r="1748" customFormat="false" ht="14.25" hidden="false" customHeight="true" outlineLevel="0" collapsed="false"/>
    <row r="1749" customFormat="false" ht="14.25" hidden="false" customHeight="true" outlineLevel="0" collapsed="false"/>
    <row r="1750" customFormat="false" ht="14.25" hidden="false" customHeight="true" outlineLevel="0" collapsed="false"/>
    <row r="1751" customFormat="false" ht="14.25" hidden="false" customHeight="true" outlineLevel="0" collapsed="false"/>
    <row r="1752" customFormat="false" ht="14.25" hidden="false" customHeight="true" outlineLevel="0" collapsed="false"/>
    <row r="1753" customFormat="false" ht="14.25" hidden="false" customHeight="true" outlineLevel="0" collapsed="false"/>
    <row r="1754" customFormat="false" ht="14.25" hidden="false" customHeight="true" outlineLevel="0" collapsed="false"/>
    <row r="1755" customFormat="false" ht="14.25" hidden="false" customHeight="true" outlineLevel="0" collapsed="false"/>
    <row r="1756" customFormat="false" ht="14.25" hidden="false" customHeight="true" outlineLevel="0" collapsed="false"/>
    <row r="1757" customFormat="false" ht="14.25" hidden="false" customHeight="true" outlineLevel="0" collapsed="false"/>
    <row r="1758" customFormat="false" ht="14.25" hidden="false" customHeight="true" outlineLevel="0" collapsed="false"/>
    <row r="1759" customFormat="false" ht="14.25" hidden="false" customHeight="true" outlineLevel="0" collapsed="false"/>
    <row r="1760" customFormat="false" ht="14.25" hidden="false" customHeight="true" outlineLevel="0" collapsed="false"/>
    <row r="1761" customFormat="false" ht="14.25" hidden="false" customHeight="true" outlineLevel="0" collapsed="false"/>
    <row r="1762" customFormat="false" ht="14.25" hidden="false" customHeight="true" outlineLevel="0" collapsed="false"/>
    <row r="1763" customFormat="false" ht="14.25" hidden="false" customHeight="true" outlineLevel="0" collapsed="false"/>
    <row r="1764" customFormat="false" ht="14.25" hidden="false" customHeight="true" outlineLevel="0" collapsed="false"/>
    <row r="1765" customFormat="false" ht="14.25" hidden="false" customHeight="true" outlineLevel="0" collapsed="false"/>
    <row r="1766" customFormat="false" ht="14.25" hidden="false" customHeight="true" outlineLevel="0" collapsed="false"/>
    <row r="1767" customFormat="false" ht="14.25" hidden="false" customHeight="true" outlineLevel="0" collapsed="false"/>
    <row r="1768" customFormat="false" ht="14.25" hidden="false" customHeight="true" outlineLevel="0" collapsed="false"/>
    <row r="1769" customFormat="false" ht="14.25" hidden="false" customHeight="true" outlineLevel="0" collapsed="false"/>
    <row r="1770" customFormat="false" ht="14.25" hidden="false" customHeight="true" outlineLevel="0" collapsed="false"/>
    <row r="1771" customFormat="false" ht="14.25" hidden="false" customHeight="true" outlineLevel="0" collapsed="false"/>
    <row r="1772" customFormat="false" ht="14.25" hidden="false" customHeight="true" outlineLevel="0" collapsed="false"/>
    <row r="1773" customFormat="false" ht="14.25" hidden="false" customHeight="true" outlineLevel="0" collapsed="false"/>
    <row r="1774" customFormat="false" ht="14.25" hidden="false" customHeight="true" outlineLevel="0" collapsed="false"/>
    <row r="1775" customFormat="false" ht="14.25" hidden="false" customHeight="true" outlineLevel="0" collapsed="false"/>
    <row r="1776" customFormat="false" ht="14.25" hidden="false" customHeight="true" outlineLevel="0" collapsed="false"/>
    <row r="1777" customFormat="false" ht="14.25" hidden="false" customHeight="true" outlineLevel="0" collapsed="false"/>
    <row r="1778" customFormat="false" ht="14.25" hidden="false" customHeight="true" outlineLevel="0" collapsed="false"/>
    <row r="1779" customFormat="false" ht="14.25" hidden="false" customHeight="true" outlineLevel="0" collapsed="false"/>
    <row r="1780" customFormat="false" ht="14.25" hidden="false" customHeight="true" outlineLevel="0" collapsed="false"/>
    <row r="1781" customFormat="false" ht="14.25" hidden="false" customHeight="true" outlineLevel="0" collapsed="false"/>
    <row r="1782" customFormat="false" ht="14.25" hidden="false" customHeight="true" outlineLevel="0" collapsed="false"/>
    <row r="1783" customFormat="false" ht="14.25" hidden="false" customHeight="true" outlineLevel="0" collapsed="false"/>
    <row r="1784" customFormat="false" ht="14.25" hidden="false" customHeight="true" outlineLevel="0" collapsed="false"/>
    <row r="1785" customFormat="false" ht="14.25" hidden="false" customHeight="true" outlineLevel="0" collapsed="false"/>
    <row r="1786" customFormat="false" ht="14.25" hidden="false" customHeight="true" outlineLevel="0" collapsed="false"/>
    <row r="1787" customFormat="false" ht="14.25" hidden="false" customHeight="true" outlineLevel="0" collapsed="false"/>
    <row r="1788" customFormat="false" ht="14.25" hidden="false" customHeight="true" outlineLevel="0" collapsed="false"/>
    <row r="1789" customFormat="false" ht="14.25" hidden="false" customHeight="true" outlineLevel="0" collapsed="false"/>
    <row r="1790" customFormat="false" ht="14.25" hidden="false" customHeight="true" outlineLevel="0" collapsed="false"/>
    <row r="1791" customFormat="false" ht="14.25" hidden="false" customHeight="true" outlineLevel="0" collapsed="false"/>
    <row r="1792" customFormat="false" ht="14.25" hidden="false" customHeight="true" outlineLevel="0" collapsed="false"/>
    <row r="1793" customFormat="false" ht="14.25" hidden="false" customHeight="true" outlineLevel="0" collapsed="false"/>
    <row r="1794" customFormat="false" ht="14.25" hidden="false" customHeight="true" outlineLevel="0" collapsed="false"/>
    <row r="1795" customFormat="false" ht="14.25" hidden="false" customHeight="true" outlineLevel="0" collapsed="false"/>
    <row r="1796" customFormat="false" ht="14.25" hidden="false" customHeight="true" outlineLevel="0" collapsed="false"/>
    <row r="1797" customFormat="false" ht="14.25" hidden="false" customHeight="true" outlineLevel="0" collapsed="false"/>
    <row r="1798" customFormat="false" ht="14.25" hidden="false" customHeight="true" outlineLevel="0" collapsed="false"/>
    <row r="1799" customFormat="false" ht="14.25" hidden="false" customHeight="true" outlineLevel="0" collapsed="false"/>
    <row r="1800" customFormat="false" ht="14.25" hidden="false" customHeight="true" outlineLevel="0" collapsed="false"/>
    <row r="1801" customFormat="false" ht="14.25" hidden="false" customHeight="true" outlineLevel="0" collapsed="false"/>
    <row r="1802" customFormat="false" ht="14.25" hidden="false" customHeight="true" outlineLevel="0" collapsed="false"/>
    <row r="1803" customFormat="false" ht="14.25" hidden="false" customHeight="true" outlineLevel="0" collapsed="false"/>
    <row r="1804" customFormat="false" ht="14.25" hidden="false" customHeight="true" outlineLevel="0" collapsed="false"/>
    <row r="1805" customFormat="false" ht="14.25" hidden="false" customHeight="true" outlineLevel="0" collapsed="false"/>
    <row r="1806" customFormat="false" ht="14.25" hidden="false" customHeight="true" outlineLevel="0" collapsed="false"/>
    <row r="1807" customFormat="false" ht="14.25" hidden="false" customHeight="true" outlineLevel="0" collapsed="false"/>
    <row r="1808" customFormat="false" ht="14.25" hidden="false" customHeight="true" outlineLevel="0" collapsed="false"/>
    <row r="1809" customFormat="false" ht="14.25" hidden="false" customHeight="true" outlineLevel="0" collapsed="false"/>
    <row r="1810" customFormat="false" ht="14.25" hidden="false" customHeight="true" outlineLevel="0" collapsed="false"/>
    <row r="1811" customFormat="false" ht="14.25" hidden="false" customHeight="true" outlineLevel="0" collapsed="false"/>
    <row r="1812" customFormat="false" ht="14.25" hidden="false" customHeight="true" outlineLevel="0" collapsed="false"/>
    <row r="1813" customFormat="false" ht="14.25" hidden="false" customHeight="true" outlineLevel="0" collapsed="false"/>
    <row r="1814" customFormat="false" ht="14.25" hidden="false" customHeight="true" outlineLevel="0" collapsed="false"/>
    <row r="1815" customFormat="false" ht="14.25" hidden="false" customHeight="true" outlineLevel="0" collapsed="false"/>
    <row r="1816" customFormat="false" ht="14.25" hidden="false" customHeight="true" outlineLevel="0" collapsed="false"/>
    <row r="1817" customFormat="false" ht="14.25" hidden="false" customHeight="true" outlineLevel="0" collapsed="false"/>
    <row r="1818" customFormat="false" ht="14.25" hidden="false" customHeight="true" outlineLevel="0" collapsed="false"/>
    <row r="1819" customFormat="false" ht="14.25" hidden="false" customHeight="true" outlineLevel="0" collapsed="false"/>
    <row r="1820" customFormat="false" ht="14.25" hidden="false" customHeight="true" outlineLevel="0" collapsed="false"/>
    <row r="1821" customFormat="false" ht="14.25" hidden="false" customHeight="true" outlineLevel="0" collapsed="false"/>
    <row r="1822" customFormat="false" ht="14.25" hidden="false" customHeight="true" outlineLevel="0" collapsed="false"/>
    <row r="1823" customFormat="false" ht="14.25" hidden="false" customHeight="true" outlineLevel="0" collapsed="false"/>
    <row r="1824" customFormat="false" ht="14.25" hidden="false" customHeight="true" outlineLevel="0" collapsed="false"/>
    <row r="1825" customFormat="false" ht="14.25" hidden="false" customHeight="true" outlineLevel="0" collapsed="false"/>
    <row r="1826" customFormat="false" ht="14.25" hidden="false" customHeight="true" outlineLevel="0" collapsed="false"/>
    <row r="1827" customFormat="false" ht="14.25" hidden="false" customHeight="true" outlineLevel="0" collapsed="false"/>
    <row r="1828" customFormat="false" ht="14.25" hidden="false" customHeight="true" outlineLevel="0" collapsed="false"/>
    <row r="1829" customFormat="false" ht="14.25" hidden="false" customHeight="true" outlineLevel="0" collapsed="false"/>
    <row r="1830" customFormat="false" ht="14.25" hidden="false" customHeight="true" outlineLevel="0" collapsed="false"/>
    <row r="1831" customFormat="false" ht="14.25" hidden="false" customHeight="true" outlineLevel="0" collapsed="false"/>
    <row r="1832" customFormat="false" ht="14.25" hidden="false" customHeight="true" outlineLevel="0" collapsed="false"/>
    <row r="1833" customFormat="false" ht="14.25" hidden="false" customHeight="true" outlineLevel="0" collapsed="false"/>
    <row r="1834" customFormat="false" ht="14.25" hidden="false" customHeight="true" outlineLevel="0" collapsed="false"/>
    <row r="1835" customFormat="false" ht="14.25" hidden="false" customHeight="true" outlineLevel="0" collapsed="false"/>
    <row r="1836" customFormat="false" ht="14.25" hidden="false" customHeight="true" outlineLevel="0" collapsed="false"/>
    <row r="1837" customFormat="false" ht="14.25" hidden="false" customHeight="true" outlineLevel="0" collapsed="false"/>
    <row r="1838" customFormat="false" ht="14.25" hidden="false" customHeight="true" outlineLevel="0" collapsed="false"/>
    <row r="1839" customFormat="false" ht="14.25" hidden="false" customHeight="true" outlineLevel="0" collapsed="false"/>
    <row r="1840" customFormat="false" ht="14.25" hidden="false" customHeight="true" outlineLevel="0" collapsed="false"/>
    <row r="1841" customFormat="false" ht="14.25" hidden="false" customHeight="true" outlineLevel="0" collapsed="false"/>
    <row r="1842" customFormat="false" ht="14.25" hidden="false" customHeight="true" outlineLevel="0" collapsed="false"/>
    <row r="1843" customFormat="false" ht="14.25" hidden="false" customHeight="true" outlineLevel="0" collapsed="false"/>
    <row r="1844" customFormat="false" ht="14.25" hidden="false" customHeight="true" outlineLevel="0" collapsed="false"/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2026-09-24T11:09:40Z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