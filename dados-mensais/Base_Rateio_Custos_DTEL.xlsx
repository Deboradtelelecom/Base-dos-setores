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2B2E9A06-AD5E-4AD1-BFFE-F14F1D279052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60" i="3" l="1"/>
  <c r="F2061" i="3"/>
  <c r="F2062" i="3"/>
  <c r="F2063" i="3"/>
  <c r="F2064" i="3"/>
  <c r="F2065" i="3"/>
  <c r="F2066" i="3"/>
  <c r="F2067" i="3"/>
  <c r="F2068" i="3"/>
  <c r="F2069" i="3"/>
  <c r="F2070" i="3"/>
  <c r="F2058" i="3"/>
  <c r="F2059" i="3"/>
  <c r="F2054" i="3"/>
  <c r="F2416" i="3"/>
  <c r="F1822" i="3"/>
  <c r="F1766" i="3"/>
  <c r="F1742" i="3"/>
  <c r="F1741" i="3"/>
  <c r="F1738" i="3"/>
  <c r="F1699" i="3"/>
  <c r="F1670" i="3"/>
  <c r="F1626" i="3"/>
  <c r="F1611" i="3"/>
  <c r="F1580" i="3"/>
  <c r="F1568" i="3"/>
  <c r="F1540" i="3"/>
  <c r="F1527" i="3"/>
  <c r="F1431" i="3"/>
  <c r="F1419" i="3"/>
  <c r="F1406" i="3"/>
  <c r="F1388" i="3"/>
  <c r="F1420" i="3"/>
  <c r="F1407" i="3"/>
  <c r="F1389" i="3"/>
  <c r="F1351" i="3"/>
  <c r="F1300" i="3"/>
  <c r="F1299" i="3"/>
  <c r="F1301" i="3"/>
  <c r="F1307" i="3"/>
  <c r="F1405" i="3"/>
  <c r="F1765" i="3"/>
  <c r="F1767" i="3"/>
  <c r="F1612" i="3"/>
  <c r="F1610" i="3"/>
  <c r="F1671" i="3"/>
  <c r="F1669" i="3"/>
  <c r="F1418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02" i="3"/>
  <c r="F602" i="3"/>
  <c r="G504" i="3"/>
  <c r="F504" i="3"/>
  <c r="D169" i="2" s="1"/>
  <c r="G1135" i="3"/>
  <c r="F1135" i="3"/>
  <c r="D168" i="2" s="1"/>
  <c r="G1696" i="3"/>
  <c r="F1696" i="3"/>
  <c r="D167" i="2" s="1"/>
  <c r="G2276" i="3"/>
  <c r="F2276" i="3"/>
  <c r="D166" i="2" s="1"/>
  <c r="G184" i="3"/>
  <c r="F184" i="3"/>
  <c r="G185" i="3"/>
  <c r="F185" i="3"/>
  <c r="G123" i="3"/>
  <c r="F123" i="3"/>
  <c r="G125" i="3"/>
  <c r="F125" i="3"/>
  <c r="G158" i="3"/>
  <c r="F158" i="3"/>
  <c r="G194" i="3"/>
  <c r="F194" i="3"/>
  <c r="G660" i="3"/>
  <c r="F660" i="3"/>
  <c r="G91" i="3"/>
  <c r="F91" i="3"/>
  <c r="G426" i="3"/>
  <c r="F426" i="3"/>
  <c r="G19" i="3"/>
  <c r="F19" i="3"/>
  <c r="G175" i="3"/>
  <c r="F175" i="3"/>
  <c r="G70" i="3"/>
  <c r="F70" i="3"/>
  <c r="G642" i="3"/>
  <c r="F642" i="3"/>
  <c r="G606" i="3"/>
  <c r="F606" i="3"/>
  <c r="G624" i="3"/>
  <c r="F624" i="3"/>
  <c r="G577" i="3"/>
  <c r="F577" i="3"/>
  <c r="G530" i="3"/>
  <c r="F530" i="3"/>
  <c r="G550" i="3"/>
  <c r="F550" i="3"/>
  <c r="G495" i="3"/>
  <c r="F495" i="3"/>
  <c r="G461" i="3"/>
  <c r="F461" i="3"/>
  <c r="G442" i="3"/>
  <c r="F442" i="3"/>
  <c r="G386" i="3"/>
  <c r="F386" i="3"/>
  <c r="G294" i="3"/>
  <c r="F294" i="3"/>
  <c r="G275" i="3"/>
  <c r="F275" i="3"/>
  <c r="G255" i="3"/>
  <c r="F255" i="3"/>
  <c r="G210" i="3"/>
  <c r="F210" i="3"/>
  <c r="G231" i="3"/>
  <c r="F231" i="3"/>
  <c r="G140" i="3"/>
  <c r="F140" i="3"/>
  <c r="G113" i="3"/>
  <c r="F113" i="3"/>
  <c r="G53" i="3"/>
  <c r="F53" i="3"/>
  <c r="G34" i="3"/>
  <c r="F34" i="3"/>
  <c r="G340" i="3"/>
  <c r="F340" i="3"/>
  <c r="G312" i="3"/>
  <c r="F312" i="3"/>
  <c r="G178" i="3"/>
  <c r="F178" i="3"/>
  <c r="G94" i="3"/>
  <c r="F94" i="3"/>
  <c r="G662" i="3"/>
  <c r="F662" i="3"/>
  <c r="G515" i="3"/>
  <c r="F515" i="3"/>
  <c r="G510" i="3"/>
  <c r="F510" i="3"/>
  <c r="G124" i="3"/>
  <c r="F124" i="3"/>
  <c r="G430" i="3"/>
  <c r="F430" i="3"/>
  <c r="G181" i="3"/>
  <c r="F181" i="3"/>
  <c r="G122" i="3"/>
  <c r="F122" i="3"/>
  <c r="G486" i="3"/>
  <c r="F486" i="3"/>
  <c r="G374" i="3"/>
  <c r="F374" i="3"/>
  <c r="G183" i="3"/>
  <c r="F183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2" i="3"/>
  <c r="F182" i="3"/>
  <c r="G174" i="3"/>
  <c r="F174" i="3"/>
  <c r="G167" i="3"/>
  <c r="F167" i="3"/>
  <c r="G647" i="3"/>
  <c r="F647" i="3"/>
  <c r="G656" i="3"/>
  <c r="F656" i="3"/>
  <c r="G638" i="3"/>
  <c r="F638" i="3"/>
  <c r="G620" i="3"/>
  <c r="F620" i="3"/>
  <c r="G601" i="3"/>
  <c r="F601" i="3"/>
  <c r="G590" i="3"/>
  <c r="F590" i="3"/>
  <c r="G422" i="3"/>
  <c r="F422" i="3"/>
  <c r="G405" i="3"/>
  <c r="F405" i="3"/>
  <c r="G404" i="3"/>
  <c r="F404" i="3"/>
  <c r="G307" i="3"/>
  <c r="F307" i="3"/>
  <c r="G109" i="3"/>
  <c r="F109" i="3"/>
  <c r="G589" i="3"/>
  <c r="F589" i="3"/>
  <c r="G587" i="3"/>
  <c r="F587" i="3"/>
  <c r="G588" i="3"/>
  <c r="F588" i="3"/>
  <c r="G593" i="3"/>
  <c r="F593" i="3"/>
  <c r="G592" i="3"/>
  <c r="F592" i="3"/>
  <c r="G11" i="3"/>
  <c r="F11" i="3"/>
  <c r="G20" i="3"/>
  <c r="F20" i="3"/>
  <c r="F15" i="3"/>
  <c r="F13" i="3"/>
  <c r="F14" i="3"/>
  <c r="G21" i="3"/>
  <c r="F21" i="3"/>
  <c r="G18" i="3"/>
  <c r="F18" i="3"/>
  <c r="G186" i="3"/>
  <c r="F186" i="3"/>
  <c r="G190" i="3"/>
  <c r="F190" i="3"/>
  <c r="G650" i="3"/>
  <c r="F650" i="3"/>
  <c r="G655" i="3"/>
  <c r="F655" i="3"/>
  <c r="G76" i="3"/>
  <c r="F76" i="3"/>
  <c r="G86" i="3"/>
  <c r="F86" i="3"/>
  <c r="G414" i="3"/>
  <c r="F414" i="3"/>
  <c r="G420" i="3"/>
  <c r="F420" i="3"/>
  <c r="G10" i="3"/>
  <c r="F10" i="3"/>
  <c r="G16" i="3"/>
  <c r="F16" i="3"/>
  <c r="G586" i="3"/>
  <c r="F586" i="3"/>
  <c r="G317" i="3"/>
  <c r="F317" i="3"/>
  <c r="G361" i="3"/>
  <c r="F361" i="3"/>
  <c r="G398" i="3"/>
  <c r="F398" i="3"/>
  <c r="G472" i="3"/>
  <c r="F472" i="3"/>
  <c r="G244" i="3"/>
  <c r="F244" i="3"/>
  <c r="G615" i="3"/>
  <c r="F615" i="3"/>
  <c r="G595" i="3"/>
  <c r="F595" i="3"/>
  <c r="G633" i="3"/>
  <c r="F633" i="3"/>
  <c r="G520" i="3"/>
  <c r="F520" i="3"/>
  <c r="G42" i="3"/>
  <c r="F42" i="3"/>
  <c r="G450" i="3"/>
  <c r="F450" i="3"/>
  <c r="G12" i="3"/>
  <c r="F12" i="3"/>
  <c r="G24" i="3"/>
  <c r="F24" i="3"/>
  <c r="G329" i="3"/>
  <c r="F329" i="3"/>
  <c r="G591" i="3"/>
  <c r="F591" i="3"/>
  <c r="G17" i="3"/>
  <c r="F17" i="3"/>
  <c r="G651" i="3"/>
  <c r="F651" i="3"/>
  <c r="G564" i="3"/>
  <c r="F564" i="3"/>
  <c r="G540" i="3"/>
  <c r="F540" i="3"/>
  <c r="G505" i="3"/>
  <c r="F505" i="3"/>
  <c r="G470" i="3"/>
  <c r="F470" i="3"/>
  <c r="G433" i="3"/>
  <c r="F433" i="3"/>
  <c r="G415" i="3"/>
  <c r="F415" i="3"/>
  <c r="G396" i="3"/>
  <c r="F396" i="3"/>
  <c r="G371" i="3"/>
  <c r="F371" i="3"/>
  <c r="G347" i="3"/>
  <c r="F347" i="3"/>
  <c r="G328" i="3"/>
  <c r="F328" i="3"/>
  <c r="G303" i="3"/>
  <c r="F303" i="3"/>
  <c r="G284" i="3"/>
  <c r="F284" i="3"/>
  <c r="G242" i="3"/>
  <c r="F242" i="3"/>
  <c r="G219" i="3"/>
  <c r="F219" i="3"/>
  <c r="G128" i="3"/>
  <c r="F128" i="3"/>
  <c r="G103" i="3"/>
  <c r="F103" i="3"/>
  <c r="G62" i="3"/>
  <c r="F62" i="3"/>
  <c r="G23" i="3"/>
  <c r="F23" i="3"/>
  <c r="G157" i="3"/>
  <c r="F157" i="3"/>
  <c r="G339" i="3"/>
  <c r="F339" i="3"/>
  <c r="G209" i="3"/>
  <c r="F209" i="3"/>
  <c r="G193" i="3"/>
  <c r="F193" i="3"/>
  <c r="G513" i="3"/>
  <c r="F513" i="3"/>
  <c r="G139" i="3"/>
  <c r="F139" i="3"/>
  <c r="G90" i="3"/>
  <c r="F90" i="3"/>
  <c r="G310" i="3"/>
  <c r="F310" i="3"/>
  <c r="G557" i="3"/>
  <c r="F557" i="3"/>
  <c r="G517" i="3"/>
  <c r="F517" i="3"/>
  <c r="G500" i="3"/>
  <c r="F500" i="3"/>
  <c r="G429" i="3"/>
  <c r="F429" i="3"/>
  <c r="G392" i="3"/>
  <c r="F392" i="3"/>
  <c r="G358" i="3"/>
  <c r="F358" i="3"/>
  <c r="G344" i="3"/>
  <c r="F344" i="3"/>
  <c r="G325" i="3"/>
  <c r="F325" i="3"/>
  <c r="G314" i="3"/>
  <c r="F314" i="3"/>
  <c r="G300" i="3"/>
  <c r="F300" i="3"/>
  <c r="G214" i="3"/>
  <c r="F214" i="3"/>
  <c r="G198" i="3"/>
  <c r="F198" i="3"/>
  <c r="G180" i="3"/>
  <c r="F180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79" i="3"/>
  <c r="F179" i="3"/>
  <c r="G72" i="3"/>
  <c r="F72" i="3"/>
  <c r="G176" i="3"/>
  <c r="F176" i="3"/>
  <c r="G172" i="3"/>
  <c r="F172" i="3"/>
  <c r="G349" i="3"/>
  <c r="F349" i="3"/>
  <c r="G159" i="3"/>
  <c r="F159" i="3"/>
  <c r="G355" i="3"/>
  <c r="F355" i="3"/>
  <c r="G494" i="3"/>
  <c r="F494" i="3"/>
  <c r="G69" i="3"/>
  <c r="F69" i="3"/>
  <c r="G441" i="3"/>
  <c r="F441" i="3"/>
  <c r="G425" i="3"/>
  <c r="F425" i="3"/>
  <c r="G659" i="3"/>
  <c r="F659" i="3"/>
  <c r="F189" i="3"/>
  <c r="F187" i="3"/>
  <c r="F188" i="3"/>
  <c r="G195" i="3"/>
  <c r="F195" i="3"/>
  <c r="G199" i="3"/>
  <c r="F199" i="3"/>
  <c r="G192" i="3"/>
  <c r="F192" i="3"/>
  <c r="F320" i="3"/>
  <c r="F318" i="3"/>
  <c r="F319" i="3"/>
  <c r="G324" i="3"/>
  <c r="F324" i="3"/>
  <c r="G326" i="3"/>
  <c r="F326" i="3"/>
  <c r="G323" i="3"/>
  <c r="F323" i="3"/>
  <c r="F364" i="3"/>
  <c r="F362" i="3"/>
  <c r="F363" i="3"/>
  <c r="G368" i="3"/>
  <c r="F368" i="3"/>
  <c r="G369" i="3"/>
  <c r="F369" i="3"/>
  <c r="G367" i="3"/>
  <c r="F367" i="3"/>
  <c r="F306" i="3"/>
  <c r="F304" i="3"/>
  <c r="F305" i="3"/>
  <c r="G311" i="3"/>
  <c r="F311" i="3"/>
  <c r="G315" i="3"/>
  <c r="F315" i="3"/>
  <c r="G309" i="3"/>
  <c r="F309" i="3"/>
  <c r="F65" i="3"/>
  <c r="F63" i="3"/>
  <c r="F64" i="3"/>
  <c r="G71" i="3"/>
  <c r="F71" i="3"/>
  <c r="G74" i="3"/>
  <c r="F74" i="3"/>
  <c r="G68" i="3"/>
  <c r="F68" i="3"/>
  <c r="F654" i="3"/>
  <c r="F652" i="3"/>
  <c r="F653" i="3"/>
  <c r="G661" i="3"/>
  <c r="F661" i="3"/>
  <c r="G664" i="3"/>
  <c r="F664" i="3"/>
  <c r="G658" i="3"/>
  <c r="F658" i="3"/>
  <c r="F419" i="3"/>
  <c r="F417" i="3"/>
  <c r="F418" i="3"/>
  <c r="G427" i="3"/>
  <c r="F427" i="3"/>
  <c r="G431" i="3"/>
  <c r="F431" i="3"/>
  <c r="G424" i="3"/>
  <c r="F424" i="3"/>
  <c r="F352" i="3"/>
  <c r="F350" i="3"/>
  <c r="F351" i="3"/>
  <c r="G356" i="3"/>
  <c r="F356" i="3"/>
  <c r="G359" i="3"/>
  <c r="F359" i="3"/>
  <c r="G354" i="3"/>
  <c r="F354" i="3"/>
  <c r="F508" i="3"/>
  <c r="F506" i="3"/>
  <c r="F507" i="3"/>
  <c r="G514" i="3"/>
  <c r="F514" i="3"/>
  <c r="G518" i="3"/>
  <c r="F518" i="3"/>
  <c r="G512" i="3"/>
  <c r="F512" i="3"/>
  <c r="G313" i="3"/>
  <c r="F313" i="3"/>
  <c r="G95" i="3"/>
  <c r="F95" i="3"/>
  <c r="G197" i="3"/>
  <c r="F197" i="3"/>
  <c r="G196" i="3"/>
  <c r="F196" i="3"/>
  <c r="G191" i="3"/>
  <c r="F191" i="3"/>
  <c r="G321" i="3"/>
  <c r="F321" i="3"/>
  <c r="G316" i="3"/>
  <c r="F316" i="3"/>
  <c r="G322" i="3"/>
  <c r="F322" i="3"/>
  <c r="G365" i="3"/>
  <c r="F365" i="3"/>
  <c r="G360" i="3"/>
  <c r="F360" i="3"/>
  <c r="G366" i="3"/>
  <c r="F366" i="3"/>
  <c r="G308" i="3"/>
  <c r="F308" i="3"/>
  <c r="G67" i="3"/>
  <c r="F67" i="3"/>
  <c r="G663" i="3"/>
  <c r="F663" i="3"/>
  <c r="G657" i="3"/>
  <c r="F657" i="3"/>
  <c r="G421" i="3"/>
  <c r="F421" i="3"/>
  <c r="G416" i="3"/>
  <c r="F416" i="3"/>
  <c r="G428" i="3"/>
  <c r="F428" i="3"/>
  <c r="G423" i="3"/>
  <c r="F423" i="3"/>
  <c r="G348" i="3"/>
  <c r="F348" i="3"/>
  <c r="G357" i="3"/>
  <c r="F357" i="3"/>
  <c r="G353" i="3"/>
  <c r="F353" i="3"/>
  <c r="G509" i="3"/>
  <c r="F509" i="3"/>
  <c r="G516" i="3"/>
  <c r="F516" i="3"/>
  <c r="G511" i="3"/>
  <c r="F511" i="3"/>
  <c r="G373" i="3"/>
  <c r="F373" i="3"/>
  <c r="G150" i="3"/>
  <c r="F150" i="3"/>
  <c r="G628" i="3"/>
  <c r="F628" i="3"/>
  <c r="G6" i="3"/>
  <c r="F6" i="3"/>
  <c r="G583" i="3"/>
  <c r="F583" i="3"/>
  <c r="G446" i="3"/>
  <c r="F446" i="3"/>
  <c r="G38" i="3"/>
  <c r="F38" i="3"/>
  <c r="G646" i="3"/>
  <c r="F646" i="3"/>
  <c r="G610" i="3"/>
  <c r="F610" i="3"/>
  <c r="G134" i="3"/>
  <c r="F134" i="3"/>
  <c r="G104" i="3"/>
  <c r="F104" i="3"/>
  <c r="G641" i="3"/>
  <c r="F641" i="3"/>
  <c r="G97" i="3"/>
  <c r="F97" i="3"/>
  <c r="F636" i="3"/>
  <c r="F634" i="3"/>
  <c r="F635" i="3"/>
  <c r="F598" i="3"/>
  <c r="F596" i="3"/>
  <c r="F597" i="3"/>
  <c r="F618" i="3"/>
  <c r="F616" i="3"/>
  <c r="F617" i="3"/>
  <c r="G568" i="3"/>
  <c r="F568" i="3"/>
  <c r="G566" i="3"/>
  <c r="F566" i="3"/>
  <c r="G567" i="3"/>
  <c r="F567" i="3"/>
  <c r="F523" i="3"/>
  <c r="F521" i="3"/>
  <c r="F522" i="3"/>
  <c r="G543" i="3"/>
  <c r="F543" i="3"/>
  <c r="G541" i="3"/>
  <c r="F541" i="3"/>
  <c r="G542" i="3"/>
  <c r="F542" i="3"/>
  <c r="F489" i="3"/>
  <c r="F487" i="3"/>
  <c r="F488" i="3"/>
  <c r="F475" i="3"/>
  <c r="F473" i="3"/>
  <c r="F474" i="3"/>
  <c r="F453" i="3"/>
  <c r="F451" i="3"/>
  <c r="F452" i="3"/>
  <c r="F437" i="3"/>
  <c r="F435" i="3"/>
  <c r="F436" i="3"/>
  <c r="F401" i="3"/>
  <c r="F399" i="3"/>
  <c r="F400" i="3"/>
  <c r="F377" i="3"/>
  <c r="F375" i="3"/>
  <c r="F376" i="3"/>
  <c r="F287" i="3"/>
  <c r="F285" i="3"/>
  <c r="F286" i="3"/>
  <c r="F267" i="3"/>
  <c r="F265" i="3"/>
  <c r="F266" i="3"/>
  <c r="F247" i="3"/>
  <c r="F245" i="3"/>
  <c r="F246" i="3"/>
  <c r="F203" i="3"/>
  <c r="F201" i="3"/>
  <c r="F202" i="3"/>
  <c r="G222" i="3"/>
  <c r="F222" i="3"/>
  <c r="G220" i="3"/>
  <c r="F220" i="3"/>
  <c r="G221" i="3"/>
  <c r="F221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2" i="3"/>
  <c r="F330" i="3"/>
  <c r="F331" i="3"/>
  <c r="G5" i="3"/>
  <c r="F5" i="3"/>
  <c r="G648" i="3"/>
  <c r="F648" i="3"/>
  <c r="G640" i="3"/>
  <c r="F640" i="3"/>
  <c r="G643" i="3"/>
  <c r="F643" i="3"/>
  <c r="G639" i="3"/>
  <c r="F639" i="3"/>
  <c r="G649" i="3"/>
  <c r="F649" i="3"/>
  <c r="G632" i="3"/>
  <c r="F632" i="3"/>
  <c r="G637" i="3"/>
  <c r="F637" i="3"/>
  <c r="G645" i="3"/>
  <c r="F645" i="3"/>
  <c r="G644" i="3"/>
  <c r="F644" i="3"/>
  <c r="G612" i="3"/>
  <c r="F612" i="3"/>
  <c r="G604" i="3"/>
  <c r="F604" i="3"/>
  <c r="G605" i="3"/>
  <c r="F605" i="3"/>
  <c r="G611" i="3"/>
  <c r="F611" i="3"/>
  <c r="G607" i="3"/>
  <c r="F607" i="3"/>
  <c r="G603" i="3"/>
  <c r="F603" i="3"/>
  <c r="G613" i="3"/>
  <c r="F613" i="3"/>
  <c r="G594" i="3"/>
  <c r="F594" i="3"/>
  <c r="G599" i="3"/>
  <c r="F599" i="3"/>
  <c r="G609" i="3"/>
  <c r="F609" i="3"/>
  <c r="G608" i="3"/>
  <c r="F608" i="3"/>
  <c r="G630" i="3"/>
  <c r="F630" i="3"/>
  <c r="G622" i="3"/>
  <c r="F622" i="3"/>
  <c r="G623" i="3"/>
  <c r="F623" i="3"/>
  <c r="G629" i="3"/>
  <c r="F629" i="3"/>
  <c r="G625" i="3"/>
  <c r="F625" i="3"/>
  <c r="G621" i="3"/>
  <c r="F621" i="3"/>
  <c r="G631" i="3"/>
  <c r="F631" i="3"/>
  <c r="G614" i="3"/>
  <c r="F614" i="3"/>
  <c r="G619" i="3"/>
  <c r="F619" i="3"/>
  <c r="G627" i="3"/>
  <c r="F627" i="3"/>
  <c r="G626" i="3"/>
  <c r="F626" i="3"/>
  <c r="G584" i="3"/>
  <c r="F584" i="3"/>
  <c r="G575" i="3"/>
  <c r="F575" i="3"/>
  <c r="G576" i="3"/>
  <c r="F576" i="3"/>
  <c r="G565" i="3"/>
  <c r="F565" i="3"/>
  <c r="G578" i="3"/>
  <c r="F578" i="3"/>
  <c r="G581" i="3"/>
  <c r="F581" i="3"/>
  <c r="G582" i="3"/>
  <c r="F582" i="3"/>
  <c r="G573" i="3"/>
  <c r="F573" i="3"/>
  <c r="G572" i="3"/>
  <c r="F572" i="3"/>
  <c r="G571" i="3"/>
  <c r="F571" i="3"/>
  <c r="G403" i="3"/>
  <c r="F403" i="3"/>
  <c r="G600" i="3"/>
  <c r="F600" i="3"/>
  <c r="G455" i="3"/>
  <c r="F455" i="3"/>
  <c r="G47" i="3"/>
  <c r="F47" i="3"/>
  <c r="G570" i="3"/>
  <c r="F570" i="3"/>
  <c r="G574" i="3"/>
  <c r="F574" i="3"/>
  <c r="G585" i="3"/>
  <c r="F585" i="3"/>
  <c r="G563" i="3"/>
  <c r="F563" i="3"/>
  <c r="G569" i="3"/>
  <c r="F569" i="3"/>
  <c r="G580" i="3"/>
  <c r="F580" i="3"/>
  <c r="G579" i="3"/>
  <c r="F579" i="3"/>
  <c r="G536" i="3"/>
  <c r="F536" i="3"/>
  <c r="G528" i="3"/>
  <c r="F528" i="3"/>
  <c r="G529" i="3"/>
  <c r="F529" i="3"/>
  <c r="G535" i="3"/>
  <c r="F535" i="3"/>
  <c r="G531" i="3"/>
  <c r="F531" i="3"/>
  <c r="G534" i="3"/>
  <c r="F534" i="3"/>
  <c r="G526" i="3"/>
  <c r="F526" i="3"/>
  <c r="G525" i="3"/>
  <c r="F525" i="3"/>
  <c r="G527" i="3"/>
  <c r="F527" i="3"/>
  <c r="G537" i="3"/>
  <c r="F537" i="3"/>
  <c r="G519" i="3"/>
  <c r="F519" i="3"/>
  <c r="G524" i="3"/>
  <c r="F524" i="3"/>
  <c r="G533" i="3"/>
  <c r="F533" i="3"/>
  <c r="G532" i="3"/>
  <c r="F532" i="3"/>
  <c r="G560" i="3"/>
  <c r="F560" i="3"/>
  <c r="G548" i="3"/>
  <c r="F548" i="3"/>
  <c r="G549" i="3"/>
  <c r="F549" i="3"/>
  <c r="G551" i="3"/>
  <c r="F551" i="3"/>
  <c r="G554" i="3"/>
  <c r="F554" i="3"/>
  <c r="G538" i="3"/>
  <c r="F538" i="3"/>
  <c r="G556" i="3"/>
  <c r="F556" i="3"/>
  <c r="G562" i="3"/>
  <c r="F562" i="3"/>
  <c r="G546" i="3"/>
  <c r="F546" i="3"/>
  <c r="G545" i="3"/>
  <c r="F545" i="3"/>
  <c r="G547" i="3"/>
  <c r="F547" i="3"/>
  <c r="G561" i="3"/>
  <c r="F561" i="3"/>
  <c r="G539" i="3"/>
  <c r="F539" i="3"/>
  <c r="G544" i="3"/>
  <c r="F544" i="3"/>
  <c r="G553" i="3"/>
  <c r="F553" i="3"/>
  <c r="G552" i="3"/>
  <c r="F552" i="3"/>
  <c r="G502" i="3"/>
  <c r="F502" i="3"/>
  <c r="G493" i="3"/>
  <c r="F493" i="3"/>
  <c r="G499" i="3"/>
  <c r="F499" i="3"/>
  <c r="G496" i="3"/>
  <c r="F496" i="3"/>
  <c r="G485" i="3"/>
  <c r="F485" i="3"/>
  <c r="G492" i="3"/>
  <c r="F492" i="3"/>
  <c r="G503" i="3"/>
  <c r="F503" i="3"/>
  <c r="G484" i="3"/>
  <c r="F484" i="3"/>
  <c r="G490" i="3"/>
  <c r="F490" i="3"/>
  <c r="G501" i="3"/>
  <c r="F501" i="3"/>
  <c r="G498" i="3"/>
  <c r="F498" i="3"/>
  <c r="G497" i="3"/>
  <c r="F497" i="3"/>
  <c r="G482" i="3"/>
  <c r="F482" i="3"/>
  <c r="G478" i="3"/>
  <c r="F478" i="3"/>
  <c r="G471" i="3"/>
  <c r="F471" i="3"/>
  <c r="G480" i="3"/>
  <c r="F480" i="3"/>
  <c r="G481" i="3"/>
  <c r="F481" i="3"/>
  <c r="G476" i="3"/>
  <c r="F476" i="3"/>
  <c r="G479" i="3"/>
  <c r="F479" i="3"/>
  <c r="G477" i="3"/>
  <c r="F477" i="3"/>
  <c r="G483" i="3"/>
  <c r="F483" i="3"/>
  <c r="G468" i="3"/>
  <c r="F468" i="3"/>
  <c r="G459" i="3"/>
  <c r="F459" i="3"/>
  <c r="G460" i="3"/>
  <c r="F460" i="3"/>
  <c r="G467" i="3"/>
  <c r="F467" i="3"/>
  <c r="G462" i="3"/>
  <c r="F462" i="3"/>
  <c r="G466" i="3"/>
  <c r="F466" i="3"/>
  <c r="G457" i="3"/>
  <c r="F457" i="3"/>
  <c r="G456" i="3"/>
  <c r="F456" i="3"/>
  <c r="G463" i="3"/>
  <c r="F463" i="3"/>
  <c r="G458" i="3"/>
  <c r="F458" i="3"/>
  <c r="G469" i="3"/>
  <c r="F469" i="3"/>
  <c r="G449" i="3"/>
  <c r="F449" i="3"/>
  <c r="G454" i="3"/>
  <c r="F454" i="3"/>
  <c r="G465" i="3"/>
  <c r="F465" i="3"/>
  <c r="G464" i="3"/>
  <c r="F464" i="3"/>
  <c r="G447" i="3"/>
  <c r="F447" i="3"/>
  <c r="G440" i="3"/>
  <c r="F440" i="3"/>
  <c r="G434" i="3"/>
  <c r="F434" i="3"/>
  <c r="G443" i="3"/>
  <c r="F443" i="3"/>
  <c r="G439" i="3"/>
  <c r="F439" i="3"/>
  <c r="G448" i="3"/>
  <c r="F448" i="3"/>
  <c r="G432" i="3"/>
  <c r="F432" i="3"/>
  <c r="G438" i="3"/>
  <c r="F438" i="3"/>
  <c r="G445" i="3"/>
  <c r="F445" i="3"/>
  <c r="G444" i="3"/>
  <c r="F444" i="3"/>
  <c r="G412" i="3"/>
  <c r="F412" i="3"/>
  <c r="G407" i="3"/>
  <c r="F407" i="3"/>
  <c r="G397" i="3"/>
  <c r="F397" i="3"/>
  <c r="G409" i="3"/>
  <c r="F409" i="3"/>
  <c r="G402" i="3"/>
  <c r="F402" i="3"/>
  <c r="G408" i="3"/>
  <c r="F408" i="3"/>
  <c r="G406" i="3"/>
  <c r="F406" i="3"/>
  <c r="G413" i="3"/>
  <c r="F413" i="3"/>
  <c r="G411" i="3"/>
  <c r="F411" i="3"/>
  <c r="G410" i="3"/>
  <c r="F410" i="3"/>
  <c r="G394" i="3"/>
  <c r="F394" i="3"/>
  <c r="G384" i="3"/>
  <c r="F384" i="3"/>
  <c r="G385" i="3"/>
  <c r="F385" i="3"/>
  <c r="G387" i="3"/>
  <c r="F387" i="3"/>
  <c r="G391" i="3"/>
  <c r="F391" i="3"/>
  <c r="G379" i="3"/>
  <c r="F379" i="3"/>
  <c r="G382" i="3"/>
  <c r="F382" i="3"/>
  <c r="G381" i="3"/>
  <c r="F381" i="3"/>
  <c r="G388" i="3"/>
  <c r="F388" i="3"/>
  <c r="G372" i="3"/>
  <c r="F372" i="3"/>
  <c r="G383" i="3"/>
  <c r="F383" i="3"/>
  <c r="G395" i="3"/>
  <c r="F395" i="3"/>
  <c r="G370" i="3"/>
  <c r="F370" i="3"/>
  <c r="G378" i="3"/>
  <c r="F378" i="3"/>
  <c r="G390" i="3"/>
  <c r="F390" i="3"/>
  <c r="G389" i="3"/>
  <c r="F389" i="3"/>
  <c r="G301" i="3"/>
  <c r="F301" i="3"/>
  <c r="G292" i="3"/>
  <c r="F292" i="3"/>
  <c r="G293" i="3"/>
  <c r="F293" i="3"/>
  <c r="G295" i="3"/>
  <c r="F295" i="3"/>
  <c r="G290" i="3"/>
  <c r="F290" i="3"/>
  <c r="G289" i="3"/>
  <c r="F289" i="3"/>
  <c r="G296" i="3"/>
  <c r="F296" i="3"/>
  <c r="G291" i="3"/>
  <c r="F291" i="3"/>
  <c r="G302" i="3"/>
  <c r="F302" i="3"/>
  <c r="G283" i="3"/>
  <c r="F283" i="3"/>
  <c r="G288" i="3"/>
  <c r="F288" i="3"/>
  <c r="G298" i="3"/>
  <c r="F298" i="3"/>
  <c r="G297" i="3"/>
  <c r="F297" i="3"/>
  <c r="G281" i="3"/>
  <c r="F281" i="3"/>
  <c r="G273" i="3"/>
  <c r="F273" i="3"/>
  <c r="G274" i="3"/>
  <c r="F274" i="3"/>
  <c r="G276" i="3"/>
  <c r="F276" i="3"/>
  <c r="G269" i="3"/>
  <c r="F269" i="3"/>
  <c r="G280" i="3"/>
  <c r="F280" i="3"/>
  <c r="G279" i="3"/>
  <c r="F279" i="3"/>
  <c r="G271" i="3"/>
  <c r="F271" i="3"/>
  <c r="G270" i="3"/>
  <c r="F270" i="3"/>
  <c r="G272" i="3"/>
  <c r="F272" i="3"/>
  <c r="G282" i="3"/>
  <c r="F282" i="3"/>
  <c r="G264" i="3"/>
  <c r="F264" i="3"/>
  <c r="G268" i="3"/>
  <c r="F268" i="3"/>
  <c r="G278" i="3"/>
  <c r="F278" i="3"/>
  <c r="G277" i="3"/>
  <c r="F277" i="3"/>
  <c r="G262" i="3"/>
  <c r="F262" i="3"/>
  <c r="G253" i="3"/>
  <c r="F253" i="3"/>
  <c r="G254" i="3"/>
  <c r="F254" i="3"/>
  <c r="G243" i="3"/>
  <c r="F243" i="3"/>
  <c r="G256" i="3"/>
  <c r="F256" i="3"/>
  <c r="G260" i="3"/>
  <c r="F260" i="3"/>
  <c r="G259" i="3"/>
  <c r="F259" i="3"/>
  <c r="G251" i="3"/>
  <c r="F251" i="3"/>
  <c r="G250" i="3"/>
  <c r="F250" i="3"/>
  <c r="G252" i="3"/>
  <c r="F252" i="3"/>
  <c r="G263" i="3"/>
  <c r="F263" i="3"/>
  <c r="G241" i="3"/>
  <c r="F241" i="3"/>
  <c r="G249" i="3"/>
  <c r="F249" i="3"/>
  <c r="G248" i="3"/>
  <c r="F248" i="3"/>
  <c r="G258" i="3"/>
  <c r="F258" i="3"/>
  <c r="G257" i="3"/>
  <c r="F257" i="3"/>
  <c r="G215" i="3"/>
  <c r="F215" i="3"/>
  <c r="G208" i="3"/>
  <c r="F208" i="3"/>
  <c r="G211" i="3"/>
  <c r="F211" i="3"/>
  <c r="G206" i="3"/>
  <c r="F206" i="3"/>
  <c r="G205" i="3"/>
  <c r="F205" i="3"/>
  <c r="G217" i="3"/>
  <c r="F217" i="3"/>
  <c r="G207" i="3"/>
  <c r="F207" i="3"/>
  <c r="G216" i="3"/>
  <c r="F216" i="3"/>
  <c r="G200" i="3"/>
  <c r="F200" i="3"/>
  <c r="G204" i="3"/>
  <c r="F204" i="3"/>
  <c r="G213" i="3"/>
  <c r="F213" i="3"/>
  <c r="G212" i="3"/>
  <c r="F212" i="3"/>
  <c r="G239" i="3"/>
  <c r="F239" i="3"/>
  <c r="G228" i="3"/>
  <c r="F228" i="3"/>
  <c r="G230" i="3"/>
  <c r="F230" i="3"/>
  <c r="G232" i="3"/>
  <c r="F232" i="3"/>
  <c r="G226" i="3"/>
  <c r="F226" i="3"/>
  <c r="G225" i="3"/>
  <c r="F225" i="3"/>
  <c r="G229" i="3"/>
  <c r="F229" i="3"/>
  <c r="G224" i="3"/>
  <c r="F224" i="3"/>
  <c r="G491" i="3"/>
  <c r="F491" i="3"/>
  <c r="G380" i="3"/>
  <c r="F380" i="3"/>
  <c r="G227" i="3"/>
  <c r="F227" i="3"/>
  <c r="G240" i="3"/>
  <c r="F240" i="3"/>
  <c r="G218" i="3"/>
  <c r="F218" i="3"/>
  <c r="G223" i="3"/>
  <c r="F223" i="3"/>
  <c r="G235" i="3"/>
  <c r="F235" i="3"/>
  <c r="G234" i="3"/>
  <c r="F234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3" i="3"/>
  <c r="F393" i="3"/>
  <c r="G261" i="3"/>
  <c r="F261" i="3"/>
  <c r="G9" i="3"/>
  <c r="F9" i="3"/>
  <c r="G142" i="3"/>
  <c r="F142" i="3"/>
  <c r="G237" i="3"/>
  <c r="F237" i="3"/>
  <c r="G238" i="3"/>
  <c r="F238" i="3"/>
  <c r="G555" i="3"/>
  <c r="F555" i="3"/>
  <c r="G236" i="3"/>
  <c r="F236" i="3"/>
  <c r="G233" i="3"/>
  <c r="F233" i="3"/>
  <c r="G299" i="3"/>
  <c r="F299" i="3"/>
  <c r="G7" i="3"/>
  <c r="F7" i="3"/>
  <c r="G559" i="3"/>
  <c r="F559" i="3"/>
  <c r="G558" i="3"/>
  <c r="F558" i="3"/>
  <c r="G345" i="3"/>
  <c r="F345" i="3"/>
  <c r="G338" i="3"/>
  <c r="F338" i="3"/>
  <c r="G341" i="3"/>
  <c r="F341" i="3"/>
  <c r="G334" i="3"/>
  <c r="F334" i="3"/>
  <c r="G336" i="3"/>
  <c r="F336" i="3"/>
  <c r="G335" i="3"/>
  <c r="F335" i="3"/>
  <c r="G337" i="3"/>
  <c r="F337" i="3"/>
  <c r="G346" i="3"/>
  <c r="F346" i="3"/>
  <c r="G327" i="3"/>
  <c r="F327" i="3"/>
  <c r="G333" i="3"/>
  <c r="F333" i="3"/>
  <c r="G343" i="3"/>
  <c r="F343" i="3"/>
  <c r="G342" i="3"/>
  <c r="F342" i="3"/>
  <c r="F1287" i="3"/>
  <c r="F1834" i="3"/>
  <c r="F775" i="3"/>
  <c r="F1064" i="3"/>
  <c r="F827" i="3"/>
  <c r="F774" i="3"/>
  <c r="F1382" i="3"/>
  <c r="D124" i="2" s="1"/>
  <c r="F1937" i="3"/>
  <c r="D123" i="2" s="1"/>
  <c r="F829" i="3"/>
  <c r="D122" i="2" s="1"/>
  <c r="F1428" i="3"/>
  <c r="D121" i="2" s="1"/>
  <c r="F1983" i="3"/>
  <c r="D120" i="2" s="1"/>
  <c r="F814" i="3"/>
  <c r="F821" i="3"/>
  <c r="F824" i="3"/>
  <c r="F813" i="3"/>
  <c r="F818" i="3"/>
  <c r="F816" i="3"/>
  <c r="F817" i="3"/>
  <c r="F828" i="3"/>
  <c r="F822" i="3"/>
  <c r="F815" i="3"/>
  <c r="G1269" i="3"/>
  <c r="F1269" i="3"/>
  <c r="G1278" i="3"/>
  <c r="F1278" i="3"/>
  <c r="G1261" i="3"/>
  <c r="F1261" i="3"/>
  <c r="G1244" i="3"/>
  <c r="F1244" i="3"/>
  <c r="G1227" i="3"/>
  <c r="F1227" i="3"/>
  <c r="G1216" i="3"/>
  <c r="F1216" i="3"/>
  <c r="G1057" i="3"/>
  <c r="F1057" i="3"/>
  <c r="G1040" i="3"/>
  <c r="F1040" i="3"/>
  <c r="G1039" i="3"/>
  <c r="F1039" i="3"/>
  <c r="G945" i="3"/>
  <c r="F945" i="3"/>
  <c r="G763" i="3"/>
  <c r="F763" i="3"/>
  <c r="G1215" i="3"/>
  <c r="F1215" i="3"/>
  <c r="G1213" i="3"/>
  <c r="F1213" i="3"/>
  <c r="G1214" i="3"/>
  <c r="F1214" i="3"/>
  <c r="G1219" i="3"/>
  <c r="F1219" i="3"/>
  <c r="G1218" i="3"/>
  <c r="F1218" i="3"/>
  <c r="G671" i="3"/>
  <c r="F671" i="3"/>
  <c r="G679" i="3"/>
  <c r="F679" i="3"/>
  <c r="F675" i="3"/>
  <c r="F673" i="3"/>
  <c r="F674" i="3"/>
  <c r="G680" i="3"/>
  <c r="F680" i="3"/>
  <c r="G678" i="3"/>
  <c r="F678" i="3"/>
  <c r="G1212" i="3"/>
  <c r="F1212" i="3"/>
  <c r="G954" i="3"/>
  <c r="F954" i="3"/>
  <c r="G997" i="3"/>
  <c r="F997" i="3"/>
  <c r="G1033" i="3"/>
  <c r="F1033" i="3"/>
  <c r="G1104" i="3"/>
  <c r="F1104" i="3"/>
  <c r="G885" i="3"/>
  <c r="F885" i="3"/>
  <c r="G1239" i="3"/>
  <c r="F1239" i="3"/>
  <c r="G1221" i="3"/>
  <c r="F1221" i="3"/>
  <c r="G1256" i="3"/>
  <c r="F1256" i="3"/>
  <c r="G1149" i="3"/>
  <c r="F1149" i="3"/>
  <c r="G700" i="3"/>
  <c r="F700" i="3"/>
  <c r="G1083" i="3"/>
  <c r="F1083" i="3"/>
  <c r="G672" i="3"/>
  <c r="F672" i="3"/>
  <c r="G683" i="3"/>
  <c r="F683" i="3"/>
  <c r="G966" i="3"/>
  <c r="F966" i="3"/>
  <c r="G1217" i="3"/>
  <c r="G677" i="3"/>
  <c r="F677" i="3"/>
  <c r="F1427" i="3"/>
  <c r="F1423" i="3"/>
  <c r="F1417" i="3"/>
  <c r="G1815" i="3"/>
  <c r="F1815" i="3"/>
  <c r="G1784" i="3"/>
  <c r="F1784" i="3"/>
  <c r="G1799" i="3"/>
  <c r="F1799" i="3"/>
  <c r="G1721" i="3"/>
  <c r="F1721" i="3"/>
  <c r="G1662" i="3"/>
  <c r="F1662" i="3"/>
  <c r="G1327" i="3"/>
  <c r="F1327" i="3"/>
  <c r="G1814" i="3"/>
  <c r="F1814" i="3"/>
  <c r="G1783" i="3"/>
  <c r="F1783" i="3"/>
  <c r="G1798" i="3"/>
  <c r="F1798" i="3"/>
  <c r="G1720" i="3"/>
  <c r="F1720" i="3"/>
  <c r="G1661" i="3"/>
  <c r="F1661" i="3"/>
  <c r="G1326" i="3"/>
  <c r="F1326" i="3"/>
  <c r="G1816" i="3"/>
  <c r="F1816" i="3"/>
  <c r="G1288" i="3"/>
  <c r="F1288" i="3"/>
  <c r="G1770" i="3"/>
  <c r="F1770" i="3"/>
  <c r="G1769" i="3"/>
  <c r="F1769" i="3"/>
  <c r="G1290" i="3"/>
  <c r="F1290" i="3"/>
  <c r="G1295" i="3"/>
  <c r="F1295" i="3"/>
  <c r="G1294" i="3"/>
  <c r="F1294" i="3"/>
  <c r="G1538" i="3"/>
  <c r="F1538" i="3"/>
  <c r="G1578" i="3"/>
  <c r="F1578" i="3"/>
  <c r="G1764" i="3"/>
  <c r="F1764" i="3"/>
  <c r="G1537" i="3"/>
  <c r="F1537" i="3"/>
  <c r="G1577" i="3"/>
  <c r="F1577" i="3"/>
  <c r="G1609" i="3"/>
  <c r="F1609" i="3"/>
  <c r="G1668" i="3"/>
  <c r="F1668" i="3"/>
  <c r="G1477" i="3"/>
  <c r="F1477" i="3"/>
  <c r="G1789" i="3"/>
  <c r="F1789" i="3"/>
  <c r="G1773" i="3"/>
  <c r="F1773" i="3"/>
  <c r="G1805" i="3"/>
  <c r="F1805" i="3"/>
  <c r="G1709" i="3"/>
  <c r="F1709" i="3"/>
  <c r="G1315" i="3"/>
  <c r="F1315" i="3"/>
  <c r="G1649" i="3"/>
  <c r="F1649" i="3"/>
  <c r="G1291" i="3"/>
  <c r="F1291" i="3"/>
  <c r="G1298" i="3"/>
  <c r="F1298" i="3"/>
  <c r="G1550" i="3"/>
  <c r="F1550" i="3"/>
  <c r="G1768" i="3"/>
  <c r="G1293" i="3"/>
  <c r="F1293" i="3"/>
  <c r="F1975" i="3"/>
  <c r="F1973" i="3"/>
  <c r="F1974" i="3"/>
  <c r="F1982" i="3"/>
  <c r="F1978" i="3"/>
  <c r="F1972" i="3"/>
  <c r="G1835" i="3"/>
  <c r="F1835" i="3"/>
  <c r="F2361" i="3"/>
  <c r="F2359" i="3"/>
  <c r="F2360" i="3"/>
  <c r="G2364" i="3"/>
  <c r="F2364" i="3"/>
  <c r="G2363" i="3"/>
  <c r="F2363" i="3"/>
  <c r="G1836" i="3"/>
  <c r="F1836" i="3"/>
  <c r="F1840" i="3"/>
  <c r="F1838" i="3"/>
  <c r="F1839" i="3"/>
  <c r="G1844" i="3"/>
  <c r="F1844" i="3"/>
  <c r="G1843" i="3"/>
  <c r="F1843" i="3"/>
  <c r="G2101" i="3"/>
  <c r="F2101" i="3"/>
  <c r="G2142" i="3"/>
  <c r="F2142" i="3"/>
  <c r="G2358" i="3"/>
  <c r="F2358" i="3"/>
  <c r="G2100" i="3"/>
  <c r="F2100" i="3"/>
  <c r="G2141" i="3"/>
  <c r="F2141" i="3"/>
  <c r="G2177" i="3"/>
  <c r="F2177" i="3"/>
  <c r="G2245" i="3"/>
  <c r="F2245" i="3"/>
  <c r="G2036" i="3"/>
  <c r="F2036" i="3"/>
  <c r="G2390" i="3"/>
  <c r="F2390" i="3"/>
  <c r="G2367" i="3"/>
  <c r="F2367" i="3"/>
  <c r="G2413" i="3"/>
  <c r="F2413" i="3"/>
  <c r="G2289" i="3"/>
  <c r="F2289" i="3"/>
  <c r="G1863" i="3"/>
  <c r="F1863" i="3"/>
  <c r="G2218" i="3"/>
  <c r="F2218" i="3"/>
  <c r="G1837" i="3"/>
  <c r="F1837" i="3"/>
  <c r="G1847" i="3"/>
  <c r="F1847" i="3"/>
  <c r="G2113" i="3"/>
  <c r="F2113" i="3"/>
  <c r="G2362" i="3"/>
  <c r="G1842" i="3"/>
  <c r="F1842" i="3"/>
  <c r="G1273" i="3"/>
  <c r="F1273" i="3"/>
  <c r="G1191" i="3"/>
  <c r="G1168" i="3"/>
  <c r="F1168" i="3"/>
  <c r="G1136" i="3"/>
  <c r="F1136" i="3"/>
  <c r="G1102" i="3"/>
  <c r="F1102" i="3"/>
  <c r="G1067" i="3"/>
  <c r="F1067" i="3"/>
  <c r="G1050" i="3"/>
  <c r="F1050" i="3"/>
  <c r="G1031" i="3"/>
  <c r="F1031" i="3"/>
  <c r="G1007" i="3"/>
  <c r="F1007" i="3"/>
  <c r="G983" i="3"/>
  <c r="F983" i="3"/>
  <c r="G965" i="3"/>
  <c r="F965" i="3"/>
  <c r="G941" i="3"/>
  <c r="F941" i="3"/>
  <c r="G923" i="3"/>
  <c r="F923" i="3"/>
  <c r="G883" i="3"/>
  <c r="F883" i="3"/>
  <c r="G861" i="3"/>
  <c r="F861" i="3"/>
  <c r="G778" i="3"/>
  <c r="F778" i="3"/>
  <c r="G757" i="3"/>
  <c r="F757" i="3"/>
  <c r="G719" i="3"/>
  <c r="F719" i="3"/>
  <c r="G682" i="3"/>
  <c r="F682" i="3"/>
  <c r="G806" i="3"/>
  <c r="F806" i="3"/>
  <c r="G976" i="3"/>
  <c r="F976" i="3"/>
  <c r="G852" i="3"/>
  <c r="F852" i="3"/>
  <c r="G837" i="3"/>
  <c r="F837" i="3"/>
  <c r="G1143" i="3"/>
  <c r="F1143" i="3"/>
  <c r="G789" i="3"/>
  <c r="F789" i="3"/>
  <c r="G746" i="3"/>
  <c r="F746" i="3"/>
  <c r="G948" i="3"/>
  <c r="F948" i="3"/>
  <c r="G1184" i="3"/>
  <c r="F1184" i="3"/>
  <c r="G1146" i="3"/>
  <c r="F1146" i="3"/>
  <c r="G1131" i="3"/>
  <c r="F1131" i="3"/>
  <c r="G1063" i="3"/>
  <c r="F1063" i="3"/>
  <c r="G1027" i="3"/>
  <c r="F1027" i="3"/>
  <c r="G994" i="3"/>
  <c r="F994" i="3"/>
  <c r="G980" i="3"/>
  <c r="F980" i="3"/>
  <c r="G962" i="3"/>
  <c r="F962" i="3"/>
  <c r="G951" i="3"/>
  <c r="F951" i="3"/>
  <c r="G938" i="3"/>
  <c r="F938" i="3"/>
  <c r="G856" i="3"/>
  <c r="F856" i="3"/>
  <c r="G841" i="3"/>
  <c r="F841" i="3"/>
  <c r="G826" i="3"/>
  <c r="F826" i="3"/>
  <c r="G810" i="3"/>
  <c r="F810" i="3"/>
  <c r="G771" i="3"/>
  <c r="F771" i="3"/>
  <c r="G729" i="3"/>
  <c r="F729" i="3"/>
  <c r="G812" i="3"/>
  <c r="G819" i="3"/>
  <c r="G718" i="3"/>
  <c r="G723" i="3"/>
  <c r="G825" i="3"/>
  <c r="F825" i="3"/>
  <c r="G728" i="3"/>
  <c r="F728" i="3"/>
  <c r="G823" i="3"/>
  <c r="F823" i="3"/>
  <c r="G1424" i="3"/>
  <c r="F1424" i="3"/>
  <c r="G1979" i="3"/>
  <c r="F1979" i="3"/>
  <c r="G820" i="3"/>
  <c r="G985" i="3"/>
  <c r="F985" i="3"/>
  <c r="G807" i="3"/>
  <c r="F807" i="3"/>
  <c r="G991" i="3"/>
  <c r="F991" i="3"/>
  <c r="G1126" i="3"/>
  <c r="F1126" i="3"/>
  <c r="G726" i="3"/>
  <c r="F726" i="3"/>
  <c r="G1075" i="3"/>
  <c r="F1075" i="3"/>
  <c r="G1060" i="3"/>
  <c r="F1060" i="3"/>
  <c r="G1281" i="3"/>
  <c r="F1281" i="3"/>
  <c r="F833" i="3"/>
  <c r="F831" i="3"/>
  <c r="F832" i="3"/>
  <c r="G838" i="3"/>
  <c r="F838" i="3"/>
  <c r="G842" i="3"/>
  <c r="F842" i="3"/>
  <c r="G836" i="3"/>
  <c r="F836" i="3"/>
  <c r="F957" i="3"/>
  <c r="F955" i="3"/>
  <c r="F956" i="3"/>
  <c r="G961" i="3"/>
  <c r="F961" i="3"/>
  <c r="G963" i="3"/>
  <c r="F963" i="3"/>
  <c r="G960" i="3"/>
  <c r="F960" i="3"/>
  <c r="F1000" i="3"/>
  <c r="F998" i="3"/>
  <c r="F999" i="3"/>
  <c r="G1004" i="3"/>
  <c r="F1004" i="3"/>
  <c r="G1005" i="3"/>
  <c r="F1005" i="3"/>
  <c r="G1003" i="3"/>
  <c r="F1003" i="3"/>
  <c r="F944" i="3"/>
  <c r="F942" i="3"/>
  <c r="F943" i="3"/>
  <c r="G949" i="3"/>
  <c r="F949" i="3"/>
  <c r="G952" i="3"/>
  <c r="F952" i="3"/>
  <c r="G947" i="3"/>
  <c r="F947" i="3"/>
  <c r="F722" i="3"/>
  <c r="F720" i="3"/>
  <c r="F721" i="3"/>
  <c r="G727" i="3"/>
  <c r="F727" i="3"/>
  <c r="G730" i="3"/>
  <c r="F730" i="3"/>
  <c r="G725" i="3"/>
  <c r="F725" i="3"/>
  <c r="F1276" i="3"/>
  <c r="F1274" i="3"/>
  <c r="F1275" i="3"/>
  <c r="G1282" i="3"/>
  <c r="F1282" i="3"/>
  <c r="G1284" i="3"/>
  <c r="F1284" i="3"/>
  <c r="G1280" i="3"/>
  <c r="F1280" i="3"/>
  <c r="F1054" i="3"/>
  <c r="F1052" i="3"/>
  <c r="F1053" i="3"/>
  <c r="G1061" i="3"/>
  <c r="F1061" i="3"/>
  <c r="G1065" i="3"/>
  <c r="F1065" i="3"/>
  <c r="G1059" i="3"/>
  <c r="F1059" i="3"/>
  <c r="F988" i="3"/>
  <c r="F986" i="3"/>
  <c r="F987" i="3"/>
  <c r="G992" i="3"/>
  <c r="F992" i="3"/>
  <c r="G995" i="3"/>
  <c r="F995" i="3"/>
  <c r="G990" i="3"/>
  <c r="F990" i="3"/>
  <c r="F1139" i="3"/>
  <c r="F1137" i="3"/>
  <c r="F1138" i="3"/>
  <c r="G1144" i="3"/>
  <c r="F1144" i="3"/>
  <c r="G1147" i="3"/>
  <c r="F1147" i="3"/>
  <c r="G1142" i="3"/>
  <c r="F1142" i="3"/>
  <c r="G950" i="3"/>
  <c r="G749" i="3"/>
  <c r="G840" i="3"/>
  <c r="G839" i="3"/>
  <c r="G835" i="3"/>
  <c r="F835" i="3"/>
  <c r="G958" i="3"/>
  <c r="F958" i="3"/>
  <c r="G953" i="3"/>
  <c r="F953" i="3"/>
  <c r="G959" i="3"/>
  <c r="F959" i="3"/>
  <c r="G1001" i="3"/>
  <c r="F1001" i="3"/>
  <c r="G996" i="3"/>
  <c r="F996" i="3"/>
  <c r="G1002" i="3"/>
  <c r="F1002" i="3"/>
  <c r="G946" i="3"/>
  <c r="F946" i="3"/>
  <c r="G724" i="3"/>
  <c r="F724" i="3"/>
  <c r="G1283" i="3"/>
  <c r="G1279" i="3"/>
  <c r="F1279" i="3"/>
  <c r="G1056" i="3"/>
  <c r="F1056" i="3"/>
  <c r="G1051" i="3"/>
  <c r="F1051" i="3"/>
  <c r="G1062" i="3"/>
  <c r="G1058" i="3"/>
  <c r="F1058" i="3"/>
  <c r="G984" i="3"/>
  <c r="F984" i="3"/>
  <c r="G993" i="3"/>
  <c r="G989" i="3"/>
  <c r="F989" i="3"/>
  <c r="G1140" i="3"/>
  <c r="F1140" i="3"/>
  <c r="G1145" i="3"/>
  <c r="G1141" i="3"/>
  <c r="F1141" i="3"/>
  <c r="G1009" i="3"/>
  <c r="F1009" i="3"/>
  <c r="G799" i="3"/>
  <c r="F799" i="3"/>
  <c r="G1251" i="3"/>
  <c r="F1251" i="3"/>
  <c r="G666" i="3"/>
  <c r="G1209" i="3"/>
  <c r="F1209" i="3"/>
  <c r="G1079" i="3"/>
  <c r="F1079" i="3"/>
  <c r="G696" i="3"/>
  <c r="F696" i="3"/>
  <c r="G1268" i="3"/>
  <c r="F1268" i="3"/>
  <c r="G1234" i="3"/>
  <c r="F1234" i="3"/>
  <c r="G784" i="3"/>
  <c r="F784" i="3"/>
  <c r="G758" i="3"/>
  <c r="F758" i="3"/>
  <c r="G1264" i="3"/>
  <c r="F1264" i="3"/>
  <c r="G751" i="3"/>
  <c r="F751" i="3"/>
  <c r="F1224" i="3"/>
  <c r="F1222" i="3"/>
  <c r="F1223" i="3"/>
  <c r="F1242" i="3"/>
  <c r="F1240" i="3"/>
  <c r="F1241" i="3"/>
  <c r="G1195" i="3"/>
  <c r="F1195" i="3"/>
  <c r="G1193" i="3"/>
  <c r="F1193" i="3"/>
  <c r="G1194" i="3"/>
  <c r="F1194" i="3"/>
  <c r="F1152" i="3"/>
  <c r="F1150" i="3"/>
  <c r="F1151" i="3"/>
  <c r="G1171" i="3"/>
  <c r="F1171" i="3"/>
  <c r="G1169" i="3"/>
  <c r="F1169" i="3"/>
  <c r="G1170" i="3"/>
  <c r="F1170" i="3"/>
  <c r="F1121" i="3"/>
  <c r="F1119" i="3"/>
  <c r="F1120" i="3"/>
  <c r="F1107" i="3"/>
  <c r="F1105" i="3"/>
  <c r="F1106" i="3"/>
  <c r="F1086" i="3"/>
  <c r="F1084" i="3"/>
  <c r="F1085" i="3"/>
  <c r="F1071" i="3"/>
  <c r="F1069" i="3"/>
  <c r="F1070" i="3"/>
  <c r="F1036" i="3"/>
  <c r="F1034" i="3"/>
  <c r="F1035" i="3"/>
  <c r="F926" i="3"/>
  <c r="F924" i="3"/>
  <c r="F925" i="3"/>
  <c r="F907" i="3"/>
  <c r="F905" i="3"/>
  <c r="F906" i="3"/>
  <c r="F888" i="3"/>
  <c r="F886" i="3"/>
  <c r="F887" i="3"/>
  <c r="F846" i="3"/>
  <c r="F844" i="3"/>
  <c r="F845" i="3"/>
  <c r="F864" i="3"/>
  <c r="G862" i="3"/>
  <c r="F862" i="3"/>
  <c r="F863" i="3"/>
  <c r="F802" i="3"/>
  <c r="F800" i="3"/>
  <c r="F801" i="3"/>
  <c r="F782" i="3"/>
  <c r="F780" i="3"/>
  <c r="F781" i="3"/>
  <c r="F761" i="3"/>
  <c r="F759" i="3"/>
  <c r="F760" i="3"/>
  <c r="F703" i="3"/>
  <c r="F701" i="3"/>
  <c r="F702" i="3"/>
  <c r="F686" i="3"/>
  <c r="F684" i="3"/>
  <c r="F685" i="3"/>
  <c r="F969" i="3"/>
  <c r="F967" i="3"/>
  <c r="F968" i="3"/>
  <c r="G665" i="3"/>
  <c r="F665" i="3"/>
  <c r="G1270" i="3"/>
  <c r="G1263" i="3"/>
  <c r="G1265" i="3"/>
  <c r="F1265" i="3"/>
  <c r="G1262" i="3"/>
  <c r="G1271" i="3"/>
  <c r="F1271" i="3"/>
  <c r="G1255" i="3"/>
  <c r="G1260" i="3"/>
  <c r="G1267" i="3"/>
  <c r="G1266" i="3"/>
  <c r="G1236" i="3"/>
  <c r="F1236" i="3"/>
  <c r="G1229" i="3"/>
  <c r="F1229" i="3"/>
  <c r="G1230" i="3"/>
  <c r="F1230" i="3"/>
  <c r="G1235" i="3"/>
  <c r="F1235" i="3"/>
  <c r="G1231" i="3"/>
  <c r="F1231" i="3"/>
  <c r="G1228" i="3"/>
  <c r="F1228" i="3"/>
  <c r="G1237" i="3"/>
  <c r="F1237" i="3"/>
  <c r="G1220" i="3"/>
  <c r="G1225" i="3"/>
  <c r="G1233" i="3"/>
  <c r="G1232" i="3"/>
  <c r="G1253" i="3"/>
  <c r="F1253" i="3"/>
  <c r="G1246" i="3"/>
  <c r="F1246" i="3"/>
  <c r="G1247" i="3"/>
  <c r="F1247" i="3"/>
  <c r="G1252" i="3"/>
  <c r="F1252" i="3"/>
  <c r="G1248" i="3"/>
  <c r="F1248" i="3"/>
  <c r="G1245" i="3"/>
  <c r="F1245" i="3"/>
  <c r="G1254" i="3"/>
  <c r="F1254" i="3"/>
  <c r="G1238" i="3"/>
  <c r="G1243" i="3"/>
  <c r="G1250" i="3"/>
  <c r="G1249" i="3"/>
  <c r="G1210" i="3"/>
  <c r="F1210" i="3"/>
  <c r="G1202" i="3"/>
  <c r="F1202" i="3"/>
  <c r="G1203" i="3"/>
  <c r="F1203" i="3"/>
  <c r="G1192" i="3"/>
  <c r="G1204" i="3"/>
  <c r="G1207" i="3"/>
  <c r="F1207" i="3"/>
  <c r="G1208" i="3"/>
  <c r="F1208" i="3"/>
  <c r="G1200" i="3"/>
  <c r="F1200" i="3"/>
  <c r="G1199" i="3"/>
  <c r="F1199" i="3"/>
  <c r="G1198" i="3"/>
  <c r="F1198" i="3"/>
  <c r="G1038" i="3"/>
  <c r="F1038" i="3"/>
  <c r="G1226" i="3"/>
  <c r="F1226" i="3"/>
  <c r="G1088" i="3"/>
  <c r="F1088" i="3"/>
  <c r="G705" i="3"/>
  <c r="F705" i="3"/>
  <c r="G1197" i="3"/>
  <c r="F1197" i="3"/>
  <c r="G1201" i="3"/>
  <c r="F1201" i="3"/>
  <c r="G1211" i="3"/>
  <c r="F1211" i="3"/>
  <c r="G1190" i="3"/>
  <c r="G1196" i="3"/>
  <c r="G1206" i="3"/>
  <c r="G1205" i="3"/>
  <c r="G1164" i="3"/>
  <c r="F1164" i="3"/>
  <c r="G1157" i="3"/>
  <c r="F1157" i="3"/>
  <c r="G1158" i="3"/>
  <c r="F1158" i="3"/>
  <c r="G1163" i="3"/>
  <c r="F1163" i="3"/>
  <c r="G1159" i="3"/>
  <c r="F1159" i="3"/>
  <c r="G1162" i="3"/>
  <c r="F1162" i="3"/>
  <c r="G1155" i="3"/>
  <c r="F1155" i="3"/>
  <c r="G1154" i="3"/>
  <c r="F1154" i="3"/>
  <c r="G1156" i="3"/>
  <c r="F1156" i="3"/>
  <c r="G1165" i="3"/>
  <c r="F1165" i="3"/>
  <c r="G1148" i="3"/>
  <c r="G1153" i="3"/>
  <c r="G1161" i="3"/>
  <c r="G1160" i="3"/>
  <c r="G1187" i="3"/>
  <c r="F1187" i="3"/>
  <c r="G1176" i="3"/>
  <c r="F1176" i="3"/>
  <c r="G1177" i="3"/>
  <c r="F1177" i="3"/>
  <c r="G1178" i="3"/>
  <c r="F1178" i="3"/>
  <c r="G1181" i="3"/>
  <c r="F1181" i="3"/>
  <c r="G1166" i="3"/>
  <c r="F1166" i="3"/>
  <c r="G1183" i="3"/>
  <c r="F1183" i="3"/>
  <c r="G1189" i="3"/>
  <c r="F1189" i="3"/>
  <c r="G1174" i="3"/>
  <c r="F1174" i="3"/>
  <c r="G1173" i="3"/>
  <c r="F1173" i="3"/>
  <c r="G1175" i="3"/>
  <c r="F1175" i="3"/>
  <c r="G1188" i="3"/>
  <c r="F1188" i="3"/>
  <c r="G1167" i="3"/>
  <c r="G1172" i="3"/>
  <c r="G1180" i="3"/>
  <c r="G1179" i="3"/>
  <c r="G1133" i="3"/>
  <c r="F1133" i="3"/>
  <c r="G1125" i="3"/>
  <c r="F1125" i="3"/>
  <c r="G1130" i="3"/>
  <c r="F1130" i="3"/>
  <c r="G1127" i="3"/>
  <c r="F1127" i="3"/>
  <c r="G1117" i="3"/>
  <c r="F1117" i="3"/>
  <c r="G1124" i="3"/>
  <c r="F1124" i="3"/>
  <c r="G1134" i="3"/>
  <c r="F1134" i="3"/>
  <c r="G1116" i="3"/>
  <c r="G1122" i="3"/>
  <c r="G1132" i="3"/>
  <c r="F1132" i="3"/>
  <c r="G1129" i="3"/>
  <c r="G1128" i="3"/>
  <c r="G1114" i="3"/>
  <c r="F1114" i="3"/>
  <c r="G1110" i="3"/>
  <c r="F1110" i="3"/>
  <c r="G1103" i="3"/>
  <c r="F1103" i="3"/>
  <c r="G1112" i="3"/>
  <c r="F1112" i="3"/>
  <c r="G1113" i="3"/>
  <c r="F1113" i="3"/>
  <c r="G1108" i="3"/>
  <c r="F1108" i="3"/>
  <c r="G1111" i="3"/>
  <c r="F1111" i="3"/>
  <c r="G1109" i="3"/>
  <c r="F1109" i="3"/>
  <c r="G1115" i="3"/>
  <c r="F1115" i="3"/>
  <c r="G1100" i="3"/>
  <c r="F1100" i="3"/>
  <c r="G1092" i="3"/>
  <c r="F1092" i="3"/>
  <c r="G1093" i="3"/>
  <c r="F1093" i="3"/>
  <c r="G1099" i="3"/>
  <c r="F1099" i="3"/>
  <c r="G1094" i="3"/>
  <c r="F1094" i="3"/>
  <c r="G1098" i="3"/>
  <c r="F1098" i="3"/>
  <c r="G1090" i="3"/>
  <c r="F1090" i="3"/>
  <c r="G1089" i="3"/>
  <c r="F1089" i="3"/>
  <c r="G1095" i="3"/>
  <c r="F1095" i="3"/>
  <c r="G1091" i="3"/>
  <c r="F1091" i="3"/>
  <c r="G1101" i="3"/>
  <c r="F1101" i="3"/>
  <c r="G1082" i="3"/>
  <c r="G1087" i="3"/>
  <c r="G1097" i="3"/>
  <c r="G1096" i="3"/>
  <c r="G1080" i="3"/>
  <c r="F1080" i="3"/>
  <c r="G1074" i="3"/>
  <c r="F1074" i="3"/>
  <c r="G1068" i="3"/>
  <c r="F1068" i="3"/>
  <c r="G1076" i="3"/>
  <c r="F1076" i="3"/>
  <c r="G1073" i="3"/>
  <c r="F1073" i="3"/>
  <c r="G1081" i="3"/>
  <c r="F1081" i="3"/>
  <c r="G1066" i="3"/>
  <c r="G1072" i="3"/>
  <c r="G1078" i="3"/>
  <c r="G1077" i="3"/>
  <c r="G1047" i="3"/>
  <c r="F1047" i="3"/>
  <c r="G1042" i="3"/>
  <c r="F1042" i="3"/>
  <c r="G1032" i="3"/>
  <c r="F1032" i="3"/>
  <c r="G1044" i="3"/>
  <c r="F1044" i="3"/>
  <c r="G1037" i="3"/>
  <c r="F1037" i="3"/>
  <c r="G1043" i="3"/>
  <c r="F1043" i="3"/>
  <c r="G1041" i="3"/>
  <c r="F1041" i="3"/>
  <c r="G1048" i="3"/>
  <c r="F1048" i="3"/>
  <c r="G1046" i="3"/>
  <c r="G1045" i="3"/>
  <c r="G1029" i="3"/>
  <c r="G1020" i="3"/>
  <c r="G1021" i="3"/>
  <c r="F1021" i="3"/>
  <c r="G1022" i="3"/>
  <c r="F1022" i="3"/>
  <c r="G1026" i="3"/>
  <c r="G1015" i="3"/>
  <c r="F1015" i="3"/>
  <c r="G1018" i="3"/>
  <c r="F1018" i="3"/>
  <c r="G1017" i="3"/>
  <c r="F1017" i="3"/>
  <c r="G1023" i="3"/>
  <c r="F1023" i="3"/>
  <c r="G1008" i="3"/>
  <c r="F1008" i="3"/>
  <c r="G1019" i="3"/>
  <c r="G1030" i="3"/>
  <c r="F1030" i="3"/>
  <c r="G1006" i="3"/>
  <c r="G1014" i="3"/>
  <c r="G1025" i="3"/>
  <c r="G1024" i="3"/>
  <c r="G939" i="3"/>
  <c r="F939" i="3"/>
  <c r="G931" i="3"/>
  <c r="F931" i="3"/>
  <c r="G932" i="3"/>
  <c r="F932" i="3"/>
  <c r="G933" i="3"/>
  <c r="F933" i="3"/>
  <c r="G929" i="3"/>
  <c r="F929" i="3"/>
  <c r="G928" i="3"/>
  <c r="F928" i="3"/>
  <c r="G934" i="3"/>
  <c r="F934" i="3"/>
  <c r="G930" i="3"/>
  <c r="F930" i="3"/>
  <c r="G940" i="3"/>
  <c r="F940" i="3"/>
  <c r="G922" i="3"/>
  <c r="G927" i="3"/>
  <c r="G936" i="3"/>
  <c r="G935" i="3"/>
  <c r="G920" i="3"/>
  <c r="F920" i="3"/>
  <c r="G913" i="3"/>
  <c r="F913" i="3"/>
  <c r="G914" i="3"/>
  <c r="F914" i="3"/>
  <c r="G915" i="3"/>
  <c r="F915" i="3"/>
  <c r="G909" i="3"/>
  <c r="F909" i="3"/>
  <c r="G919" i="3"/>
  <c r="F919" i="3"/>
  <c r="G918" i="3"/>
  <c r="F918" i="3"/>
  <c r="G911" i="3"/>
  <c r="F911" i="3"/>
  <c r="G910" i="3"/>
  <c r="F910" i="3"/>
  <c r="G912" i="3"/>
  <c r="F912" i="3"/>
  <c r="G921" i="3"/>
  <c r="F921" i="3"/>
  <c r="G904" i="3"/>
  <c r="G908" i="3"/>
  <c r="G917" i="3"/>
  <c r="G916" i="3"/>
  <c r="G902" i="3"/>
  <c r="F902" i="3"/>
  <c r="G894" i="3"/>
  <c r="F894" i="3"/>
  <c r="G895" i="3"/>
  <c r="F895" i="3"/>
  <c r="G884" i="3"/>
  <c r="F884" i="3"/>
  <c r="G896" i="3"/>
  <c r="F896" i="3"/>
  <c r="G900" i="3"/>
  <c r="F900" i="3"/>
  <c r="G899" i="3"/>
  <c r="F899" i="3"/>
  <c r="G892" i="3"/>
  <c r="F892" i="3"/>
  <c r="G891" i="3"/>
  <c r="F891" i="3"/>
  <c r="G893" i="3"/>
  <c r="F893" i="3"/>
  <c r="G903" i="3"/>
  <c r="F903" i="3"/>
  <c r="G882" i="3"/>
  <c r="G890" i="3"/>
  <c r="G889" i="3"/>
  <c r="F889" i="3"/>
  <c r="G898" i="3"/>
  <c r="G897" i="3"/>
  <c r="G857" i="3"/>
  <c r="F857" i="3"/>
  <c r="G851" i="3"/>
  <c r="F851" i="3"/>
  <c r="G853" i="3"/>
  <c r="F853" i="3"/>
  <c r="G849" i="3"/>
  <c r="F849" i="3"/>
  <c r="G848" i="3"/>
  <c r="F848" i="3"/>
  <c r="G859" i="3"/>
  <c r="F859" i="3"/>
  <c r="G850" i="3"/>
  <c r="F850" i="3"/>
  <c r="G858" i="3"/>
  <c r="F858" i="3"/>
  <c r="G843" i="3"/>
  <c r="G847" i="3"/>
  <c r="G855" i="3"/>
  <c r="G854" i="3"/>
  <c r="G880" i="3"/>
  <c r="F880" i="3"/>
  <c r="G870" i="3"/>
  <c r="F870" i="3"/>
  <c r="G872" i="3"/>
  <c r="F872" i="3"/>
  <c r="G873" i="3"/>
  <c r="F873" i="3"/>
  <c r="G868" i="3"/>
  <c r="F868" i="3"/>
  <c r="G867" i="3"/>
  <c r="F867" i="3"/>
  <c r="G871" i="3"/>
  <c r="F871" i="3"/>
  <c r="G866" i="3"/>
  <c r="F866" i="3"/>
  <c r="G1123" i="3"/>
  <c r="F1123" i="3"/>
  <c r="G1016" i="3"/>
  <c r="F1016" i="3"/>
  <c r="G869" i="3"/>
  <c r="F869" i="3"/>
  <c r="G881" i="3"/>
  <c r="F881" i="3"/>
  <c r="G860" i="3"/>
  <c r="G865" i="3"/>
  <c r="G876" i="3"/>
  <c r="G875" i="3"/>
  <c r="G811" i="3"/>
  <c r="F811" i="3"/>
  <c r="G805" i="3"/>
  <c r="F805" i="3"/>
  <c r="G804" i="3"/>
  <c r="F804" i="3"/>
  <c r="G798" i="3"/>
  <c r="F798" i="3"/>
  <c r="G797" i="3"/>
  <c r="G803" i="3"/>
  <c r="G809" i="3"/>
  <c r="G808" i="3"/>
  <c r="G779" i="3"/>
  <c r="F779" i="3"/>
  <c r="G795" i="3"/>
  <c r="F795" i="3"/>
  <c r="G788" i="3"/>
  <c r="F788" i="3"/>
  <c r="G790" i="3"/>
  <c r="F790" i="3"/>
  <c r="G794" i="3"/>
  <c r="F794" i="3"/>
  <c r="G786" i="3"/>
  <c r="F786" i="3"/>
  <c r="G785" i="3"/>
  <c r="F785" i="3"/>
  <c r="G777" i="3"/>
  <c r="F777" i="3"/>
  <c r="G787" i="3"/>
  <c r="F787" i="3"/>
  <c r="G796" i="3"/>
  <c r="F796" i="3"/>
  <c r="G776" i="3"/>
  <c r="G783" i="3"/>
  <c r="G793" i="3"/>
  <c r="G792" i="3"/>
  <c r="G772" i="3"/>
  <c r="F772" i="3"/>
  <c r="G765" i="3"/>
  <c r="F765" i="3"/>
  <c r="G766" i="3"/>
  <c r="F766" i="3"/>
  <c r="G767" i="3"/>
  <c r="F767" i="3"/>
  <c r="G770" i="3"/>
  <c r="F770" i="3"/>
  <c r="G764" i="3"/>
  <c r="F764" i="3"/>
  <c r="G773" i="3"/>
  <c r="F773" i="3"/>
  <c r="G756" i="3"/>
  <c r="G762" i="3"/>
  <c r="G769" i="3"/>
  <c r="G768" i="3"/>
  <c r="G753" i="3"/>
  <c r="F753" i="3"/>
  <c r="G739" i="3"/>
  <c r="F739" i="3"/>
  <c r="G731" i="3"/>
  <c r="F731" i="3"/>
  <c r="G734" i="3"/>
  <c r="F734" i="3"/>
  <c r="G752" i="3"/>
  <c r="F752" i="3"/>
  <c r="G754" i="3"/>
  <c r="F754" i="3"/>
  <c r="G745" i="3"/>
  <c r="F745" i="3"/>
  <c r="G733" i="3"/>
  <c r="F733" i="3"/>
  <c r="G755" i="3"/>
  <c r="F755" i="3"/>
  <c r="G738" i="3"/>
  <c r="F738" i="3"/>
  <c r="G750" i="3"/>
  <c r="F750" i="3"/>
  <c r="G743" i="3"/>
  <c r="F743" i="3"/>
  <c r="F737" i="3"/>
  <c r="F735" i="3"/>
  <c r="F736" i="3"/>
  <c r="G747" i="3"/>
  <c r="F747" i="3"/>
  <c r="G744" i="3"/>
  <c r="F744" i="3"/>
  <c r="G740" i="3"/>
  <c r="F740" i="3"/>
  <c r="G748" i="3"/>
  <c r="F748" i="3"/>
  <c r="G741" i="3"/>
  <c r="F741" i="3"/>
  <c r="G716" i="3"/>
  <c r="F716" i="3"/>
  <c r="G709" i="3"/>
  <c r="F709" i="3"/>
  <c r="G710" i="3"/>
  <c r="F710" i="3"/>
  <c r="G715" i="3"/>
  <c r="F715" i="3"/>
  <c r="G711" i="3"/>
  <c r="F711" i="3"/>
  <c r="G714" i="3"/>
  <c r="F714" i="3"/>
  <c r="G707" i="3"/>
  <c r="F707" i="3"/>
  <c r="G706" i="3"/>
  <c r="F706" i="3"/>
  <c r="G708" i="3"/>
  <c r="F708" i="3"/>
  <c r="G717" i="3"/>
  <c r="F717" i="3"/>
  <c r="G699" i="3"/>
  <c r="G704" i="3"/>
  <c r="G713" i="3"/>
  <c r="G712" i="3"/>
  <c r="G697" i="3"/>
  <c r="F697" i="3"/>
  <c r="G692" i="3"/>
  <c r="F692" i="3"/>
  <c r="G693" i="3"/>
  <c r="F693" i="3"/>
  <c r="G688" i="3"/>
  <c r="F688" i="3"/>
  <c r="G690" i="3"/>
  <c r="F690" i="3"/>
  <c r="G689" i="3"/>
  <c r="F689" i="3"/>
  <c r="G691" i="3"/>
  <c r="F691" i="3"/>
  <c r="G698" i="3"/>
  <c r="F698" i="3"/>
  <c r="G681" i="3"/>
  <c r="G687" i="3"/>
  <c r="G695" i="3"/>
  <c r="G694" i="3"/>
  <c r="G668" i="3"/>
  <c r="F668" i="3"/>
  <c r="G1028" i="3"/>
  <c r="F1028" i="3"/>
  <c r="G901" i="3"/>
  <c r="F901" i="3"/>
  <c r="G669" i="3"/>
  <c r="F669" i="3"/>
  <c r="G791" i="3"/>
  <c r="F791" i="3"/>
  <c r="G878" i="3"/>
  <c r="F878" i="3"/>
  <c r="G879" i="3"/>
  <c r="F879" i="3"/>
  <c r="G1182" i="3"/>
  <c r="F1182" i="3"/>
  <c r="G877" i="3"/>
  <c r="F877" i="3"/>
  <c r="G874" i="3"/>
  <c r="F874" i="3"/>
  <c r="G937" i="3"/>
  <c r="F937" i="3"/>
  <c r="G667" i="3"/>
  <c r="F667" i="3"/>
  <c r="G1186" i="3"/>
  <c r="F1186" i="3"/>
  <c r="G1185" i="3"/>
  <c r="F1185" i="3"/>
  <c r="G981" i="3"/>
  <c r="F981" i="3"/>
  <c r="G975" i="3"/>
  <c r="F975" i="3"/>
  <c r="G977" i="3"/>
  <c r="F977" i="3"/>
  <c r="G971" i="3"/>
  <c r="F971" i="3"/>
  <c r="G973" i="3"/>
  <c r="F973" i="3"/>
  <c r="G972" i="3"/>
  <c r="F972" i="3"/>
  <c r="G974" i="3"/>
  <c r="F974" i="3"/>
  <c r="G982" i="3"/>
  <c r="F982" i="3"/>
  <c r="G964" i="3"/>
  <c r="G970" i="3"/>
  <c r="G979" i="3"/>
  <c r="G978" i="3"/>
  <c r="G1820" i="3"/>
  <c r="F1820" i="3"/>
  <c r="G1747" i="3"/>
  <c r="G1727" i="3"/>
  <c r="F1727" i="3"/>
  <c r="G1697" i="3"/>
  <c r="F1697" i="3"/>
  <c r="G1666" i="3"/>
  <c r="F1666" i="3"/>
  <c r="G1636" i="3"/>
  <c r="F1636" i="3"/>
  <c r="G1623" i="3"/>
  <c r="F1623" i="3"/>
  <c r="G1607" i="3"/>
  <c r="F1607" i="3"/>
  <c r="G1588" i="3"/>
  <c r="F1588" i="3"/>
  <c r="G1564" i="3"/>
  <c r="F1564" i="3"/>
  <c r="G1549" i="3"/>
  <c r="F1549" i="3"/>
  <c r="G1525" i="3"/>
  <c r="F1525" i="3"/>
  <c r="G1510" i="3"/>
  <c r="F1510" i="3"/>
  <c r="G1475" i="3"/>
  <c r="F1475" i="3"/>
  <c r="G1456" i="3"/>
  <c r="F1456" i="3"/>
  <c r="G1385" i="3"/>
  <c r="F1385" i="3"/>
  <c r="G1370" i="3"/>
  <c r="F1370" i="3"/>
  <c r="G1332" i="3"/>
  <c r="F1332" i="3"/>
  <c r="G1297" i="3"/>
  <c r="F1297" i="3"/>
  <c r="G1411" i="3"/>
  <c r="F1411" i="3"/>
  <c r="G1557" i="3"/>
  <c r="F1557" i="3"/>
  <c r="G1447" i="3"/>
  <c r="F1447" i="3"/>
  <c r="G1436" i="3"/>
  <c r="F1436" i="3"/>
  <c r="G1703" i="3"/>
  <c r="F1703" i="3"/>
  <c r="G1395" i="3"/>
  <c r="F1395" i="3"/>
  <c r="G1359" i="3"/>
  <c r="F1359" i="3"/>
  <c r="G1827" i="3"/>
  <c r="F1827" i="3"/>
  <c r="G1531" i="3"/>
  <c r="F1531" i="3"/>
  <c r="G1740" i="3"/>
  <c r="F1740" i="3"/>
  <c r="G1706" i="3"/>
  <c r="F1706" i="3"/>
  <c r="G1692" i="3"/>
  <c r="F1692" i="3"/>
  <c r="G1633" i="3"/>
  <c r="F1633" i="3"/>
  <c r="G1603" i="3"/>
  <c r="F1603" i="3"/>
  <c r="G1574" i="3"/>
  <c r="F1574" i="3"/>
  <c r="G1561" i="3"/>
  <c r="F1561" i="3"/>
  <c r="G1546" i="3"/>
  <c r="F1546" i="3"/>
  <c r="G1534" i="3"/>
  <c r="F1534" i="3"/>
  <c r="G1522" i="3"/>
  <c r="F1522" i="3"/>
  <c r="G1451" i="3"/>
  <c r="F1451" i="3"/>
  <c r="G1439" i="3"/>
  <c r="F1439" i="3"/>
  <c r="G1426" i="3"/>
  <c r="F1426" i="3"/>
  <c r="G1414" i="3"/>
  <c r="F1414" i="3"/>
  <c r="G1379" i="3"/>
  <c r="F1379" i="3"/>
  <c r="G1341" i="3"/>
  <c r="F1341" i="3"/>
  <c r="G1416" i="3"/>
  <c r="G1421" i="3"/>
  <c r="G1331" i="3"/>
  <c r="G1336" i="3"/>
  <c r="G1425" i="3"/>
  <c r="F1425" i="3"/>
  <c r="G1340" i="3"/>
  <c r="F1340" i="3"/>
  <c r="G1422" i="3"/>
  <c r="G1566" i="3"/>
  <c r="F1566" i="3"/>
  <c r="G1809" i="3"/>
  <c r="F1809" i="3"/>
  <c r="F1432" i="3"/>
  <c r="F1430" i="3"/>
  <c r="G1437" i="3"/>
  <c r="F1437" i="3"/>
  <c r="G1440" i="3"/>
  <c r="F1440" i="3"/>
  <c r="G1435" i="3"/>
  <c r="F1435" i="3"/>
  <c r="F1541" i="3"/>
  <c r="F1539" i="3"/>
  <c r="G1545" i="3"/>
  <c r="F1545" i="3"/>
  <c r="G1547" i="3"/>
  <c r="F1547" i="3"/>
  <c r="G1544" i="3"/>
  <c r="F1544" i="3"/>
  <c r="F1581" i="3"/>
  <c r="F1579" i="3"/>
  <c r="G1585" i="3"/>
  <c r="F1585" i="3"/>
  <c r="G1586" i="3"/>
  <c r="F1586" i="3"/>
  <c r="G1584" i="3"/>
  <c r="F1584" i="3"/>
  <c r="F1528" i="3"/>
  <c r="F1526" i="3"/>
  <c r="G1532" i="3"/>
  <c r="F1532" i="3"/>
  <c r="G1535" i="3"/>
  <c r="F1535" i="3"/>
  <c r="G1530" i="3"/>
  <c r="F1530" i="3"/>
  <c r="F1335" i="3"/>
  <c r="F1333" i="3"/>
  <c r="F1334" i="3"/>
  <c r="G1339" i="3"/>
  <c r="F1339" i="3"/>
  <c r="G1342" i="3"/>
  <c r="F1342" i="3"/>
  <c r="G1338" i="3"/>
  <c r="F1338" i="3"/>
  <c r="F1823" i="3"/>
  <c r="F1821" i="3"/>
  <c r="G1828" i="3"/>
  <c r="F1828" i="3"/>
  <c r="G1831" i="3"/>
  <c r="F1831" i="3"/>
  <c r="G1826" i="3"/>
  <c r="F1826" i="3"/>
  <c r="F1627" i="3"/>
  <c r="F1625" i="3"/>
  <c r="G1631" i="3"/>
  <c r="F1631" i="3"/>
  <c r="G1634" i="3"/>
  <c r="F1634" i="3"/>
  <c r="G1630" i="3"/>
  <c r="F1630" i="3"/>
  <c r="F1569" i="3"/>
  <c r="F1567" i="3"/>
  <c r="G1572" i="3"/>
  <c r="F1572" i="3"/>
  <c r="G1575" i="3"/>
  <c r="F1575" i="3"/>
  <c r="G1571" i="3"/>
  <c r="F1571" i="3"/>
  <c r="F1700" i="3"/>
  <c r="F1698" i="3"/>
  <c r="G1704" i="3"/>
  <c r="F1704" i="3"/>
  <c r="G1707" i="3"/>
  <c r="F1707" i="3"/>
  <c r="G1702" i="3"/>
  <c r="F1702" i="3"/>
  <c r="G1533" i="3"/>
  <c r="G1362" i="3"/>
  <c r="G1438" i="3"/>
  <c r="G1434" i="3"/>
  <c r="F1434" i="3"/>
  <c r="G1542" i="3"/>
  <c r="F1542" i="3"/>
  <c r="G1536" i="3"/>
  <c r="F1536" i="3"/>
  <c r="G1543" i="3"/>
  <c r="F1543" i="3"/>
  <c r="G1582" i="3"/>
  <c r="F1582" i="3"/>
  <c r="G1576" i="3"/>
  <c r="F1576" i="3"/>
  <c r="G1583" i="3"/>
  <c r="F1583" i="3"/>
  <c r="G1529" i="3"/>
  <c r="F1529" i="3"/>
  <c r="G1337" i="3"/>
  <c r="F1337" i="3"/>
  <c r="G1830" i="3"/>
  <c r="F1830" i="3"/>
  <c r="G1829" i="3"/>
  <c r="G1825" i="3"/>
  <c r="F1825" i="3"/>
  <c r="G1624" i="3"/>
  <c r="F1624" i="3"/>
  <c r="G1632" i="3"/>
  <c r="G1629" i="3"/>
  <c r="F1629" i="3"/>
  <c r="G1565" i="3"/>
  <c r="F1565" i="3"/>
  <c r="G1573" i="3"/>
  <c r="G1570" i="3"/>
  <c r="F1570" i="3"/>
  <c r="G1705" i="3"/>
  <c r="G1701" i="3"/>
  <c r="F1701" i="3"/>
  <c r="G1797" i="3"/>
  <c r="F1797" i="3"/>
  <c r="G1285" i="3"/>
  <c r="F1285" i="3"/>
  <c r="G1364" i="3"/>
  <c r="F1364" i="3"/>
  <c r="G1782" i="3"/>
  <c r="F1782" i="3"/>
  <c r="G1645" i="3"/>
  <c r="F1645" i="3"/>
  <c r="G1311" i="3"/>
  <c r="F1311" i="3"/>
  <c r="G1813" i="3"/>
  <c r="F1813" i="3"/>
  <c r="G1775" i="3"/>
  <c r="F1775" i="3"/>
  <c r="G1345" i="3"/>
  <c r="F1345" i="3"/>
  <c r="G1804" i="3"/>
  <c r="F1804" i="3"/>
  <c r="G1772" i="3"/>
  <c r="F1772" i="3"/>
  <c r="G1817" i="3"/>
  <c r="G1808" i="3"/>
  <c r="G1810" i="3"/>
  <c r="F1810" i="3"/>
  <c r="G1807" i="3"/>
  <c r="G1818" i="3"/>
  <c r="F1818" i="3"/>
  <c r="G1803" i="3"/>
  <c r="G1806" i="3"/>
  <c r="G1812" i="3"/>
  <c r="G1811" i="3"/>
  <c r="G1786" i="3"/>
  <c r="F1786" i="3"/>
  <c r="G1777" i="3"/>
  <c r="F1777" i="3"/>
  <c r="G1778" i="3"/>
  <c r="F1778" i="3"/>
  <c r="G1785" i="3"/>
  <c r="F1785" i="3"/>
  <c r="G1779" i="3"/>
  <c r="F1779" i="3"/>
  <c r="G1776" i="3"/>
  <c r="F1776" i="3"/>
  <c r="G1787" i="3"/>
  <c r="F1787" i="3"/>
  <c r="G1771" i="3"/>
  <c r="G1774" i="3"/>
  <c r="G1781" i="3"/>
  <c r="G1780" i="3"/>
  <c r="G1801" i="3"/>
  <c r="F1801" i="3"/>
  <c r="G1792" i="3"/>
  <c r="F1792" i="3"/>
  <c r="G1793" i="3"/>
  <c r="F1793" i="3"/>
  <c r="G1800" i="3"/>
  <c r="F1800" i="3"/>
  <c r="G1794" i="3"/>
  <c r="F1794" i="3"/>
  <c r="G1791" i="3"/>
  <c r="F1791" i="3"/>
  <c r="G1802" i="3"/>
  <c r="F1802" i="3"/>
  <c r="G1788" i="3"/>
  <c r="G1790" i="3"/>
  <c r="G1796" i="3"/>
  <c r="G1795" i="3"/>
  <c r="G1762" i="3"/>
  <c r="F1762" i="3"/>
  <c r="G1755" i="3"/>
  <c r="F1755" i="3"/>
  <c r="G1756" i="3"/>
  <c r="F1756" i="3"/>
  <c r="G1748" i="3"/>
  <c r="G1757" i="3"/>
  <c r="F1757" i="3"/>
  <c r="G1760" i="3"/>
  <c r="F1760" i="3"/>
  <c r="G1761" i="3"/>
  <c r="F1761" i="3"/>
  <c r="G1753" i="3"/>
  <c r="F1753" i="3"/>
  <c r="G1752" i="3"/>
  <c r="F1752" i="3"/>
  <c r="G1751" i="3"/>
  <c r="G1750" i="3"/>
  <c r="F1750" i="3"/>
  <c r="G1754" i="3"/>
  <c r="F1754" i="3"/>
  <c r="G1763" i="3"/>
  <c r="F1763" i="3"/>
  <c r="G1749" i="3"/>
  <c r="G1759" i="3"/>
  <c r="G1758" i="3"/>
  <c r="G1723" i="3"/>
  <c r="F1723" i="3"/>
  <c r="G1714" i="3"/>
  <c r="F1714" i="3"/>
  <c r="G1715" i="3"/>
  <c r="F1715" i="3"/>
  <c r="G1722" i="3"/>
  <c r="F1722" i="3"/>
  <c r="G1716" i="3"/>
  <c r="F1716" i="3"/>
  <c r="G1719" i="3"/>
  <c r="F1719" i="3"/>
  <c r="G1712" i="3"/>
  <c r="F1712" i="3"/>
  <c r="G1711" i="3"/>
  <c r="F1711" i="3"/>
  <c r="G1713" i="3"/>
  <c r="F1713" i="3"/>
  <c r="G1724" i="3"/>
  <c r="F1724" i="3"/>
  <c r="G1708" i="3"/>
  <c r="G1710" i="3"/>
  <c r="G1718" i="3"/>
  <c r="G1717" i="3"/>
  <c r="G1743" i="3"/>
  <c r="F1743" i="3"/>
  <c r="G1732" i="3"/>
  <c r="F1732" i="3"/>
  <c r="G1733" i="3"/>
  <c r="F1733" i="3"/>
  <c r="G1734" i="3"/>
  <c r="F1734" i="3"/>
  <c r="G1737" i="3"/>
  <c r="F1737" i="3"/>
  <c r="G1725" i="3"/>
  <c r="F1725" i="3"/>
  <c r="G1739" i="3"/>
  <c r="F1739" i="3"/>
  <c r="G1745" i="3"/>
  <c r="F1745" i="3"/>
  <c r="G1730" i="3"/>
  <c r="F1730" i="3"/>
  <c r="G1729" i="3"/>
  <c r="F1729" i="3"/>
  <c r="G1731" i="3"/>
  <c r="F1731" i="3"/>
  <c r="G1744" i="3"/>
  <c r="F1744" i="3"/>
  <c r="G1726" i="3"/>
  <c r="G1728" i="3"/>
  <c r="G1736" i="3"/>
  <c r="G1735" i="3"/>
  <c r="G1694" i="3"/>
  <c r="F1694" i="3"/>
  <c r="G1687" i="3"/>
  <c r="F1687" i="3"/>
  <c r="G1691" i="3"/>
  <c r="F1691" i="3"/>
  <c r="G1688" i="3"/>
  <c r="F1688" i="3"/>
  <c r="G1683" i="3"/>
  <c r="F1683" i="3"/>
  <c r="G1686" i="3"/>
  <c r="F1686" i="3"/>
  <c r="G1695" i="3"/>
  <c r="F1695" i="3"/>
  <c r="G1685" i="3"/>
  <c r="G1693" i="3"/>
  <c r="F1693" i="3"/>
  <c r="G1690" i="3"/>
  <c r="G1689" i="3"/>
  <c r="G1680" i="3"/>
  <c r="F1680" i="3"/>
  <c r="G1674" i="3"/>
  <c r="F1674" i="3"/>
  <c r="G1667" i="3"/>
  <c r="F1667" i="3"/>
  <c r="G1676" i="3"/>
  <c r="F1676" i="3"/>
  <c r="G1679" i="3"/>
  <c r="F1679" i="3"/>
  <c r="G1672" i="3"/>
  <c r="F1672" i="3"/>
  <c r="G1675" i="3"/>
  <c r="F1675" i="3"/>
  <c r="G1673" i="3"/>
  <c r="F1673" i="3"/>
  <c r="G1681" i="3"/>
  <c r="F1681" i="3"/>
  <c r="G1678" i="3"/>
  <c r="G1677" i="3"/>
  <c r="G1664" i="3"/>
  <c r="F1664" i="3"/>
  <c r="G1654" i="3"/>
  <c r="F1654" i="3"/>
  <c r="G1655" i="3"/>
  <c r="F1655" i="3"/>
  <c r="G1663" i="3"/>
  <c r="F1663" i="3"/>
  <c r="G1656" i="3"/>
  <c r="F1656" i="3"/>
  <c r="G1660" i="3"/>
  <c r="F1660" i="3"/>
  <c r="G1652" i="3"/>
  <c r="F1652" i="3"/>
  <c r="G1651" i="3"/>
  <c r="F1651" i="3"/>
  <c r="G1657" i="3"/>
  <c r="F1657" i="3"/>
  <c r="G1653" i="3"/>
  <c r="F1653" i="3"/>
  <c r="G1665" i="3"/>
  <c r="F1665" i="3"/>
  <c r="G1648" i="3"/>
  <c r="G1650" i="3"/>
  <c r="G1659" i="3"/>
  <c r="G1658" i="3"/>
  <c r="G1646" i="3"/>
  <c r="F1646" i="3"/>
  <c r="G1640" i="3"/>
  <c r="F1640" i="3"/>
  <c r="G1637" i="3"/>
  <c r="F1637" i="3"/>
  <c r="G1641" i="3"/>
  <c r="F1641" i="3"/>
  <c r="G1639" i="3"/>
  <c r="F1639" i="3"/>
  <c r="G1647" i="3"/>
  <c r="F1647" i="3"/>
  <c r="G1635" i="3"/>
  <c r="G1638" i="3"/>
  <c r="G1644" i="3"/>
  <c r="G1643" i="3"/>
  <c r="G1620" i="3"/>
  <c r="F1620" i="3"/>
  <c r="G1615" i="3"/>
  <c r="F1615" i="3"/>
  <c r="G1608" i="3"/>
  <c r="F1608" i="3"/>
  <c r="G1617" i="3"/>
  <c r="F1617" i="3"/>
  <c r="G1613" i="3"/>
  <c r="F1613" i="3"/>
  <c r="G1616" i="3"/>
  <c r="F1616" i="3"/>
  <c r="G1614" i="3"/>
  <c r="F1614" i="3"/>
  <c r="G1621" i="3"/>
  <c r="F1621" i="3"/>
  <c r="G1619" i="3"/>
  <c r="G1618" i="3"/>
  <c r="G1605" i="3"/>
  <c r="G1596" i="3"/>
  <c r="G1597" i="3"/>
  <c r="F1597" i="3"/>
  <c r="G1598" i="3"/>
  <c r="F1598" i="3"/>
  <c r="G1602" i="3"/>
  <c r="G1592" i="3"/>
  <c r="F1592" i="3"/>
  <c r="G1594" i="3"/>
  <c r="F1594" i="3"/>
  <c r="G1593" i="3"/>
  <c r="F1593" i="3"/>
  <c r="G1599" i="3"/>
  <c r="F1599" i="3"/>
  <c r="G1589" i="3"/>
  <c r="F1589" i="3"/>
  <c r="G1595" i="3"/>
  <c r="G1606" i="3"/>
  <c r="F1606" i="3"/>
  <c r="G1591" i="3"/>
  <c r="G1601" i="3"/>
  <c r="G1600" i="3"/>
  <c r="G1523" i="3"/>
  <c r="F1523" i="3"/>
  <c r="G1515" i="3"/>
  <c r="F1515" i="3"/>
  <c r="G1516" i="3"/>
  <c r="F1516" i="3"/>
  <c r="G1517" i="3"/>
  <c r="F1517" i="3"/>
  <c r="G1513" i="3"/>
  <c r="F1513" i="3"/>
  <c r="G1512" i="3"/>
  <c r="F1512" i="3"/>
  <c r="G1518" i="3"/>
  <c r="F1518" i="3"/>
  <c r="G1514" i="3"/>
  <c r="F1514" i="3"/>
  <c r="G1524" i="3"/>
  <c r="F1524" i="3"/>
  <c r="G1509" i="3"/>
  <c r="G1511" i="3"/>
  <c r="G1520" i="3"/>
  <c r="G1519" i="3"/>
  <c r="G1746" i="3"/>
  <c r="G1507" i="3"/>
  <c r="F1507" i="3"/>
  <c r="G1499" i="3"/>
  <c r="F1499" i="3"/>
  <c r="G1500" i="3"/>
  <c r="F1500" i="3"/>
  <c r="G1502" i="3"/>
  <c r="F1502" i="3"/>
  <c r="G1495" i="3"/>
  <c r="F1495" i="3"/>
  <c r="G1506" i="3"/>
  <c r="F1506" i="3"/>
  <c r="G1505" i="3"/>
  <c r="F1505" i="3"/>
  <c r="G1497" i="3"/>
  <c r="F1497" i="3"/>
  <c r="G1496" i="3"/>
  <c r="F1496" i="3"/>
  <c r="G1501" i="3"/>
  <c r="F1501" i="3"/>
  <c r="G1498" i="3"/>
  <c r="F1498" i="3"/>
  <c r="G1508" i="3"/>
  <c r="F1508" i="3"/>
  <c r="G1682" i="3"/>
  <c r="G1494" i="3"/>
  <c r="G1504" i="3"/>
  <c r="G1503" i="3"/>
  <c r="G1587" i="3"/>
  <c r="G1491" i="3"/>
  <c r="F1491" i="3"/>
  <c r="G1483" i="3"/>
  <c r="F1483" i="3"/>
  <c r="G1484" i="3"/>
  <c r="F1484" i="3"/>
  <c r="G1476" i="3"/>
  <c r="F1476" i="3"/>
  <c r="G1485" i="3"/>
  <c r="F1485" i="3"/>
  <c r="G1490" i="3"/>
  <c r="F1490" i="3"/>
  <c r="G1489" i="3"/>
  <c r="F1489" i="3"/>
  <c r="G1481" i="3"/>
  <c r="F1481" i="3"/>
  <c r="G1480" i="3"/>
  <c r="F1480" i="3"/>
  <c r="G1482" i="3"/>
  <c r="F1482" i="3"/>
  <c r="G1492" i="3"/>
  <c r="F1492" i="3"/>
  <c r="G1493" i="3"/>
  <c r="G1479" i="3"/>
  <c r="G1478" i="3"/>
  <c r="F1478" i="3"/>
  <c r="G1488" i="3"/>
  <c r="G1487" i="3"/>
  <c r="G1452" i="3"/>
  <c r="F1452" i="3"/>
  <c r="G1446" i="3"/>
  <c r="F1446" i="3"/>
  <c r="G1448" i="3"/>
  <c r="F1448" i="3"/>
  <c r="G1444" i="3"/>
  <c r="F1444" i="3"/>
  <c r="G1443" i="3"/>
  <c r="F1443" i="3"/>
  <c r="G1454" i="3"/>
  <c r="F1454" i="3"/>
  <c r="G1445" i="3"/>
  <c r="F1445" i="3"/>
  <c r="G1453" i="3"/>
  <c r="F1453" i="3"/>
  <c r="G1441" i="3"/>
  <c r="G1442" i="3"/>
  <c r="G1450" i="3"/>
  <c r="G1449" i="3"/>
  <c r="G1472" i="3"/>
  <c r="F1472" i="3"/>
  <c r="G1462" i="3"/>
  <c r="F1462" i="3"/>
  <c r="G1464" i="3"/>
  <c r="F1464" i="3"/>
  <c r="G1465" i="3"/>
  <c r="F1465" i="3"/>
  <c r="G1460" i="3"/>
  <c r="F1460" i="3"/>
  <c r="G1459" i="3"/>
  <c r="F1459" i="3"/>
  <c r="G1463" i="3"/>
  <c r="F1463" i="3"/>
  <c r="G1458" i="3"/>
  <c r="F1458" i="3"/>
  <c r="G1461" i="3"/>
  <c r="F1461" i="3"/>
  <c r="G1473" i="3"/>
  <c r="F1473" i="3"/>
  <c r="G1455" i="3"/>
  <c r="G1457" i="3"/>
  <c r="G1468" i="3"/>
  <c r="G1467" i="3"/>
  <c r="G1415" i="3"/>
  <c r="F1415" i="3"/>
  <c r="G1410" i="3"/>
  <c r="F1410" i="3"/>
  <c r="G1409" i="3"/>
  <c r="F1409" i="3"/>
  <c r="G1404" i="3"/>
  <c r="F1404" i="3"/>
  <c r="G1403" i="3"/>
  <c r="G1408" i="3"/>
  <c r="G1413" i="3"/>
  <c r="G1412" i="3"/>
  <c r="G1386" i="3"/>
  <c r="F1386" i="3"/>
  <c r="G1402" i="3"/>
  <c r="F1402" i="3"/>
  <c r="G1394" i="3"/>
  <c r="F1394" i="3"/>
  <c r="G1396" i="3"/>
  <c r="F1396" i="3"/>
  <c r="G1400" i="3"/>
  <c r="F1400" i="3"/>
  <c r="G1392" i="3"/>
  <c r="F1392" i="3"/>
  <c r="G1391" i="3"/>
  <c r="F1391" i="3"/>
  <c r="G1384" i="3"/>
  <c r="F1384" i="3"/>
  <c r="G1393" i="3"/>
  <c r="F1393" i="3"/>
  <c r="G1383" i="3"/>
  <c r="G1390" i="3"/>
  <c r="G1399" i="3"/>
  <c r="G1398" i="3"/>
  <c r="G1474" i="3"/>
  <c r="G1380" i="3"/>
  <c r="F1380" i="3"/>
  <c r="G1373" i="3"/>
  <c r="F1373" i="3"/>
  <c r="G1374" i="3"/>
  <c r="F1374" i="3"/>
  <c r="G1375" i="3"/>
  <c r="F1375" i="3"/>
  <c r="G1378" i="3"/>
  <c r="F1378" i="3"/>
  <c r="G1372" i="3"/>
  <c r="F1372" i="3"/>
  <c r="G1381" i="3"/>
  <c r="F1381" i="3"/>
  <c r="G1369" i="3"/>
  <c r="G1371" i="3"/>
  <c r="G1377" i="3"/>
  <c r="G1376" i="3"/>
  <c r="G1366" i="3"/>
  <c r="F1366" i="3"/>
  <c r="G1353" i="3"/>
  <c r="F1353" i="3"/>
  <c r="G1343" i="3"/>
  <c r="F1343" i="3"/>
  <c r="G1347" i="3"/>
  <c r="F1347" i="3"/>
  <c r="G1365" i="3"/>
  <c r="F1365" i="3"/>
  <c r="G1367" i="3"/>
  <c r="F1367" i="3"/>
  <c r="G1358" i="3"/>
  <c r="F1358" i="3"/>
  <c r="G1346" i="3"/>
  <c r="F1346" i="3"/>
  <c r="G1368" i="3"/>
  <c r="F1368" i="3"/>
  <c r="G1352" i="3"/>
  <c r="F1352" i="3"/>
  <c r="G1363" i="3"/>
  <c r="F1363" i="3"/>
  <c r="F1350" i="3"/>
  <c r="F1348" i="3"/>
  <c r="F1349" i="3"/>
  <c r="G1360" i="3"/>
  <c r="F1360" i="3"/>
  <c r="G1357" i="3"/>
  <c r="F1357" i="3"/>
  <c r="G1354" i="3"/>
  <c r="F1354" i="3"/>
  <c r="G1361" i="3"/>
  <c r="F1361" i="3"/>
  <c r="G1355" i="3"/>
  <c r="F1355" i="3"/>
  <c r="G1329" i="3"/>
  <c r="F1329" i="3"/>
  <c r="G1320" i="3"/>
  <c r="F1320" i="3"/>
  <c r="G1321" i="3"/>
  <c r="F1321" i="3"/>
  <c r="G1328" i="3"/>
  <c r="F1328" i="3"/>
  <c r="G1322" i="3"/>
  <c r="F1322" i="3"/>
  <c r="G1325" i="3"/>
  <c r="F1325" i="3"/>
  <c r="G1318" i="3"/>
  <c r="F1318" i="3"/>
  <c r="G1317" i="3"/>
  <c r="F1317" i="3"/>
  <c r="G1319" i="3"/>
  <c r="F1319" i="3"/>
  <c r="G1330" i="3"/>
  <c r="F1330" i="3"/>
  <c r="G1314" i="3"/>
  <c r="G1316" i="3"/>
  <c r="G1324" i="3"/>
  <c r="G1323" i="3"/>
  <c r="G1312" i="3"/>
  <c r="F1312" i="3"/>
  <c r="G1307" i="3"/>
  <c r="G1308" i="3"/>
  <c r="F1308" i="3"/>
  <c r="G1303" i="3"/>
  <c r="F1303" i="3"/>
  <c r="G1305" i="3"/>
  <c r="F1305" i="3"/>
  <c r="G1304" i="3"/>
  <c r="F1304" i="3"/>
  <c r="G1306" i="3"/>
  <c r="F1306" i="3"/>
  <c r="G1313" i="3"/>
  <c r="F1313" i="3"/>
  <c r="G1296" i="3"/>
  <c r="G1302" i="3"/>
  <c r="G1310" i="3"/>
  <c r="G1309" i="3"/>
  <c r="G1604" i="3"/>
  <c r="F1604" i="3"/>
  <c r="G1486" i="3"/>
  <c r="F1486" i="3"/>
  <c r="G1401" i="3"/>
  <c r="F1401" i="3"/>
  <c r="G1397" i="3"/>
  <c r="F1397" i="3"/>
  <c r="F1470" i="3"/>
  <c r="F1471" i="3"/>
  <c r="F1469" i="3"/>
  <c r="F1466" i="3"/>
  <c r="G1521" i="3"/>
  <c r="F1521" i="3"/>
  <c r="G1286" i="3"/>
  <c r="F1286" i="3"/>
  <c r="G1642" i="3"/>
  <c r="F1642" i="3"/>
  <c r="G1562" i="3"/>
  <c r="F1562" i="3"/>
  <c r="G1556" i="3"/>
  <c r="F1556" i="3"/>
  <c r="G1558" i="3"/>
  <c r="F1558" i="3"/>
  <c r="G1552" i="3"/>
  <c r="F1552" i="3"/>
  <c r="G1554" i="3"/>
  <c r="F1554" i="3"/>
  <c r="G1553" i="3"/>
  <c r="F1553" i="3"/>
  <c r="G1555" i="3"/>
  <c r="F1555" i="3"/>
  <c r="G1563" i="3"/>
  <c r="F1563" i="3"/>
  <c r="G1548" i="3"/>
  <c r="G1551" i="3"/>
  <c r="G1560" i="3"/>
  <c r="G1559" i="3"/>
  <c r="G2435" i="3"/>
  <c r="F2435" i="3"/>
  <c r="G2339" i="3"/>
  <c r="G2316" i="3"/>
  <c r="F2316" i="3"/>
  <c r="G2277" i="3"/>
  <c r="F2277" i="3"/>
  <c r="G2243" i="3"/>
  <c r="F2243" i="3"/>
  <c r="G2203" i="3"/>
  <c r="F2203" i="3"/>
  <c r="G2191" i="3"/>
  <c r="F2191" i="3"/>
  <c r="G2175" i="3"/>
  <c r="F2175" i="3"/>
  <c r="G2153" i="3"/>
  <c r="F2153" i="3"/>
  <c r="G2130" i="3"/>
  <c r="F2130" i="3"/>
  <c r="G2112" i="3"/>
  <c r="F2112" i="3"/>
  <c r="G2089" i="3"/>
  <c r="F2089" i="3"/>
  <c r="G2072" i="3"/>
  <c r="F2072" i="3"/>
  <c r="G2033" i="3"/>
  <c r="F2033" i="3"/>
  <c r="G2012" i="3"/>
  <c r="F2012" i="3"/>
  <c r="G1940" i="3"/>
  <c r="F1940" i="3"/>
  <c r="G1922" i="3"/>
  <c r="F1922" i="3"/>
  <c r="G1887" i="3"/>
  <c r="F1887" i="3"/>
  <c r="G1846" i="3"/>
  <c r="F1846" i="3"/>
  <c r="G1966" i="3"/>
  <c r="F1966" i="3"/>
  <c r="G2123" i="3"/>
  <c r="F2123" i="3"/>
  <c r="G2003" i="3"/>
  <c r="F2003" i="3"/>
  <c r="G1990" i="3"/>
  <c r="F1990" i="3"/>
  <c r="G2325" i="3"/>
  <c r="F2325" i="3"/>
  <c r="G2283" i="3"/>
  <c r="F2283" i="3"/>
  <c r="G1950" i="3"/>
  <c r="F1950" i="3"/>
  <c r="G1913" i="3"/>
  <c r="F1913" i="3"/>
  <c r="G2442" i="3"/>
  <c r="F2442" i="3"/>
  <c r="G2095" i="3"/>
  <c r="F2095" i="3"/>
  <c r="G2332" i="3"/>
  <c r="F2332" i="3"/>
  <c r="G2286" i="3"/>
  <c r="F2286" i="3"/>
  <c r="G2272" i="3"/>
  <c r="F2272" i="3"/>
  <c r="G2200" i="3"/>
  <c r="F2200" i="3"/>
  <c r="G2170" i="3"/>
  <c r="F2170" i="3"/>
  <c r="G2138" i="3"/>
  <c r="F2138" i="3"/>
  <c r="G2127" i="3"/>
  <c r="F2127" i="3"/>
  <c r="G2109" i="3"/>
  <c r="F2109" i="3"/>
  <c r="G2097" i="3"/>
  <c r="F2097" i="3"/>
  <c r="G2086" i="3"/>
  <c r="F2086" i="3"/>
  <c r="G2007" i="3"/>
  <c r="F2007" i="3"/>
  <c r="G1992" i="3"/>
  <c r="F1992" i="3"/>
  <c r="G1981" i="3"/>
  <c r="F1981" i="3"/>
  <c r="G1969" i="3"/>
  <c r="F1969" i="3"/>
  <c r="G1934" i="3"/>
  <c r="F1934" i="3"/>
  <c r="G1896" i="3"/>
  <c r="F1896" i="3"/>
  <c r="G1971" i="3"/>
  <c r="G1976" i="3"/>
  <c r="G1886" i="3"/>
  <c r="G1891" i="3"/>
  <c r="G1980" i="3"/>
  <c r="F1980" i="3"/>
  <c r="G1895" i="3"/>
  <c r="F1895" i="3"/>
  <c r="G1977" i="3"/>
  <c r="G2131" i="3"/>
  <c r="F2131" i="3"/>
  <c r="F1986" i="3"/>
  <c r="F1984" i="3"/>
  <c r="F1985" i="3"/>
  <c r="G1991" i="3"/>
  <c r="F1991" i="3"/>
  <c r="G1993" i="3"/>
  <c r="F1993" i="3"/>
  <c r="G1989" i="3"/>
  <c r="F1989" i="3"/>
  <c r="F2104" i="3"/>
  <c r="F2102" i="3"/>
  <c r="F2103" i="3"/>
  <c r="G2108" i="3"/>
  <c r="F2108" i="3"/>
  <c r="G2110" i="3"/>
  <c r="F2110" i="3"/>
  <c r="G2107" i="3"/>
  <c r="F2107" i="3"/>
  <c r="F2145" i="3"/>
  <c r="F2143" i="3"/>
  <c r="F2144" i="3"/>
  <c r="G2149" i="3"/>
  <c r="F2149" i="3"/>
  <c r="G2151" i="3"/>
  <c r="F2151" i="3"/>
  <c r="G2148" i="3"/>
  <c r="F2148" i="3"/>
  <c r="F2092" i="3"/>
  <c r="F2090" i="3"/>
  <c r="F2091" i="3"/>
  <c r="G2096" i="3"/>
  <c r="F2096" i="3"/>
  <c r="G2098" i="3"/>
  <c r="F2098" i="3"/>
  <c r="G2094" i="3"/>
  <c r="F2094" i="3"/>
  <c r="F1890" i="3"/>
  <c r="F1888" i="3"/>
  <c r="F1889" i="3"/>
  <c r="G1894" i="3"/>
  <c r="F1894" i="3"/>
  <c r="G1897" i="3"/>
  <c r="F1897" i="3"/>
  <c r="G1893" i="3"/>
  <c r="F1893" i="3"/>
  <c r="F2438" i="3"/>
  <c r="F2436" i="3"/>
  <c r="F2437" i="3"/>
  <c r="G2443" i="3"/>
  <c r="F2443" i="3"/>
  <c r="G2444" i="3"/>
  <c r="F2444" i="3"/>
  <c r="G2441" i="3"/>
  <c r="F2441" i="3"/>
  <c r="F2195" i="3"/>
  <c r="F2193" i="3"/>
  <c r="F2194" i="3"/>
  <c r="G2199" i="3"/>
  <c r="F2199" i="3"/>
  <c r="G2201" i="3"/>
  <c r="F2201" i="3"/>
  <c r="G2198" i="3"/>
  <c r="F2198" i="3"/>
  <c r="F2134" i="3"/>
  <c r="F2132" i="3"/>
  <c r="F2133" i="3"/>
  <c r="G2137" i="3"/>
  <c r="F2137" i="3"/>
  <c r="G2139" i="3"/>
  <c r="F2139" i="3"/>
  <c r="G2136" i="3"/>
  <c r="F2136" i="3"/>
  <c r="F2280" i="3"/>
  <c r="F2278" i="3"/>
  <c r="F2279" i="3"/>
  <c r="G2284" i="3"/>
  <c r="F2284" i="3"/>
  <c r="G2287" i="3"/>
  <c r="F2287" i="3"/>
  <c r="G2282" i="3"/>
  <c r="F2282" i="3"/>
  <c r="G1988" i="3"/>
  <c r="F1988" i="3"/>
  <c r="G2105" i="3"/>
  <c r="F2105" i="3"/>
  <c r="G2099" i="3"/>
  <c r="F2099" i="3"/>
  <c r="G2106" i="3"/>
  <c r="F2106" i="3"/>
  <c r="G2150" i="3"/>
  <c r="F2150" i="3"/>
  <c r="G2146" i="3"/>
  <c r="F2146" i="3"/>
  <c r="G2140" i="3"/>
  <c r="F2140" i="3"/>
  <c r="G2147" i="3"/>
  <c r="F2147" i="3"/>
  <c r="G2093" i="3"/>
  <c r="F2093" i="3"/>
  <c r="G1892" i="3"/>
  <c r="F1892" i="3"/>
  <c r="G2440" i="3"/>
  <c r="F2440" i="3"/>
  <c r="G2192" i="3"/>
  <c r="F2192" i="3"/>
  <c r="G2197" i="3"/>
  <c r="F2197" i="3"/>
  <c r="G2135" i="3"/>
  <c r="F2135" i="3"/>
  <c r="G2285" i="3"/>
  <c r="G2281" i="3"/>
  <c r="F2281" i="3"/>
  <c r="G1832" i="3"/>
  <c r="F1832" i="3"/>
  <c r="G2425" i="3"/>
  <c r="F2425" i="3"/>
  <c r="G2380" i="3"/>
  <c r="F2380" i="3"/>
  <c r="G2374" i="3"/>
  <c r="F2374" i="3"/>
  <c r="G1899" i="3"/>
  <c r="F1899" i="3"/>
  <c r="G2412" i="3"/>
  <c r="F2412" i="3"/>
  <c r="G2366" i="3"/>
  <c r="F2366" i="3"/>
  <c r="G2430" i="3"/>
  <c r="G2421" i="3"/>
  <c r="G2418" i="3"/>
  <c r="F2418" i="3"/>
  <c r="G2434" i="3"/>
  <c r="F2434" i="3"/>
  <c r="G2417" i="3"/>
  <c r="F2417" i="3"/>
  <c r="G2428" i="3"/>
  <c r="F2428" i="3"/>
  <c r="G2427" i="3"/>
  <c r="F2427" i="3"/>
  <c r="G2426" i="3"/>
  <c r="F2426" i="3"/>
  <c r="G2431" i="3"/>
  <c r="F2431" i="3"/>
  <c r="G2429" i="3"/>
  <c r="F2429" i="3"/>
  <c r="G2433" i="3"/>
  <c r="F2433" i="3"/>
  <c r="G2422" i="3"/>
  <c r="F2422" i="3"/>
  <c r="G2420" i="3"/>
  <c r="G2432" i="3"/>
  <c r="F2432" i="3"/>
  <c r="G2411" i="3"/>
  <c r="G2419" i="3"/>
  <c r="G2424" i="3"/>
  <c r="G2423" i="3"/>
  <c r="F2368" i="3"/>
  <c r="F2369" i="3"/>
  <c r="F2370" i="3"/>
  <c r="G2385" i="3"/>
  <c r="F2385" i="3"/>
  <c r="G2376" i="3"/>
  <c r="F2376" i="3"/>
  <c r="G2372" i="3"/>
  <c r="F2372" i="3"/>
  <c r="G2388" i="3"/>
  <c r="F2388" i="3"/>
  <c r="G2371" i="3"/>
  <c r="F2371" i="3"/>
  <c r="G2383" i="3"/>
  <c r="F2383" i="3"/>
  <c r="G2382" i="3"/>
  <c r="F2382" i="3"/>
  <c r="G2381" i="3"/>
  <c r="F2381" i="3"/>
  <c r="G2386" i="3"/>
  <c r="F2386" i="3"/>
  <c r="G2384" i="3"/>
  <c r="F2384" i="3"/>
  <c r="G2377" i="3"/>
  <c r="F2377" i="3"/>
  <c r="G2375" i="3"/>
  <c r="F2375" i="3"/>
  <c r="G2387" i="3"/>
  <c r="F2387" i="3"/>
  <c r="G2365" i="3"/>
  <c r="G2373" i="3"/>
  <c r="G2379" i="3"/>
  <c r="G2378" i="3"/>
  <c r="F2391" i="3"/>
  <c r="F2392" i="3"/>
  <c r="F2393" i="3"/>
  <c r="G2406" i="3"/>
  <c r="F2406" i="3"/>
  <c r="G2398" i="3"/>
  <c r="F2398" i="3"/>
  <c r="G2395" i="3"/>
  <c r="F2395" i="3"/>
  <c r="G2410" i="3"/>
  <c r="F2410" i="3"/>
  <c r="G2394" i="3"/>
  <c r="F2394" i="3"/>
  <c r="G2404" i="3"/>
  <c r="F2404" i="3"/>
  <c r="G2403" i="3"/>
  <c r="F2403" i="3"/>
  <c r="G2402" i="3"/>
  <c r="F2402" i="3"/>
  <c r="G2408" i="3"/>
  <c r="F2408" i="3"/>
  <c r="G2405" i="3"/>
  <c r="F2405" i="3"/>
  <c r="G2407" i="3"/>
  <c r="F2407" i="3"/>
  <c r="G2399" i="3"/>
  <c r="F2399" i="3"/>
  <c r="G2397" i="3"/>
  <c r="F2397" i="3"/>
  <c r="G2409" i="3"/>
  <c r="F2409" i="3"/>
  <c r="G2389" i="3"/>
  <c r="G2396" i="3"/>
  <c r="G2401" i="3"/>
  <c r="G2400" i="3"/>
  <c r="F2341" i="3"/>
  <c r="F2342" i="3"/>
  <c r="F2343" i="3"/>
  <c r="G2356" i="3"/>
  <c r="F2356" i="3"/>
  <c r="G2350" i="3"/>
  <c r="F2350" i="3"/>
  <c r="G2340" i="3"/>
  <c r="G2351" i="3"/>
  <c r="F2351" i="3"/>
  <c r="G2354" i="3"/>
  <c r="F2354" i="3"/>
  <c r="G2355" i="3"/>
  <c r="F2355" i="3"/>
  <c r="G2348" i="3"/>
  <c r="F2348" i="3"/>
  <c r="G2347" i="3"/>
  <c r="F2347" i="3"/>
  <c r="G2346" i="3"/>
  <c r="F2346" i="3"/>
  <c r="G2345" i="3"/>
  <c r="F2345" i="3"/>
  <c r="G2349" i="3"/>
  <c r="F2349" i="3"/>
  <c r="G2357" i="3"/>
  <c r="F2357" i="3"/>
  <c r="G2338" i="3"/>
  <c r="G2344" i="3"/>
  <c r="G2353" i="3"/>
  <c r="G2352" i="3"/>
  <c r="G2258" i="3"/>
  <c r="F2290" i="3"/>
  <c r="F2291" i="3"/>
  <c r="F2292" i="3"/>
  <c r="G2310" i="3"/>
  <c r="F2310" i="3"/>
  <c r="G2300" i="3"/>
  <c r="F2300" i="3"/>
  <c r="G2294" i="3"/>
  <c r="F2294" i="3"/>
  <c r="G2313" i="3"/>
  <c r="F2313" i="3"/>
  <c r="G2293" i="3"/>
  <c r="F2293" i="3"/>
  <c r="G2308" i="3"/>
  <c r="F2308" i="3"/>
  <c r="G2307" i="3"/>
  <c r="F2307" i="3"/>
  <c r="G2306" i="3"/>
  <c r="F2306" i="3"/>
  <c r="G2311" i="3"/>
  <c r="F2311" i="3"/>
  <c r="G2309" i="3"/>
  <c r="F2309" i="3"/>
  <c r="G2301" i="3"/>
  <c r="F2301" i="3"/>
  <c r="G2296" i="3"/>
  <c r="F2296" i="3"/>
  <c r="G2298" i="3"/>
  <c r="F2298" i="3"/>
  <c r="G2297" i="3"/>
  <c r="F2297" i="3"/>
  <c r="G2305" i="3"/>
  <c r="F2305" i="3"/>
  <c r="G2302" i="3"/>
  <c r="F2302" i="3"/>
  <c r="G2299" i="3"/>
  <c r="F2299" i="3"/>
  <c r="G2312" i="3"/>
  <c r="F2312" i="3"/>
  <c r="G2288" i="3"/>
  <c r="G2295" i="3"/>
  <c r="G2304" i="3"/>
  <c r="G2303" i="3"/>
  <c r="F2317" i="3"/>
  <c r="F2318" i="3"/>
  <c r="D2319" i="3"/>
  <c r="F2319" i="3" s="1"/>
  <c r="G2335" i="3"/>
  <c r="F2335" i="3"/>
  <c r="G2324" i="3"/>
  <c r="F2324" i="3"/>
  <c r="G2326" i="3"/>
  <c r="F2326" i="3"/>
  <c r="G2329" i="3"/>
  <c r="F2329" i="3"/>
  <c r="G2314" i="3"/>
  <c r="F2314" i="3"/>
  <c r="G2331" i="3"/>
  <c r="F2331" i="3"/>
  <c r="G2337" i="3"/>
  <c r="F2337" i="3"/>
  <c r="G2322" i="3"/>
  <c r="F2322" i="3"/>
  <c r="G2321" i="3"/>
  <c r="F2321" i="3"/>
  <c r="G2323" i="3"/>
  <c r="F2323" i="3"/>
  <c r="G2336" i="3"/>
  <c r="F2336" i="3"/>
  <c r="G2315" i="3"/>
  <c r="G2320" i="3"/>
  <c r="G2328" i="3"/>
  <c r="G2327" i="3"/>
  <c r="F2261" i="3"/>
  <c r="F2262" i="3"/>
  <c r="F2263" i="3"/>
  <c r="G2274" i="3"/>
  <c r="F2274" i="3"/>
  <c r="G2267" i="3"/>
  <c r="F2267" i="3"/>
  <c r="G2265" i="3"/>
  <c r="F2265" i="3"/>
  <c r="G2271" i="3"/>
  <c r="F2271" i="3"/>
  <c r="G2268" i="3"/>
  <c r="F2268" i="3"/>
  <c r="G2259" i="3"/>
  <c r="F2259" i="3"/>
  <c r="G2273" i="3"/>
  <c r="F2273" i="3"/>
  <c r="G2266" i="3"/>
  <c r="F2266" i="3"/>
  <c r="G2275" i="3"/>
  <c r="F2275" i="3"/>
  <c r="G2152" i="3"/>
  <c r="G2264" i="3"/>
  <c r="G2270" i="3"/>
  <c r="G2269" i="3"/>
  <c r="G2054" i="3"/>
  <c r="F2246" i="3"/>
  <c r="F2247" i="3"/>
  <c r="F2248" i="3"/>
  <c r="G2256" i="3"/>
  <c r="F2256" i="3"/>
  <c r="G2251" i="3"/>
  <c r="F2251" i="3"/>
  <c r="G2244" i="3"/>
  <c r="F2244" i="3"/>
  <c r="G2253" i="3"/>
  <c r="F2253" i="3"/>
  <c r="G2249" i="3"/>
  <c r="F2249" i="3"/>
  <c r="G2252" i="3"/>
  <c r="F2252" i="3"/>
  <c r="G2250" i="3"/>
  <c r="F2250" i="3"/>
  <c r="G2257" i="3"/>
  <c r="F2257" i="3"/>
  <c r="G2242" i="3"/>
  <c r="F2242" i="3"/>
  <c r="G2255" i="3"/>
  <c r="G2254" i="3"/>
  <c r="F2219" i="3"/>
  <c r="F2220" i="3"/>
  <c r="F2221" i="3"/>
  <c r="G2238" i="3"/>
  <c r="F2238" i="3"/>
  <c r="G2229" i="3"/>
  <c r="F2229" i="3"/>
  <c r="G2223" i="3"/>
  <c r="F2223" i="3"/>
  <c r="G2241" i="3"/>
  <c r="F2241" i="3"/>
  <c r="G2222" i="3"/>
  <c r="F2222" i="3"/>
  <c r="G2236" i="3"/>
  <c r="F2236" i="3"/>
  <c r="G2235" i="3"/>
  <c r="F2235" i="3"/>
  <c r="G2234" i="3"/>
  <c r="F2234" i="3"/>
  <c r="G2239" i="3"/>
  <c r="F2239" i="3"/>
  <c r="G2237" i="3"/>
  <c r="F2237" i="3"/>
  <c r="G2230" i="3"/>
  <c r="F2230" i="3"/>
  <c r="G2225" i="3"/>
  <c r="F2225" i="3"/>
  <c r="G2227" i="3"/>
  <c r="F2227" i="3"/>
  <c r="G2226" i="3"/>
  <c r="F2226" i="3"/>
  <c r="G2231" i="3"/>
  <c r="F2231" i="3"/>
  <c r="G2228" i="3"/>
  <c r="F2228" i="3"/>
  <c r="G2240" i="3"/>
  <c r="F2240" i="3"/>
  <c r="G2217" i="3"/>
  <c r="G2224" i="3"/>
  <c r="G2233" i="3"/>
  <c r="G2232" i="3"/>
  <c r="F2205" i="3"/>
  <c r="F2206" i="3"/>
  <c r="F2207" i="3"/>
  <c r="G2215" i="3"/>
  <c r="F2215" i="3"/>
  <c r="G2210" i="3"/>
  <c r="F2210" i="3"/>
  <c r="G2204" i="3"/>
  <c r="F2204" i="3"/>
  <c r="G2211" i="3"/>
  <c r="F2211" i="3"/>
  <c r="G2209" i="3"/>
  <c r="F2209" i="3"/>
  <c r="G2216" i="3"/>
  <c r="F2216" i="3"/>
  <c r="G2202" i="3"/>
  <c r="G2208" i="3"/>
  <c r="G2214" i="3"/>
  <c r="G2213" i="3"/>
  <c r="F2178" i="3"/>
  <c r="F2179" i="3"/>
  <c r="F2180" i="3"/>
  <c r="G2189" i="3"/>
  <c r="F2189" i="3"/>
  <c r="G2183" i="3"/>
  <c r="F2183" i="3"/>
  <c r="G2176" i="3"/>
  <c r="F2176" i="3"/>
  <c r="G2185" i="3"/>
  <c r="F2185" i="3"/>
  <c r="G2188" i="3"/>
  <c r="F2188" i="3"/>
  <c r="G2181" i="3"/>
  <c r="F2181" i="3"/>
  <c r="G2184" i="3"/>
  <c r="F2184" i="3"/>
  <c r="G2182" i="3"/>
  <c r="F2182" i="3"/>
  <c r="G2190" i="3"/>
  <c r="F2190" i="3"/>
  <c r="G2174" i="3"/>
  <c r="F2174" i="3"/>
  <c r="G2187" i="3"/>
  <c r="G2186" i="3"/>
  <c r="G2172" i="3"/>
  <c r="G2164" i="3"/>
  <c r="G2165" i="3"/>
  <c r="F2165" i="3"/>
  <c r="G2169" i="3"/>
  <c r="G2160" i="3"/>
  <c r="F2160" i="3"/>
  <c r="G2162" i="3"/>
  <c r="F2162" i="3"/>
  <c r="G2161" i="3"/>
  <c r="F2161" i="3"/>
  <c r="G2166" i="3"/>
  <c r="F2166" i="3"/>
  <c r="G2154" i="3"/>
  <c r="F2154" i="3"/>
  <c r="G2163" i="3"/>
  <c r="G2173" i="3"/>
  <c r="F2173" i="3"/>
  <c r="G2032" i="3"/>
  <c r="G2159" i="3"/>
  <c r="G2168" i="3"/>
  <c r="G2167" i="3"/>
  <c r="G1921" i="3"/>
  <c r="F2073" i="3"/>
  <c r="F2074" i="3"/>
  <c r="F2075" i="3"/>
  <c r="G2087" i="3"/>
  <c r="F2087" i="3"/>
  <c r="G2080" i="3"/>
  <c r="F2080" i="3"/>
  <c r="G2081" i="3"/>
  <c r="F2081" i="3"/>
  <c r="G2078" i="3"/>
  <c r="F2078" i="3"/>
  <c r="G2077" i="3"/>
  <c r="F2077" i="3"/>
  <c r="G2082" i="3"/>
  <c r="F2082" i="3"/>
  <c r="G2079" i="3"/>
  <c r="F2079" i="3"/>
  <c r="G2088" i="3"/>
  <c r="F2088" i="3"/>
  <c r="G2071" i="3"/>
  <c r="G2076" i="3"/>
  <c r="G2084" i="3"/>
  <c r="G2083" i="3"/>
  <c r="F2055" i="3"/>
  <c r="F2056" i="3"/>
  <c r="F2057" i="3"/>
  <c r="G2069" i="3"/>
  <c r="G2063" i="3"/>
  <c r="G2065" i="3"/>
  <c r="G2059" i="3"/>
  <c r="G2068" i="3"/>
  <c r="G2061" i="3"/>
  <c r="G2060" i="3"/>
  <c r="G2064" i="3"/>
  <c r="G2062" i="3"/>
  <c r="G2070" i="3"/>
  <c r="G2058" i="3"/>
  <c r="G2067" i="3"/>
  <c r="G2066" i="3"/>
  <c r="F2037" i="3"/>
  <c r="F2038" i="3"/>
  <c r="F2039" i="3"/>
  <c r="G2051" i="3"/>
  <c r="F2051" i="3"/>
  <c r="G2044" i="3"/>
  <c r="F2044" i="3"/>
  <c r="G2034" i="3"/>
  <c r="F2034" i="3"/>
  <c r="G2045" i="3"/>
  <c r="F2045" i="3"/>
  <c r="G2049" i="3"/>
  <c r="F2049" i="3"/>
  <c r="G2042" i="3"/>
  <c r="F2042" i="3"/>
  <c r="G2041" i="3"/>
  <c r="F2041" i="3"/>
  <c r="G2035" i="3"/>
  <c r="F2035" i="3"/>
  <c r="G2043" i="3"/>
  <c r="F2043" i="3"/>
  <c r="G2052" i="3"/>
  <c r="F2052" i="3"/>
  <c r="G2040" i="3"/>
  <c r="G2053" i="3"/>
  <c r="F2053" i="3"/>
  <c r="G2048" i="3"/>
  <c r="G2047" i="3"/>
  <c r="F1995" i="3"/>
  <c r="F1996" i="3"/>
  <c r="F1997" i="3"/>
  <c r="G2008" i="3"/>
  <c r="F2008" i="3"/>
  <c r="G2002" i="3"/>
  <c r="F2002" i="3"/>
  <c r="G2004" i="3"/>
  <c r="F2004" i="3"/>
  <c r="G2000" i="3"/>
  <c r="F2000" i="3"/>
  <c r="G1999" i="3"/>
  <c r="F1999" i="3"/>
  <c r="G2010" i="3"/>
  <c r="F2010" i="3"/>
  <c r="G2001" i="3"/>
  <c r="F2001" i="3"/>
  <c r="G2009" i="3"/>
  <c r="F2009" i="3"/>
  <c r="G1994" i="3"/>
  <c r="G1998" i="3"/>
  <c r="G2006" i="3"/>
  <c r="G2005" i="3"/>
  <c r="F2013" i="3"/>
  <c r="F2014" i="3"/>
  <c r="F2015" i="3"/>
  <c r="G2030" i="3"/>
  <c r="F2030" i="3"/>
  <c r="G2021" i="3"/>
  <c r="F2021" i="3"/>
  <c r="G2023" i="3"/>
  <c r="F2023" i="3"/>
  <c r="G2019" i="3"/>
  <c r="F2019" i="3"/>
  <c r="G2018" i="3"/>
  <c r="F2018" i="3"/>
  <c r="G2022" i="3"/>
  <c r="F2022" i="3"/>
  <c r="G2017" i="3"/>
  <c r="F2017" i="3"/>
  <c r="G2020" i="3"/>
  <c r="F2020" i="3"/>
  <c r="G2031" i="3"/>
  <c r="F2031" i="3"/>
  <c r="G2011" i="3"/>
  <c r="G2016" i="3"/>
  <c r="G2026" i="3"/>
  <c r="G2025" i="3"/>
  <c r="F1960" i="3"/>
  <c r="F1961" i="3"/>
  <c r="F1962" i="3"/>
  <c r="G1970" i="3"/>
  <c r="D1970" i="3"/>
  <c r="F1970" i="3" s="1"/>
  <c r="G1965" i="3"/>
  <c r="D1965" i="3"/>
  <c r="F1965" i="3" s="1"/>
  <c r="G1964" i="3"/>
  <c r="F1964" i="3"/>
  <c r="G1959" i="3"/>
  <c r="F1959" i="3"/>
  <c r="G1958" i="3"/>
  <c r="G1963" i="3"/>
  <c r="G1968" i="3"/>
  <c r="G1967" i="3"/>
  <c r="G1941" i="3"/>
  <c r="F1941" i="3"/>
  <c r="F1942" i="3"/>
  <c r="F1943" i="3"/>
  <c r="F1944" i="3"/>
  <c r="G1956" i="3"/>
  <c r="F1956" i="3"/>
  <c r="G1949" i="3"/>
  <c r="F1949" i="3"/>
  <c r="G1951" i="3"/>
  <c r="F1951" i="3"/>
  <c r="G1947" i="3"/>
  <c r="F1947" i="3"/>
  <c r="G1946" i="3"/>
  <c r="F1946" i="3"/>
  <c r="G1939" i="3"/>
  <c r="F1939" i="3"/>
  <c r="G1948" i="3"/>
  <c r="F1948" i="3"/>
  <c r="G1957" i="3"/>
  <c r="F1957" i="3"/>
  <c r="G1938" i="3"/>
  <c r="G1945" i="3"/>
  <c r="G1954" i="3"/>
  <c r="G1953" i="3"/>
  <c r="F1923" i="3"/>
  <c r="F1924" i="3"/>
  <c r="F1925" i="3"/>
  <c r="G1935" i="3"/>
  <c r="F1935" i="3"/>
  <c r="G1929" i="3"/>
  <c r="F1929" i="3"/>
  <c r="G1930" i="3"/>
  <c r="F1930" i="3"/>
  <c r="G1927" i="3"/>
  <c r="F1927" i="3"/>
  <c r="G1933" i="3"/>
  <c r="F1933" i="3"/>
  <c r="G1928" i="3"/>
  <c r="F1928" i="3"/>
  <c r="G1936" i="3"/>
  <c r="F1936" i="3"/>
  <c r="G1926" i="3"/>
  <c r="G1932" i="3"/>
  <c r="G1931" i="3"/>
  <c r="G1918" i="3"/>
  <c r="F1918" i="3"/>
  <c r="G1907" i="3"/>
  <c r="F1907" i="3"/>
  <c r="G1898" i="3"/>
  <c r="F1898" i="3"/>
  <c r="G1901" i="3"/>
  <c r="F1901" i="3"/>
  <c r="G1917" i="3"/>
  <c r="F1917" i="3"/>
  <c r="G1919" i="3"/>
  <c r="F1919" i="3"/>
  <c r="G1912" i="3"/>
  <c r="F1912" i="3"/>
  <c r="G1900" i="3"/>
  <c r="F1900" i="3"/>
  <c r="G1920" i="3"/>
  <c r="F1920" i="3"/>
  <c r="G1906" i="3"/>
  <c r="F1906" i="3"/>
  <c r="G1916" i="3"/>
  <c r="F1916" i="3"/>
  <c r="F1905" i="3"/>
  <c r="F1904" i="3"/>
  <c r="F1902" i="3"/>
  <c r="F1903" i="3"/>
  <c r="G1914" i="3"/>
  <c r="F1914" i="3"/>
  <c r="G1911" i="3"/>
  <c r="F1911" i="3"/>
  <c r="G1908" i="3"/>
  <c r="F1908" i="3"/>
  <c r="G1915" i="3"/>
  <c r="F1915" i="3"/>
  <c r="G1909" i="3"/>
  <c r="F1909" i="3"/>
  <c r="F1864" i="3"/>
  <c r="F1865" i="3"/>
  <c r="F1866" i="3"/>
  <c r="G1882" i="3"/>
  <c r="F1882" i="3"/>
  <c r="G1874" i="3"/>
  <c r="F1874" i="3"/>
  <c r="G1868" i="3"/>
  <c r="F1868" i="3"/>
  <c r="G1885" i="3"/>
  <c r="F1885" i="3"/>
  <c r="G1867" i="3"/>
  <c r="F1867" i="3"/>
  <c r="G1880" i="3"/>
  <c r="F1880" i="3"/>
  <c r="G1879" i="3"/>
  <c r="F1879" i="3"/>
  <c r="G1878" i="3"/>
  <c r="F1878" i="3"/>
  <c r="G1883" i="3"/>
  <c r="F1883" i="3"/>
  <c r="G1881" i="3"/>
  <c r="F1881" i="3"/>
  <c r="G1875" i="3"/>
  <c r="F1875" i="3"/>
  <c r="G1870" i="3"/>
  <c r="F1870" i="3"/>
  <c r="G1872" i="3"/>
  <c r="F1872" i="3"/>
  <c r="G1871" i="3"/>
  <c r="F1871" i="3"/>
  <c r="G1873" i="3"/>
  <c r="F1873" i="3"/>
  <c r="G1884" i="3"/>
  <c r="F1884" i="3"/>
  <c r="G1862" i="3"/>
  <c r="G1869" i="3"/>
  <c r="G1877" i="3"/>
  <c r="G1876" i="3"/>
  <c r="F1848" i="3"/>
  <c r="F1849" i="3"/>
  <c r="F1850" i="3"/>
  <c r="G1860" i="3"/>
  <c r="F1860" i="3"/>
  <c r="G1856" i="3"/>
  <c r="F1856" i="3"/>
  <c r="G1857" i="3"/>
  <c r="F1857" i="3"/>
  <c r="G1852" i="3"/>
  <c r="F1852" i="3"/>
  <c r="G1854" i="3"/>
  <c r="F1854" i="3"/>
  <c r="G1853" i="3"/>
  <c r="F1853" i="3"/>
  <c r="G1855" i="3"/>
  <c r="F1855" i="3"/>
  <c r="G1861" i="3"/>
  <c r="F1861" i="3"/>
  <c r="G1845" i="3"/>
  <c r="G1851" i="3"/>
  <c r="G1859" i="3"/>
  <c r="G1858" i="3"/>
  <c r="G2171" i="3"/>
  <c r="F2171" i="3"/>
  <c r="G1833" i="3"/>
  <c r="F1833" i="3"/>
  <c r="G2050" i="3"/>
  <c r="F2050" i="3"/>
  <c r="G2046" i="3"/>
  <c r="F2046" i="3"/>
  <c r="G1955" i="3"/>
  <c r="F1955" i="3"/>
  <c r="G1952" i="3"/>
  <c r="F1952" i="3"/>
  <c r="F2028" i="3"/>
  <c r="F2029" i="3"/>
  <c r="F2027" i="3"/>
  <c r="F2024" i="3"/>
  <c r="F2334" i="3"/>
  <c r="F2333" i="3"/>
  <c r="F2330" i="3"/>
  <c r="G2085" i="3"/>
  <c r="F2085" i="3"/>
  <c r="G2212" i="3"/>
  <c r="F2212" i="3"/>
  <c r="F2114" i="3"/>
  <c r="F2115" i="3"/>
  <c r="F2116" i="3"/>
  <c r="G2128" i="3"/>
  <c r="F2128" i="3"/>
  <c r="G2122" i="3"/>
  <c r="F2122" i="3"/>
  <c r="G2124" i="3"/>
  <c r="F2124" i="3"/>
  <c r="G2118" i="3"/>
  <c r="F2118" i="3"/>
  <c r="G2120" i="3"/>
  <c r="F2120" i="3"/>
  <c r="G2119" i="3"/>
  <c r="F2119" i="3"/>
  <c r="G2121" i="3"/>
  <c r="F2121" i="3"/>
  <c r="G2129" i="3"/>
  <c r="F2129" i="3"/>
  <c r="G2111" i="3"/>
  <c r="G2117" i="3"/>
  <c r="G2126" i="3"/>
  <c r="G2125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272" i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40" i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408" i="1"/>
  <c r="D416" i="1"/>
  <c r="D368" i="1"/>
  <c r="D384" i="1"/>
  <c r="D360" i="1"/>
  <c r="D661" i="1"/>
  <c r="D32" i="4"/>
  <c r="E5" i="2"/>
  <c r="D805" i="1" l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F451" i="1" s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F172" i="1" s="1"/>
  <c r="H172" i="1" s="1"/>
  <c r="I172" i="1" s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F103" i="1" s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F805" i="1"/>
  <c r="H805" i="1" s="1"/>
  <c r="I805" i="1" s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F376" i="1" s="1"/>
  <c r="H376" i="1" s="1"/>
  <c r="I376" i="1" s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F588" i="1" s="1"/>
  <c r="H588" i="1" s="1"/>
  <c r="I588" i="1" s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F169" i="1" s="1"/>
  <c r="H169" i="1" s="1"/>
  <c r="I169" i="1" s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F1031" i="1"/>
  <c r="H1031" i="1" s="1"/>
  <c r="I1031" i="1" s="1"/>
  <c r="D731" i="1"/>
  <c r="D633" i="1"/>
  <c r="D598" i="1"/>
  <c r="D702" i="1"/>
  <c r="D590" i="1"/>
  <c r="F590" i="1" s="1"/>
  <c r="H590" i="1" s="1"/>
  <c r="I590" i="1" s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F328" i="1"/>
  <c r="H328" i="1" s="1"/>
  <c r="I328" i="1" s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F336" i="1" s="1"/>
  <c r="H336" i="1" s="1"/>
  <c r="I336" i="1" s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F179" i="1" s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F813" i="1" s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F767" i="1" s="1"/>
  <c r="E140" i="2"/>
  <c r="E1024" i="1"/>
  <c r="E1025" i="1"/>
  <c r="E1027" i="1"/>
  <c r="E1028" i="1"/>
  <c r="E1023" i="1"/>
  <c r="F1023" i="1" s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F886" i="1" s="1"/>
  <c r="E887" i="1"/>
  <c r="F887" i="1" s="1"/>
  <c r="E888" i="1"/>
  <c r="E889" i="1"/>
  <c r="E884" i="1"/>
  <c r="E890" i="1"/>
  <c r="E891" i="1"/>
  <c r="D1182" i="1"/>
  <c r="D1078" i="1"/>
  <c r="F1078" i="1" s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F830" i="1" s="1"/>
  <c r="E831" i="1"/>
  <c r="E833" i="1"/>
  <c r="E835" i="1"/>
  <c r="F835" i="1" s="1"/>
  <c r="E828" i="1"/>
  <c r="F828" i="1" s="1"/>
  <c r="E829" i="1"/>
  <c r="F829" i="1" s="1"/>
  <c r="E832" i="1"/>
  <c r="E834" i="1"/>
  <c r="E97" i="2"/>
  <c r="E596" i="1"/>
  <c r="E597" i="1"/>
  <c r="E598" i="1"/>
  <c r="E591" i="1"/>
  <c r="F591" i="1" s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F202" i="1"/>
  <c r="E66" i="2"/>
  <c r="E234" i="1"/>
  <c r="E235" i="1"/>
  <c r="F235" i="1" s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F715" i="1" s="1"/>
  <c r="E708" i="1"/>
  <c r="E709" i="1"/>
  <c r="F709" i="1" s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F735" i="1" s="1"/>
  <c r="E736" i="1"/>
  <c r="E734" i="1"/>
  <c r="E739" i="1"/>
  <c r="F739" i="1" s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F700" i="1" s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F352" i="1" s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F1124" i="1" s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F479" i="1" s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F1174" i="1" s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F822" i="1" s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F630" i="1" s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F675" i="1" s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F411" i="1" s="1"/>
  <c r="E412" i="1"/>
  <c r="E413" i="1"/>
  <c r="E414" i="1"/>
  <c r="E407" i="1"/>
  <c r="F261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F975" i="1" s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193" i="1" l="1"/>
  <c r="F1080" i="1"/>
  <c r="H1080" i="1" s="1"/>
  <c r="I1080" i="1" s="1"/>
  <c r="F194" i="1"/>
  <c r="F304" i="1"/>
  <c r="F719" i="1"/>
  <c r="H719" i="1" s="1"/>
  <c r="I719" i="1" s="1"/>
  <c r="F147" i="1"/>
  <c r="H147" i="1" s="1"/>
  <c r="I147" i="1" s="1"/>
  <c r="F704" i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975" i="1"/>
  <c r="I975" i="1" s="1"/>
  <c r="H479" i="1"/>
  <c r="I479" i="1" s="1"/>
  <c r="H839" i="1"/>
  <c r="I839" i="1" s="1"/>
  <c r="H706" i="1"/>
  <c r="I706" i="1" s="1"/>
  <c r="H735" i="1"/>
  <c r="I735" i="1" s="1"/>
  <c r="H1023" i="1"/>
  <c r="I1023" i="1" s="1"/>
  <c r="H733" i="1"/>
  <c r="I733" i="1" s="1"/>
  <c r="H859" i="1"/>
  <c r="I859" i="1" s="1"/>
  <c r="H352" i="1"/>
  <c r="I352" i="1" s="1"/>
  <c r="H408" i="1"/>
  <c r="I408" i="1" s="1"/>
  <c r="H675" i="1"/>
  <c r="I675" i="1" s="1"/>
  <c r="H1016" i="1"/>
  <c r="I1016" i="1" s="1"/>
  <c r="H1175" i="1"/>
  <c r="I1175" i="1" s="1"/>
  <c r="H484" i="1"/>
  <c r="I484" i="1" s="1"/>
  <c r="H701" i="1"/>
  <c r="I701" i="1" s="1"/>
  <c r="H709" i="1"/>
  <c r="I709" i="1" s="1"/>
  <c r="H392" i="1"/>
  <c r="I392" i="1" s="1"/>
  <c r="H850" i="1"/>
  <c r="I850" i="1" s="1"/>
  <c r="H824" i="1"/>
  <c r="I824" i="1" s="1"/>
  <c r="H312" i="1"/>
  <c r="I312" i="1" s="1"/>
  <c r="H868" i="1"/>
  <c r="I868" i="1" s="1"/>
  <c r="H822" i="1"/>
  <c r="I822" i="1" s="1"/>
  <c r="H667" i="1"/>
  <c r="I667" i="1" s="1"/>
  <c r="H1174" i="1"/>
  <c r="I1174" i="1" s="1"/>
  <c r="H1124" i="1"/>
  <c r="I1124" i="1" s="1"/>
  <c r="H715" i="1"/>
  <c r="I715" i="1" s="1"/>
  <c r="H704" i="1"/>
  <c r="I704" i="1" s="1"/>
  <c r="H853" i="1"/>
  <c r="I853" i="1" s="1"/>
  <c r="H835" i="1"/>
  <c r="I835" i="1" s="1"/>
  <c r="H331" i="1"/>
  <c r="I331" i="1" s="1"/>
  <c r="H767" i="1"/>
  <c r="I767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401" i="1"/>
  <c r="I401" i="1" s="1"/>
  <c r="H179" i="1"/>
  <c r="I179" i="1" s="1"/>
  <c r="H578" i="1"/>
  <c r="I578" i="1" s="1"/>
  <c r="H194" i="1"/>
  <c r="I194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630" i="1"/>
  <c r="I630" i="1" s="1"/>
  <c r="H1117" i="1"/>
  <c r="I1117" i="1" s="1"/>
  <c r="H475" i="1"/>
  <c r="I475" i="1" s="1"/>
  <c r="H776" i="1"/>
  <c r="I776" i="1" s="1"/>
  <c r="F573" i="1"/>
  <c r="F1120" i="1"/>
  <c r="H193" i="1"/>
  <c r="I193" i="1" s="1"/>
  <c r="H329" i="1"/>
  <c r="I329" i="1" s="1"/>
  <c r="H971" i="1"/>
  <c r="I971" i="1" s="1"/>
  <c r="H986" i="1"/>
  <c r="I986" i="1" s="1"/>
  <c r="H447" i="1"/>
  <c r="I447" i="1" s="1"/>
  <c r="F397" i="1"/>
  <c r="F974" i="1"/>
  <c r="H1078" i="1"/>
  <c r="I1078" i="1" s="1"/>
  <c r="H591" i="1"/>
  <c r="I591" i="1" s="1"/>
  <c r="H327" i="1"/>
  <c r="I327" i="1" s="1"/>
  <c r="H727" i="1"/>
  <c r="I727" i="1" s="1"/>
  <c r="H739" i="1"/>
  <c r="I739" i="1" s="1"/>
  <c r="H813" i="1"/>
  <c r="I813" i="1" s="1"/>
  <c r="H1083" i="1"/>
  <c r="I1083" i="1" s="1"/>
  <c r="F539" i="1"/>
  <c r="F728" i="1"/>
  <c r="H233" i="1"/>
  <c r="I233" i="1" s="1"/>
  <c r="H304" i="1"/>
  <c r="I304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H886" i="1"/>
  <c r="I886" i="1" s="1"/>
  <c r="F483" i="1"/>
  <c r="F571" i="1"/>
  <c r="H451" i="1"/>
  <c r="I451" i="1" s="1"/>
  <c r="H260" i="1"/>
  <c r="I260" i="1" s="1"/>
  <c r="H230" i="1"/>
  <c r="I230" i="1" s="1"/>
  <c r="H326" i="1"/>
  <c r="I326" i="1" s="1"/>
  <c r="F1014" i="1"/>
  <c r="H830" i="1"/>
  <c r="I830" i="1" s="1"/>
  <c r="H103" i="1"/>
  <c r="I103" i="1" s="1"/>
  <c r="F413" i="1"/>
  <c r="F882" i="1"/>
  <c r="F952" i="1"/>
  <c r="F976" i="1"/>
  <c r="H607" i="1"/>
  <c r="I607" i="1" s="1"/>
  <c r="F1108" i="1"/>
  <c r="H781" i="1"/>
  <c r="I781" i="1" s="1"/>
  <c r="H726" i="1"/>
  <c r="I726" i="1" s="1"/>
  <c r="H411" i="1"/>
  <c r="I411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829" i="1"/>
  <c r="I829" i="1" s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235" i="1"/>
  <c r="I235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H700" i="1"/>
  <c r="I700" i="1" s="1"/>
  <c r="F541" i="1"/>
  <c r="H887" i="1"/>
  <c r="I887" i="1" s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E21" i="4" s="1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7" i="4" l="1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<sst xmlns="http://schemas.openxmlformats.org/spreadsheetml/2006/main" count="24246" uniqueCount="659">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</sst>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44" totalsRowShown="0">
  <autoFilter ref="A4:H2444" xr:uid="{00000000-0009-0000-0100-000001000000}">
    <filterColumn colId="2">
      <filters>
        <filter val="Despesas com DP"/>
        <filter val="Licenças de software/sistemas corporativos (DP)"/>
        <filter val="Sistema de ponto eletrônico (DP)"/>
        <filter val="Sistema de ponto eletrônico (KAIROS) (DP)"/>
        <filter val="Software Dominio portal do empregado (DP)"/>
        <filter val="Software exclusivo B2D (Arquivar) (DP)"/>
      </filters>
    </filterColumn>
  </autoFilter>
  <sortState xmlns:xlrd2="http://schemas.microsoft.com/office/spreadsheetml/2017/richdata2" ref="A5:H2444">
    <sortCondition ref="H4:H2444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23910.3904</v>
      </c>
      <c r="F135" s="20">
        <f t="shared" si="9"/>
        <v>790.90583766417058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790.90583766417058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23910.3904</v>
      </c>
      <c r="F136" s="21">
        <f t="shared" si="9"/>
        <v>1646.6058230842268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1646.6058230842268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23910.3904</v>
      </c>
      <c r="F137" s="20">
        <f t="shared" si="9"/>
        <v>1772.1444843612551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1772.1444843612551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23910.3904</v>
      </c>
      <c r="F138" s="21">
        <f t="shared" si="9"/>
        <v>454.54076380265138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454.54076380265138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23910.3904</v>
      </c>
      <c r="F139" s="20">
        <f t="shared" si="9"/>
        <v>789.55595958592301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789.55595958592301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23910.3904</v>
      </c>
      <c r="F140" s="21">
        <f t="shared" si="9"/>
        <v>582.77918123617474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582.77918123617474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23910.3904</v>
      </c>
      <c r="F141" s="20">
        <f t="shared" si="9"/>
        <v>588.4241259270284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588.4241259270284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23910.3904</v>
      </c>
      <c r="F142" s="21">
        <f t="shared" si="9"/>
        <v>17285.434224338569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17285.434224338569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50475.490600000005</v>
      </c>
      <c r="F143" s="20">
        <f t="shared" si="9"/>
        <v>1636.0025551954243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1636.0025551954243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50475.490600000005</v>
      </c>
      <c r="F144" s="21">
        <f t="shared" si="9"/>
        <v>1539.767110772164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1539.767110772164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50475.490600000005</v>
      </c>
      <c r="F145" s="20">
        <f t="shared" si="9"/>
        <v>2020.9443328884656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2020.9443328884656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50475.490600000005</v>
      </c>
      <c r="F146" s="21">
        <f t="shared" si="9"/>
        <v>529.29494432793138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529.29494432793138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50475.490600000005</v>
      </c>
      <c r="F147" s="20">
        <f t="shared" si="9"/>
        <v>2020.9443328884656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2020.9443328884656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50475.490600000005</v>
      </c>
      <c r="F148" s="21">
        <f t="shared" si="9"/>
        <v>866.11899980934231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866.11899980934231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50475.490600000005</v>
      </c>
      <c r="F149" s="20">
        <f t="shared" si="9"/>
        <v>818.00127759771215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818.00127759771215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50475.490600000005</v>
      </c>
      <c r="F150" s="21">
        <f t="shared" si="9"/>
        <v>41044.417046520495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41044.417046520495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73463.700699999987</v>
      </c>
      <c r="F151" s="20">
        <f t="shared" si="9"/>
        <v>2430.0259748181866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2430.0259748181866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73463.700699999987</v>
      </c>
      <c r="F152" s="21">
        <f t="shared" si="9"/>
        <v>5059.129329730089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5059.129329730089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73463.700699999987</v>
      </c>
      <c r="F153" s="20">
        <f t="shared" si="9"/>
        <v>5444.8417536616653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5444.8417536616653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73463.700699999987</v>
      </c>
      <c r="F154" s="21">
        <f t="shared" si="9"/>
        <v>1396.5579845968291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1396.5579845968291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73463.700699999987</v>
      </c>
      <c r="F155" s="20">
        <f t="shared" si="9"/>
        <v>2425.8785293995675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2425.8785293995675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73463.700699999987</v>
      </c>
      <c r="F156" s="21">
        <f t="shared" si="9"/>
        <v>1790.5652993656429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1790.5652993656429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73463.700699999987</v>
      </c>
      <c r="F157" s="20">
        <f t="shared" si="9"/>
        <v>1807.9091620253225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1807.9091620253225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73463.700699999987</v>
      </c>
      <c r="F158" s="21">
        <f t="shared" si="9"/>
        <v>53108.792666402682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53108.792666402682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33247.455043000009</v>
      </c>
      <c r="F183" s="20">
        <f t="shared" si="12"/>
        <v>1099.7564590574723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1099.7564590574723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33247.455043000009</v>
      </c>
      <c r="F184" s="21">
        <f t="shared" si="12"/>
        <v>2289.6093355520811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2289.6093355520811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33247.455043000009</v>
      </c>
      <c r="F185" s="20">
        <f t="shared" si="12"/>
        <v>2464.1711443365334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2464.1711443365334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33247.455043000009</v>
      </c>
      <c r="F186" s="21">
        <f t="shared" si="12"/>
        <v>632.0400192938522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632.0400192938522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33247.455043000009</v>
      </c>
      <c r="F187" s="20">
        <f t="shared" si="12"/>
        <v>1097.8794503608651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1097.8794503608651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33247.455043000009</v>
      </c>
      <c r="F188" s="21">
        <f t="shared" si="12"/>
        <v>810.35584547151836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810.35584547151836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33247.455043000009</v>
      </c>
      <c r="F189" s="20">
        <f t="shared" si="12"/>
        <v>818.20515456642033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818.20515456642033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33247.455043000009</v>
      </c>
      <c r="F190" s="21">
        <f t="shared" si="12"/>
        <v>24035.437634361264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24035.437634361264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66303.021199999988</v>
      </c>
      <c r="F191" s="20">
        <f t="shared" si="12"/>
        <v>2193.1656340438194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2193.1656340438194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66303.021199999988</v>
      </c>
      <c r="F192" s="21">
        <f t="shared" si="12"/>
        <v>4566.0041082389398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4566.0041082389398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66303.021199999988</v>
      </c>
      <c r="F193" s="20">
        <f t="shared" si="12"/>
        <v>4914.1202360320867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4914.1202360320867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66303.021199999988</v>
      </c>
      <c r="F194" s="21">
        <f t="shared" si="12"/>
        <v>1260.4321968189772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1260.4321968189772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66303.021199999988</v>
      </c>
      <c r="F195" s="20">
        <f t="shared" si="12"/>
        <v>2189.4224498740004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2189.4224498740004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66303.021199999988</v>
      </c>
      <c r="F196" s="21">
        <f t="shared" si="12"/>
        <v>1616.0346929517609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1616.0346929517609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66303.021199999988</v>
      </c>
      <c r="F197" s="20">
        <f t="shared" si="12"/>
        <v>1631.6880085710029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1631.6880085710029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66303.021199999988</v>
      </c>
      <c r="F198" s="21">
        <f t="shared" si="12"/>
        <v>47932.153873469397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47932.153873469397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21989.822400000001</v>
      </c>
      <c r="F335" s="20">
        <f t="shared" si="18"/>
        <v>721.78043178432745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721.78043178432745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21989.822400000001</v>
      </c>
      <c r="F336" s="21">
        <f t="shared" si="18"/>
        <v>1540.3346093588466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1540.3346093588466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21989.822400000001</v>
      </c>
      <c r="F337" s="20">
        <f t="shared" si="18"/>
        <v>1647.1075426594259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1647.1075426594259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21989.822400000001</v>
      </c>
      <c r="F338" s="21">
        <f t="shared" si="18"/>
        <v>419.50614267719669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419.50614267719669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21989.822400000001</v>
      </c>
      <c r="F339" s="20">
        <f t="shared" si="18"/>
        <v>735.11268179817796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735.11268179817796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21989.822400000001</v>
      </c>
      <c r="F340" s="21">
        <f t="shared" si="18"/>
        <v>543.63398763373698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543.63398763373698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21989.822400000001</v>
      </c>
      <c r="F341" s="20">
        <f t="shared" si="18"/>
        <v>549.6105135020149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549.6105135020149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21989.822400000001</v>
      </c>
      <c r="F342" s="21">
        <f t="shared" si="18"/>
        <v>15832.736490586276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15832.736490586276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52314.603600000009</v>
      </c>
      <c r="F343" s="20">
        <f t="shared" si="18"/>
        <v>1738.8519715099719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1738.8519715099719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52314.603600000009</v>
      </c>
      <c r="F344" s="21">
        <f t="shared" si="18"/>
        <v>1738.8519715099719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1738.8519715099719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52314.603600000009</v>
      </c>
      <c r="F345" s="20">
        <f t="shared" si="18"/>
        <v>2086.6223658119661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2086.6223658119661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52314.603600000009</v>
      </c>
      <c r="F346" s="21">
        <f t="shared" si="18"/>
        <v>546.49633390313397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546.49633390313397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52314.603600000009</v>
      </c>
      <c r="F347" s="20">
        <f t="shared" si="18"/>
        <v>2086.6223658119661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2086.6223658119661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52314.603600000009</v>
      </c>
      <c r="F348" s="21">
        <f t="shared" si="18"/>
        <v>894.2667282051284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894.2667282051284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52314.603600000009</v>
      </c>
      <c r="F349" s="20">
        <f t="shared" si="18"/>
        <v>993.62969800569817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993.62969800569817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52314.603600000009</v>
      </c>
      <c r="F350" s="21">
        <f t="shared" si="18"/>
        <v>42229.262165242173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42229.262165242173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72365.309200000018</v>
      </c>
      <c r="F351" s="20">
        <f t="shared" si="18"/>
        <v>2375.2744870091528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2375.2744870091528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72365.309200000018</v>
      </c>
      <c r="F352" s="21">
        <f t="shared" si="18"/>
        <v>5069.0173049198511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5069.0173049198511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72365.309200000018</v>
      </c>
      <c r="F353" s="20">
        <f t="shared" si="18"/>
        <v>5420.3915084917453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5420.3915084917453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72365.309200000018</v>
      </c>
      <c r="F354" s="21">
        <f t="shared" si="18"/>
        <v>1380.5337384686954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1380.5337384686954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72365.309200000018</v>
      </c>
      <c r="F355" s="20">
        <f t="shared" si="18"/>
        <v>2419.1489839029518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2419.1489839029518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72365.309200000018</v>
      </c>
      <c r="F356" s="21">
        <f t="shared" si="18"/>
        <v>1789.0204336868298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1789.0204336868298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72365.309200000018</v>
      </c>
      <c r="F357" s="20">
        <f t="shared" si="18"/>
        <v>1808.68831160474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1808.68831160474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72365.309200000018</v>
      </c>
      <c r="F358" s="21">
        <f t="shared" si="18"/>
        <v>52103.234431916055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52103.234431916055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29682.141610999999</v>
      </c>
      <c r="F383" s="20">
        <f t="shared" si="21"/>
        <v>974.2683955588077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974.2683955588077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29682.141610999999</v>
      </c>
      <c r="F384" s="21">
        <f t="shared" si="21"/>
        <v>2079.1632224966784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2079.1632224966784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29682.141610999999</v>
      </c>
      <c r="F385" s="20">
        <f t="shared" si="21"/>
        <v>2223.286684196381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2223.286684196381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29682.141610999999</v>
      </c>
      <c r="F386" s="21">
        <f t="shared" si="21"/>
        <v>566.25472034867005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566.25472034867005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29682.141610999999</v>
      </c>
      <c r="F387" s="20">
        <f t="shared" si="21"/>
        <v>992.26443598632693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992.26443598632693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29682.141610999999</v>
      </c>
      <c r="F388" s="21">
        <f t="shared" si="21"/>
        <v>733.80406226005732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733.80406226005732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29682.141610999999</v>
      </c>
      <c r="F389" s="20">
        <f t="shared" si="21"/>
        <v>741.87125279653162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741.87125279653162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29682.141610999999</v>
      </c>
      <c r="F390" s="21">
        <f t="shared" si="21"/>
        <v>21371.228837356546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21371.228837356546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58416.377200000003</v>
      </c>
      <c r="F391" s="20">
        <f t="shared" si="21"/>
        <v>1917.4233057331169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1917.4233057331169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58416.377200000003</v>
      </c>
      <c r="F392" s="21">
        <f t="shared" si="21"/>
        <v>4091.9278890820433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4091.9278890820433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58416.377200000003</v>
      </c>
      <c r="F393" s="20">
        <f t="shared" si="21"/>
        <v>4375.5721965702696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4375.5721965702696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58416.377200000003</v>
      </c>
      <c r="F394" s="21">
        <f t="shared" si="21"/>
        <v>1114.4259659117638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1114.4259659117638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58416.377200000003</v>
      </c>
      <c r="F395" s="20">
        <f t="shared" si="21"/>
        <v>1952.8406788963398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1952.8406788963398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58416.377200000003</v>
      </c>
      <c r="F396" s="21">
        <f t="shared" si="21"/>
        <v>1444.1739229486691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1444.1739229486691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58416.377200000003</v>
      </c>
      <c r="F397" s="20">
        <f t="shared" si="21"/>
        <v>1460.0506764356312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1460.0506764356312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58416.377200000003</v>
      </c>
      <c r="F398" s="21">
        <f t="shared" si="21"/>
        <v>42059.962564422174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42059.962564422174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27933.494499999997</v>
      </c>
      <c r="F535" s="20">
        <f t="shared" si="27"/>
        <v>913.3205044691822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913.3205044691822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27933.494499999997</v>
      </c>
      <c r="F536" s="21">
        <f t="shared" si="27"/>
        <v>1875.7174294881656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1875.7174294881656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27933.494499999997</v>
      </c>
      <c r="F537" s="20">
        <f t="shared" si="27"/>
        <v>2036.3941849040402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2036.3941849040402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27933.494499999997</v>
      </c>
      <c r="F538" s="21">
        <f t="shared" si="27"/>
        <v>521.9568456779707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521.9568456779707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27933.494499999997</v>
      </c>
      <c r="F539" s="20">
        <f t="shared" si="27"/>
        <v>910.54782534207482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910.54782534207482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27933.494499999997</v>
      </c>
      <c r="F540" s="21">
        <f t="shared" si="27"/>
        <v>666.13616028755621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666.13616028755621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27933.494499999997</v>
      </c>
      <c r="F541" s="20">
        <f t="shared" si="27"/>
        <v>666.27479424391163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666.27479424391163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27933.494499999997</v>
      </c>
      <c r="F542" s="21">
        <f t="shared" si="27"/>
        <v>20343.146755587095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20343.146755587095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65489.006099999999</v>
      </c>
      <c r="F543" s="20">
        <f t="shared" si="27"/>
        <v>2042.7763370642203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2042.7763370642203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65489.006099999999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65489.006099999999</v>
      </c>
      <c r="F545" s="20">
        <f t="shared" si="27"/>
        <v>2823.8378777064222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2823.8378777064222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65489.006099999999</v>
      </c>
      <c r="F546" s="21">
        <f t="shared" si="27"/>
        <v>660.89822669724776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660.89822669724776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65489.006099999999</v>
      </c>
      <c r="F547" s="20">
        <f t="shared" si="27"/>
        <v>3004.0828486238534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3004.0828486238534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65489.006099999999</v>
      </c>
      <c r="F548" s="21">
        <f t="shared" si="27"/>
        <v>1081.4698255045871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1081.4698255045871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65489.006099999999</v>
      </c>
      <c r="F549" s="20">
        <f t="shared" si="27"/>
        <v>1441.9597673394496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1441.9597673394496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65489.006099999999</v>
      </c>
      <c r="F550" s="21">
        <f t="shared" si="27"/>
        <v>54433.981217064218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54433.981217064218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89561.188999999969</v>
      </c>
      <c r="F551" s="20">
        <f t="shared" ref="F551:F614" si="30">IFERROR(D551*E551,0)</f>
        <v>2928.3149775027164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2928.3149775027164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89561.188999999969</v>
      </c>
      <c r="F552" s="21">
        <f t="shared" si="30"/>
        <v>6013.9802133594039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6013.9802133594039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89561.188999999969</v>
      </c>
      <c r="F553" s="20">
        <f t="shared" si="30"/>
        <v>6529.146737179326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6529.146737179326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89561.188999999969</v>
      </c>
      <c r="F554" s="21">
        <f t="shared" si="30"/>
        <v>1673.5133409680825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1673.5133409680825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89561.188999999969</v>
      </c>
      <c r="F555" s="20">
        <f t="shared" si="30"/>
        <v>2919.4251323979724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2919.4251323979724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89561.188999999969</v>
      </c>
      <c r="F556" s="21">
        <f t="shared" si="30"/>
        <v>2135.7852864147771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2135.7852864147771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89561.188999999969</v>
      </c>
      <c r="F557" s="20">
        <f t="shared" si="30"/>
        <v>2136.2297786700142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2136.2297786700142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89561.188999999969</v>
      </c>
      <c r="F558" s="21">
        <f t="shared" si="30"/>
        <v>65224.793533507676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65224.793533507676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29394.164638000002</v>
      </c>
      <c r="F583" s="20">
        <f t="shared" si="30"/>
        <v>961.07893968040275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961.07893968040275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29394.164638000002</v>
      </c>
      <c r="F584" s="21">
        <f t="shared" si="30"/>
        <v>1973.8005546259637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1973.8005546259637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29394.164638000002</v>
      </c>
      <c r="F585" s="20">
        <f t="shared" si="30"/>
        <v>2142.8792569771454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2142.8792569771454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29394.164638000002</v>
      </c>
      <c r="F586" s="21">
        <f t="shared" si="30"/>
        <v>549.25048693028475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549.25048693028475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29394.164638000002</v>
      </c>
      <c r="F587" s="20">
        <f t="shared" si="30"/>
        <v>958.16127441118476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958.16127441118476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29394.164638000002</v>
      </c>
      <c r="F588" s="21">
        <f t="shared" si="30"/>
        <v>700.96908092961974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700.96908092961974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29394.164638000002</v>
      </c>
      <c r="F589" s="20">
        <f t="shared" si="30"/>
        <v>701.1149641930806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701.1149641930806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29394.164638000002</v>
      </c>
      <c r="F590" s="21">
        <f t="shared" si="30"/>
        <v>21406.910080252321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21406.910080252321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117184.52640000002</v>
      </c>
      <c r="F591" s="20">
        <f t="shared" si="30"/>
        <v>3831.4945080584253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3831.4945080584253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117184.52640000002</v>
      </c>
      <c r="F592" s="21">
        <f t="shared" si="30"/>
        <v>7868.8707793003177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7868.8707793003177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117184.52640000002</v>
      </c>
      <c r="F593" s="20">
        <f t="shared" si="30"/>
        <v>8542.9299983105957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8542.9299983105957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117184.52640000002</v>
      </c>
      <c r="F594" s="21">
        <f t="shared" si="30"/>
        <v>2189.674684705521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2189.674684705521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117184.52640000002</v>
      </c>
      <c r="F595" s="20">
        <f t="shared" si="30"/>
        <v>3819.862770025461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3819.862770025461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117184.52640000002</v>
      </c>
      <c r="F596" s="21">
        <f t="shared" si="30"/>
        <v>2794.5250624196615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2794.5250624196615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117184.52640000002</v>
      </c>
      <c r="F597" s="20">
        <f t="shared" si="30"/>
        <v>2795.1066493213102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2795.1066493213102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117184.52640000002</v>
      </c>
      <c r="F598" s="21">
        <f t="shared" si="30"/>
        <v>85342.061947858732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85342.061947858732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83174.848399999988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83174.848399999988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83174.848399999988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83174.848399999988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83174.848399999988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83174.848399999988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83174.848399999988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83174.848399999988</v>
      </c>
      <c r="F667" s="24">
        <f>IFERROR(D667*E667,0)</f>
        <v>59886.134294639014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59886.134294639014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94839.631500000003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94839.631500000003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94839.631500000003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94839.631500000003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94839.631500000003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94839.631500000003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94839.631500000003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94839.631500000003</v>
      </c>
      <c r="F675" s="24">
        <f>IFERROR(D675*E675,0)</f>
        <v>68562.001068529527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68562.001068529527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78661.700600000011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78661.700600000011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78661.700600000011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78661.700600000011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78661.700600000011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78661.700600000011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78661.700600000011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78661.700600000011</v>
      </c>
      <c r="F683" s="24">
        <f t="shared" ref="F683:F746" si="38">IFERROR(D683*E683,0)</f>
        <v>57287.015033147894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57287.015033147894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28357.9892</v>
      </c>
      <c r="F684" s="24">
        <f t="shared" si="38"/>
        <v>942.57324026590697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942.57324026590697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28357.9892</v>
      </c>
      <c r="F685" s="24">
        <f t="shared" si="38"/>
        <v>942.57324026590697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942.57324026590697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28357.9892</v>
      </c>
      <c r="F686" s="24">
        <f t="shared" si="38"/>
        <v>1131.0878883190883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1131.0878883190883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28357.9892</v>
      </c>
      <c r="F687" s="24">
        <f t="shared" si="38"/>
        <v>296.23730408357073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296.23730408357073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28357.9892</v>
      </c>
      <c r="F688" s="24">
        <f t="shared" si="38"/>
        <v>1131.0878883190883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1131.0878883190883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28357.9892</v>
      </c>
      <c r="F689" s="24">
        <f t="shared" si="38"/>
        <v>484.75195213675221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484.75195213675221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28357.9892</v>
      </c>
      <c r="F690" s="24">
        <f t="shared" si="38"/>
        <v>538.61328015194681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538.61328015194681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28357.9892</v>
      </c>
      <c r="F691" s="24">
        <f t="shared" si="38"/>
        <v>22891.064406457739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22891.064406457739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47063.980699999993</v>
      </c>
      <c r="F692" s="24">
        <f t="shared" si="38"/>
        <v>1525.4293077216394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1525.4293077216394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47063.980699999993</v>
      </c>
      <c r="F693" s="24">
        <f t="shared" si="38"/>
        <v>1435.6981719733076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1435.6981719733076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47063.980699999993</v>
      </c>
      <c r="F694" s="24">
        <f t="shared" si="38"/>
        <v>1884.3538507149665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1884.3538507149665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47063.980699999993</v>
      </c>
      <c r="F695" s="24">
        <f t="shared" si="38"/>
        <v>493.52124661582451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493.52124661582451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47063.980699999993</v>
      </c>
      <c r="F696" s="24">
        <f t="shared" si="38"/>
        <v>1884.3538507149665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1884.3538507149665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47063.980699999993</v>
      </c>
      <c r="F697" s="24">
        <f t="shared" si="38"/>
        <v>807.58022173498557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807.58022173498557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47063.980699999993</v>
      </c>
      <c r="F698" s="24">
        <f t="shared" si="38"/>
        <v>762.71465386081968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762.71465386081968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47063.980699999993</v>
      </c>
      <c r="F699" s="24">
        <f t="shared" si="38"/>
        <v>38270.329396663481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38270.329396663481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120488.69450000001</v>
      </c>
      <c r="F700" s="24">
        <f t="shared" si="38"/>
        <v>3758.3629477064228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3758.3629477064228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120488.69450000001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120488.69450000001</v>
      </c>
      <c r="F702" s="24">
        <f t="shared" si="38"/>
        <v>5195.3840747706427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5195.3840747706427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120488.69450000001</v>
      </c>
      <c r="F703" s="24">
        <f t="shared" si="38"/>
        <v>1215.9409536697249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1215.9409536697249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120488.69450000001</v>
      </c>
      <c r="F704" s="24">
        <f t="shared" si="38"/>
        <v>5527.0043348623858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5527.0043348623858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120488.69450000001</v>
      </c>
      <c r="F705" s="24">
        <f t="shared" si="38"/>
        <v>1989.7215605504591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1989.7215605504591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120488.69450000001</v>
      </c>
      <c r="F706" s="24">
        <f t="shared" si="38"/>
        <v>2652.9620807339452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2652.9620807339452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120488.69450000001</v>
      </c>
      <c r="F707" s="24">
        <f t="shared" si="38"/>
        <v>100149.31854770643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100149.31854770643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26037.09</v>
      </c>
      <c r="F1005" s="20">
        <f t="shared" ref="F1005:F1036" si="57">IFERROR(D1005*E1005,0)</f>
        <v>877.7630330679109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877.7630330679109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26037.09</v>
      </c>
      <c r="F1006" s="21">
        <f t="shared" si="57"/>
        <v>1784.0497332251357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1784.0497332251357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26037.09</v>
      </c>
      <c r="F1007" s="20">
        <f t="shared" si="57"/>
        <v>1940.797848202059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1940.797848202059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26037.09</v>
      </c>
      <c r="F1008" s="21">
        <f t="shared" si="57"/>
        <v>493.22174341938432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493.22174341938432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26037.09</v>
      </c>
      <c r="F1009" s="20">
        <f t="shared" si="57"/>
        <v>871.68854841000166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871.68854841000166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26037.09</v>
      </c>
      <c r="F1010" s="21">
        <f t="shared" si="57"/>
        <v>632.40667449409136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632.40667449409136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26037.09</v>
      </c>
      <c r="F1011" s="20">
        <f t="shared" si="57"/>
        <v>633.33105259420802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633.33105259420802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26037.09</v>
      </c>
      <c r="F1012" s="21">
        <f t="shared" si="57"/>
        <v>18803.831366587208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18803.831366587208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72887.3</v>
      </c>
      <c r="F1021" s="20">
        <f t="shared" si="57"/>
        <v>2457.1784911497693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2457.1784911497693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72887.3</v>
      </c>
      <c r="F1022" s="21">
        <f t="shared" si="57"/>
        <v>4994.2051174113712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4994.2051174113712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72887.3</v>
      </c>
      <c r="F1023" s="20">
        <f t="shared" si="57"/>
        <v>5433.0001932342648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5433.0001932342648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72887.3</v>
      </c>
      <c r="F1024" s="21">
        <f t="shared" si="57"/>
        <v>1380.7073363087693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1380.7073363087693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72887.3</v>
      </c>
      <c r="F1025" s="20">
        <f t="shared" si="57"/>
        <v>2440.1737957092869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2440.1737957092869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72887.3</v>
      </c>
      <c r="F1026" s="21">
        <f t="shared" si="57"/>
        <v>1770.3366622711367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1770.3366622711367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72887.3</v>
      </c>
      <c r="F1027" s="20">
        <f t="shared" si="57"/>
        <v>1772.9243333164275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1772.9243333164275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72887.3</v>
      </c>
      <c r="F1028" s="21">
        <f t="shared" si="57"/>
        <v>52638.774070598971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52638.774070598971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147825.81</v>
      </c>
      <c r="F1045" s="20">
        <f t="shared" si="58"/>
        <v>4983.5074254196888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4983.5074254196888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147825.81</v>
      </c>
      <c r="F1046" s="21">
        <f t="shared" si="58"/>
        <v>10128.958224374905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10128.958224374905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147825.81</v>
      </c>
      <c r="F1047" s="20">
        <f t="shared" si="58"/>
        <v>11018.897040979864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11018.897040979864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147825.81</v>
      </c>
      <c r="F1048" s="21">
        <f t="shared" si="58"/>
        <v>2800.2708340518334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2800.2708340518334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147825.81</v>
      </c>
      <c r="F1049" s="20">
        <f t="shared" si="58"/>
        <v>4949.0194847593448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4949.0194847593448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147825.81</v>
      </c>
      <c r="F1050" s="21">
        <f t="shared" si="58"/>
        <v>3590.4945178779735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3590.4945178779735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147825.81</v>
      </c>
      <c r="F1051" s="20">
        <f t="shared" si="58"/>
        <v>3595.7426827610689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3595.7426827610689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147825.81</v>
      </c>
      <c r="F1052" s="21">
        <f t="shared" si="58"/>
        <v>106758.91978977532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106758.91978977532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31126.48</v>
      </c>
      <c r="F1053" s="20">
        <f t="shared" si="58"/>
        <v>1049.336676776386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1049.336676776386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31126.48</v>
      </c>
      <c r="F1054" s="21">
        <f t="shared" si="58"/>
        <v>2132.7724542273168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2132.7724542273168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31126.48</v>
      </c>
      <c r="F1055" s="20">
        <f t="shared" si="58"/>
        <v>2320.1596417304863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2320.1596417304863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31126.48</v>
      </c>
      <c r="F1056" s="21">
        <f t="shared" si="58"/>
        <v>589.63028249733736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589.63028249733736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31126.48</v>
      </c>
      <c r="F1057" s="20">
        <f t="shared" si="58"/>
        <v>1042.0748312623625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1042.0748312623625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31126.48</v>
      </c>
      <c r="F1058" s="21">
        <f t="shared" si="58"/>
        <v>756.02126449256991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756.02126449256991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31126.48</v>
      </c>
      <c r="F1059" s="20">
        <f t="shared" si="58"/>
        <v>757.12632794035596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757.12632794035596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31126.48</v>
      </c>
      <c r="F1060" s="21">
        <f t="shared" si="58"/>
        <v>22479.358521073184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22479.358521073184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100549.43999999999</v>
      </c>
      <c r="F1061" s="20">
        <f t="shared" si="58"/>
        <v>3389.7252506973673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3389.7252506973673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100549.43999999999</v>
      </c>
      <c r="F1062" s="21">
        <f t="shared" si="58"/>
        <v>6889.602548054977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6889.602548054977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100549.43999999999</v>
      </c>
      <c r="F1063" s="20">
        <f t="shared" si="58"/>
        <v>7494.928841507327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7494.928841507327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100549.43999999999</v>
      </c>
      <c r="F1064" s="21">
        <f t="shared" si="58"/>
        <v>1904.7124735000252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1904.7124735000252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100549.43999999999</v>
      </c>
      <c r="F1065" s="20">
        <f t="shared" si="58"/>
        <v>3366.2669444641679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3366.2669444641679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100549.43999999999</v>
      </c>
      <c r="F1066" s="21">
        <f t="shared" si="58"/>
        <v>2442.2136641476895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2442.2136641476895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100549.43999999999</v>
      </c>
      <c r="F1067" s="20">
        <f t="shared" si="58"/>
        <v>2445.7834064005674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2445.7834064005674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100549.43999999999</v>
      </c>
      <c r="F1068" s="21">
        <f t="shared" si="58"/>
        <v>72616.206871227856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72616.206871227856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74343.280000000013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74343.280000000013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74343.280000000013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74343.280000000013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74343.280000000013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74343.280000000013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74343.280000000013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74343.280000000013</v>
      </c>
      <c r="F1116" s="24">
        <f t="shared" ref="F1116:F1147" si="65">IFERROR(D1116*E1116,0)</f>
        <v>53690.274157326174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53690.274157326174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25628.29</v>
      </c>
      <c r="F1117" s="24">
        <f t="shared" si="65"/>
        <v>730.8447718631179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730.8447718631179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25628.29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25628.29</v>
      </c>
      <c r="F1119" s="24">
        <f t="shared" si="65"/>
        <v>1096.2671577946767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1096.2671577946767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25628.29</v>
      </c>
      <c r="F1120" s="24">
        <f t="shared" si="65"/>
        <v>243.61492395437261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243.61492395437261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25628.29</v>
      </c>
      <c r="F1121" s="24">
        <f t="shared" si="65"/>
        <v>1120.6286501901141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1120.6286501901141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25628.29</v>
      </c>
      <c r="F1122" s="24">
        <f t="shared" si="65"/>
        <v>414.14537072243348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414.14537072243348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25628.29</v>
      </c>
      <c r="F1123" s="24">
        <f t="shared" si="65"/>
        <v>560.31432509505703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560.31432509505703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25628.29</v>
      </c>
      <c r="F1124" s="24">
        <f t="shared" si="65"/>
        <v>21462.474800380227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21462.474800380227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21989.822400000001</v>
      </c>
      <c r="E18" s="20">
        <f>IFERROR(D18/IF(B18="Clientes",SUMIFS(PARÂMETROS!$B$8:$B$907,PARÂMETROS!$G$8:$G$907,F18),SUMIFS(PARÂMETROS!$C$8:$C$907,PARÂMETROS!$G$8:$G$907,F18)),0)</f>
        <v>0.11493318977457442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52314.603600000009</v>
      </c>
      <c r="E19" s="20">
        <f>IFERROR(D19/IF(B19="Clientes",SUMIFS(PARÂMETROS!$B$8:$B$907,PARÂMETROS!$G$8:$G$907,F19),SUMIFS(PARÂMETROS!$C$8:$C$907,PARÂMETROS!$G$8:$G$907,F19)),0)</f>
        <v>49.681484900284907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72365.309200000018</v>
      </c>
      <c r="E20" s="20">
        <f>IFERROR(D20/IF(B20="Clientes",SUMIFS(PARÂMETROS!$B$8:$B$907,PARÂMETROS!$G$8:$G$907,F20),SUMIFS(PARÂMETROS!$C$8:$C$907,PARÂMETROS!$G$8:$G$907,F20)),0)</f>
        <v>0.37822842149827268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29682.141610999999</v>
      </c>
      <c r="E24" s="20">
        <f>IFERROR(D24/IF(B24="Clientes",SUMIFS(PARÂMETROS!$B$8:$B$907,PARÂMETROS!$G$8:$G$907,F24),SUMIFS(PARÂMETROS!$C$8:$C$907,PARÂMETROS!$G$8:$G$907,F24)),0)</f>
        <v>0.15513827954758083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58416.377200000003</v>
      </c>
      <c r="E25" s="20">
        <f>IFERROR(D25/IF(B25="Clientes",SUMIFS(PARÂMETROS!$B$8:$B$907,PARÂMETROS!$G$8:$G$907,F25),SUMIFS(PARÂMETROS!$C$8:$C$907,PARÂMETROS!$G$8:$G$907,F25)),0)</f>
        <v>0.3053221824415791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83174.848399999988</v>
      </c>
      <c r="E35" s="20">
        <f>IFERROR(D35/IF(B35="Clientes",SUMIFS(PARÂMETROS!$B$8:$B$907,PARÂMETROS!$G$8:$G$907,F35),SUMIFS(PARÂMETROS!$C$8:$C$907,PARÂMETROS!$G$8:$G$907,F35)),0)</f>
        <v>0.43472614110920044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28357.9892</v>
      </c>
      <c r="E40" s="20">
        <f>IFERROR(D40/G40,0)</f>
        <v>33.36234023529412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2151966.9000753332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23910.3904</v>
      </c>
      <c r="E54" s="20">
        <f>IFERROR(D54/IF(B54="Clientes",SUMIFS(PARÂMETROS!$B$8:$B$907,PARÂMETROS!$G$8:$G$907,F54),SUMIFS(PARÂMETROS!$C$8:$C$907,PARÂMETROS!$G$8:$G$907,F54)),0)</f>
        <v>0.12271618893160134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50475.490600000005</v>
      </c>
      <c r="E55" s="20">
        <f>IFERROR(D55/IF(B55="Clientes",SUMIFS(PARÂMETROS!$B$8:$B$907,PARÂMETROS!$G$8:$G$907,F55),SUMIFS(PARÂMETROS!$C$8:$C$907,PARÂMETROS!$G$8:$G$907,F55)),0)</f>
        <v>48.117722211630131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73463.700699999987</v>
      </c>
      <c r="E56" s="20">
        <f>IFERROR(D56/IF(B56="Clientes",SUMIFS(PARÂMETROS!$B$8:$B$907,PARÂMETROS!$G$8:$G$907,F56),SUMIFS(PARÂMETROS!$C$8:$C$907,PARÂMETROS!$G$8:$G$907,F56)),0)</f>
        <v>0.37704049260173567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33247.455043000009</v>
      </c>
      <c r="E60" s="20">
        <f>IFERROR(D60/IF(B60="Clientes",SUMIFS(PARÂMETROS!$B$8:$B$907,PARÂMETROS!$G$8:$G$907,F60),SUMIFS(PARÂMETROS!$C$8:$C$907,PARÂMETROS!$G$8:$G$907,F60)),0)</f>
        <v>0.17063715423700113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66303.021199999988</v>
      </c>
      <c r="E61" s="20">
        <f>IFERROR(D61/IF(B61="Clientes",SUMIFS(PARÂMETROS!$B$8:$B$907,PARÂMETROS!$G$8:$G$907,F61),SUMIFS(PARÂMETROS!$C$8:$C$907,PARÂMETROS!$G$8:$G$907,F61)),0)</f>
        <v>0.34028946998352516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94839.631500000003</v>
      </c>
      <c r="E71" s="20">
        <f>IFERROR(D71/IF(B71="Clientes",SUMIFS(PARÂMETROS!$B$8:$B$907,PARÂMETROS!$G$8:$G$907,F71),SUMIFS(PARÂMETROS!$C$8:$C$907,PARÂMETROS!$G$8:$G$907,F71)),0)</f>
        <v>0.48674897994795813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47063.980699999993</v>
      </c>
      <c r="E76" s="20">
        <f>IFERROR(D76/G76,0)</f>
        <v>55.174654982414999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2500089.9313411857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27933.494499999997</v>
      </c>
      <c r="E90" s="20">
        <f>IFERROR(D90/IF(B90="Clientes",SUMIFS(PARÂMETROS!$B$8:$B$907,PARÂMETROS!$G$8:$G$907,F90),SUMIFS(PARÂMETROS!$C$8:$C$907,PARÂMETROS!$G$8:$G$907,F90)),0)</f>
        <v>0.13863395635537071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65489.006099999999</v>
      </c>
      <c r="E91" s="20">
        <f>IFERROR(D91/IF(B91="Clientes",SUMIFS(PARÂMETROS!$B$8:$B$907,PARÂMETROS!$G$8:$G$907,F91),SUMIFS(PARÂMETROS!$C$8:$C$907,PARÂMETROS!$G$8:$G$907,F91)),0)</f>
        <v>60.081656972477063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89561.188999999969</v>
      </c>
      <c r="E92" s="20">
        <f>IFERROR(D92/IF(B92="Clientes",SUMIFS(PARÂMETROS!$B$8:$B$907,PARÂMETROS!$G$8:$G$907,F92),SUMIFS(PARÂMETROS!$C$8:$C$907,PARÂMETROS!$G$8:$G$907,F92)),0)</f>
        <v>0.44449225523720648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29394.164638000002</v>
      </c>
      <c r="E96" s="20">
        <f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117184.52640000002</v>
      </c>
      <c r="E97" s="20">
        <f>IFERROR(D97/IF(B97="Clientes",SUMIFS(PARÂMETROS!$B$8:$B$907,PARÂMETROS!$G$8:$G$907,F97),SUMIFS(PARÂMETROS!$C$8:$C$907,PARÂMETROS!$G$8:$G$907,F97)),0)</f>
        <v>0.5815869016482127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78661.700600000011</v>
      </c>
      <c r="E107" s="20">
        <f>IFERROR(D107/IF(B107="Clientes",SUMIFS(PARÂMETROS!$B$8:$B$907,PARÂMETROS!$G$8:$G$907,F107),SUMIFS(PARÂMETROS!$C$8:$C$907,PARÂMETROS!$G$8:$G$907,F107)),0)</f>
        <v>0.39039808527428027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120488.69450000001</v>
      </c>
      <c r="E112" s="20">
        <f>IFERROR(D112/G112,0)</f>
        <v>132.98972902869758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2684845.168462445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26037.09</v>
      </c>
      <c r="E138" s="20">
        <f>IFERROR(D138/IF(B138="Clientes",SUMIFS(PARÂMETROS!$B$8:$B$907,PARÂMETROS!$G$8:$G$907,F138),SUMIFS(PARÂMETROS!$C$8:$C$907,PARÂMETROS!$G$8:$G$907,F138)),0)</f>
        <v>0.13205401430237865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72887.3</v>
      </c>
      <c r="E140" s="20">
        <f>IFERROR(D140/IF(B140="Clientes",SUMIFS(PARÂMETROS!$B$8:$B$907,PARÂMETROS!$G$8:$G$907,F140),SUMIFS(PARÂMETROS!$C$8:$C$907,PARÂMETROS!$G$8:$G$907,F140)),0)</f>
        <v>0.36966729218440941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147825.81</v>
      </c>
      <c r="E143" s="20">
        <f>IFERROR(D143/IF(B143="Clientes",SUMIFS(PARÂMETROS!$B$8:$B$907,PARÂMETROS!$G$8:$G$907,F143),SUMIFS(PARÂMETROS!$C$8:$C$907,PARÂMETROS!$G$8:$G$907,F143)),0)</f>
        <v>0.74973784044225789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31126.48</v>
      </c>
      <c r="E144" s="20">
        <f>IFERROR(D144/IF(B144="Clientes",SUMIFS(PARÂMETROS!$B$8:$B$907,PARÂMETROS!$G$8:$G$907,F144),SUMIFS(PARÂMETROS!$C$8:$C$907,PARÂMETROS!$G$8:$G$907,F144)),0)</f>
        <v>0.15786620682659633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100549.43999999999</v>
      </c>
      <c r="E145" s="20">
        <f>IFERROR(D145/IF(B145="Clientes",SUMIFS(PARÂMETROS!$B$8:$B$907,PARÂMETROS!$G$8:$G$907,F145),SUMIFS(PARÂMETROS!$C$8:$C$907,PARÂMETROS!$G$8:$G$907,F145)),0)</f>
        <v>0.50996317898260379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74343.280000000013</v>
      </c>
      <c r="E155" s="20">
        <f>IFERROR(D155/IF(B155="Clientes",SUMIFS(PARÂMETROS!$B$8:$B$907,PARÂMETROS!$G$8:$G$907,F155),SUMIFS(PARÂMETROS!$C$8:$C$907,PARÂMETROS!$G$8:$G$907,F155)),0)</f>
        <v>0.37705168129025718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25628.29</v>
      </c>
      <c r="E160" s="20">
        <f>IFERROR(D160/G160,0)</f>
        <v>29.09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2610383.4100000011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44"/>
  <sheetViews>
    <sheetView showGridLines="0" tabSelected="1" zoomScale="90" zoomScaleNormal="90" workbookViewId="0">
      <selection activeCell="E245" sqref="E245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hidden="1" customHeight="1" x14ac:dyDescent="0.3">
      <c r="A72" s="2" t="s">
        <v>78</v>
      </c>
      <c r="B72" s="60" t="s">
        <v>162</v>
      </c>
      <c r="C72" s="60" t="s">
        <v>209</v>
      </c>
      <c r="D72" s="68"/>
      <c r="E72" s="73"/>
      <c r="F72" s="79">
        <f>IFERROR(D72*E72,0)</f>
        <v>0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hidden="1" customHeight="1" x14ac:dyDescent="0.3">
      <c r="A117" s="2" t="s">
        <v>43</v>
      </c>
      <c r="B117" s="60" t="s">
        <v>162</v>
      </c>
      <c r="C117" s="60" t="s">
        <v>209</v>
      </c>
      <c r="D117" s="68"/>
      <c r="E117" s="73"/>
      <c r="F117" s="79">
        <f>IFERROR(D117*E117,0)</f>
        <v>0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hidden="1" customHeight="1" x14ac:dyDescent="0.3">
      <c r="A179" s="2" t="s">
        <v>79</v>
      </c>
      <c r="B179" s="60" t="s">
        <v>162</v>
      </c>
      <c r="C179" s="60" t="s">
        <v>209</v>
      </c>
      <c r="D179" s="68"/>
      <c r="E179" s="73"/>
      <c r="F179" s="79">
        <f>IFERROR(D179*E179,0)</f>
        <v>0</v>
      </c>
      <c r="G179" s="60" t="str">
        <f>INDEX(SETORES!$B:$B,MATCH(A179,SETORES!$A:$A,0))</f>
        <v>Funcionários</v>
      </c>
      <c r="H179" s="60" t="s">
        <v>88</v>
      </c>
    </row>
    <row r="180" spans="1:8" ht="14.25" hidden="1" customHeight="1" x14ac:dyDescent="0.3">
      <c r="A180" s="2" t="s">
        <v>79</v>
      </c>
      <c r="B180" s="60" t="s">
        <v>162</v>
      </c>
      <c r="C180" s="60" t="s">
        <v>222</v>
      </c>
      <c r="D180" s="68"/>
      <c r="E180" s="73"/>
      <c r="F180" s="79">
        <f>IFERROR(D180*E180,0)</f>
        <v>0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155</v>
      </c>
      <c r="C182" s="60" t="s">
        <v>168</v>
      </c>
      <c r="D182" s="68">
        <v>4</v>
      </c>
      <c r="E182" s="73">
        <v>1.87</v>
      </c>
      <c r="F182" s="79">
        <f>IFERROR(D182*E182,0)</f>
        <v>7.48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141</v>
      </c>
      <c r="B183" s="60" t="s">
        <v>155</v>
      </c>
      <c r="C183" s="60" t="s">
        <v>161</v>
      </c>
      <c r="D183" s="68">
        <v>1</v>
      </c>
      <c r="E183" s="73">
        <v>24325.69</v>
      </c>
      <c r="F183" s="79">
        <f>IFERROR(D183*E183,0)</f>
        <v>24325.69</v>
      </c>
      <c r="G183" s="60" t="str">
        <f>INDEX(SETORES!$B:$B,MATCH(A183,SETORES!$A:$A,0))</f>
        <v>Clientes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166</v>
      </c>
      <c r="D184" s="68">
        <v>6</v>
      </c>
      <c r="E184" s="73">
        <v>50</v>
      </c>
      <c r="F184" s="79">
        <f>IFERROR(D184*E184,0)</f>
        <v>300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168</v>
      </c>
      <c r="D185" s="68">
        <v>6</v>
      </c>
      <c r="E185" s="73">
        <v>1.87</v>
      </c>
      <c r="F185" s="79">
        <f>IFERROR(D185*E185,0)</f>
        <v>11.22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80</v>
      </c>
      <c r="B186" s="60" t="s">
        <v>155</v>
      </c>
      <c r="C186" s="60" t="s">
        <v>159</v>
      </c>
      <c r="D186" s="68"/>
      <c r="E186" s="73"/>
      <c r="F186" s="79">
        <f>IFERROR(D186*E186,0)</f>
        <v>0</v>
      </c>
      <c r="G186" s="60" t="str">
        <f>INDEX(SETORES!$B:$B,MATCH(A186,SETORES!$A:$A,0))</f>
        <v>Clientes</v>
      </c>
      <c r="H186" s="60" t="s">
        <v>88</v>
      </c>
    </row>
    <row r="187" spans="1:8" ht="14.25" customHeight="1" x14ac:dyDescent="0.3">
      <c r="A187" s="2" t="s">
        <v>80</v>
      </c>
      <c r="B187" s="60" t="s">
        <v>155</v>
      </c>
      <c r="C187" s="60" t="s">
        <v>171</v>
      </c>
      <c r="D187" s="68">
        <v>2</v>
      </c>
      <c r="E187" s="73">
        <v>52.09</v>
      </c>
      <c r="F187" s="79">
        <f>IFERROR(D187*E187,0)</f>
        <v>104.18</v>
      </c>
      <c r="G187" s="60" t="s">
        <v>98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170</v>
      </c>
      <c r="D188" s="68">
        <v>2</v>
      </c>
      <c r="E188" s="73">
        <v>32.549999999999997</v>
      </c>
      <c r="F188" s="79">
        <f>IFERROR(D188*E188,0)</f>
        <v>65.099999999999994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169</v>
      </c>
      <c r="D189" s="68">
        <v>2</v>
      </c>
      <c r="E189" s="73">
        <v>52.35</v>
      </c>
      <c r="F189" s="79">
        <f>IFERROR(D189*E189,0)</f>
        <v>104.7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158</v>
      </c>
      <c r="D190" s="68"/>
      <c r="E190" s="73"/>
      <c r="F190" s="79">
        <f>IFERROR(D190*E190,0)</f>
        <v>0</v>
      </c>
      <c r="G190" s="60" t="str">
        <f>INDEX(SETORES!$B:$B,MATCH(A190,SETORES!$A:$A,0))</f>
        <v>Clientes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161</v>
      </c>
      <c r="D191" s="68">
        <v>1</v>
      </c>
      <c r="E191" s="73">
        <v>11133.4</v>
      </c>
      <c r="F191" s="79">
        <f>IFERROR(D191*E191,0)</f>
        <v>11133.4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167</v>
      </c>
      <c r="D192" s="68"/>
      <c r="E192" s="73"/>
      <c r="F192" s="79">
        <f>IFERROR(D192*E192,0)</f>
        <v>0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238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258</v>
      </c>
      <c r="D194" s="68">
        <v>1</v>
      </c>
      <c r="E194" s="73">
        <v>38.770000000000003</v>
      </c>
      <c r="F194" s="79">
        <f>IFERROR(D194*E194,0)</f>
        <v>38.770000000000003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166</v>
      </c>
      <c r="D195" s="68">
        <v>2</v>
      </c>
      <c r="E195" s="73">
        <v>50</v>
      </c>
      <c r="F195" s="79">
        <f>IFERROR(D195*E195,0)</f>
        <v>100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156</v>
      </c>
      <c r="D196" s="68"/>
      <c r="E196" s="73"/>
      <c r="F196" s="79">
        <f>IFERROR(D196*E196,0)</f>
        <v>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157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162</v>
      </c>
      <c r="C198" s="60" t="s">
        <v>222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155</v>
      </c>
      <c r="C199" s="60" t="s">
        <v>168</v>
      </c>
      <c r="D199" s="68">
        <v>2</v>
      </c>
      <c r="E199" s="73">
        <v>1.87</v>
      </c>
      <c r="F199" s="79">
        <f>IFERROR(D199*E199,0)</f>
        <v>3.74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42</v>
      </c>
      <c r="B200" s="60" t="s">
        <v>155</v>
      </c>
      <c r="C200" s="60" t="s">
        <v>159</v>
      </c>
      <c r="D200" s="68"/>
      <c r="E200" s="73"/>
      <c r="F200" s="79">
        <f>IFERROR(D200*E200,0)</f>
        <v>0</v>
      </c>
      <c r="G200" s="60" t="str">
        <f>INDEX(SETORES!$B:$B,MATCH(A200,SETORES!$A:$A,0))</f>
        <v>Clientes</v>
      </c>
      <c r="H200" s="60" t="s">
        <v>88</v>
      </c>
    </row>
    <row r="201" spans="1:8" ht="14.25" customHeight="1" x14ac:dyDescent="0.3">
      <c r="A201" s="2" t="s">
        <v>42</v>
      </c>
      <c r="B201" s="60" t="s">
        <v>155</v>
      </c>
      <c r="C201" s="60" t="s">
        <v>171</v>
      </c>
      <c r="D201" s="68">
        <v>2</v>
      </c>
      <c r="E201" s="73">
        <v>52.09</v>
      </c>
      <c r="F201" s="79">
        <f>IFERROR(D201*E201,0)</f>
        <v>104.18</v>
      </c>
      <c r="G201" s="60" t="s">
        <v>98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170</v>
      </c>
      <c r="D202" s="68">
        <v>2</v>
      </c>
      <c r="E202" s="73">
        <v>32.549999999999997</v>
      </c>
      <c r="F202" s="79">
        <f>IFERROR(D202*E202,0)</f>
        <v>65.099999999999994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169</v>
      </c>
      <c r="D203" s="68">
        <v>2</v>
      </c>
      <c r="E203" s="73">
        <v>52.35</v>
      </c>
      <c r="F203" s="79">
        <f>IFERROR(D203*E203,0)</f>
        <v>104.7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158</v>
      </c>
      <c r="D204" s="68"/>
      <c r="E204" s="73"/>
      <c r="F204" s="79">
        <f>IFERROR(D204*E204,0)</f>
        <v>0</v>
      </c>
      <c r="G204" s="60" t="str">
        <f>INDEX(SETORES!$B:$B,MATCH(A204,SETORES!$A:$A,0))</f>
        <v>Clientes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162</v>
      </c>
      <c r="C205" s="60" t="s">
        <v>163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164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155</v>
      </c>
      <c r="C207" s="60" t="s">
        <v>161</v>
      </c>
      <c r="D207" s="68">
        <v>1</v>
      </c>
      <c r="E207" s="73">
        <v>28328.94</v>
      </c>
      <c r="F207" s="79">
        <f>IFERROR(D207*E207,0)</f>
        <v>28328.94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167</v>
      </c>
      <c r="D208" s="68"/>
      <c r="E208" s="73"/>
      <c r="F208" s="79">
        <f>IFERROR(D208*E208,0)</f>
        <v>0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238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258</v>
      </c>
      <c r="D210" s="68">
        <v>1</v>
      </c>
      <c r="E210" s="73">
        <v>38.770000000000003</v>
      </c>
      <c r="F210" s="79">
        <f>IFERROR(D210*E210,0)</f>
        <v>38.770000000000003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166</v>
      </c>
      <c r="D211" s="68">
        <v>2</v>
      </c>
      <c r="E211" s="73">
        <v>50</v>
      </c>
      <c r="F211" s="79">
        <f>IFERROR(D211*E211,0)</f>
        <v>100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156</v>
      </c>
      <c r="D212" s="68">
        <v>1</v>
      </c>
      <c r="E212" s="73">
        <v>9.31</v>
      </c>
      <c r="F212" s="79">
        <f>IFERROR(D212*E212,0)</f>
        <v>9.31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157</v>
      </c>
      <c r="D213" s="68">
        <v>1</v>
      </c>
      <c r="E213" s="73">
        <v>70.760000000000005</v>
      </c>
      <c r="F213" s="79">
        <f>IFERROR(D213*E213,0)</f>
        <v>70.760000000000005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162</v>
      </c>
      <c r="C214" s="60" t="s">
        <v>222</v>
      </c>
      <c r="D214" s="68"/>
      <c r="E214" s="73"/>
      <c r="F214" s="79">
        <f>IFERROR(D214*E214,0)</f>
        <v>0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155</v>
      </c>
      <c r="C215" s="60" t="s">
        <v>168</v>
      </c>
      <c r="D215" s="68">
        <v>2</v>
      </c>
      <c r="E215" s="73">
        <v>1.87</v>
      </c>
      <c r="F215" s="79">
        <f>IFERROR(D215*E215,0)</f>
        <v>3.74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160</v>
      </c>
      <c r="D216" s="68"/>
      <c r="E216" s="73"/>
      <c r="F216" s="79">
        <f>IFERROR(D216*E216,0)</f>
        <v>0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162</v>
      </c>
      <c r="C217" s="60" t="s">
        <v>215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33</v>
      </c>
      <c r="B218" s="60" t="s">
        <v>155</v>
      </c>
      <c r="C218" s="60" t="s">
        <v>159</v>
      </c>
      <c r="D218" s="68"/>
      <c r="E218" s="73"/>
      <c r="F218" s="79">
        <f>IFERROR(D218*E218,0)</f>
        <v>0</v>
      </c>
      <c r="G218" s="60" t="str">
        <f>INDEX(SETORES!$B:$B,MATCH(A218,SETORES!$A:$A,0))</f>
        <v>Funcionários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212</v>
      </c>
      <c r="D219" s="68">
        <v>2</v>
      </c>
      <c r="E219" s="73">
        <v>30</v>
      </c>
      <c r="F219" s="79">
        <f>IFERROR(D219*E219,0)</f>
        <v>60</v>
      </c>
      <c r="G219" s="60" t="str">
        <f>INDEX(SETORES!$B:$B,MATCH(A219,SETORES!$A:$A,0))</f>
        <v>Funcionários</v>
      </c>
      <c r="H219" s="60" t="s">
        <v>88</v>
      </c>
    </row>
    <row r="220" spans="1:8" ht="14.25" customHeight="1" x14ac:dyDescent="0.3">
      <c r="A220" s="2" t="s">
        <v>33</v>
      </c>
      <c r="B220" s="60" t="s">
        <v>155</v>
      </c>
      <c r="C220" s="60" t="s">
        <v>171</v>
      </c>
      <c r="D220" s="68">
        <v>9</v>
      </c>
      <c r="E220" s="73">
        <v>52.09</v>
      </c>
      <c r="F220" s="79">
        <f>IFERROR(D220*E220,0)</f>
        <v>468.81000000000006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170</v>
      </c>
      <c r="D221" s="68">
        <v>9</v>
      </c>
      <c r="E221" s="73">
        <v>32.549999999999997</v>
      </c>
      <c r="F221" s="79">
        <f>IFERROR(D221*E221,0)</f>
        <v>292.95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169</v>
      </c>
      <c r="D222" s="68">
        <v>9</v>
      </c>
      <c r="E222" s="73">
        <v>52.35</v>
      </c>
      <c r="F222" s="79">
        <f>IFERROR(D222*E222,0)</f>
        <v>471.15000000000003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158</v>
      </c>
      <c r="D223" s="68"/>
      <c r="E223" s="73"/>
      <c r="F223" s="79">
        <f>IFERROR(D223*E223,0)</f>
        <v>0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162</v>
      </c>
      <c r="C224" s="60" t="s">
        <v>165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163</v>
      </c>
      <c r="D225" s="68">
        <v>1</v>
      </c>
      <c r="E225" s="73">
        <v>180</v>
      </c>
      <c r="F225" s="79">
        <f>IFERROR(D225*E225,0)</f>
        <v>180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164</v>
      </c>
      <c r="D226" s="68">
        <v>1</v>
      </c>
      <c r="E226" s="73">
        <v>272</v>
      </c>
      <c r="F226" s="79">
        <f>IFERROR(D226*E226,0)</f>
        <v>272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155</v>
      </c>
      <c r="C227" s="60" t="s">
        <v>161</v>
      </c>
      <c r="D227" s="68">
        <v>1</v>
      </c>
      <c r="E227" s="73">
        <v>48158.28</v>
      </c>
      <c r="F227" s="79">
        <f>IFERROR(D227*E227,0)</f>
        <v>48158.28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167</v>
      </c>
      <c r="D228" s="68"/>
      <c r="E228" s="73"/>
      <c r="F228" s="79">
        <f>IFERROR(D228*E228,0)</f>
        <v>0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162</v>
      </c>
      <c r="C229" s="60" t="s">
        <v>214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155</v>
      </c>
      <c r="C230" s="60" t="s">
        <v>238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258</v>
      </c>
      <c r="D231" s="68">
        <v>1</v>
      </c>
      <c r="E231" s="73">
        <v>174.47</v>
      </c>
      <c r="F231" s="79">
        <f>IFERROR(D231*E231,0)</f>
        <v>174.47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166</v>
      </c>
      <c r="D232" s="68">
        <v>9</v>
      </c>
      <c r="E232" s="73">
        <v>50</v>
      </c>
      <c r="F232" s="79">
        <f>IFERROR(D232*E232,0)</f>
        <v>450</v>
      </c>
      <c r="G232" s="60" t="str">
        <f>INDEX(SETORES!$B:$B,MATCH(A232,SETORES!$A:$A,0))</f>
        <v>Funcionários</v>
      </c>
      <c r="H232" s="60" t="s">
        <v>88</v>
      </c>
    </row>
    <row r="233" spans="1:8" ht="14.25" customHeight="1" x14ac:dyDescent="0.3">
      <c r="A233" s="2" t="s">
        <v>33</v>
      </c>
      <c r="B233" s="60" t="s">
        <v>155</v>
      </c>
      <c r="C233" s="60" t="s">
        <v>177</v>
      </c>
      <c r="D233" s="68">
        <v>1</v>
      </c>
      <c r="E233" s="73">
        <v>2559.44</v>
      </c>
      <c r="F233" s="79">
        <f>IFERROR(D233*E233,0)</f>
        <v>2559.44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156</v>
      </c>
      <c r="D234" s="68">
        <v>1</v>
      </c>
      <c r="E234" s="73">
        <v>9.24</v>
      </c>
      <c r="F234" s="79">
        <f>IFERROR(D234*E234,0)</f>
        <v>9.24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157</v>
      </c>
      <c r="D235" s="68">
        <v>1</v>
      </c>
      <c r="E235" s="73">
        <v>204.89</v>
      </c>
      <c r="F235" s="79">
        <f>IFERROR(D235*E235,0)</f>
        <v>204.89</v>
      </c>
      <c r="G235" s="60" t="str">
        <f>INDEX(SETORES!$B:$B,MATCH(A235,SETORES!$A:$A,0))</f>
        <v>Funcionários</v>
      </c>
      <c r="H235" s="60" t="s">
        <v>88</v>
      </c>
    </row>
    <row r="236" spans="1:8" ht="14.25" customHeight="1" x14ac:dyDescent="0.3">
      <c r="A236" s="2" t="s">
        <v>33</v>
      </c>
      <c r="B236" s="60" t="s">
        <v>155</v>
      </c>
      <c r="C236" s="60" t="s">
        <v>239</v>
      </c>
      <c r="D236" s="68">
        <v>1</v>
      </c>
      <c r="E236" s="73">
        <v>4226.8</v>
      </c>
      <c r="F236" s="79">
        <f>IFERROR(D236*E236,0)</f>
        <v>4226.8</v>
      </c>
      <c r="G236" s="60" t="str">
        <f>INDEX(SETORES!$B:$B,MATCH(A236,SETORES!$A:$A,0))</f>
        <v>Funcionários</v>
      </c>
      <c r="H236" s="60" t="s">
        <v>88</v>
      </c>
    </row>
    <row r="237" spans="1:8" ht="14.25" customHeight="1" x14ac:dyDescent="0.3">
      <c r="A237" s="2" t="s">
        <v>33</v>
      </c>
      <c r="B237" s="60" t="s">
        <v>155</v>
      </c>
      <c r="C237" s="60" t="s">
        <v>180</v>
      </c>
      <c r="D237" s="68">
        <v>1</v>
      </c>
      <c r="E237" s="73">
        <v>3800</v>
      </c>
      <c r="F237" s="79">
        <f>IFERROR(D237*E237,0)</f>
        <v>3800</v>
      </c>
      <c r="G237" s="60" t="str">
        <f>INDEX(SETORES!$B:$B,MATCH(A237,SETORES!$A:$A,0))</f>
        <v>Funcionários</v>
      </c>
      <c r="H237" s="60" t="s">
        <v>88</v>
      </c>
    </row>
    <row r="238" spans="1:8" ht="14.25" customHeight="1" x14ac:dyDescent="0.3">
      <c r="A238" s="2" t="s">
        <v>33</v>
      </c>
      <c r="B238" s="60" t="s">
        <v>155</v>
      </c>
      <c r="C238" s="60" t="s">
        <v>179</v>
      </c>
      <c r="D238" s="68">
        <v>1</v>
      </c>
      <c r="E238" s="73">
        <v>1099.93</v>
      </c>
      <c r="F238" s="79">
        <f>IFERROR(D238*E238,0)</f>
        <v>1099.93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168</v>
      </c>
      <c r="D239" s="68">
        <v>9</v>
      </c>
      <c r="E239" s="73">
        <v>1.87</v>
      </c>
      <c r="F239" s="79">
        <f>IFERROR(D239*E239,0)</f>
        <v>16.830000000000002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160</v>
      </c>
      <c r="D240" s="68"/>
      <c r="E240" s="73"/>
      <c r="F240" s="79">
        <f>IFERROR(D240*E240,0)</f>
        <v>0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45</v>
      </c>
      <c r="B241" s="60" t="s">
        <v>155</v>
      </c>
      <c r="C241" s="60" t="s">
        <v>159</v>
      </c>
      <c r="D241" s="68"/>
      <c r="E241" s="73"/>
      <c r="F241" s="79">
        <f>IFERROR(D241*E241,0)</f>
        <v>0</v>
      </c>
      <c r="G241" s="60" t="str">
        <f>INDEX(SETORES!$B:$B,MATCH(A241,SETORES!$A:$A,0))</f>
        <v>Clientes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212</v>
      </c>
      <c r="D242" s="68">
        <v>8</v>
      </c>
      <c r="E242" s="73">
        <v>30</v>
      </c>
      <c r="F242" s="79">
        <f>IFERROR(D242*E242,0)</f>
        <v>240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162</v>
      </c>
      <c r="C243" s="60" t="s">
        <v>217</v>
      </c>
      <c r="D243" s="68">
        <v>1</v>
      </c>
      <c r="E243" s="73">
        <v>4864.24</v>
      </c>
      <c r="F243" s="79">
        <f>IFERROR(D243*E243,0)</f>
        <v>4864.24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155</v>
      </c>
      <c r="C244" s="60" t="s">
        <v>250</v>
      </c>
      <c r="D244" s="68">
        <v>1</v>
      </c>
      <c r="E244" s="73">
        <v>1574.51</v>
      </c>
      <c r="F244" s="79">
        <f>IFERROR(D244*E244,0)</f>
        <v>1574.51</v>
      </c>
      <c r="G244" s="60" t="str">
        <f>INDEX(SETORES!$B:$B,MATCH(A244,SETORES!$A:$A,0))</f>
        <v>Clientes</v>
      </c>
      <c r="H244" s="60" t="s">
        <v>88</v>
      </c>
    </row>
    <row r="245" spans="1:8" ht="14.25" customHeight="1" x14ac:dyDescent="0.3">
      <c r="A245" s="2" t="s">
        <v>45</v>
      </c>
      <c r="B245" s="60" t="s">
        <v>155</v>
      </c>
      <c r="C245" s="60" t="s">
        <v>171</v>
      </c>
      <c r="D245" s="68">
        <v>9</v>
      </c>
      <c r="E245" s="73">
        <v>52.09</v>
      </c>
      <c r="F245" s="79">
        <f>IFERROR(D245*E245,0)</f>
        <v>468.81000000000006</v>
      </c>
      <c r="G245" s="60" t="s">
        <v>98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170</v>
      </c>
      <c r="D246" s="68">
        <v>9</v>
      </c>
      <c r="E246" s="73">
        <v>32.549999999999997</v>
      </c>
      <c r="F246" s="79">
        <f>IFERROR(D246*E246,0)</f>
        <v>292.95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169</v>
      </c>
      <c r="D247" s="68">
        <v>9</v>
      </c>
      <c r="E247" s="73">
        <v>52.35</v>
      </c>
      <c r="F247" s="79">
        <f>IFERROR(D247*E247,0)</f>
        <v>471.15000000000003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162</v>
      </c>
      <c r="C248" s="60" t="s">
        <v>194</v>
      </c>
      <c r="D248" s="68"/>
      <c r="E248" s="73"/>
      <c r="F248" s="79">
        <f>IFERROR(D248*E248,0)</f>
        <v>0</v>
      </c>
      <c r="G248" s="60" t="str">
        <f>INDEX(SETORES!$B:$B,MATCH(A248,SETORES!$A:$A,0))</f>
        <v>Clientes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155</v>
      </c>
      <c r="C249" s="60" t="s">
        <v>158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162</v>
      </c>
      <c r="C250" s="60" t="s">
        <v>163</v>
      </c>
      <c r="D250" s="68">
        <v>1</v>
      </c>
      <c r="E250" s="73">
        <v>90</v>
      </c>
      <c r="F250" s="79">
        <f>IFERROR(D250*E250,0)</f>
        <v>90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164</v>
      </c>
      <c r="D251" s="68"/>
      <c r="E251" s="73"/>
      <c r="F251" s="79">
        <f>IFERROR(D251*E251,0)</f>
        <v>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155</v>
      </c>
      <c r="C252" s="60" t="s">
        <v>161</v>
      </c>
      <c r="D252" s="68">
        <v>1</v>
      </c>
      <c r="E252" s="73">
        <v>64244.34</v>
      </c>
      <c r="F252" s="79">
        <f>IFERROR(D252*E252,0)</f>
        <v>64244.34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167</v>
      </c>
      <c r="D253" s="68"/>
      <c r="E253" s="73"/>
      <c r="F253" s="79">
        <f>IFERROR(D253*E253,0)</f>
        <v>0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238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258</v>
      </c>
      <c r="D255" s="68">
        <v>1</v>
      </c>
      <c r="E255" s="73">
        <v>174.47</v>
      </c>
      <c r="F255" s="79">
        <f>IFERROR(D255*E255,0)</f>
        <v>174.47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166</v>
      </c>
      <c r="D256" s="68">
        <v>9</v>
      </c>
      <c r="E256" s="73">
        <v>50</v>
      </c>
      <c r="F256" s="79">
        <f>IFERROR(D256*E256,0)</f>
        <v>450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156</v>
      </c>
      <c r="D257" s="68"/>
      <c r="E257" s="73"/>
      <c r="F257" s="79">
        <f>IFERROR(D257*E257,0)</f>
        <v>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157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162</v>
      </c>
      <c r="C259" s="60" t="s">
        <v>209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hidden="1" customHeight="1" x14ac:dyDescent="0.3">
      <c r="A260" s="2" t="s">
        <v>45</v>
      </c>
      <c r="B260" s="60" t="s">
        <v>162</v>
      </c>
      <c r="C260" s="60" t="s">
        <v>222</v>
      </c>
      <c r="D260" s="68"/>
      <c r="E260" s="73"/>
      <c r="F260" s="79">
        <f>IFERROR(D260*E260,0)</f>
        <v>0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155</v>
      </c>
      <c r="C261" s="60" t="s">
        <v>244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168</v>
      </c>
      <c r="D262" s="68">
        <v>9</v>
      </c>
      <c r="E262" s="73">
        <v>1.87</v>
      </c>
      <c r="F262" s="79">
        <f>IFERROR(D262*E262,0)</f>
        <v>16.830000000000002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160</v>
      </c>
      <c r="D263" s="68"/>
      <c r="E263" s="73"/>
      <c r="F263" s="79">
        <f>IFERROR(D263*E263,0)</f>
        <v>0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50</v>
      </c>
      <c r="B264" s="60" t="s">
        <v>155</v>
      </c>
      <c r="C264" s="60" t="s">
        <v>159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customHeight="1" x14ac:dyDescent="0.3">
      <c r="A265" s="2" t="s">
        <v>50</v>
      </c>
      <c r="B265" s="60" t="s">
        <v>155</v>
      </c>
      <c r="C265" s="60" t="s">
        <v>171</v>
      </c>
      <c r="D265" s="68">
        <v>16</v>
      </c>
      <c r="E265" s="73">
        <v>52.09</v>
      </c>
      <c r="F265" s="79">
        <f>IFERROR(D265*E265,0)</f>
        <v>833.44</v>
      </c>
      <c r="G265" s="60" t="s">
        <v>98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170</v>
      </c>
      <c r="D266" s="68">
        <v>16</v>
      </c>
      <c r="E266" s="73">
        <v>32.549999999999997</v>
      </c>
      <c r="F266" s="79">
        <f>IFERROR(D266*E266,0)</f>
        <v>520.79999999999995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169</v>
      </c>
      <c r="D267" s="68">
        <v>16</v>
      </c>
      <c r="E267" s="73">
        <v>52.35</v>
      </c>
      <c r="F267" s="79">
        <f>IFERROR(D267*E267,0)</f>
        <v>837.6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158</v>
      </c>
      <c r="D268" s="68"/>
      <c r="E268" s="73"/>
      <c r="F268" s="79">
        <f>IFERROR(D268*E268,0)</f>
        <v>0</v>
      </c>
      <c r="G268" s="60" t="str">
        <f>INDEX(SETORES!$B:$B,MATCH(A268,SETORES!$A:$A,0))</f>
        <v>Clientes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162</v>
      </c>
      <c r="C269" s="60" t="s">
        <v>165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163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164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155</v>
      </c>
      <c r="C272" s="60" t="s">
        <v>161</v>
      </c>
      <c r="D272" s="68">
        <v>1</v>
      </c>
      <c r="E272" s="73">
        <v>96388.9</v>
      </c>
      <c r="F272" s="79">
        <f>IFERROR(D272*E272,0)</f>
        <v>96388.9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167</v>
      </c>
      <c r="D273" s="68"/>
      <c r="E273" s="73"/>
      <c r="F273" s="79">
        <f>IFERROR(D273*E273,0)</f>
        <v>0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238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258</v>
      </c>
      <c r="D275" s="68">
        <v>1</v>
      </c>
      <c r="E275" s="73">
        <v>310.17</v>
      </c>
      <c r="F275" s="79">
        <f>IFERROR(D275*E275,0)</f>
        <v>310.17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166</v>
      </c>
      <c r="D276" s="68">
        <v>16</v>
      </c>
      <c r="E276" s="73">
        <v>50</v>
      </c>
      <c r="F276" s="79">
        <f>IFERROR(D276*E276,0)</f>
        <v>800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156</v>
      </c>
      <c r="D277" s="68"/>
      <c r="E277" s="73"/>
      <c r="F277" s="79">
        <f>IFERROR(D277*E277,0)</f>
        <v>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157</v>
      </c>
      <c r="D278" s="68">
        <v>1</v>
      </c>
      <c r="E278" s="73">
        <v>828.61</v>
      </c>
      <c r="F278" s="79">
        <f>IFERROR(D278*E278,0)</f>
        <v>828.61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162</v>
      </c>
      <c r="C279" s="60" t="s">
        <v>209</v>
      </c>
      <c r="D279" s="68"/>
      <c r="E279" s="73"/>
      <c r="F279" s="79">
        <f>IFERROR(D279*E279,0)</f>
        <v>0</v>
      </c>
      <c r="G279" s="60" t="str">
        <f>INDEX(SETORES!$B:$B,MATCH(A279,SETORES!$A:$A,0))</f>
        <v>Clientes</v>
      </c>
      <c r="H279" s="60" t="s">
        <v>88</v>
      </c>
    </row>
    <row r="280" spans="1:8" ht="14.25" hidden="1" customHeight="1" x14ac:dyDescent="0.3">
      <c r="A280" s="2" t="s">
        <v>50</v>
      </c>
      <c r="B280" s="60" t="s">
        <v>162</v>
      </c>
      <c r="C280" s="60" t="s">
        <v>222</v>
      </c>
      <c r="D280" s="68"/>
      <c r="E280" s="73"/>
      <c r="F280" s="79">
        <f>IFERROR(D280*E280,0)</f>
        <v>0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155</v>
      </c>
      <c r="C281" s="60" t="s">
        <v>168</v>
      </c>
      <c r="D281" s="68">
        <v>16</v>
      </c>
      <c r="E281" s="73">
        <v>1.87</v>
      </c>
      <c r="F281" s="79">
        <f>IFERROR(D281*E281,0)</f>
        <v>29.92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160</v>
      </c>
      <c r="D282" s="68"/>
      <c r="E282" s="73"/>
      <c r="F282" s="79">
        <f>IFERROR(D282*E282,0)</f>
        <v>0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36</v>
      </c>
      <c r="B283" s="60" t="s">
        <v>155</v>
      </c>
      <c r="C283" s="60" t="s">
        <v>159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212</v>
      </c>
      <c r="D284" s="68">
        <v>2</v>
      </c>
      <c r="E284" s="73">
        <v>30</v>
      </c>
      <c r="F284" s="79">
        <f>IFERROR(D284*E284,0)</f>
        <v>60</v>
      </c>
      <c r="G284" s="60" t="str">
        <f>INDEX(SETORES!$B:$B,MATCH(A284,SETORES!$A:$A,0))</f>
        <v>Clientes</v>
      </c>
      <c r="H284" s="60" t="s">
        <v>88</v>
      </c>
    </row>
    <row r="285" spans="1:8" ht="14.25" customHeight="1" x14ac:dyDescent="0.3">
      <c r="A285" s="2" t="s">
        <v>36</v>
      </c>
      <c r="B285" s="60" t="s">
        <v>155</v>
      </c>
      <c r="C285" s="60" t="s">
        <v>171</v>
      </c>
      <c r="D285" s="68">
        <v>8</v>
      </c>
      <c r="E285" s="73">
        <v>52.09</v>
      </c>
      <c r="F285" s="79">
        <f>IFERROR(D285*E285,0)</f>
        <v>416.72</v>
      </c>
      <c r="G285" s="60" t="s">
        <v>98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170</v>
      </c>
      <c r="D286" s="68">
        <v>8</v>
      </c>
      <c r="E286" s="73">
        <v>32.549999999999997</v>
      </c>
      <c r="F286" s="79">
        <f>IFERROR(D286*E286,0)</f>
        <v>260.39999999999998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169</v>
      </c>
      <c r="D287" s="68">
        <v>8</v>
      </c>
      <c r="E287" s="73">
        <v>52.35</v>
      </c>
      <c r="F287" s="79">
        <f>IFERROR(D287*E287,0)</f>
        <v>418.8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158</v>
      </c>
      <c r="D288" s="68"/>
      <c r="E288" s="73"/>
      <c r="F288" s="79">
        <f>IFERROR(D288*E288,0)</f>
        <v>0</v>
      </c>
      <c r="G288" s="60" t="str">
        <f>INDEX(SETORES!$B:$B,MATCH(A288,SETORES!$A:$A,0))</f>
        <v>Clientes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162</v>
      </c>
      <c r="C289" s="60" t="s">
        <v>163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164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155</v>
      </c>
      <c r="C291" s="60" t="s">
        <v>161</v>
      </c>
      <c r="D291" s="68">
        <v>1</v>
      </c>
      <c r="E291" s="73">
        <v>33181.94</v>
      </c>
      <c r="F291" s="79">
        <f>IFERROR(D291*E291,0)</f>
        <v>33181.94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167</v>
      </c>
      <c r="D292" s="68"/>
      <c r="E292" s="73"/>
      <c r="F292" s="79">
        <f>IFERROR(D292*E292,0)</f>
        <v>0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238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258</v>
      </c>
      <c r="D294" s="68">
        <v>1</v>
      </c>
      <c r="E294" s="73">
        <v>155.09</v>
      </c>
      <c r="F294" s="79">
        <f>IFERROR(D294*E294,0)</f>
        <v>155.09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166</v>
      </c>
      <c r="D295" s="68">
        <v>8</v>
      </c>
      <c r="E295" s="73">
        <v>50</v>
      </c>
      <c r="F295" s="79">
        <f>IFERROR(D295*E295,0)</f>
        <v>400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219</v>
      </c>
      <c r="D296" s="68"/>
      <c r="E296" s="73"/>
      <c r="F296" s="79">
        <f>IFERROR(D296*E296,0)</f>
        <v>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156</v>
      </c>
      <c r="D297" s="68">
        <v>1</v>
      </c>
      <c r="E297" s="73">
        <v>4.82</v>
      </c>
      <c r="F297" s="79">
        <f>IFERROR(D297*E297,0)</f>
        <v>4.82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157</v>
      </c>
      <c r="D298" s="68">
        <v>1</v>
      </c>
      <c r="E298" s="73">
        <v>438.85</v>
      </c>
      <c r="F298" s="79">
        <f>IFERROR(D298*E298,0)</f>
        <v>438.85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242</v>
      </c>
      <c r="D299" s="68"/>
      <c r="E299" s="73"/>
      <c r="F299" s="79">
        <f>IFERROR(D299*E299,0)</f>
        <v>0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162</v>
      </c>
      <c r="C300" s="60" t="s">
        <v>222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155</v>
      </c>
      <c r="C301" s="60" t="s">
        <v>168</v>
      </c>
      <c r="D301" s="68">
        <v>8</v>
      </c>
      <c r="E301" s="73">
        <v>1.87</v>
      </c>
      <c r="F301" s="79">
        <f>IFERROR(D301*E301,0)</f>
        <v>14.96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160</v>
      </c>
      <c r="D302" s="68"/>
      <c r="E302" s="73"/>
      <c r="F302" s="79">
        <f>IFERROR(D302*E302,0)</f>
        <v>0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81</v>
      </c>
      <c r="B303" s="60" t="s">
        <v>155</v>
      </c>
      <c r="C303" s="60" t="s">
        <v>212</v>
      </c>
      <c r="D303" s="68">
        <v>2</v>
      </c>
      <c r="E303" s="73">
        <v>30</v>
      </c>
      <c r="F303" s="79">
        <f>IFERROR(D303*E303,0)</f>
        <v>60</v>
      </c>
      <c r="G303" s="60" t="str">
        <f>INDEX(SETORES!$B:$B,MATCH(A303,SETORES!$A:$A,0))</f>
        <v>Clientes</v>
      </c>
      <c r="H303" s="60" t="s">
        <v>88</v>
      </c>
    </row>
    <row r="304" spans="1:8" ht="14.25" customHeight="1" x14ac:dyDescent="0.3">
      <c r="A304" s="2" t="s">
        <v>81</v>
      </c>
      <c r="B304" s="60" t="s">
        <v>155</v>
      </c>
      <c r="C304" s="60" t="s">
        <v>171</v>
      </c>
      <c r="D304" s="68">
        <v>3</v>
      </c>
      <c r="E304" s="73">
        <v>52.09</v>
      </c>
      <c r="F304" s="79">
        <f>IFERROR(D304*E304,0)</f>
        <v>156.27000000000001</v>
      </c>
      <c r="G304" s="60" t="s">
        <v>98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170</v>
      </c>
      <c r="D305" s="68">
        <v>3</v>
      </c>
      <c r="E305" s="73">
        <v>32.549999999999997</v>
      </c>
      <c r="F305" s="79">
        <f>IFERROR(D305*E305,0)</f>
        <v>97.649999999999991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169</v>
      </c>
      <c r="D306" s="68">
        <v>3</v>
      </c>
      <c r="E306" s="73">
        <v>52.35</v>
      </c>
      <c r="F306" s="79">
        <f>IFERROR(D306*E306,0)</f>
        <v>157.05000000000001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162</v>
      </c>
      <c r="C307" s="60" t="s">
        <v>163</v>
      </c>
      <c r="D307" s="68"/>
      <c r="E307" s="73"/>
      <c r="F307" s="79">
        <f>IFERROR(D307*E307,0)</f>
        <v>0</v>
      </c>
      <c r="G307" s="60" t="str">
        <f>INDEX(SETORES!$B:$B,MATCH(A307,SETORES!$A:$A,0))</f>
        <v>Clientes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155</v>
      </c>
      <c r="C308" s="60" t="s">
        <v>161</v>
      </c>
      <c r="D308" s="68">
        <v>1</v>
      </c>
      <c r="E308" s="73">
        <v>13644.85</v>
      </c>
      <c r="F308" s="79">
        <f>IFERROR(D308*E308,0)</f>
        <v>13644.85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167</v>
      </c>
      <c r="D309" s="68"/>
      <c r="E309" s="73"/>
      <c r="F309" s="79">
        <f>IFERROR(D309*E309,0)</f>
        <v>0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238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166</v>
      </c>
      <c r="D311" s="68">
        <v>3</v>
      </c>
      <c r="E311" s="73">
        <v>50</v>
      </c>
      <c r="F311" s="79">
        <f>IFERROR(D311*E311,0)</f>
        <v>150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162</v>
      </c>
      <c r="C312" s="60" t="s">
        <v>156</v>
      </c>
      <c r="D312" s="68">
        <v>1</v>
      </c>
      <c r="E312" s="73">
        <v>528.1</v>
      </c>
      <c r="F312" s="79">
        <f>IFERROR(D312*E312,0)</f>
        <v>528.1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155</v>
      </c>
      <c r="C313" s="60" t="s">
        <v>157</v>
      </c>
      <c r="D313" s="68">
        <v>1</v>
      </c>
      <c r="E313" s="73">
        <v>175.81</v>
      </c>
      <c r="F313" s="79">
        <f>IFERROR(D313*E313,0)</f>
        <v>175.81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162</v>
      </c>
      <c r="C314" s="60" t="s">
        <v>222</v>
      </c>
      <c r="D314" s="68"/>
      <c r="E314" s="73"/>
      <c r="F314" s="79">
        <f>IFERROR(D314*E314,0)</f>
        <v>0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155</v>
      </c>
      <c r="C315" s="60" t="s">
        <v>168</v>
      </c>
      <c r="D315" s="68">
        <v>3</v>
      </c>
      <c r="E315" s="73">
        <v>1.87</v>
      </c>
      <c r="F315" s="79">
        <f>IFERROR(D315*E315,0)</f>
        <v>5.61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82</v>
      </c>
      <c r="B316" s="60" t="s">
        <v>162</v>
      </c>
      <c r="C316" s="60" t="s">
        <v>217</v>
      </c>
      <c r="D316" s="68">
        <v>1</v>
      </c>
      <c r="E316" s="73">
        <v>19762.11</v>
      </c>
      <c r="F316" s="79">
        <f>IFERROR(D316*E316,0)</f>
        <v>19762.11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155</v>
      </c>
      <c r="C317" s="60" t="s">
        <v>250</v>
      </c>
      <c r="D317" s="68">
        <v>1</v>
      </c>
      <c r="E317" s="73">
        <v>1749.46</v>
      </c>
      <c r="F317" s="79">
        <f>IFERROR(D317*E317,0)</f>
        <v>1749.46</v>
      </c>
      <c r="G317" s="60" t="str">
        <f>INDEX(SETORES!$B:$B,MATCH(A317,SETORES!$A:$A,0))</f>
        <v>Clientes</v>
      </c>
      <c r="H317" s="60" t="s">
        <v>88</v>
      </c>
    </row>
    <row r="318" spans="1:8" ht="14.25" customHeight="1" x14ac:dyDescent="0.3">
      <c r="A318" s="2" t="s">
        <v>82</v>
      </c>
      <c r="B318" s="60" t="s">
        <v>155</v>
      </c>
      <c r="C318" s="60" t="s">
        <v>171</v>
      </c>
      <c r="D318" s="68">
        <v>10</v>
      </c>
      <c r="E318" s="73">
        <v>52.09</v>
      </c>
      <c r="F318" s="79">
        <f>IFERROR(D318*E318,0)</f>
        <v>520.90000000000009</v>
      </c>
      <c r="G318" s="60" t="s">
        <v>98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170</v>
      </c>
      <c r="D319" s="68">
        <v>10</v>
      </c>
      <c r="E319" s="73">
        <v>32.549999999999997</v>
      </c>
      <c r="F319" s="79">
        <f>IFERROR(D319*E319,0)</f>
        <v>325.5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169</v>
      </c>
      <c r="D320" s="68">
        <v>10</v>
      </c>
      <c r="E320" s="73">
        <v>52.35</v>
      </c>
      <c r="F320" s="79">
        <f>IFERROR(D320*E320,0)</f>
        <v>523.5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162</v>
      </c>
      <c r="C321" s="60" t="s">
        <v>221</v>
      </c>
      <c r="D321" s="68"/>
      <c r="E321" s="73"/>
      <c r="F321" s="79">
        <f>IFERROR(D321*E321,0)</f>
        <v>0</v>
      </c>
      <c r="G321" s="60" t="str">
        <f>INDEX(SETORES!$B:$B,MATCH(A321,SETORES!$A:$A,0))</f>
        <v>Clientes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155</v>
      </c>
      <c r="C322" s="60" t="s">
        <v>161</v>
      </c>
      <c r="D322" s="68">
        <v>1</v>
      </c>
      <c r="E322" s="73">
        <v>108616.1</v>
      </c>
      <c r="F322" s="79">
        <f>IFERROR(D322*E322,0)</f>
        <v>108616.1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167</v>
      </c>
      <c r="D323" s="68"/>
      <c r="E323" s="73"/>
      <c r="F323" s="79">
        <f>IFERROR(D323*E323,0)</f>
        <v>0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166</v>
      </c>
      <c r="D324" s="68">
        <v>10</v>
      </c>
      <c r="E324" s="73">
        <v>50</v>
      </c>
      <c r="F324" s="79">
        <f>IFERROR(D324*E324,0)</f>
        <v>500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162</v>
      </c>
      <c r="C325" s="60" t="s">
        <v>222</v>
      </c>
      <c r="D325" s="68"/>
      <c r="E325" s="73"/>
      <c r="F325" s="79">
        <f>IFERROR(D325*E325,0)</f>
        <v>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155</v>
      </c>
      <c r="C326" s="60" t="s">
        <v>168</v>
      </c>
      <c r="D326" s="68">
        <v>10</v>
      </c>
      <c r="E326" s="73">
        <v>1.87</v>
      </c>
      <c r="F326" s="79">
        <f>IFERROR(D326*E326,0)</f>
        <v>18.700000000000003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34</v>
      </c>
      <c r="B327" s="60" t="s">
        <v>155</v>
      </c>
      <c r="C327" s="60" t="s">
        <v>159</v>
      </c>
      <c r="D327" s="68"/>
      <c r="E327" s="73"/>
      <c r="F327" s="79">
        <f>IFERROR(D327*E327,0)</f>
        <v>0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212</v>
      </c>
      <c r="D328" s="68">
        <v>2</v>
      </c>
      <c r="E328" s="73">
        <v>30</v>
      </c>
      <c r="F328" s="79">
        <f>IFERROR(D328*E328,0)</f>
        <v>60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248</v>
      </c>
      <c r="D329" s="68">
        <v>1</v>
      </c>
      <c r="E329" s="73">
        <v>4947.47</v>
      </c>
      <c r="F329" s="79">
        <f>IFERROR(D329*E329,0)</f>
        <v>4947.47</v>
      </c>
      <c r="G329" s="60" t="str">
        <f>INDEX(SETORES!$B:$B,MATCH(A329,SETORES!$A:$A,0))</f>
        <v>Clientes</v>
      </c>
      <c r="H329" s="60" t="s">
        <v>88</v>
      </c>
    </row>
    <row r="330" spans="1:8" ht="14.25" customHeight="1" x14ac:dyDescent="0.3">
      <c r="A330" s="2" t="s">
        <v>34</v>
      </c>
      <c r="B330" s="60" t="s">
        <v>155</v>
      </c>
      <c r="C330" s="60" t="s">
        <v>171</v>
      </c>
      <c r="D330" s="68">
        <v>17</v>
      </c>
      <c r="E330" s="73">
        <v>52.09</v>
      </c>
      <c r="F330" s="79">
        <f>IFERROR(D330*E330,0)</f>
        <v>885.53000000000009</v>
      </c>
      <c r="G330" s="60" t="s">
        <v>98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170</v>
      </c>
      <c r="D331" s="68">
        <v>17</v>
      </c>
      <c r="E331" s="73">
        <v>32.549999999999997</v>
      </c>
      <c r="F331" s="79">
        <f>IFERROR(D331*E331,0)</f>
        <v>553.34999999999991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169</v>
      </c>
      <c r="D332" s="68">
        <v>17</v>
      </c>
      <c r="E332" s="73">
        <v>52.35</v>
      </c>
      <c r="F332" s="79">
        <f>IFERROR(D332*E332,0)</f>
        <v>889.95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158</v>
      </c>
      <c r="D333" s="68"/>
      <c r="E333" s="73"/>
      <c r="F333" s="79">
        <f>IFERROR(D333*E333,0)</f>
        <v>0</v>
      </c>
      <c r="G333" s="60" t="str">
        <f>INDEX(SETORES!$B:$B,MATCH(A333,SETORES!$A:$A,0))</f>
        <v>Clientes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162</v>
      </c>
      <c r="C334" s="60" t="s">
        <v>165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163</v>
      </c>
      <c r="D335" s="68">
        <v>1</v>
      </c>
      <c r="E335" s="73">
        <v>180</v>
      </c>
      <c r="F335" s="79">
        <f>IFERROR(D335*E335,0)</f>
        <v>180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164</v>
      </c>
      <c r="D336" s="68"/>
      <c r="E336" s="73"/>
      <c r="F336" s="79">
        <f>IFERROR(D336*E336,0)</f>
        <v>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155</v>
      </c>
      <c r="C337" s="60" t="s">
        <v>161</v>
      </c>
      <c r="D337" s="68">
        <v>1</v>
      </c>
      <c r="E337" s="73">
        <v>55556.32</v>
      </c>
      <c r="F337" s="79">
        <f>IFERROR(D337*E337,0)</f>
        <v>55556.32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167</v>
      </c>
      <c r="D338" s="68"/>
      <c r="E338" s="73"/>
      <c r="F338" s="79">
        <f>IFERROR(D338*E338,0)</f>
        <v>0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238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258</v>
      </c>
      <c r="D340" s="68">
        <v>1</v>
      </c>
      <c r="E340" s="73">
        <v>329.56</v>
      </c>
      <c r="F340" s="79">
        <f>IFERROR(D340*E340,0)</f>
        <v>329.56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166</v>
      </c>
      <c r="D341" s="68">
        <v>17</v>
      </c>
      <c r="E341" s="73">
        <v>50</v>
      </c>
      <c r="F341" s="79">
        <f>IFERROR(D341*E341,0)</f>
        <v>850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156</v>
      </c>
      <c r="D342" s="68">
        <v>1</v>
      </c>
      <c r="E342" s="73">
        <v>840.67</v>
      </c>
      <c r="F342" s="79">
        <f>IFERROR(D342*E342,0)</f>
        <v>840.67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157</v>
      </c>
      <c r="D343" s="68">
        <v>1</v>
      </c>
      <c r="E343" s="73">
        <v>882.22</v>
      </c>
      <c r="F343" s="79">
        <f>IFERROR(D343*E343,0)</f>
        <v>882.22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162</v>
      </c>
      <c r="C344" s="60" t="s">
        <v>222</v>
      </c>
      <c r="D344" s="68"/>
      <c r="E344" s="73"/>
      <c r="F344" s="79">
        <f>IFERROR(D344*E344,0)</f>
        <v>0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155</v>
      </c>
      <c r="C345" s="60" t="s">
        <v>168</v>
      </c>
      <c r="D345" s="68">
        <v>17</v>
      </c>
      <c r="E345" s="73">
        <v>1.87</v>
      </c>
      <c r="F345" s="79">
        <f>IFERROR(D345*E345,0)</f>
        <v>31.790000000000003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160</v>
      </c>
      <c r="D346" s="68"/>
      <c r="E346" s="73"/>
      <c r="F346" s="79">
        <f>IFERROR(D346*E346,0)</f>
        <v>0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83</v>
      </c>
      <c r="B347" s="60" t="s">
        <v>155</v>
      </c>
      <c r="C347" s="60" t="s">
        <v>212</v>
      </c>
      <c r="D347" s="68">
        <v>2</v>
      </c>
      <c r="E347" s="73">
        <v>30</v>
      </c>
      <c r="F347" s="79">
        <f>IFERROR(D347*E347,0)</f>
        <v>60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162</v>
      </c>
      <c r="C348" s="60" t="s">
        <v>217</v>
      </c>
      <c r="D348" s="68">
        <v>1</v>
      </c>
      <c r="E348" s="73">
        <v>1280.0999999999999</v>
      </c>
      <c r="F348" s="79">
        <f>IFERROR(D348*E348,0)</f>
        <v>1280.0999999999999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155</v>
      </c>
      <c r="C349" s="60" t="s">
        <v>237</v>
      </c>
      <c r="D349" s="68">
        <v>1</v>
      </c>
      <c r="E349" s="73">
        <v>7500</v>
      </c>
      <c r="F349" s="79">
        <f>IFERROR(D349*E349,0)</f>
        <v>7500</v>
      </c>
      <c r="G349" s="60" t="str">
        <f>INDEX(SETORES!$B:$B,MATCH(A349,SETORES!$A:$A,0))</f>
        <v>Clientes</v>
      </c>
      <c r="H349" s="60" t="s">
        <v>88</v>
      </c>
    </row>
    <row r="350" spans="1:8" ht="14.25" customHeight="1" x14ac:dyDescent="0.3">
      <c r="A350" s="2" t="s">
        <v>83</v>
      </c>
      <c r="B350" s="60" t="s">
        <v>155</v>
      </c>
      <c r="C350" s="60" t="s">
        <v>171</v>
      </c>
      <c r="D350" s="68">
        <v>2</v>
      </c>
      <c r="E350" s="73">
        <v>52.09</v>
      </c>
      <c r="F350" s="79">
        <f>IFERROR(D350*E350,0)</f>
        <v>104.18</v>
      </c>
      <c r="G350" s="60" t="s">
        <v>98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170</v>
      </c>
      <c r="D351" s="68">
        <v>2</v>
      </c>
      <c r="E351" s="73">
        <v>32.549999999999997</v>
      </c>
      <c r="F351" s="79">
        <f>IFERROR(D351*E351,0)</f>
        <v>65.099999999999994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169</v>
      </c>
      <c r="D352" s="68">
        <v>2</v>
      </c>
      <c r="E352" s="73">
        <v>52.35</v>
      </c>
      <c r="F352" s="79">
        <f>IFERROR(D352*E352,0)</f>
        <v>104.7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161</v>
      </c>
      <c r="D353" s="68">
        <v>1</v>
      </c>
      <c r="E353" s="73">
        <v>7846.31</v>
      </c>
      <c r="F353" s="79">
        <f>IFERROR(D353*E353,0)</f>
        <v>7846.31</v>
      </c>
      <c r="G353" s="60" t="str">
        <f>INDEX(SETORES!$B:$B,MATCH(A353,SETORES!$A:$A,0))</f>
        <v>Clientes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167</v>
      </c>
      <c r="D354" s="68"/>
      <c r="E354" s="73"/>
      <c r="F354" s="79">
        <f>IFERROR(D354*E354,0)</f>
        <v>0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238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166</v>
      </c>
      <c r="D356" s="68">
        <v>2</v>
      </c>
      <c r="E356" s="73">
        <v>50</v>
      </c>
      <c r="F356" s="79">
        <f>IFERROR(D356*E356,0)</f>
        <v>100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157</v>
      </c>
      <c r="D357" s="68">
        <v>1</v>
      </c>
      <c r="E357" s="73">
        <v>150.41999999999999</v>
      </c>
      <c r="F357" s="79">
        <f>IFERROR(D357*E357,0)</f>
        <v>150.41999999999999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162</v>
      </c>
      <c r="C358" s="60" t="s">
        <v>222</v>
      </c>
      <c r="D358" s="68"/>
      <c r="E358" s="73"/>
      <c r="F358" s="79">
        <f>IFERROR(D358*E358,0)</f>
        <v>0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155</v>
      </c>
      <c r="C359" s="60" t="s">
        <v>168</v>
      </c>
      <c r="D359" s="68">
        <v>2</v>
      </c>
      <c r="E359" s="73">
        <v>1.87</v>
      </c>
      <c r="F359" s="79">
        <f>IFERROR(D359*E359,0)</f>
        <v>3.74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84</v>
      </c>
      <c r="B360" s="60" t="s">
        <v>162</v>
      </c>
      <c r="C360" s="60" t="s">
        <v>217</v>
      </c>
      <c r="D360" s="68">
        <v>1</v>
      </c>
      <c r="E360" s="73">
        <v>12181.5</v>
      </c>
      <c r="F360" s="79">
        <f>IFERROR(D360*E360,0)</f>
        <v>12181.5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155</v>
      </c>
      <c r="C361" s="60" t="s">
        <v>250</v>
      </c>
      <c r="D361" s="68">
        <v>1</v>
      </c>
      <c r="E361" s="73">
        <v>4198.71</v>
      </c>
      <c r="F361" s="79">
        <f>IFERROR(D361*E361,0)</f>
        <v>4198.71</v>
      </c>
      <c r="G361" s="60" t="str">
        <f>INDEX(SETORES!$B:$B,MATCH(A361,SETORES!$A:$A,0))</f>
        <v>Clientes</v>
      </c>
      <c r="H361" s="60" t="s">
        <v>88</v>
      </c>
    </row>
    <row r="362" spans="1:8" ht="14.25" customHeight="1" x14ac:dyDescent="0.3">
      <c r="A362" s="2" t="s">
        <v>84</v>
      </c>
      <c r="B362" s="60" t="s">
        <v>155</v>
      </c>
      <c r="C362" s="60" t="s">
        <v>171</v>
      </c>
      <c r="D362" s="68">
        <v>24</v>
      </c>
      <c r="E362" s="73">
        <v>52.09</v>
      </c>
      <c r="F362" s="79">
        <f>IFERROR(D362*E362,0)</f>
        <v>1250.1600000000001</v>
      </c>
      <c r="G362" s="60" t="s">
        <v>98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170</v>
      </c>
      <c r="D363" s="68">
        <v>24</v>
      </c>
      <c r="E363" s="73">
        <v>32.549999999999997</v>
      </c>
      <c r="F363" s="79">
        <f>IFERROR(D363*E363,0)</f>
        <v>781.19999999999993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169</v>
      </c>
      <c r="D364" s="68">
        <v>24</v>
      </c>
      <c r="E364" s="73">
        <v>52.35</v>
      </c>
      <c r="F364" s="79">
        <f>IFERROR(D364*E364,0)</f>
        <v>1256.4000000000001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162</v>
      </c>
      <c r="C365" s="60" t="s">
        <v>221</v>
      </c>
      <c r="D365" s="68"/>
      <c r="E365" s="73"/>
      <c r="F365" s="79">
        <f>IFERROR(D365*E365,0)</f>
        <v>0</v>
      </c>
      <c r="G365" s="60" t="str">
        <f>INDEX(SETORES!$B:$B,MATCH(A365,SETORES!$A:$A,0))</f>
        <v>Clientes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155</v>
      </c>
      <c r="C366" s="60" t="s">
        <v>161</v>
      </c>
      <c r="D366" s="68">
        <v>1</v>
      </c>
      <c r="E366" s="73">
        <v>184970.83</v>
      </c>
      <c r="F366" s="79">
        <f>IFERROR(D366*E366,0)</f>
        <v>184970.83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167</v>
      </c>
      <c r="D367" s="68"/>
      <c r="E367" s="73"/>
      <c r="F367" s="79">
        <f>IFERROR(D367*E367,0)</f>
        <v>0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166</v>
      </c>
      <c r="D368" s="68">
        <v>24</v>
      </c>
      <c r="E368" s="73">
        <v>50</v>
      </c>
      <c r="F368" s="79">
        <f>IFERROR(D368*E368,0)</f>
        <v>1200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168</v>
      </c>
      <c r="D369" s="68">
        <v>24</v>
      </c>
      <c r="E369" s="73">
        <v>1.87</v>
      </c>
      <c r="F369" s="79">
        <f>IFERROR(D369*E369,0)</f>
        <v>44.88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48</v>
      </c>
      <c r="B370" s="60" t="s">
        <v>155</v>
      </c>
      <c r="C370" s="60" t="s">
        <v>159</v>
      </c>
      <c r="D370" s="68"/>
      <c r="E370" s="73"/>
      <c r="F370" s="79">
        <f>IFERROR(D370*E370,0)</f>
        <v>0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212</v>
      </c>
      <c r="D371" s="68">
        <v>7</v>
      </c>
      <c r="E371" s="73">
        <v>30</v>
      </c>
      <c r="F371" s="79">
        <f>IFERROR(D371*E371,0)</f>
        <v>210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162</v>
      </c>
      <c r="C372" s="60" t="s">
        <v>217</v>
      </c>
      <c r="D372" s="68">
        <v>1</v>
      </c>
      <c r="E372" s="73">
        <v>39191.620000000003</v>
      </c>
      <c r="F372" s="79">
        <f>IFERROR(D372*E372,0)</f>
        <v>39191.620000000003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247</v>
      </c>
      <c r="D373" s="68"/>
      <c r="E373" s="73"/>
      <c r="F373" s="79">
        <f>IFERROR(D373*E373,0)</f>
        <v>0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155</v>
      </c>
      <c r="C374" s="60" t="s">
        <v>256</v>
      </c>
      <c r="D374" s="68">
        <v>1</v>
      </c>
      <c r="E374" s="73">
        <v>11599.66</v>
      </c>
      <c r="F374" s="79">
        <f>IFERROR(D374*E374,0)</f>
        <v>11599.66</v>
      </c>
      <c r="G374" s="60" t="str">
        <f>INDEX(SETORES!$B:$B,MATCH(A374,SETORES!$A:$A,0))</f>
        <v>Clientes</v>
      </c>
      <c r="H374" s="60" t="s">
        <v>88</v>
      </c>
    </row>
    <row r="375" spans="1:8" ht="14.25" customHeight="1" x14ac:dyDescent="0.3">
      <c r="A375" s="2" t="s">
        <v>48</v>
      </c>
      <c r="B375" s="60" t="s">
        <v>155</v>
      </c>
      <c r="C375" s="60" t="s">
        <v>171</v>
      </c>
      <c r="D375" s="68">
        <v>16</v>
      </c>
      <c r="E375" s="73">
        <v>52.09</v>
      </c>
      <c r="F375" s="79">
        <f>IFERROR(D375*E375,0)</f>
        <v>833.44</v>
      </c>
      <c r="G375" s="60" t="s">
        <v>98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170</v>
      </c>
      <c r="D376" s="68">
        <v>16</v>
      </c>
      <c r="E376" s="73">
        <v>32.549999999999997</v>
      </c>
      <c r="F376" s="79">
        <f>IFERROR(D376*E376,0)</f>
        <v>520.79999999999995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169</v>
      </c>
      <c r="D377" s="68">
        <v>16</v>
      </c>
      <c r="E377" s="73">
        <v>52.35</v>
      </c>
      <c r="F377" s="79">
        <f>IFERROR(D377*E377,0)</f>
        <v>837.6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158</v>
      </c>
      <c r="D378" s="68"/>
      <c r="E378" s="73"/>
      <c r="F378" s="79">
        <f>IFERROR(D378*E378,0)</f>
        <v>0</v>
      </c>
      <c r="G378" s="60" t="str">
        <f>INDEX(SETORES!$B:$B,MATCH(A378,SETORES!$A:$A,0))</f>
        <v>Clientes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162</v>
      </c>
      <c r="C379" s="60" t="s">
        <v>221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165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163</v>
      </c>
      <c r="D381" s="68">
        <v>1</v>
      </c>
      <c r="E381" s="73">
        <v>90</v>
      </c>
      <c r="F381" s="79">
        <f>IFERROR(D381*E381,0)</f>
        <v>90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164</v>
      </c>
      <c r="D382" s="68"/>
      <c r="E382" s="73"/>
      <c r="F382" s="79">
        <f>IFERROR(D382*E382,0)</f>
        <v>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155</v>
      </c>
      <c r="C383" s="60" t="s">
        <v>161</v>
      </c>
      <c r="D383" s="68">
        <v>1</v>
      </c>
      <c r="E383" s="73">
        <v>92482.68</v>
      </c>
      <c r="F383" s="79">
        <f>IFERROR(D383*E383,0)</f>
        <v>92482.68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167</v>
      </c>
      <c r="D384" s="68"/>
      <c r="E384" s="73"/>
      <c r="F384" s="79">
        <f>IFERROR(D384*E384,0)</f>
        <v>0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238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258</v>
      </c>
      <c r="D386" s="68">
        <v>1</v>
      </c>
      <c r="E386" s="73">
        <v>310.17</v>
      </c>
      <c r="F386" s="79">
        <f>IFERROR(D386*E386,0)</f>
        <v>310.17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166</v>
      </c>
      <c r="D387" s="68">
        <v>16</v>
      </c>
      <c r="E387" s="73">
        <v>50</v>
      </c>
      <c r="F387" s="79">
        <f>IFERROR(D387*E387,0)</f>
        <v>800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162</v>
      </c>
      <c r="C388" s="60" t="s">
        <v>220</v>
      </c>
      <c r="D388" s="68"/>
      <c r="E388" s="73"/>
      <c r="F388" s="79">
        <f>IFERROR(D388*E388,0)</f>
        <v>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155</v>
      </c>
      <c r="C389" s="60" t="s">
        <v>156</v>
      </c>
      <c r="D389" s="68">
        <v>1</v>
      </c>
      <c r="E389" s="73">
        <v>89.59</v>
      </c>
      <c r="F389" s="79">
        <f>IFERROR(D389*E389,0)</f>
        <v>89.59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157</v>
      </c>
      <c r="D390" s="68">
        <v>1</v>
      </c>
      <c r="E390" s="73">
        <v>830.33</v>
      </c>
      <c r="F390" s="79">
        <f>IFERROR(D390*E390,0)</f>
        <v>830.33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162</v>
      </c>
      <c r="C391" s="60" t="s">
        <v>209</v>
      </c>
      <c r="D391" s="68"/>
      <c r="E391" s="73"/>
      <c r="F391" s="79">
        <f>IFERROR(D391*E391,0)</f>
        <v>0</v>
      </c>
      <c r="G391" s="60" t="str">
        <f>INDEX(SETORES!$B:$B,MATCH(A391,SETORES!$A:$A,0))</f>
        <v>Clientes</v>
      </c>
      <c r="H391" s="60" t="s">
        <v>88</v>
      </c>
    </row>
    <row r="392" spans="1:8" ht="14.25" hidden="1" customHeight="1" x14ac:dyDescent="0.3">
      <c r="A392" s="2" t="s">
        <v>48</v>
      </c>
      <c r="B392" s="60" t="s">
        <v>162</v>
      </c>
      <c r="C392" s="60" t="s">
        <v>222</v>
      </c>
      <c r="D392" s="68"/>
      <c r="E392" s="73"/>
      <c r="F392" s="79">
        <f>IFERROR(D392*E392,0)</f>
        <v>0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155</v>
      </c>
      <c r="C393" s="60" t="s">
        <v>186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168</v>
      </c>
      <c r="D394" s="68">
        <v>16</v>
      </c>
      <c r="E394" s="73">
        <v>1.87</v>
      </c>
      <c r="F394" s="79">
        <f>IFERROR(D394*E394,0)</f>
        <v>29.92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160</v>
      </c>
      <c r="D395" s="68"/>
      <c r="E395" s="73"/>
      <c r="F395" s="79">
        <f>IFERROR(D395*E395,0)</f>
        <v>0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47</v>
      </c>
      <c r="B396" s="60" t="s">
        <v>155</v>
      </c>
      <c r="C396" s="60" t="s">
        <v>212</v>
      </c>
      <c r="D396" s="68">
        <v>7</v>
      </c>
      <c r="E396" s="73">
        <v>30</v>
      </c>
      <c r="F396" s="79">
        <f>IFERROR(D396*E396,0)</f>
        <v>210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162</v>
      </c>
      <c r="C397" s="60" t="s">
        <v>217</v>
      </c>
      <c r="D397" s="68">
        <v>1</v>
      </c>
      <c r="E397" s="73">
        <v>11623.33</v>
      </c>
      <c r="F397" s="79">
        <f>IFERROR(D397*E397,0)</f>
        <v>11623.33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155</v>
      </c>
      <c r="C398" s="60" t="s">
        <v>250</v>
      </c>
      <c r="D398" s="68">
        <v>1</v>
      </c>
      <c r="E398" s="73">
        <v>2624.19</v>
      </c>
      <c r="F398" s="79">
        <f>IFERROR(D398*E398,0)</f>
        <v>2624.19</v>
      </c>
      <c r="G398" s="60" t="str">
        <f>INDEX(SETORES!$B:$B,MATCH(A398,SETORES!$A:$A,0))</f>
        <v>Clientes</v>
      </c>
      <c r="H398" s="60" t="s">
        <v>88</v>
      </c>
    </row>
    <row r="399" spans="1:8" ht="14.25" customHeight="1" x14ac:dyDescent="0.3">
      <c r="A399" s="2" t="s">
        <v>47</v>
      </c>
      <c r="B399" s="60" t="s">
        <v>155</v>
      </c>
      <c r="C399" s="60" t="s">
        <v>171</v>
      </c>
      <c r="D399" s="68">
        <v>15</v>
      </c>
      <c r="E399" s="73">
        <v>52.09</v>
      </c>
      <c r="F399" s="79">
        <f>IFERROR(D399*E399,0)</f>
        <v>781.35</v>
      </c>
      <c r="G399" s="60" t="s">
        <v>98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170</v>
      </c>
      <c r="D400" s="68">
        <v>15</v>
      </c>
      <c r="E400" s="73">
        <v>32.549999999999997</v>
      </c>
      <c r="F400" s="79">
        <f>IFERROR(D400*E400,0)</f>
        <v>488.24999999999994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169</v>
      </c>
      <c r="D401" s="68">
        <v>15</v>
      </c>
      <c r="E401" s="73">
        <v>52.35</v>
      </c>
      <c r="F401" s="79">
        <f>IFERROR(D401*E401,0)</f>
        <v>785.25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162</v>
      </c>
      <c r="C402" s="60" t="s">
        <v>221</v>
      </c>
      <c r="D402" s="68"/>
      <c r="E402" s="73"/>
      <c r="F402" s="79">
        <f>IFERROR(D402*E402,0)</f>
        <v>0</v>
      </c>
      <c r="G402" s="60" t="str">
        <f>INDEX(SETORES!$B:$B,MATCH(A402,SETORES!$A:$A,0))</f>
        <v>Clientes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165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163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164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155</v>
      </c>
      <c r="C406" s="60" t="s">
        <v>161</v>
      </c>
      <c r="D406" s="68">
        <v>1</v>
      </c>
      <c r="E406" s="73">
        <v>116417.9</v>
      </c>
      <c r="F406" s="79">
        <f>IFERROR(D406*E406,0)</f>
        <v>116417.9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167</v>
      </c>
      <c r="D407" s="68"/>
      <c r="E407" s="73"/>
      <c r="F407" s="79">
        <f>IFERROR(D407*E407,0)</f>
        <v>0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162</v>
      </c>
      <c r="C408" s="60" t="s">
        <v>218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155</v>
      </c>
      <c r="C409" s="60" t="s">
        <v>166</v>
      </c>
      <c r="D409" s="68">
        <v>15</v>
      </c>
      <c r="E409" s="73">
        <v>50</v>
      </c>
      <c r="F409" s="79">
        <f>IFERROR(D409*E409,0)</f>
        <v>750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156</v>
      </c>
      <c r="D410" s="68"/>
      <c r="E410" s="73"/>
      <c r="F410" s="79">
        <f>IFERROR(D410*E410,0)</f>
        <v>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157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168</v>
      </c>
      <c r="D412" s="68">
        <v>15</v>
      </c>
      <c r="E412" s="73">
        <v>1.87</v>
      </c>
      <c r="F412" s="79">
        <f>IFERROR(D412*E412,0)</f>
        <v>28.05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160</v>
      </c>
      <c r="D413" s="68"/>
      <c r="E413" s="73"/>
      <c r="F413" s="79">
        <f>IFERROR(D413*E413,0)</f>
        <v>0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85</v>
      </c>
      <c r="B414" s="60" t="s">
        <v>155</v>
      </c>
      <c r="C414" s="60" t="s">
        <v>159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212</v>
      </c>
      <c r="D415" s="68">
        <v>10</v>
      </c>
      <c r="E415" s="73">
        <v>30</v>
      </c>
      <c r="F415" s="79">
        <f>IFERROR(D415*E415,0)</f>
        <v>300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162</v>
      </c>
      <c r="C416" s="60" t="s">
        <v>217</v>
      </c>
      <c r="D416" s="68">
        <v>1</v>
      </c>
      <c r="E416" s="73">
        <v>1514.08</v>
      </c>
      <c r="F416" s="79">
        <f>IFERROR(D416*E416,0)</f>
        <v>1514.08</v>
      </c>
      <c r="G416" s="60" t="str">
        <f>INDEX(SETORES!$B:$B,MATCH(A416,SETORES!$A:$A,0))</f>
        <v>Clientes</v>
      </c>
      <c r="H416" s="60" t="s">
        <v>88</v>
      </c>
    </row>
    <row r="417" spans="1:8" ht="14.25" customHeight="1" x14ac:dyDescent="0.3">
      <c r="A417" s="2" t="s">
        <v>85</v>
      </c>
      <c r="B417" s="60" t="s">
        <v>155</v>
      </c>
      <c r="C417" s="60" t="s">
        <v>171</v>
      </c>
      <c r="D417" s="68">
        <v>17</v>
      </c>
      <c r="E417" s="73">
        <v>52.09</v>
      </c>
      <c r="F417" s="79">
        <f>IFERROR(D417*E417,0)</f>
        <v>885.53000000000009</v>
      </c>
      <c r="G417" s="60" t="s">
        <v>98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170</v>
      </c>
      <c r="D418" s="68">
        <v>17</v>
      </c>
      <c r="E418" s="73">
        <v>32.549999999999997</v>
      </c>
      <c r="F418" s="79">
        <f>IFERROR(D418*E418,0)</f>
        <v>553.34999999999991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169</v>
      </c>
      <c r="D419" s="68">
        <v>17</v>
      </c>
      <c r="E419" s="73">
        <v>52.35</v>
      </c>
      <c r="F419" s="79">
        <f>IFERROR(D419*E419,0)</f>
        <v>889.95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158</v>
      </c>
      <c r="D420" s="68"/>
      <c r="E420" s="73"/>
      <c r="F420" s="79">
        <f>IFERROR(D420*E420,0)</f>
        <v>0</v>
      </c>
      <c r="G420" s="60" t="str">
        <f>INDEX(SETORES!$B:$B,MATCH(A420,SETORES!$A:$A,0))</f>
        <v>Clientes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162</v>
      </c>
      <c r="C421" s="60" t="s">
        <v>165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163</v>
      </c>
      <c r="D422" s="68">
        <v>1</v>
      </c>
      <c r="E422" s="73">
        <v>360</v>
      </c>
      <c r="F422" s="79">
        <f>IFERROR(D422*E422,0)</f>
        <v>360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155</v>
      </c>
      <c r="C423" s="60" t="s">
        <v>161</v>
      </c>
      <c r="D423" s="68">
        <v>1</v>
      </c>
      <c r="E423" s="73">
        <v>62265.7</v>
      </c>
      <c r="F423" s="79">
        <f>IFERROR(D423*E423,0)</f>
        <v>62265.7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167</v>
      </c>
      <c r="D424" s="68"/>
      <c r="E424" s="73"/>
      <c r="F424" s="79">
        <f>IFERROR(D424*E424,0)</f>
        <v>0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238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258</v>
      </c>
      <c r="D426" s="68">
        <v>1</v>
      </c>
      <c r="E426" s="73">
        <v>329.56</v>
      </c>
      <c r="F426" s="79">
        <f>IFERROR(D426*E426,0)</f>
        <v>329.56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166</v>
      </c>
      <c r="D427" s="68">
        <v>17</v>
      </c>
      <c r="E427" s="73">
        <v>50</v>
      </c>
      <c r="F427" s="79">
        <f>IFERROR(D427*E427,0)</f>
        <v>850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157</v>
      </c>
      <c r="D428" s="68">
        <v>1</v>
      </c>
      <c r="E428" s="73">
        <v>507.51</v>
      </c>
      <c r="F428" s="79">
        <f>IFERROR(D428*E428,0)</f>
        <v>507.51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162</v>
      </c>
      <c r="C429" s="60" t="s">
        <v>222</v>
      </c>
      <c r="D429" s="68"/>
      <c r="E429" s="73"/>
      <c r="F429" s="79">
        <f>IFERROR(D429*E429,0)</f>
        <v>0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155</v>
      </c>
      <c r="C431" s="60" t="s">
        <v>168</v>
      </c>
      <c r="D431" s="68">
        <v>17</v>
      </c>
      <c r="E431" s="73">
        <v>1.87</v>
      </c>
      <c r="F431" s="79">
        <f>IFERROR(D431*E431,0)</f>
        <v>31.790000000000003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31</v>
      </c>
      <c r="B432" s="60" t="s">
        <v>155</v>
      </c>
      <c r="C432" s="60" t="s">
        <v>159</v>
      </c>
      <c r="D432" s="68"/>
      <c r="E432" s="73"/>
      <c r="F432" s="79">
        <f>IFERROR(D432*E432,0)</f>
        <v>0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212</v>
      </c>
      <c r="D433" s="68">
        <v>3</v>
      </c>
      <c r="E433" s="73">
        <v>30</v>
      </c>
      <c r="F433" s="79">
        <f>IFERROR(D433*E433,0)</f>
        <v>90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162</v>
      </c>
      <c r="C434" s="60" t="s">
        <v>217</v>
      </c>
      <c r="D434" s="68">
        <v>1</v>
      </c>
      <c r="E434" s="73">
        <v>1882.43</v>
      </c>
      <c r="F434" s="79">
        <f>IFERROR(D434*E434,0)</f>
        <v>1882.43</v>
      </c>
      <c r="G434" s="60" t="str">
        <f>INDEX(SETORES!$B:$B,MATCH(A434,SETORES!$A:$A,0))</f>
        <v>Clientes</v>
      </c>
      <c r="H434" s="60" t="s">
        <v>88</v>
      </c>
    </row>
    <row r="435" spans="1:8" ht="14.25" customHeight="1" x14ac:dyDescent="0.3">
      <c r="A435" s="2" t="s">
        <v>31</v>
      </c>
      <c r="B435" s="60" t="s">
        <v>155</v>
      </c>
      <c r="C435" s="60" t="s">
        <v>171</v>
      </c>
      <c r="D435" s="68">
        <v>3</v>
      </c>
      <c r="E435" s="73">
        <v>52.09</v>
      </c>
      <c r="F435" s="79">
        <f>IFERROR(D435*E435,0)</f>
        <v>156.27000000000001</v>
      </c>
      <c r="G435" s="60" t="s">
        <v>98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170</v>
      </c>
      <c r="D436" s="68">
        <v>3</v>
      </c>
      <c r="E436" s="73">
        <v>32.549999999999997</v>
      </c>
      <c r="F436" s="79">
        <f>IFERROR(D436*E436,0)</f>
        <v>97.649999999999991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169</v>
      </c>
      <c r="D437" s="68">
        <v>3</v>
      </c>
      <c r="E437" s="73">
        <v>52.35</v>
      </c>
      <c r="F437" s="79">
        <f>IFERROR(D437*E437,0)</f>
        <v>157.05000000000001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158</v>
      </c>
      <c r="D438" s="68"/>
      <c r="E438" s="73"/>
      <c r="F438" s="79">
        <f>IFERROR(D438*E438,0)</f>
        <v>0</v>
      </c>
      <c r="G438" s="60" t="str">
        <f>INDEX(SETORES!$B:$B,MATCH(A438,SETORES!$A:$A,0))</f>
        <v>Clientes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161</v>
      </c>
      <c r="D439" s="68">
        <v>1</v>
      </c>
      <c r="E439" s="73">
        <v>42164.639999999999</v>
      </c>
      <c r="F439" s="79">
        <f>IFERROR(D439*E439,0)</f>
        <v>42164.639999999999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167</v>
      </c>
      <c r="D440" s="68"/>
      <c r="E440" s="73"/>
      <c r="F440" s="79">
        <f>IFERROR(D440*E440,0)</f>
        <v>0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238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258</v>
      </c>
      <c r="D442" s="68">
        <v>1</v>
      </c>
      <c r="E442" s="73">
        <v>58.16</v>
      </c>
      <c r="F442" s="79">
        <f>IFERROR(D442*E442,0)</f>
        <v>58.16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166</v>
      </c>
      <c r="D443" s="68">
        <v>3</v>
      </c>
      <c r="E443" s="73">
        <v>50</v>
      </c>
      <c r="F443" s="79">
        <f>IFERROR(D443*E443,0)</f>
        <v>150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156</v>
      </c>
      <c r="D444" s="68">
        <v>1</v>
      </c>
      <c r="E444" s="73">
        <v>37.24</v>
      </c>
      <c r="F444" s="79">
        <f>IFERROR(D444*E444,0)</f>
        <v>37.24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157</v>
      </c>
      <c r="D445" s="68">
        <v>1</v>
      </c>
      <c r="E445" s="73">
        <v>288.14999999999998</v>
      </c>
      <c r="F445" s="79">
        <f>IFERROR(D445*E445,0)</f>
        <v>288.14999999999998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162</v>
      </c>
      <c r="C446" s="60" t="s">
        <v>222</v>
      </c>
      <c r="D446" s="68"/>
      <c r="E446" s="73"/>
      <c r="F446" s="79">
        <f>IFERROR(D446*E446,0)</f>
        <v>0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155</v>
      </c>
      <c r="C447" s="60" t="s">
        <v>168</v>
      </c>
      <c r="D447" s="68">
        <v>3</v>
      </c>
      <c r="E447" s="73">
        <v>1.87</v>
      </c>
      <c r="F447" s="79">
        <f>IFERROR(D447*E447,0)</f>
        <v>5.61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160</v>
      </c>
      <c r="D448" s="68"/>
      <c r="E448" s="73"/>
      <c r="F448" s="79">
        <f>IFERROR(D448*E448,0)</f>
        <v>0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37</v>
      </c>
      <c r="B449" s="60" t="s">
        <v>155</v>
      </c>
      <c r="C449" s="60" t="s">
        <v>159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249</v>
      </c>
      <c r="D450" s="68">
        <v>1</v>
      </c>
      <c r="E450" s="73">
        <v>3272.78</v>
      </c>
      <c r="F450" s="79">
        <f>IFERROR(D450*E450,0)</f>
        <v>3272.78</v>
      </c>
      <c r="G450" s="60" t="str">
        <f>INDEX(SETORES!$B:$B,MATCH(A450,SETORES!$A:$A,0))</f>
        <v>Clientes</v>
      </c>
      <c r="H450" s="60" t="s">
        <v>88</v>
      </c>
    </row>
    <row r="451" spans="1:8" ht="14.25" customHeight="1" x14ac:dyDescent="0.3">
      <c r="A451" s="2" t="s">
        <v>37</v>
      </c>
      <c r="B451" s="60" t="s">
        <v>155</v>
      </c>
      <c r="C451" s="60" t="s">
        <v>171</v>
      </c>
      <c r="D451" s="68">
        <v>42</v>
      </c>
      <c r="E451" s="73">
        <v>52.09</v>
      </c>
      <c r="F451" s="79">
        <f>IFERROR(D451*E451,0)</f>
        <v>2187.7800000000002</v>
      </c>
      <c r="G451" s="60" t="s">
        <v>98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170</v>
      </c>
      <c r="D452" s="68">
        <v>42</v>
      </c>
      <c r="E452" s="73">
        <v>32.549999999999997</v>
      </c>
      <c r="F452" s="79">
        <f>IFERROR(D452*E452,0)</f>
        <v>1367.1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169</v>
      </c>
      <c r="D453" s="68">
        <v>42</v>
      </c>
      <c r="E453" s="73">
        <v>52.35</v>
      </c>
      <c r="F453" s="79">
        <f>IFERROR(D453*E453,0)</f>
        <v>2198.7000000000003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158</v>
      </c>
      <c r="D454" s="68"/>
      <c r="E454" s="73"/>
      <c r="F454" s="79">
        <f>IFERROR(D454*E454,0)</f>
        <v>0</v>
      </c>
      <c r="G454" s="60" t="str">
        <f>INDEX(SETORES!$B:$B,MATCH(A454,SETORES!$A:$A,0))</f>
        <v>Clientes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162</v>
      </c>
      <c r="C455" s="60" t="s">
        <v>165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163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164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155</v>
      </c>
      <c r="C458" s="60" t="s">
        <v>161</v>
      </c>
      <c r="D458" s="68">
        <v>1</v>
      </c>
      <c r="E458" s="73">
        <v>145351.16</v>
      </c>
      <c r="F458" s="79">
        <f>IFERROR(D458*E458,0)</f>
        <v>145351.16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167</v>
      </c>
      <c r="D459" s="68"/>
      <c r="E459" s="73"/>
      <c r="F459" s="79">
        <f>IFERROR(D459*E459,0)</f>
        <v>0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240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258</v>
      </c>
      <c r="D461" s="68">
        <v>1</v>
      </c>
      <c r="E461" s="73">
        <v>814.21</v>
      </c>
      <c r="F461" s="79">
        <f>IFERROR(D461*E461,0)</f>
        <v>814.21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166</v>
      </c>
      <c r="D462" s="68">
        <v>42</v>
      </c>
      <c r="E462" s="73">
        <v>50</v>
      </c>
      <c r="F462" s="79">
        <f>IFERROR(D462*E462,0)</f>
        <v>2100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223</v>
      </c>
      <c r="D463" s="68"/>
      <c r="E463" s="73"/>
      <c r="F463" s="79">
        <f>IFERROR(D463*E463,0)</f>
        <v>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156</v>
      </c>
      <c r="D464" s="68">
        <v>1</v>
      </c>
      <c r="E464" s="73">
        <v>12.09</v>
      </c>
      <c r="F464" s="79">
        <f>IFERROR(D464*E464,0)</f>
        <v>12.09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157</v>
      </c>
      <c r="D465" s="68">
        <v>1</v>
      </c>
      <c r="E465" s="73">
        <v>2123.29</v>
      </c>
      <c r="F465" s="79">
        <f>IFERROR(D465*E465,0)</f>
        <v>2123.29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162</v>
      </c>
      <c r="C466" s="60" t="s">
        <v>222</v>
      </c>
      <c r="D466" s="68"/>
      <c r="E466" s="73"/>
      <c r="F466" s="79">
        <f>IFERROR(D466*E466,0)</f>
        <v>0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155</v>
      </c>
      <c r="C467" s="60" t="s">
        <v>187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168</v>
      </c>
      <c r="D468" s="68">
        <v>42</v>
      </c>
      <c r="E468" s="73">
        <v>1.87</v>
      </c>
      <c r="F468" s="79">
        <f>IFERROR(D468*E468,0)</f>
        <v>78.540000000000006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160</v>
      </c>
      <c r="D469" s="68"/>
      <c r="E469" s="73"/>
      <c r="F469" s="79">
        <f>IFERROR(D469*E469,0)</f>
        <v>0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46</v>
      </c>
      <c r="B470" s="60" t="s">
        <v>155</v>
      </c>
      <c r="C470" s="60" t="s">
        <v>212</v>
      </c>
      <c r="D470" s="68">
        <v>5</v>
      </c>
      <c r="E470" s="73">
        <v>30</v>
      </c>
      <c r="F470" s="79">
        <f>IFERROR(D470*E470,0)</f>
        <v>150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162</v>
      </c>
      <c r="C471" s="60" t="s">
        <v>217</v>
      </c>
      <c r="D471" s="68">
        <v>1</v>
      </c>
      <c r="E471" s="73">
        <v>11761.57</v>
      </c>
      <c r="F471" s="79">
        <f>IFERROR(D471*E471,0)</f>
        <v>11761.57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155</v>
      </c>
      <c r="C472" s="60" t="s">
        <v>250</v>
      </c>
      <c r="D472" s="68">
        <v>1</v>
      </c>
      <c r="E472" s="73">
        <v>4198.71</v>
      </c>
      <c r="F472" s="79">
        <f>IFERROR(D472*E472,0)</f>
        <v>4198.71</v>
      </c>
      <c r="G472" s="60" t="str">
        <f>INDEX(SETORES!$B:$B,MATCH(A472,SETORES!$A:$A,0))</f>
        <v>Clientes</v>
      </c>
      <c r="H472" s="60" t="s">
        <v>88</v>
      </c>
    </row>
    <row r="473" spans="1:8" ht="14.25" customHeight="1" x14ac:dyDescent="0.3">
      <c r="A473" s="2" t="s">
        <v>46</v>
      </c>
      <c r="B473" s="60" t="s">
        <v>155</v>
      </c>
      <c r="C473" s="60" t="s">
        <v>171</v>
      </c>
      <c r="D473" s="68">
        <v>24</v>
      </c>
      <c r="E473" s="73">
        <v>52.09</v>
      </c>
      <c r="F473" s="79">
        <f>IFERROR(D473*E473,0)</f>
        <v>1250.1600000000001</v>
      </c>
      <c r="G473" s="60" t="s">
        <v>98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170</v>
      </c>
      <c r="D474" s="68">
        <v>24</v>
      </c>
      <c r="E474" s="73">
        <v>32.549999999999997</v>
      </c>
      <c r="F474" s="79">
        <f>IFERROR(D474*E474,0)</f>
        <v>781.19999999999993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169</v>
      </c>
      <c r="D475" s="68">
        <v>24</v>
      </c>
      <c r="E475" s="73">
        <v>52.35</v>
      </c>
      <c r="F475" s="79">
        <f>IFERROR(D475*E475,0)</f>
        <v>1256.4000000000001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162</v>
      </c>
      <c r="C476" s="60" t="s">
        <v>221</v>
      </c>
      <c r="D476" s="68"/>
      <c r="E476" s="73"/>
      <c r="F476" s="79">
        <f>IFERROR(D476*E476,0)</f>
        <v>0</v>
      </c>
      <c r="G476" s="60" t="str">
        <f>INDEX(SETORES!$B:$B,MATCH(A476,SETORES!$A:$A,0))</f>
        <v>Clientes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155</v>
      </c>
      <c r="C477" s="60" t="s">
        <v>161</v>
      </c>
      <c r="D477" s="68">
        <v>1</v>
      </c>
      <c r="E477" s="73">
        <v>155833.72</v>
      </c>
      <c r="F477" s="79">
        <f>IFERROR(D477*E477,0)</f>
        <v>155833.72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167</v>
      </c>
      <c r="D478" s="68"/>
      <c r="E478" s="73"/>
      <c r="F478" s="79">
        <f>IFERROR(D478*E478,0)</f>
        <v>0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162</v>
      </c>
      <c r="C479" s="60" t="s">
        <v>218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155</v>
      </c>
      <c r="C480" s="60" t="s">
        <v>166</v>
      </c>
      <c r="D480" s="68">
        <v>24</v>
      </c>
      <c r="E480" s="73">
        <v>50</v>
      </c>
      <c r="F480" s="79">
        <f>IFERROR(D480*E480,0)</f>
        <v>1200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162</v>
      </c>
      <c r="C481" s="60" t="s">
        <v>222</v>
      </c>
      <c r="D481" s="68"/>
      <c r="E481" s="73"/>
      <c r="F481" s="79">
        <f>IFERROR(D481*E481,0)</f>
        <v>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155</v>
      </c>
      <c r="C482" s="60" t="s">
        <v>168</v>
      </c>
      <c r="D482" s="68">
        <v>24</v>
      </c>
      <c r="E482" s="73">
        <v>1.87</v>
      </c>
      <c r="F482" s="79">
        <f>IFERROR(D482*E482,0)</f>
        <v>44.88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160</v>
      </c>
      <c r="D483" s="68"/>
      <c r="E483" s="73"/>
      <c r="F483" s="79">
        <f>IFERROR(D483*E483,0)</f>
        <v>0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49</v>
      </c>
      <c r="B484" s="60" t="s">
        <v>155</v>
      </c>
      <c r="C484" s="60" t="s">
        <v>159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162</v>
      </c>
      <c r="C485" s="60" t="s">
        <v>217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155</v>
      </c>
      <c r="C486" s="60" t="s">
        <v>256</v>
      </c>
      <c r="D486" s="68">
        <v>1</v>
      </c>
      <c r="E486" s="73">
        <v>2899.91</v>
      </c>
      <c r="F486" s="79">
        <f>IFERROR(D486*E486,0)</f>
        <v>2899.91</v>
      </c>
      <c r="G486" s="60" t="str">
        <f>INDEX(SETORES!$B:$B,MATCH(A486,SETORES!$A:$A,0))</f>
        <v>Clientes</v>
      </c>
      <c r="H486" s="60" t="s">
        <v>88</v>
      </c>
    </row>
    <row r="487" spans="1:8" ht="14.25" customHeight="1" x14ac:dyDescent="0.3">
      <c r="A487" s="2" t="s">
        <v>49</v>
      </c>
      <c r="B487" s="60" t="s">
        <v>155</v>
      </c>
      <c r="C487" s="60" t="s">
        <v>171</v>
      </c>
      <c r="D487" s="68">
        <v>4</v>
      </c>
      <c r="E487" s="73">
        <v>52.09</v>
      </c>
      <c r="F487" s="79">
        <f>IFERROR(D487*E487,0)</f>
        <v>208.36</v>
      </c>
      <c r="G487" s="60" t="s">
        <v>98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170</v>
      </c>
      <c r="D488" s="68">
        <v>4</v>
      </c>
      <c r="E488" s="73">
        <v>32.549999999999997</v>
      </c>
      <c r="F488" s="79">
        <f>IFERROR(D488*E488,0)</f>
        <v>130.19999999999999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169</v>
      </c>
      <c r="D489" s="68">
        <v>4</v>
      </c>
      <c r="E489" s="73">
        <v>52.35</v>
      </c>
      <c r="F489" s="79">
        <f>IFERROR(D489*E489,0)</f>
        <v>209.4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158</v>
      </c>
      <c r="D490" s="68"/>
      <c r="E490" s="73"/>
      <c r="F490" s="79">
        <f>IFERROR(D490*E490,0)</f>
        <v>0</v>
      </c>
      <c r="G490" s="60" t="str">
        <f>INDEX(SETORES!$B:$B,MATCH(A490,SETORES!$A:$A,0))</f>
        <v>Clientes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162</v>
      </c>
      <c r="C491" s="60" t="s">
        <v>165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155</v>
      </c>
      <c r="C492" s="60" t="s">
        <v>161</v>
      </c>
      <c r="D492" s="68">
        <v>1</v>
      </c>
      <c r="E492" s="73">
        <v>25793.59</v>
      </c>
      <c r="F492" s="79">
        <f>IFERROR(D492*E492,0)</f>
        <v>25793.59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167</v>
      </c>
      <c r="D493" s="68"/>
      <c r="E493" s="73"/>
      <c r="F493" s="79">
        <f>IFERROR(D493*E493,0)</f>
        <v>0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238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258</v>
      </c>
      <c r="D495" s="68">
        <v>1</v>
      </c>
      <c r="E495" s="73">
        <v>77.540000000000006</v>
      </c>
      <c r="F495" s="79">
        <f>IFERROR(D495*E495,0)</f>
        <v>77.540000000000006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162</v>
      </c>
      <c r="C496" s="60" t="s">
        <v>220</v>
      </c>
      <c r="D496" s="68"/>
      <c r="E496" s="73"/>
      <c r="F496" s="79">
        <f>IFERROR(D496*E496,0)</f>
        <v>0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155</v>
      </c>
      <c r="C497" s="60" t="s">
        <v>156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157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162</v>
      </c>
      <c r="C499" s="60" t="s">
        <v>209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hidden="1" customHeight="1" x14ac:dyDescent="0.3">
      <c r="A500" s="2" t="s">
        <v>49</v>
      </c>
      <c r="B500" s="60" t="s">
        <v>162</v>
      </c>
      <c r="C500" s="60" t="s">
        <v>222</v>
      </c>
      <c r="D500" s="68"/>
      <c r="E500" s="73"/>
      <c r="F500" s="79">
        <f>IFERROR(D500*E500,0)</f>
        <v>0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155</v>
      </c>
      <c r="C501" s="60" t="s">
        <v>224</v>
      </c>
      <c r="D501" s="68">
        <v>1</v>
      </c>
      <c r="E501" s="73">
        <v>1800</v>
      </c>
      <c r="F501" s="79">
        <f>IFERROR(D501*E501,0)</f>
        <v>1800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168</v>
      </c>
      <c r="D502" s="68">
        <v>4</v>
      </c>
      <c r="E502" s="73">
        <v>1.87</v>
      </c>
      <c r="F502" s="79">
        <f>IFERROR(D502*E502,0)</f>
        <v>7.48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160</v>
      </c>
      <c r="D503" s="68"/>
      <c r="E503" s="73"/>
      <c r="F503" s="79">
        <f>IFERROR(D503*E503,0)</f>
        <v>0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35" t="s">
        <v>146</v>
      </c>
      <c r="B504" s="66" t="s">
        <v>155</v>
      </c>
      <c r="C504" s="66" t="s">
        <v>161</v>
      </c>
      <c r="D504" s="66">
        <v>1</v>
      </c>
      <c r="E504" s="78">
        <v>25653.46</v>
      </c>
      <c r="F504" s="78">
        <f>IFERROR(D504*E504,0)</f>
        <v>25653.46</v>
      </c>
      <c r="G504" s="66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2" t="s">
        <v>86</v>
      </c>
      <c r="B505" s="60" t="s">
        <v>155</v>
      </c>
      <c r="C505" s="60" t="s">
        <v>212</v>
      </c>
      <c r="D505" s="68">
        <v>4</v>
      </c>
      <c r="E505" s="73">
        <v>30</v>
      </c>
      <c r="F505" s="79">
        <f>IFERROR(D505*E505,0)</f>
        <v>120</v>
      </c>
      <c r="G505" s="60" t="str">
        <f>INDEX(SETORES!$B:$B,MATCH(A505,SETORES!$A:$A,0))</f>
        <v>Clientes</v>
      </c>
      <c r="H505" s="60" t="s">
        <v>88</v>
      </c>
    </row>
    <row r="506" spans="1:8" ht="14.25" customHeight="1" x14ac:dyDescent="0.3">
      <c r="A506" s="2" t="s">
        <v>86</v>
      </c>
      <c r="B506" s="60" t="s">
        <v>155</v>
      </c>
      <c r="C506" s="60" t="s">
        <v>171</v>
      </c>
      <c r="D506" s="68">
        <v>11</v>
      </c>
      <c r="E506" s="73">
        <v>52.09</v>
      </c>
      <c r="F506" s="79">
        <f>IFERROR(D506*E506,0)</f>
        <v>572.99</v>
      </c>
      <c r="G506" s="60" t="s">
        <v>98</v>
      </c>
      <c r="H506" s="60" t="s">
        <v>88</v>
      </c>
    </row>
    <row r="507" spans="1:8" ht="14.25" hidden="1" customHeight="1" x14ac:dyDescent="0.3">
      <c r="A507" s="2" t="s">
        <v>86</v>
      </c>
      <c r="B507" s="60" t="s">
        <v>155</v>
      </c>
      <c r="C507" s="60" t="s">
        <v>170</v>
      </c>
      <c r="D507" s="68">
        <v>11</v>
      </c>
      <c r="E507" s="73">
        <v>32.549999999999997</v>
      </c>
      <c r="F507" s="79">
        <f>IFERROR(D507*E507,0)</f>
        <v>358.04999999999995</v>
      </c>
      <c r="G507" s="60" t="s">
        <v>98</v>
      </c>
      <c r="H507" s="60" t="s">
        <v>88</v>
      </c>
    </row>
    <row r="508" spans="1:8" ht="14.25" hidden="1" customHeight="1" x14ac:dyDescent="0.3">
      <c r="A508" s="2" t="s">
        <v>86</v>
      </c>
      <c r="B508" s="60" t="s">
        <v>155</v>
      </c>
      <c r="C508" s="60" t="s">
        <v>169</v>
      </c>
      <c r="D508" s="68">
        <v>11</v>
      </c>
      <c r="E508" s="73">
        <v>52.35</v>
      </c>
      <c r="F508" s="79">
        <f>IFERROR(D508*E508,0)</f>
        <v>575.85</v>
      </c>
      <c r="G508" s="60" t="s">
        <v>98</v>
      </c>
      <c r="H508" s="60" t="s">
        <v>88</v>
      </c>
    </row>
    <row r="509" spans="1:8" ht="14.25" hidden="1" customHeight="1" x14ac:dyDescent="0.3">
      <c r="A509" s="2" t="s">
        <v>86</v>
      </c>
      <c r="B509" s="60" t="s">
        <v>162</v>
      </c>
      <c r="C509" s="60" t="s">
        <v>165</v>
      </c>
      <c r="D509" s="68"/>
      <c r="E509" s="73"/>
      <c r="F509" s="79">
        <f>IFERROR(D509*E509,0)</f>
        <v>0</v>
      </c>
      <c r="G509" s="60" t="str">
        <f>INDEX(SETORES!$B:$B,MATCH(A509,SETORES!$A:$A,0))</f>
        <v>Clientes</v>
      </c>
      <c r="H509" s="60" t="s">
        <v>88</v>
      </c>
    </row>
    <row r="510" spans="1:8" ht="14.25" hidden="1" customHeight="1" x14ac:dyDescent="0.3">
      <c r="A510" s="2" t="s">
        <v>86</v>
      </c>
      <c r="B510" s="60" t="s">
        <v>162</v>
      </c>
      <c r="C510" s="60" t="s">
        <v>163</v>
      </c>
      <c r="D510" s="68">
        <v>1</v>
      </c>
      <c r="E510" s="73">
        <v>270</v>
      </c>
      <c r="F510" s="79">
        <f>IFERROR(D510*E510,0)</f>
        <v>270</v>
      </c>
      <c r="G510" s="60" t="str">
        <f>INDEX(SETORES!$B:$B,MATCH(A510,SETORES!$A:$A,0))</f>
        <v>Clientes</v>
      </c>
      <c r="H510" s="60" t="s">
        <v>88</v>
      </c>
    </row>
    <row r="511" spans="1:8" ht="14.25" hidden="1" customHeight="1" x14ac:dyDescent="0.3">
      <c r="A511" s="2" t="s">
        <v>86</v>
      </c>
      <c r="B511" s="60" t="s">
        <v>155</v>
      </c>
      <c r="C511" s="60" t="s">
        <v>161</v>
      </c>
      <c r="D511" s="68">
        <v>1</v>
      </c>
      <c r="E511" s="73">
        <v>42206.73</v>
      </c>
      <c r="F511" s="79">
        <f>IFERROR(D511*E511,0)</f>
        <v>42206.73</v>
      </c>
      <c r="G511" s="60" t="str">
        <f>INDEX(SETORES!$B:$B,MATCH(A511,SETORES!$A:$A,0))</f>
        <v>Clientes</v>
      </c>
      <c r="H511" s="60" t="s">
        <v>88</v>
      </c>
    </row>
    <row r="512" spans="1:8" ht="14.25" hidden="1" customHeight="1" x14ac:dyDescent="0.3">
      <c r="A512" s="2" t="s">
        <v>86</v>
      </c>
      <c r="B512" s="60" t="s">
        <v>155</v>
      </c>
      <c r="C512" s="60" t="s">
        <v>167</v>
      </c>
      <c r="D512" s="68"/>
      <c r="E512" s="73"/>
      <c r="F512" s="79">
        <f>IFERROR(D512*E512,0)</f>
        <v>0</v>
      </c>
      <c r="G512" s="60" t="str">
        <f>INDEX(SETORES!$B:$B,MATCH(A512,SETORES!$A:$A,0))</f>
        <v>Clientes</v>
      </c>
      <c r="H512" s="60" t="s">
        <v>88</v>
      </c>
    </row>
    <row r="513" spans="1:8" ht="14.25" hidden="1" customHeight="1" x14ac:dyDescent="0.3">
      <c r="A513" s="2" t="s">
        <v>86</v>
      </c>
      <c r="B513" s="60" t="s">
        <v>155</v>
      </c>
      <c r="C513" s="60" t="s">
        <v>238</v>
      </c>
      <c r="D513" s="68"/>
      <c r="E513" s="73"/>
      <c r="F513" s="79">
        <f>IFERROR(D513*E513,0)</f>
        <v>0</v>
      </c>
      <c r="G513" s="60" t="str">
        <f>INDEX(SETORES!$B:$B,MATCH(A513,SETORES!$A:$A,0))</f>
        <v>Clientes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166</v>
      </c>
      <c r="D514" s="68">
        <v>11</v>
      </c>
      <c r="E514" s="73">
        <v>50</v>
      </c>
      <c r="F514" s="79">
        <f>IFERROR(D514*E514,0)</f>
        <v>550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162</v>
      </c>
      <c r="C515" s="60" t="s">
        <v>156</v>
      </c>
      <c r="D515" s="68">
        <v>1</v>
      </c>
      <c r="E515" s="73">
        <v>69.45</v>
      </c>
      <c r="F515" s="79">
        <f>IFERROR(D515*E515,0)</f>
        <v>69.45</v>
      </c>
      <c r="G515" s="60" t="str">
        <f>INDEX(SETORES!$B:$B,MATCH(A515,SETORES!$A:$A,0))</f>
        <v>Clientes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157</v>
      </c>
      <c r="D516" s="68">
        <v>1</v>
      </c>
      <c r="E516" s="73">
        <v>350.54</v>
      </c>
      <c r="F516" s="79">
        <f>IFERROR(D516*E516,0)</f>
        <v>350.54</v>
      </c>
      <c r="G516" s="60" t="str">
        <f>INDEX(SETORES!$B:$B,MATCH(A516,SETORES!$A:$A,0))</f>
        <v>Clientes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162</v>
      </c>
      <c r="C517" s="60" t="s">
        <v>222</v>
      </c>
      <c r="D517" s="68"/>
      <c r="E517" s="73"/>
      <c r="F517" s="79">
        <f>IFERROR(D517*E517,0)</f>
        <v>0</v>
      </c>
      <c r="G517" s="60" t="str">
        <f>INDEX(SETORES!$B:$B,MATCH(A517,SETORES!$A:$A,0))</f>
        <v>Clientes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155</v>
      </c>
      <c r="C518" s="60" t="s">
        <v>168</v>
      </c>
      <c r="D518" s="68">
        <v>11</v>
      </c>
      <c r="E518" s="73">
        <v>1.87</v>
      </c>
      <c r="F518" s="79">
        <f>IFERROR(D518*E518,0)</f>
        <v>20.57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39</v>
      </c>
      <c r="B519" s="60" t="s">
        <v>155</v>
      </c>
      <c r="C519" s="60" t="s">
        <v>159</v>
      </c>
      <c r="D519" s="68"/>
      <c r="E519" s="73"/>
      <c r="F519" s="79">
        <f>IFERROR(D519*E519,0)</f>
        <v>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39</v>
      </c>
      <c r="B520" s="60" t="s">
        <v>155</v>
      </c>
      <c r="C520" s="60" t="s">
        <v>249</v>
      </c>
      <c r="D520" s="68">
        <v>1</v>
      </c>
      <c r="E520" s="73">
        <v>935.08</v>
      </c>
      <c r="F520" s="79">
        <f>IFERROR(D520*E520,0)</f>
        <v>935.08</v>
      </c>
      <c r="G520" s="60" t="str">
        <f>INDEX(SETORES!$B:$B,MATCH(A520,SETORES!$A:$A,0))</f>
        <v>Clientes</v>
      </c>
      <c r="H520" s="60" t="s">
        <v>88</v>
      </c>
    </row>
    <row r="521" spans="1:8" ht="14.25" customHeight="1" x14ac:dyDescent="0.3">
      <c r="A521" s="2" t="s">
        <v>39</v>
      </c>
      <c r="B521" s="60" t="s">
        <v>155</v>
      </c>
      <c r="C521" s="60" t="s">
        <v>171</v>
      </c>
      <c r="D521" s="68">
        <v>12</v>
      </c>
      <c r="E521" s="73">
        <v>52.09</v>
      </c>
      <c r="F521" s="79">
        <f>IFERROR(D521*E521,0)</f>
        <v>625.08000000000004</v>
      </c>
      <c r="G521" s="60" t="s">
        <v>98</v>
      </c>
      <c r="H521" s="60" t="s">
        <v>88</v>
      </c>
    </row>
    <row r="522" spans="1:8" ht="14.25" hidden="1" customHeight="1" x14ac:dyDescent="0.3">
      <c r="A522" s="2" t="s">
        <v>39</v>
      </c>
      <c r="B522" s="60" t="s">
        <v>155</v>
      </c>
      <c r="C522" s="60" t="s">
        <v>170</v>
      </c>
      <c r="D522" s="68">
        <v>12</v>
      </c>
      <c r="E522" s="73">
        <v>32.549999999999997</v>
      </c>
      <c r="F522" s="79">
        <f>IFERROR(D522*E522,0)</f>
        <v>390.59999999999997</v>
      </c>
      <c r="G522" s="60" t="s">
        <v>98</v>
      </c>
      <c r="H522" s="60" t="s">
        <v>88</v>
      </c>
    </row>
    <row r="523" spans="1:8" ht="14.25" hidden="1" customHeight="1" x14ac:dyDescent="0.3">
      <c r="A523" s="2" t="s">
        <v>39</v>
      </c>
      <c r="B523" s="60" t="s">
        <v>155</v>
      </c>
      <c r="C523" s="60" t="s">
        <v>169</v>
      </c>
      <c r="D523" s="68">
        <v>12</v>
      </c>
      <c r="E523" s="73">
        <v>52.35</v>
      </c>
      <c r="F523" s="79">
        <f>IFERROR(D523*E523,0)</f>
        <v>628.20000000000005</v>
      </c>
      <c r="G523" s="60" t="s">
        <v>98</v>
      </c>
      <c r="H523" s="60" t="s">
        <v>88</v>
      </c>
    </row>
    <row r="524" spans="1:8" ht="14.25" hidden="1" customHeight="1" x14ac:dyDescent="0.3">
      <c r="A524" s="2" t="s">
        <v>39</v>
      </c>
      <c r="B524" s="60" t="s">
        <v>155</v>
      </c>
      <c r="C524" s="60" t="s">
        <v>158</v>
      </c>
      <c r="D524" s="68"/>
      <c r="E524" s="73"/>
      <c r="F524" s="79">
        <f>IFERROR(D524*E524,0)</f>
        <v>0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39</v>
      </c>
      <c r="B525" s="60" t="s">
        <v>162</v>
      </c>
      <c r="C525" s="60" t="s">
        <v>163</v>
      </c>
      <c r="D525" s="68"/>
      <c r="E525" s="73"/>
      <c r="F525" s="79">
        <f>IFERROR(D525*E525,0)</f>
        <v>0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39</v>
      </c>
      <c r="B526" s="60" t="s">
        <v>162</v>
      </c>
      <c r="C526" s="60" t="s">
        <v>164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39</v>
      </c>
      <c r="B527" s="60" t="s">
        <v>155</v>
      </c>
      <c r="C527" s="60" t="s">
        <v>161</v>
      </c>
      <c r="D527" s="68">
        <v>1</v>
      </c>
      <c r="E527" s="73">
        <v>41989.1</v>
      </c>
      <c r="F527" s="79">
        <f>IFERROR(D527*E527,0)</f>
        <v>41989.1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167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240</v>
      </c>
      <c r="D529" s="68"/>
      <c r="E529" s="73"/>
      <c r="F529" s="79">
        <f>IFERROR(D529*E529,0)</f>
        <v>0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258</v>
      </c>
      <c r="D530" s="68">
        <v>1</v>
      </c>
      <c r="E530" s="73">
        <v>232.63</v>
      </c>
      <c r="F530" s="79">
        <f>IFERROR(D530*E530,0)</f>
        <v>232.63</v>
      </c>
      <c r="G530" s="60" t="str">
        <f>INDEX(SETORES!$B:$B,MATCH(A530,SETORES!$A:$A,0))</f>
        <v>Clientes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166</v>
      </c>
      <c r="D531" s="68">
        <v>12</v>
      </c>
      <c r="E531" s="73">
        <v>50</v>
      </c>
      <c r="F531" s="79">
        <f>IFERROR(D531*E531,0)</f>
        <v>600</v>
      </c>
      <c r="G531" s="60" t="str">
        <f>INDEX(SETORES!$B:$B,MATCH(A531,SETORES!$A:$A,0))</f>
        <v>Clientes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156</v>
      </c>
      <c r="D532" s="68">
        <v>1</v>
      </c>
      <c r="E532" s="73">
        <v>3.45</v>
      </c>
      <c r="F532" s="79">
        <f>IFERROR(D532*E532,0)</f>
        <v>3.45</v>
      </c>
      <c r="G532" s="60" t="str">
        <f>INDEX(SETORES!$B:$B,MATCH(A532,SETORES!$A:$A,0))</f>
        <v>Clientes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157</v>
      </c>
      <c r="D533" s="68">
        <v>1</v>
      </c>
      <c r="E533" s="73">
        <v>606.65</v>
      </c>
      <c r="F533" s="79">
        <f>IFERROR(D533*E533,0)</f>
        <v>606.65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222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155</v>
      </c>
      <c r="C535" s="60" t="s">
        <v>187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168</v>
      </c>
      <c r="D536" s="68">
        <v>12</v>
      </c>
      <c r="E536" s="73">
        <v>1.87</v>
      </c>
      <c r="F536" s="79">
        <f>IFERROR(D536*E536,0)</f>
        <v>22.44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160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32</v>
      </c>
      <c r="B538" s="60" t="s">
        <v>155</v>
      </c>
      <c r="C538" s="60" t="s">
        <v>229</v>
      </c>
      <c r="D538" s="68"/>
      <c r="E538" s="73"/>
      <c r="F538" s="79">
        <f>IFERROR(D538*E538,0)</f>
        <v>0</v>
      </c>
      <c r="G538" s="60" t="str">
        <f>INDEX(SETORES!$B:$B,MATCH(A538,SETORES!$A:$A,0))</f>
        <v>Funcionários</v>
      </c>
      <c r="H538" s="60" t="s">
        <v>88</v>
      </c>
    </row>
    <row r="539" spans="1:8" ht="14.25" hidden="1" customHeight="1" x14ac:dyDescent="0.3">
      <c r="A539" s="2" t="s">
        <v>32</v>
      </c>
      <c r="B539" s="60" t="s">
        <v>155</v>
      </c>
      <c r="C539" s="60" t="s">
        <v>159</v>
      </c>
      <c r="D539" s="68"/>
      <c r="E539" s="73"/>
      <c r="F539" s="79">
        <f>IFERROR(D539*E539,0)</f>
        <v>0</v>
      </c>
      <c r="G539" s="60" t="str">
        <f>INDEX(SETORES!$B:$B,MATCH(A539,SETORES!$A:$A,0))</f>
        <v>Funcionários</v>
      </c>
      <c r="H539" s="60" t="s">
        <v>88</v>
      </c>
    </row>
    <row r="540" spans="1:8" ht="14.25" hidden="1" customHeight="1" x14ac:dyDescent="0.3">
      <c r="A540" s="2" t="s">
        <v>32</v>
      </c>
      <c r="B540" s="60" t="s">
        <v>155</v>
      </c>
      <c r="C540" s="60" t="s">
        <v>212</v>
      </c>
      <c r="D540" s="68">
        <v>3</v>
      </c>
      <c r="E540" s="73">
        <v>30</v>
      </c>
      <c r="F540" s="79">
        <f>IFERROR(D540*E540,0)</f>
        <v>90</v>
      </c>
      <c r="G540" s="60" t="str">
        <f>INDEX(SETORES!$B:$B,MATCH(A540,SETORES!$A:$A,0))</f>
        <v>Funcionários</v>
      </c>
      <c r="H540" s="60" t="s">
        <v>88</v>
      </c>
    </row>
    <row r="541" spans="1:8" ht="14.25" customHeight="1" x14ac:dyDescent="0.3">
      <c r="A541" s="2" t="s">
        <v>32</v>
      </c>
      <c r="B541" s="60" t="s">
        <v>155</v>
      </c>
      <c r="C541" s="60" t="s">
        <v>171</v>
      </c>
      <c r="D541" s="68">
        <v>6</v>
      </c>
      <c r="E541" s="73">
        <v>52.09</v>
      </c>
      <c r="F541" s="79">
        <f>IFERROR(D541*E541,0)</f>
        <v>312.54000000000002</v>
      </c>
      <c r="G541" s="60" t="str">
        <f>INDEX(SETORES!$B:$B,MATCH(A541,SETORES!$A:$A,0))</f>
        <v>Funcionários</v>
      </c>
      <c r="H541" s="60" t="s">
        <v>88</v>
      </c>
    </row>
    <row r="542" spans="1:8" ht="14.25" hidden="1" customHeight="1" x14ac:dyDescent="0.3">
      <c r="A542" s="2" t="s">
        <v>32</v>
      </c>
      <c r="B542" s="60" t="s">
        <v>155</v>
      </c>
      <c r="C542" s="60" t="s">
        <v>170</v>
      </c>
      <c r="D542" s="68">
        <v>6</v>
      </c>
      <c r="E542" s="73">
        <v>32.549999999999997</v>
      </c>
      <c r="F542" s="79">
        <f>IFERROR(D542*E542,0)</f>
        <v>195.29999999999998</v>
      </c>
      <c r="G542" s="60" t="str">
        <f>INDEX(SETORES!$B:$B,MATCH(A542,SETORES!$A:$A,0))</f>
        <v>Funcionários</v>
      </c>
      <c r="H542" s="60" t="s">
        <v>88</v>
      </c>
    </row>
    <row r="543" spans="1:8" ht="14.25" hidden="1" customHeight="1" x14ac:dyDescent="0.3">
      <c r="A543" s="2" t="s">
        <v>32</v>
      </c>
      <c r="B543" s="60" t="s">
        <v>155</v>
      </c>
      <c r="C543" s="60" t="s">
        <v>169</v>
      </c>
      <c r="D543" s="68">
        <v>6</v>
      </c>
      <c r="E543" s="73">
        <v>52.35</v>
      </c>
      <c r="F543" s="79">
        <f>IFERROR(D543*E543,0)</f>
        <v>314.10000000000002</v>
      </c>
      <c r="G543" s="60" t="str">
        <f>INDEX(SETORES!$B:$B,MATCH(A543,SETORES!$A:$A,0))</f>
        <v>Funcionários</v>
      </c>
      <c r="H543" s="60" t="s">
        <v>88</v>
      </c>
    </row>
    <row r="544" spans="1:8" ht="14.25" hidden="1" customHeight="1" x14ac:dyDescent="0.3">
      <c r="A544" s="2" t="s">
        <v>32</v>
      </c>
      <c r="B544" s="60" t="s">
        <v>155</v>
      </c>
      <c r="C544" s="60" t="s">
        <v>158</v>
      </c>
      <c r="D544" s="68"/>
      <c r="E544" s="73"/>
      <c r="F544" s="79">
        <f>IFERROR(D544*E544,0)</f>
        <v>0</v>
      </c>
      <c r="G544" s="60" t="str">
        <f>INDEX(SETORES!$B:$B,MATCH(A544,SETORES!$A:$A,0))</f>
        <v>Funcionários</v>
      </c>
      <c r="H544" s="60" t="s">
        <v>88</v>
      </c>
    </row>
    <row r="545" spans="1:8" ht="14.25" hidden="1" customHeight="1" x14ac:dyDescent="0.3">
      <c r="A545" s="2" t="s">
        <v>32</v>
      </c>
      <c r="B545" s="60" t="s">
        <v>162</v>
      </c>
      <c r="C545" s="60" t="s">
        <v>225</v>
      </c>
      <c r="D545" s="68"/>
      <c r="E545" s="73"/>
      <c r="F545" s="79">
        <f>IFERROR(D545*E545,0)</f>
        <v>0</v>
      </c>
      <c r="G545" s="60" t="str">
        <f>INDEX(SETORES!$B:$B,MATCH(A545,SETORES!$A:$A,0))</f>
        <v>Funcionários</v>
      </c>
      <c r="H545" s="60" t="s">
        <v>88</v>
      </c>
    </row>
    <row r="546" spans="1:8" ht="14.25" hidden="1" customHeight="1" x14ac:dyDescent="0.3">
      <c r="A546" s="2" t="s">
        <v>32</v>
      </c>
      <c r="B546" s="60" t="s">
        <v>162</v>
      </c>
      <c r="C546" s="60" t="s">
        <v>226</v>
      </c>
      <c r="D546" s="68"/>
      <c r="E546" s="73"/>
      <c r="F546" s="79">
        <f>IFERROR(D546*E546,0)</f>
        <v>0</v>
      </c>
      <c r="G546" s="60" t="str">
        <f>INDEX(SETORES!$B:$B,MATCH(A546,SETORES!$A:$A,0))</f>
        <v>Funcionários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161</v>
      </c>
      <c r="D547" s="68">
        <v>1</v>
      </c>
      <c r="E547" s="73">
        <v>30326.87</v>
      </c>
      <c r="F547" s="79">
        <f>IFERROR(D547*E547,0)</f>
        <v>30326.87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167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238</v>
      </c>
      <c r="D549" s="68"/>
      <c r="E549" s="73"/>
      <c r="F549" s="79">
        <f>IFERROR(D549*E549,0)</f>
        <v>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258</v>
      </c>
      <c r="D550" s="68">
        <v>1</v>
      </c>
      <c r="E550" s="73">
        <v>116.32</v>
      </c>
      <c r="F550" s="79">
        <f>IFERROR(D550*E550,0)</f>
        <v>116.32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166</v>
      </c>
      <c r="D551" s="68">
        <v>6</v>
      </c>
      <c r="E551" s="73">
        <v>50</v>
      </c>
      <c r="F551" s="79">
        <f>IFERROR(D551*E551,0)</f>
        <v>300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156</v>
      </c>
      <c r="D552" s="68">
        <v>1</v>
      </c>
      <c r="E552" s="73">
        <v>9.85</v>
      </c>
      <c r="F552" s="79">
        <f>IFERROR(D552*E552,0)</f>
        <v>9.85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157</v>
      </c>
      <c r="D553" s="68">
        <v>1</v>
      </c>
      <c r="E553" s="73">
        <v>167.98</v>
      </c>
      <c r="F553" s="79">
        <f>IFERROR(D553*E553,0)</f>
        <v>167.98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155</v>
      </c>
      <c r="C554" s="60" t="s">
        <v>230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155</v>
      </c>
      <c r="C555" s="60" t="s">
        <v>174</v>
      </c>
      <c r="D555" s="68">
        <v>1</v>
      </c>
      <c r="E555" s="73">
        <v>2000</v>
      </c>
      <c r="F555" s="79">
        <f>IFERROR(D555*E555,0)</f>
        <v>2000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162</v>
      </c>
      <c r="C556" s="60" t="s">
        <v>228</v>
      </c>
      <c r="D556" s="68"/>
      <c r="E556" s="73"/>
      <c r="F556" s="79">
        <f>IFERROR(D556*E556,0)</f>
        <v>0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162</v>
      </c>
      <c r="C557" s="60" t="s">
        <v>222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175</v>
      </c>
      <c r="D558" s="68">
        <v>1</v>
      </c>
      <c r="E558" s="73">
        <v>2500</v>
      </c>
      <c r="F558" s="79">
        <f>IFERROR(D558*E558,0)</f>
        <v>2500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176</v>
      </c>
      <c r="D559" s="68">
        <v>1</v>
      </c>
      <c r="E559" s="73">
        <v>2612.9</v>
      </c>
      <c r="F559" s="79">
        <f>IFERROR(D559*E559,0)</f>
        <v>2612.9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168</v>
      </c>
      <c r="D560" s="68">
        <v>6</v>
      </c>
      <c r="E560" s="73">
        <v>1.87</v>
      </c>
      <c r="F560" s="79">
        <f>IFERROR(D560*E560,0)</f>
        <v>11.22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160</v>
      </c>
      <c r="D561" s="68"/>
      <c r="E561" s="73"/>
      <c r="F561" s="79">
        <f>IFERROR(D561*E561,0)</f>
        <v>0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227</v>
      </c>
      <c r="D562" s="68"/>
      <c r="E562" s="73"/>
      <c r="F562" s="79">
        <f>IFERROR(D562*E562,0)</f>
        <v>0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44</v>
      </c>
      <c r="B563" s="60" t="s">
        <v>155</v>
      </c>
      <c r="C563" s="60" t="s">
        <v>159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44</v>
      </c>
      <c r="B564" s="60" t="s">
        <v>155</v>
      </c>
      <c r="C564" s="60" t="s">
        <v>212</v>
      </c>
      <c r="D564" s="68">
        <v>3</v>
      </c>
      <c r="E564" s="73">
        <v>30</v>
      </c>
      <c r="F564" s="79">
        <f>IFERROR(D564*E564,0)</f>
        <v>90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44</v>
      </c>
      <c r="B565" s="60" t="s">
        <v>162</v>
      </c>
      <c r="C565" s="60" t="s">
        <v>217</v>
      </c>
      <c r="D565" s="68">
        <v>1</v>
      </c>
      <c r="E565" s="73">
        <v>4175.57</v>
      </c>
      <c r="F565" s="79">
        <f>IFERROR(D565*E565,0)</f>
        <v>4175.57</v>
      </c>
      <c r="G565" s="60" t="str">
        <f>INDEX(SETORES!$B:$B,MATCH(A565,SETORES!$A:$A,0))</f>
        <v>Funcionários</v>
      </c>
      <c r="H565" s="60" t="s">
        <v>88</v>
      </c>
    </row>
    <row r="566" spans="1:8" ht="14.25" customHeight="1" x14ac:dyDescent="0.3">
      <c r="A566" s="2" t="s">
        <v>44</v>
      </c>
      <c r="B566" s="60" t="s">
        <v>155</v>
      </c>
      <c r="C566" s="60" t="s">
        <v>171</v>
      </c>
      <c r="D566" s="68">
        <v>8</v>
      </c>
      <c r="E566" s="73">
        <v>52.09</v>
      </c>
      <c r="F566" s="79">
        <f>IFERROR(D566*E566,0)</f>
        <v>416.72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44</v>
      </c>
      <c r="B567" s="60" t="s">
        <v>155</v>
      </c>
      <c r="C567" s="60" t="s">
        <v>170</v>
      </c>
      <c r="D567" s="68">
        <v>8</v>
      </c>
      <c r="E567" s="73">
        <v>32.549999999999997</v>
      </c>
      <c r="F567" s="79">
        <f>IFERROR(D567*E567,0)</f>
        <v>260.39999999999998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44</v>
      </c>
      <c r="B568" s="60" t="s">
        <v>155</v>
      </c>
      <c r="C568" s="60" t="s">
        <v>169</v>
      </c>
      <c r="D568" s="68">
        <v>8</v>
      </c>
      <c r="E568" s="73">
        <v>52.35</v>
      </c>
      <c r="F568" s="79">
        <f>IFERROR(D568*E568,0)</f>
        <v>418.8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44</v>
      </c>
      <c r="B569" s="60" t="s">
        <v>155</v>
      </c>
      <c r="C569" s="60" t="s">
        <v>158</v>
      </c>
      <c r="D569" s="68"/>
      <c r="E569" s="73"/>
      <c r="F569" s="79">
        <f>IFERROR(D569*E569,0)</f>
        <v>0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44</v>
      </c>
      <c r="B570" s="60" t="s">
        <v>162</v>
      </c>
      <c r="C570" s="60" t="s">
        <v>221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44</v>
      </c>
      <c r="B571" s="60" t="s">
        <v>162</v>
      </c>
      <c r="C571" s="60" t="s">
        <v>165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162</v>
      </c>
      <c r="C572" s="60" t="s">
        <v>163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162</v>
      </c>
      <c r="C573" s="60" t="s">
        <v>164</v>
      </c>
      <c r="D573" s="68">
        <v>1</v>
      </c>
      <c r="E573" s="73">
        <v>204</v>
      </c>
      <c r="F573" s="79">
        <f>IFERROR(D573*E573,0)</f>
        <v>204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155</v>
      </c>
      <c r="C574" s="60" t="s">
        <v>161</v>
      </c>
      <c r="D574" s="68">
        <v>1</v>
      </c>
      <c r="E574" s="73">
        <v>43760.480000000003</v>
      </c>
      <c r="F574" s="79">
        <f>IFERROR(D574*E574,0)</f>
        <v>43760.480000000003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167</v>
      </c>
      <c r="D575" s="68"/>
      <c r="E575" s="73"/>
      <c r="F575" s="79">
        <f>IFERROR(D575*E575,0)</f>
        <v>0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238</v>
      </c>
      <c r="D576" s="68"/>
      <c r="E576" s="73"/>
      <c r="F576" s="79">
        <f>IFERROR(D576*E576,0)</f>
        <v>0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258</v>
      </c>
      <c r="D577" s="68">
        <v>1</v>
      </c>
      <c r="E577" s="73">
        <v>155.09</v>
      </c>
      <c r="F577" s="79">
        <f>IFERROR(D577*E577,0)</f>
        <v>155.09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166</v>
      </c>
      <c r="D578" s="68">
        <v>8</v>
      </c>
      <c r="E578" s="73">
        <v>50</v>
      </c>
      <c r="F578" s="79">
        <f>IFERROR(D578*E578,0)</f>
        <v>400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155</v>
      </c>
      <c r="C579" s="60" t="s">
        <v>156</v>
      </c>
      <c r="D579" s="68">
        <v>1</v>
      </c>
      <c r="E579" s="73">
        <v>56.96</v>
      </c>
      <c r="F579" s="79">
        <f>IFERROR(D579*E579,0)</f>
        <v>56.96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155</v>
      </c>
      <c r="C580" s="60" t="s">
        <v>157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232</v>
      </c>
      <c r="D581" s="68">
        <v>1</v>
      </c>
      <c r="E581" s="73">
        <v>7689.5</v>
      </c>
      <c r="F581" s="79">
        <f>IFERROR(D581*E581,0)</f>
        <v>7689.5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209</v>
      </c>
      <c r="D582" s="68"/>
      <c r="E582" s="73"/>
      <c r="F582" s="79">
        <f>IFERROR(D582*E582,0)</f>
        <v>0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162</v>
      </c>
      <c r="C583" s="60" t="s">
        <v>222</v>
      </c>
      <c r="D583" s="68"/>
      <c r="E583" s="73"/>
      <c r="F583" s="79">
        <f>IFERROR(D583*E583,0)</f>
        <v>0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168</v>
      </c>
      <c r="D584" s="68">
        <v>8</v>
      </c>
      <c r="E584" s="73">
        <v>1.87</v>
      </c>
      <c r="F584" s="79">
        <f>IFERROR(D584*E584,0)</f>
        <v>14.96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160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139</v>
      </c>
      <c r="B586" s="60" t="s">
        <v>155</v>
      </c>
      <c r="C586" s="60" t="s">
        <v>250</v>
      </c>
      <c r="D586" s="68">
        <v>1</v>
      </c>
      <c r="E586" s="73">
        <v>1049.68</v>
      </c>
      <c r="F586" s="79">
        <f>IFERROR(D586*E586,0)</f>
        <v>1049.68</v>
      </c>
      <c r="G586" s="60" t="str">
        <f>INDEX(SETORES!$B:$B,MATCH(A586,SETORES!$A:$A,0))</f>
        <v>Funcionários</v>
      </c>
      <c r="H586" s="60" t="s">
        <v>88</v>
      </c>
    </row>
    <row r="587" spans="1:8" ht="14.25" customHeight="1" x14ac:dyDescent="0.3">
      <c r="A587" s="2" t="s">
        <v>139</v>
      </c>
      <c r="B587" s="60" t="s">
        <v>155</v>
      </c>
      <c r="C587" s="60" t="s">
        <v>171</v>
      </c>
      <c r="D587" s="68">
        <v>6</v>
      </c>
      <c r="E587" s="73">
        <v>52.09</v>
      </c>
      <c r="F587" s="79">
        <f>IFERROR(D587*E587,0)</f>
        <v>312.54000000000002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139</v>
      </c>
      <c r="B588" s="60" t="s">
        <v>155</v>
      </c>
      <c r="C588" s="60" t="s">
        <v>170</v>
      </c>
      <c r="D588" s="68">
        <v>6</v>
      </c>
      <c r="E588" s="73">
        <v>32.549999999999997</v>
      </c>
      <c r="F588" s="79">
        <f>IFERROR(D588*E588,0)</f>
        <v>195.29999999999998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139</v>
      </c>
      <c r="B589" s="60" t="s">
        <v>155</v>
      </c>
      <c r="C589" s="60" t="s">
        <v>169</v>
      </c>
      <c r="D589" s="68">
        <v>6</v>
      </c>
      <c r="E589" s="73">
        <v>52.35</v>
      </c>
      <c r="F589" s="79">
        <f>IFERROR(D589*E589,0)</f>
        <v>314.10000000000002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139</v>
      </c>
      <c r="B590" s="60" t="s">
        <v>162</v>
      </c>
      <c r="C590" s="60" t="s">
        <v>164</v>
      </c>
      <c r="D590" s="68"/>
      <c r="E590" s="73"/>
      <c r="F590" s="79">
        <f>IFERROR(D590*E590,0)</f>
        <v>0</v>
      </c>
      <c r="G590" s="60" t="str">
        <f>INDEX(SETORES!$B:$B,MATCH(A590,SETORES!$A:$A,0))</f>
        <v>Funcionários</v>
      </c>
      <c r="H590" s="60" t="s">
        <v>88</v>
      </c>
    </row>
    <row r="591" spans="1:8" ht="14.25" hidden="1" customHeight="1" x14ac:dyDescent="0.3">
      <c r="A591" s="2" t="s">
        <v>139</v>
      </c>
      <c r="B591" s="60" t="s">
        <v>155</v>
      </c>
      <c r="C591" s="60" t="s">
        <v>161</v>
      </c>
      <c r="D591" s="68">
        <v>1</v>
      </c>
      <c r="E591" s="73">
        <v>27256.45</v>
      </c>
      <c r="F591" s="79">
        <f>IFERROR(D591*E591,0)</f>
        <v>27256.45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139</v>
      </c>
      <c r="B592" s="60" t="s">
        <v>155</v>
      </c>
      <c r="C592" s="60" t="s">
        <v>167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139</v>
      </c>
      <c r="B593" s="60" t="s">
        <v>155</v>
      </c>
      <c r="C593" s="60" t="s">
        <v>168</v>
      </c>
      <c r="D593" s="68">
        <v>6</v>
      </c>
      <c r="E593" s="73">
        <v>1.87</v>
      </c>
      <c r="F593" s="79">
        <f>IFERROR(D593*E593,0)</f>
        <v>11.22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53</v>
      </c>
      <c r="B594" s="60" t="s">
        <v>155</v>
      </c>
      <c r="C594" s="60" t="s">
        <v>159</v>
      </c>
      <c r="D594" s="68"/>
      <c r="E594" s="73"/>
      <c r="F594" s="79">
        <f>IFERROR(D594*E594,0)</f>
        <v>0</v>
      </c>
      <c r="G594" s="60" t="str">
        <f>INDEX(SETORES!$B:$B,MATCH(A594,SETORES!$A:$A,0))</f>
        <v>Clientes</v>
      </c>
      <c r="H594" s="60" t="s">
        <v>88</v>
      </c>
    </row>
    <row r="595" spans="1:8" ht="14.25" hidden="1" customHeight="1" x14ac:dyDescent="0.3">
      <c r="A595" s="2" t="s">
        <v>53</v>
      </c>
      <c r="B595" s="60" t="s">
        <v>155</v>
      </c>
      <c r="C595" s="60" t="s">
        <v>249</v>
      </c>
      <c r="D595" s="68">
        <v>1</v>
      </c>
      <c r="E595" s="73">
        <v>2571.4699999999998</v>
      </c>
      <c r="F595" s="79">
        <f>IFERROR(D595*E595,0)</f>
        <v>2571.4699999999998</v>
      </c>
      <c r="G595" s="60" t="str">
        <f>INDEX(SETORES!$B:$B,MATCH(A595,SETORES!$A:$A,0))</f>
        <v>Clientes</v>
      </c>
      <c r="H595" s="60" t="s">
        <v>88</v>
      </c>
    </row>
    <row r="596" spans="1:8" ht="14.25" customHeight="1" x14ac:dyDescent="0.3">
      <c r="A596" s="2" t="s">
        <v>53</v>
      </c>
      <c r="B596" s="60" t="s">
        <v>155</v>
      </c>
      <c r="C596" s="60" t="s">
        <v>171</v>
      </c>
      <c r="D596" s="68">
        <v>33</v>
      </c>
      <c r="E596" s="73">
        <v>52.09</v>
      </c>
      <c r="F596" s="79">
        <f>IFERROR(D596*E596,0)</f>
        <v>1718.97</v>
      </c>
      <c r="G596" s="60" t="s">
        <v>98</v>
      </c>
      <c r="H596" s="60" t="s">
        <v>88</v>
      </c>
    </row>
    <row r="597" spans="1:8" ht="14.25" hidden="1" customHeight="1" x14ac:dyDescent="0.3">
      <c r="A597" s="2" t="s">
        <v>53</v>
      </c>
      <c r="B597" s="60" t="s">
        <v>155</v>
      </c>
      <c r="C597" s="60" t="s">
        <v>170</v>
      </c>
      <c r="D597" s="68">
        <v>33</v>
      </c>
      <c r="E597" s="73">
        <v>32.549999999999997</v>
      </c>
      <c r="F597" s="79">
        <f>IFERROR(D597*E597,0)</f>
        <v>1074.1499999999999</v>
      </c>
      <c r="G597" s="60" t="s">
        <v>98</v>
      </c>
      <c r="H597" s="60" t="s">
        <v>88</v>
      </c>
    </row>
    <row r="598" spans="1:8" ht="14.25" hidden="1" customHeight="1" x14ac:dyDescent="0.3">
      <c r="A598" s="2" t="s">
        <v>53</v>
      </c>
      <c r="B598" s="60" t="s">
        <v>155</v>
      </c>
      <c r="C598" s="60" t="s">
        <v>169</v>
      </c>
      <c r="D598" s="68">
        <v>33</v>
      </c>
      <c r="E598" s="73">
        <v>52.35</v>
      </c>
      <c r="F598" s="79">
        <f>IFERROR(D598*E598,0)</f>
        <v>1727.55</v>
      </c>
      <c r="G598" s="60" t="s">
        <v>98</v>
      </c>
      <c r="H598" s="60" t="s">
        <v>88</v>
      </c>
    </row>
    <row r="599" spans="1:8" ht="14.25" hidden="1" customHeight="1" x14ac:dyDescent="0.3">
      <c r="A599" s="2" t="s">
        <v>53</v>
      </c>
      <c r="B599" s="60" t="s">
        <v>155</v>
      </c>
      <c r="C599" s="60" t="s">
        <v>158</v>
      </c>
      <c r="D599" s="68"/>
      <c r="E599" s="73"/>
      <c r="F599" s="79">
        <f>IFERROR(D599*E599,0)</f>
        <v>0</v>
      </c>
      <c r="G599" s="60" t="str">
        <f>INDEX(SETORES!$B:$B,MATCH(A599,SETORES!$A:$A,0))</f>
        <v>Clientes</v>
      </c>
      <c r="H599" s="60" t="s">
        <v>88</v>
      </c>
    </row>
    <row r="600" spans="1:8" ht="14.25" hidden="1" customHeight="1" x14ac:dyDescent="0.3">
      <c r="A600" s="2" t="s">
        <v>53</v>
      </c>
      <c r="B600" s="60" t="s">
        <v>162</v>
      </c>
      <c r="C600" s="60" t="s">
        <v>165</v>
      </c>
      <c r="D600" s="68"/>
      <c r="E600" s="73"/>
      <c r="F600" s="79">
        <f>IFERROR(D600*E600,0)</f>
        <v>0</v>
      </c>
      <c r="G600" s="60" t="str">
        <f>INDEX(SETORES!$B:$B,MATCH(A600,SETORES!$A:$A,0))</f>
        <v>Clientes</v>
      </c>
      <c r="H600" s="60" t="s">
        <v>88</v>
      </c>
    </row>
    <row r="601" spans="1:8" ht="14.25" hidden="1" customHeight="1" x14ac:dyDescent="0.3">
      <c r="A601" s="2" t="s">
        <v>53</v>
      </c>
      <c r="B601" s="60" t="s">
        <v>162</v>
      </c>
      <c r="C601" s="60" t="s">
        <v>163</v>
      </c>
      <c r="D601" s="68"/>
      <c r="E601" s="73"/>
      <c r="F601" s="79">
        <f>IFERROR(D601*E601,0)</f>
        <v>0</v>
      </c>
      <c r="G601" s="60" t="str">
        <f>INDEX(SETORES!$B:$B,MATCH(A601,SETORES!$A:$A,0))</f>
        <v>Clientes</v>
      </c>
      <c r="H601" s="60" t="s">
        <v>88</v>
      </c>
    </row>
    <row r="602" spans="1:8" ht="14.25" hidden="1" customHeight="1" x14ac:dyDescent="0.3">
      <c r="A602" s="35" t="s">
        <v>53</v>
      </c>
      <c r="B602" s="66" t="s">
        <v>162</v>
      </c>
      <c r="C602" s="66" t="s">
        <v>164</v>
      </c>
      <c r="D602" s="66">
        <v>1</v>
      </c>
      <c r="E602" s="78">
        <v>272</v>
      </c>
      <c r="F602" s="78">
        <f>IFERROR(D602*E602,0)</f>
        <v>272</v>
      </c>
      <c r="G602" s="66" t="str">
        <f>INDEX(SETORES!$B:$B,MATCH(A602,SETORES!$A:$A,0))</f>
        <v>Clientes</v>
      </c>
      <c r="H602" s="66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161</v>
      </c>
      <c r="D603" s="68">
        <v>1</v>
      </c>
      <c r="E603" s="73">
        <v>106886.23</v>
      </c>
      <c r="F603" s="79">
        <f>IFERROR(D603*E603,0)</f>
        <v>106886.23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167</v>
      </c>
      <c r="D604" s="68"/>
      <c r="E604" s="73"/>
      <c r="F604" s="79">
        <f>IFERROR(D604*E604,0)</f>
        <v>0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240</v>
      </c>
      <c r="D605" s="68"/>
      <c r="E605" s="73"/>
      <c r="F605" s="79">
        <f>IFERROR(D605*E605,0)</f>
        <v>0</v>
      </c>
      <c r="G605" s="60" t="str">
        <f>INDEX(SETORES!$B:$B,MATCH(A605,SETORES!$A:$A,0))</f>
        <v>Clientes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258</v>
      </c>
      <c r="D606" s="68">
        <v>1</v>
      </c>
      <c r="E606" s="73">
        <v>639.74</v>
      </c>
      <c r="F606" s="79">
        <f>IFERROR(D606*E606,0)</f>
        <v>639.74</v>
      </c>
      <c r="G606" s="60" t="str">
        <f>INDEX(SETORES!$B:$B,MATCH(A606,SETORES!$A:$A,0))</f>
        <v>Clientes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166</v>
      </c>
      <c r="D607" s="68">
        <v>33</v>
      </c>
      <c r="E607" s="73">
        <v>50</v>
      </c>
      <c r="F607" s="79">
        <f>IFERROR(D607*E607,0)</f>
        <v>1650</v>
      </c>
      <c r="G607" s="60" t="str">
        <f>INDEX(SETORES!$B:$B,MATCH(A607,SETORES!$A:$A,0))</f>
        <v>Clientes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156</v>
      </c>
      <c r="D608" s="68">
        <v>1</v>
      </c>
      <c r="E608" s="73">
        <v>9.5</v>
      </c>
      <c r="F608" s="79">
        <f>IFERROR(D608*E608,0)</f>
        <v>9.5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155</v>
      </c>
      <c r="C609" s="60" t="s">
        <v>157</v>
      </c>
      <c r="D609" s="68">
        <v>1</v>
      </c>
      <c r="E609" s="73">
        <v>1668.3</v>
      </c>
      <c r="F609" s="79">
        <f>IFERROR(D609*E609,0)</f>
        <v>1668.3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222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2" t="s">
        <v>53</v>
      </c>
      <c r="B611" s="60" t="s">
        <v>155</v>
      </c>
      <c r="C611" s="60" t="s">
        <v>187</v>
      </c>
      <c r="D611" s="68"/>
      <c r="E611" s="73"/>
      <c r="F611" s="79">
        <f>IFERROR(D611*E611,0)</f>
        <v>0</v>
      </c>
      <c r="G611" s="60" t="str">
        <f>INDEX(SETORES!$B:$B,MATCH(A611,SETORES!$A:$A,0))</f>
        <v>Clientes</v>
      </c>
      <c r="H611" s="60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168</v>
      </c>
      <c r="D612" s="68">
        <v>33</v>
      </c>
      <c r="E612" s="73">
        <v>1.87</v>
      </c>
      <c r="F612" s="79">
        <f>IFERROR(D612*E612,0)</f>
        <v>61.71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160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52</v>
      </c>
      <c r="B614" s="60" t="s">
        <v>155</v>
      </c>
      <c r="C614" s="60" t="s">
        <v>159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52</v>
      </c>
      <c r="B615" s="60" t="s">
        <v>155</v>
      </c>
      <c r="C615" s="60" t="s">
        <v>249</v>
      </c>
      <c r="D615" s="68">
        <v>1</v>
      </c>
      <c r="E615" s="73">
        <v>623.39</v>
      </c>
      <c r="F615" s="79">
        <f>IFERROR(D615*E615,0)</f>
        <v>623.39</v>
      </c>
      <c r="G615" s="60" t="str">
        <f>INDEX(SETORES!$B:$B,MATCH(A615,SETORES!$A:$A,0))</f>
        <v>Clientes</v>
      </c>
      <c r="H615" s="60" t="s">
        <v>88</v>
      </c>
    </row>
    <row r="616" spans="1:8" ht="14.25" customHeight="1" x14ac:dyDescent="0.3">
      <c r="A616" s="2" t="s">
        <v>52</v>
      </c>
      <c r="B616" s="60" t="s">
        <v>155</v>
      </c>
      <c r="C616" s="60" t="s">
        <v>171</v>
      </c>
      <c r="D616" s="68">
        <v>8</v>
      </c>
      <c r="E616" s="73">
        <v>52.09</v>
      </c>
      <c r="F616" s="79">
        <f>IFERROR(D616*E616,0)</f>
        <v>416.72</v>
      </c>
      <c r="G616" s="60" t="s">
        <v>98</v>
      </c>
      <c r="H616" s="60" t="s">
        <v>88</v>
      </c>
    </row>
    <row r="617" spans="1:8" ht="14.25" hidden="1" customHeight="1" x14ac:dyDescent="0.3">
      <c r="A617" s="2" t="s">
        <v>52</v>
      </c>
      <c r="B617" s="60" t="s">
        <v>155</v>
      </c>
      <c r="C617" s="60" t="s">
        <v>170</v>
      </c>
      <c r="D617" s="68">
        <v>8</v>
      </c>
      <c r="E617" s="73">
        <v>32.549999999999997</v>
      </c>
      <c r="F617" s="79">
        <f>IFERROR(D617*E617,0)</f>
        <v>260.39999999999998</v>
      </c>
      <c r="G617" s="60" t="s">
        <v>98</v>
      </c>
      <c r="H617" s="60" t="s">
        <v>88</v>
      </c>
    </row>
    <row r="618" spans="1:8" ht="14.25" hidden="1" customHeight="1" x14ac:dyDescent="0.3">
      <c r="A618" s="2" t="s">
        <v>52</v>
      </c>
      <c r="B618" s="60" t="s">
        <v>155</v>
      </c>
      <c r="C618" s="60" t="s">
        <v>169</v>
      </c>
      <c r="D618" s="68">
        <v>8</v>
      </c>
      <c r="E618" s="73">
        <v>52.35</v>
      </c>
      <c r="F618" s="79">
        <f>IFERROR(D618*E618,0)</f>
        <v>418.8</v>
      </c>
      <c r="G618" s="60" t="s">
        <v>98</v>
      </c>
      <c r="H618" s="60" t="s">
        <v>88</v>
      </c>
    </row>
    <row r="619" spans="1:8" ht="14.25" hidden="1" customHeight="1" x14ac:dyDescent="0.3">
      <c r="A619" s="2" t="s">
        <v>52</v>
      </c>
      <c r="B619" s="60" t="s">
        <v>155</v>
      </c>
      <c r="C619" s="60" t="s">
        <v>158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52</v>
      </c>
      <c r="B620" s="60" t="s">
        <v>162</v>
      </c>
      <c r="C620" s="60" t="s">
        <v>164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52</v>
      </c>
      <c r="B621" s="60" t="s">
        <v>155</v>
      </c>
      <c r="C621" s="60" t="s">
        <v>161</v>
      </c>
      <c r="D621" s="68">
        <v>1</v>
      </c>
      <c r="E621" s="73">
        <v>30736.23</v>
      </c>
      <c r="F621" s="79">
        <f>IFERROR(D621*E621,0)</f>
        <v>30736.23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52</v>
      </c>
      <c r="B622" s="60" t="s">
        <v>155</v>
      </c>
      <c r="C622" s="60" t="s">
        <v>167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240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258</v>
      </c>
      <c r="D624" s="68">
        <v>1</v>
      </c>
      <c r="E624" s="73">
        <v>155.09</v>
      </c>
      <c r="F624" s="79">
        <f>IFERROR(D624*E624,0)</f>
        <v>155.09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166</v>
      </c>
      <c r="D625" s="68">
        <v>8</v>
      </c>
      <c r="E625" s="73">
        <v>50</v>
      </c>
      <c r="F625" s="79">
        <f>IFERROR(D625*E625,0)</f>
        <v>400</v>
      </c>
      <c r="G625" s="60" t="str">
        <f>INDEX(SETORES!$B:$B,MATCH(A625,SETORES!$A:$A,0))</f>
        <v>Clientes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156</v>
      </c>
      <c r="D626" s="68">
        <v>1</v>
      </c>
      <c r="E626" s="73">
        <v>2.2999999999999998</v>
      </c>
      <c r="F626" s="79">
        <f>IFERROR(D626*E626,0)</f>
        <v>2.2999999999999998</v>
      </c>
      <c r="G626" s="60" t="str">
        <f>INDEX(SETORES!$B:$B,MATCH(A626,SETORES!$A:$A,0))</f>
        <v>Clientes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157</v>
      </c>
      <c r="D627" s="68">
        <v>1</v>
      </c>
      <c r="E627" s="73">
        <v>404.44</v>
      </c>
      <c r="F627" s="79">
        <f>IFERROR(D627*E627,0)</f>
        <v>404.44</v>
      </c>
      <c r="G627" s="60" t="str">
        <f>INDEX(SETORES!$B:$B,MATCH(A627,SETORES!$A:$A,0))</f>
        <v>Clientes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162</v>
      </c>
      <c r="C628" s="60" t="s">
        <v>222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155</v>
      </c>
      <c r="C629" s="60" t="s">
        <v>187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168</v>
      </c>
      <c r="D630" s="68">
        <v>8</v>
      </c>
      <c r="E630" s="73">
        <v>1.87</v>
      </c>
      <c r="F630" s="79">
        <f>IFERROR(D630*E630,0)</f>
        <v>14.96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160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51</v>
      </c>
      <c r="B632" s="60" t="s">
        <v>155</v>
      </c>
      <c r="C632" s="60" t="s">
        <v>159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51</v>
      </c>
      <c r="B633" s="60" t="s">
        <v>155</v>
      </c>
      <c r="C633" s="60" t="s">
        <v>249</v>
      </c>
      <c r="D633" s="68">
        <v>1</v>
      </c>
      <c r="E633" s="73">
        <v>857.16</v>
      </c>
      <c r="F633" s="79">
        <f>IFERROR(D633*E633,0)</f>
        <v>857.16</v>
      </c>
      <c r="G633" s="60" t="str">
        <f>INDEX(SETORES!$B:$B,MATCH(A633,SETORES!$A:$A,0))</f>
        <v>Clientes</v>
      </c>
      <c r="H633" s="60" t="s">
        <v>88</v>
      </c>
    </row>
    <row r="634" spans="1:8" ht="14.25" customHeight="1" x14ac:dyDescent="0.3">
      <c r="A634" s="2" t="s">
        <v>51</v>
      </c>
      <c r="B634" s="60" t="s">
        <v>155</v>
      </c>
      <c r="C634" s="60" t="s">
        <v>171</v>
      </c>
      <c r="D634" s="68">
        <v>11</v>
      </c>
      <c r="E634" s="73">
        <v>52.09</v>
      </c>
      <c r="F634" s="79">
        <f>IFERROR(D634*E634,0)</f>
        <v>572.99</v>
      </c>
      <c r="G634" s="60" t="s">
        <v>98</v>
      </c>
      <c r="H634" s="60" t="s">
        <v>88</v>
      </c>
    </row>
    <row r="635" spans="1:8" ht="14.25" hidden="1" customHeight="1" x14ac:dyDescent="0.3">
      <c r="A635" s="2" t="s">
        <v>51</v>
      </c>
      <c r="B635" s="60" t="s">
        <v>155</v>
      </c>
      <c r="C635" s="60" t="s">
        <v>170</v>
      </c>
      <c r="D635" s="68">
        <v>11</v>
      </c>
      <c r="E635" s="73">
        <v>32.549999999999997</v>
      </c>
      <c r="F635" s="79">
        <f>IFERROR(D635*E635,0)</f>
        <v>358.04999999999995</v>
      </c>
      <c r="G635" s="60" t="s">
        <v>98</v>
      </c>
      <c r="H635" s="60" t="s">
        <v>88</v>
      </c>
    </row>
    <row r="636" spans="1:8" ht="14.25" hidden="1" customHeight="1" x14ac:dyDescent="0.3">
      <c r="A636" s="2" t="s">
        <v>51</v>
      </c>
      <c r="B636" s="60" t="s">
        <v>155</v>
      </c>
      <c r="C636" s="60" t="s">
        <v>169</v>
      </c>
      <c r="D636" s="68">
        <v>11</v>
      </c>
      <c r="E636" s="73">
        <v>52.35</v>
      </c>
      <c r="F636" s="79">
        <f>IFERROR(D636*E636,0)</f>
        <v>575.85</v>
      </c>
      <c r="G636" s="60" t="s">
        <v>98</v>
      </c>
      <c r="H636" s="60" t="s">
        <v>88</v>
      </c>
    </row>
    <row r="637" spans="1:8" ht="14.25" hidden="1" customHeight="1" x14ac:dyDescent="0.3">
      <c r="A637" s="2" t="s">
        <v>51</v>
      </c>
      <c r="B637" s="60" t="s">
        <v>155</v>
      </c>
      <c r="C637" s="60" t="s">
        <v>158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51</v>
      </c>
      <c r="B638" s="60" t="s">
        <v>162</v>
      </c>
      <c r="C638" s="60" t="s">
        <v>163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51</v>
      </c>
      <c r="B639" s="60" t="s">
        <v>155</v>
      </c>
      <c r="C639" s="60" t="s">
        <v>161</v>
      </c>
      <c r="D639" s="68">
        <v>1</v>
      </c>
      <c r="E639" s="73">
        <v>128483.01</v>
      </c>
      <c r="F639" s="79">
        <f>IFERROR(D639*E639,0)</f>
        <v>128483.01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51</v>
      </c>
      <c r="B640" s="60" t="s">
        <v>155</v>
      </c>
      <c r="C640" s="60" t="s">
        <v>167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240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258</v>
      </c>
      <c r="D642" s="68">
        <v>1</v>
      </c>
      <c r="E642" s="73">
        <v>213.25</v>
      </c>
      <c r="F642" s="79">
        <f>IFERROR(D642*E642,0)</f>
        <v>213.25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166</v>
      </c>
      <c r="D643" s="68">
        <v>11</v>
      </c>
      <c r="E643" s="73">
        <v>50</v>
      </c>
      <c r="F643" s="79">
        <f>IFERROR(D643*E643,0)</f>
        <v>550</v>
      </c>
      <c r="G643" s="60" t="str">
        <f>INDEX(SETORES!$B:$B,MATCH(A643,SETORES!$A:$A,0))</f>
        <v>Clientes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156</v>
      </c>
      <c r="D644" s="68">
        <v>1</v>
      </c>
      <c r="E644" s="73">
        <v>3.17</v>
      </c>
      <c r="F644" s="79">
        <f>IFERROR(D644*E644,0)</f>
        <v>3.17</v>
      </c>
      <c r="G644" s="60" t="str">
        <f>INDEX(SETORES!$B:$B,MATCH(A644,SETORES!$A:$A,0))</f>
        <v>Clientes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157</v>
      </c>
      <c r="D645" s="68">
        <v>1</v>
      </c>
      <c r="E645" s="73">
        <v>556.1</v>
      </c>
      <c r="F645" s="79">
        <f>IFERROR(D645*E645,0)</f>
        <v>556.1</v>
      </c>
      <c r="G645" s="60" t="str">
        <f>INDEX(SETORES!$B:$B,MATCH(A645,SETORES!$A:$A,0))</f>
        <v>Clientes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162</v>
      </c>
      <c r="C646" s="60" t="s">
        <v>222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155</v>
      </c>
      <c r="C647" s="60" t="s">
        <v>187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168</v>
      </c>
      <c r="D648" s="68">
        <v>11</v>
      </c>
      <c r="E648" s="73">
        <v>1.87</v>
      </c>
      <c r="F648" s="79">
        <f>IFERROR(D648*E648,0)</f>
        <v>20.57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160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87</v>
      </c>
      <c r="B650" s="60" t="s">
        <v>155</v>
      </c>
      <c r="C650" s="60" t="s">
        <v>159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87</v>
      </c>
      <c r="B651" s="60" t="s">
        <v>155</v>
      </c>
      <c r="C651" s="60" t="s">
        <v>212</v>
      </c>
      <c r="D651" s="68">
        <v>5</v>
      </c>
      <c r="E651" s="73">
        <v>30</v>
      </c>
      <c r="F651" s="79">
        <f>IFERROR(D651*E651,0)</f>
        <v>150</v>
      </c>
      <c r="G651" s="60" t="str">
        <f>INDEX(SETORES!$B:$B,MATCH(A651,SETORES!$A:$A,0))</f>
        <v>Clientes</v>
      </c>
      <c r="H651" s="60" t="s">
        <v>88</v>
      </c>
    </row>
    <row r="652" spans="1:8" ht="14.25" customHeight="1" x14ac:dyDescent="0.3">
      <c r="A652" s="2" t="s">
        <v>87</v>
      </c>
      <c r="B652" s="60" t="s">
        <v>155</v>
      </c>
      <c r="C652" s="60" t="s">
        <v>171</v>
      </c>
      <c r="D652" s="68">
        <v>7</v>
      </c>
      <c r="E652" s="73">
        <v>52.09</v>
      </c>
      <c r="F652" s="79">
        <f>IFERROR(D652*E652,0)</f>
        <v>364.63</v>
      </c>
      <c r="G652" s="60" t="s">
        <v>98</v>
      </c>
      <c r="H652" s="60" t="s">
        <v>88</v>
      </c>
    </row>
    <row r="653" spans="1:8" ht="14.25" hidden="1" customHeight="1" x14ac:dyDescent="0.3">
      <c r="A653" s="2" t="s">
        <v>87</v>
      </c>
      <c r="B653" s="60" t="s">
        <v>155</v>
      </c>
      <c r="C653" s="60" t="s">
        <v>170</v>
      </c>
      <c r="D653" s="68">
        <v>7</v>
      </c>
      <c r="E653" s="73">
        <v>32.549999999999997</v>
      </c>
      <c r="F653" s="79">
        <f>IFERROR(D653*E653,0)</f>
        <v>227.84999999999997</v>
      </c>
      <c r="G653" s="60" t="s">
        <v>98</v>
      </c>
      <c r="H653" s="60" t="s">
        <v>88</v>
      </c>
    </row>
    <row r="654" spans="1:8" ht="14.25" hidden="1" customHeight="1" x14ac:dyDescent="0.3">
      <c r="A654" s="2" t="s">
        <v>87</v>
      </c>
      <c r="B654" s="60" t="s">
        <v>155</v>
      </c>
      <c r="C654" s="60" t="s">
        <v>169</v>
      </c>
      <c r="D654" s="68">
        <v>7</v>
      </c>
      <c r="E654" s="73">
        <v>52.35</v>
      </c>
      <c r="F654" s="79">
        <f>IFERROR(D654*E654,0)</f>
        <v>366.45</v>
      </c>
      <c r="G654" s="60" t="s">
        <v>98</v>
      </c>
      <c r="H654" s="60" t="s">
        <v>88</v>
      </c>
    </row>
    <row r="655" spans="1:8" ht="14.25" hidden="1" customHeight="1" x14ac:dyDescent="0.3">
      <c r="A655" s="2" t="s">
        <v>87</v>
      </c>
      <c r="B655" s="60" t="s">
        <v>155</v>
      </c>
      <c r="C655" s="60" t="s">
        <v>158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87</v>
      </c>
      <c r="B656" s="60" t="s">
        <v>162</v>
      </c>
      <c r="C656" s="60" t="s">
        <v>163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87</v>
      </c>
      <c r="B657" s="60" t="s">
        <v>155</v>
      </c>
      <c r="C657" s="60" t="s">
        <v>161</v>
      </c>
      <c r="D657" s="68">
        <v>1</v>
      </c>
      <c r="E657" s="73">
        <v>35073.9</v>
      </c>
      <c r="F657" s="79">
        <f>IFERROR(D657*E657,0)</f>
        <v>35073.9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87</v>
      </c>
      <c r="B658" s="60" t="s">
        <v>155</v>
      </c>
      <c r="C658" s="60" t="s">
        <v>167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238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258</v>
      </c>
      <c r="D660" s="68">
        <v>1</v>
      </c>
      <c r="E660" s="73">
        <v>135.69999999999999</v>
      </c>
      <c r="F660" s="79">
        <f>IFERROR(D660*E660,0)</f>
        <v>135.69999999999999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166</v>
      </c>
      <c r="D661" s="68">
        <v>7</v>
      </c>
      <c r="E661" s="73">
        <v>50</v>
      </c>
      <c r="F661" s="79">
        <f>IFERROR(D661*E661,0)</f>
        <v>350</v>
      </c>
      <c r="G661" s="60" t="str">
        <f>INDEX(SETORES!$B:$B,MATCH(A661,SETORES!$A:$A,0))</f>
        <v>Clientes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162</v>
      </c>
      <c r="C662" s="60" t="s">
        <v>156</v>
      </c>
      <c r="D662" s="68">
        <v>1</v>
      </c>
      <c r="E662" s="73">
        <v>52.84</v>
      </c>
      <c r="F662" s="79">
        <f>IFERROR(D662*E662,0)</f>
        <v>52.84</v>
      </c>
      <c r="G662" s="60" t="str">
        <f>INDEX(SETORES!$B:$B,MATCH(A662,SETORES!$A:$A,0))</f>
        <v>Clientes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157</v>
      </c>
      <c r="D663" s="68">
        <v>1</v>
      </c>
      <c r="E663" s="73">
        <v>107.14</v>
      </c>
      <c r="F663" s="79">
        <f>IFERROR(D663*E663,0)</f>
        <v>107.14</v>
      </c>
      <c r="G663" s="60" t="str">
        <f>INDEX(SETORES!$B:$B,MATCH(A663,SETORES!$A:$A,0))</f>
        <v>Clientes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168</v>
      </c>
      <c r="D664" s="68">
        <v>7</v>
      </c>
      <c r="E664" s="73">
        <v>1.87</v>
      </c>
      <c r="F664" s="79">
        <f>IFERROR(D664*E664,0)</f>
        <v>13.09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55</v>
      </c>
      <c r="B665" s="60" t="s">
        <v>155</v>
      </c>
      <c r="C665" s="67" t="s">
        <v>236</v>
      </c>
      <c r="D665" s="68">
        <v>1</v>
      </c>
      <c r="E665" s="73">
        <v>21454</v>
      </c>
      <c r="F665" s="79">
        <f>IFERROR(D665*E665,0)</f>
        <v>21454</v>
      </c>
      <c r="G665" s="60" t="str">
        <f>INDEX(SETORES!$B:$B,MATCH(A665,SETORES!$A:$A,0))</f>
        <v>Funcionários</v>
      </c>
      <c r="H665" s="60" t="s">
        <v>21</v>
      </c>
    </row>
    <row r="666" spans="1:8" ht="14.25" hidden="1" customHeight="1" x14ac:dyDescent="0.3">
      <c r="A666" s="34" t="s">
        <v>55</v>
      </c>
      <c r="B666" s="61" t="s">
        <v>162</v>
      </c>
      <c r="C666" s="61" t="s">
        <v>222</v>
      </c>
      <c r="D666" s="69"/>
      <c r="E666" s="74"/>
      <c r="F666" s="80">
        <v>0</v>
      </c>
      <c r="G666" s="61" t="str">
        <f>INDEX(SETORES!$B:$B,MATCH(A666,SETORES!$A:$A,0))</f>
        <v>Funcionários</v>
      </c>
      <c r="H666" s="61" t="s">
        <v>21</v>
      </c>
    </row>
    <row r="667" spans="1:8" ht="14.25" hidden="1" customHeight="1" x14ac:dyDescent="0.3">
      <c r="A667" s="34" t="s">
        <v>55</v>
      </c>
      <c r="B667" s="61" t="s">
        <v>155</v>
      </c>
      <c r="C667" s="67" t="s">
        <v>185</v>
      </c>
      <c r="D667" s="69">
        <v>1</v>
      </c>
      <c r="E667" s="74">
        <v>99</v>
      </c>
      <c r="F667" s="80">
        <f>IFERROR(D667*E667,0)</f>
        <v>99</v>
      </c>
      <c r="G667" s="61" t="str">
        <f>INDEX(SETORES!$B:$B,MATCH(A667,SETORES!$A:$A,0))</f>
        <v>Funcionários</v>
      </c>
      <c r="H667" s="61" t="s">
        <v>21</v>
      </c>
    </row>
    <row r="668" spans="1:8" ht="14.25" hidden="1" customHeight="1" x14ac:dyDescent="0.3">
      <c r="A668" s="2" t="s">
        <v>55</v>
      </c>
      <c r="B668" s="60" t="s">
        <v>155</v>
      </c>
      <c r="C668" s="60" t="s">
        <v>245</v>
      </c>
      <c r="D668" s="68">
        <v>1</v>
      </c>
      <c r="E668" s="73">
        <v>436</v>
      </c>
      <c r="F668" s="79">
        <f>IFERROR(D668*E668,0)</f>
        <v>436</v>
      </c>
      <c r="G668" s="60" t="str">
        <f>INDEX(SETORES!$B:$B,MATCH(A668,SETORES!$A:$A,0))</f>
        <v>Funcionários</v>
      </c>
      <c r="H668" s="60" t="s">
        <v>21</v>
      </c>
    </row>
    <row r="669" spans="1:8" ht="14.25" hidden="1" customHeight="1" x14ac:dyDescent="0.3">
      <c r="A669" s="34" t="s">
        <v>55</v>
      </c>
      <c r="B669" s="61" t="s">
        <v>155</v>
      </c>
      <c r="C669" s="67" t="s">
        <v>243</v>
      </c>
      <c r="D669" s="69">
        <v>1</v>
      </c>
      <c r="E669" s="74">
        <v>1787.09</v>
      </c>
      <c r="F669" s="80">
        <f>IFERROR(D669*E669,0)</f>
        <v>1787.09</v>
      </c>
      <c r="G669" s="61" t="str">
        <f>INDEX(SETORES!$B:$B,MATCH(A669,SETORES!$A:$A,0))</f>
        <v>Funcionários</v>
      </c>
      <c r="H669" s="61" t="s">
        <v>21</v>
      </c>
    </row>
    <row r="670" spans="1:8" ht="14.25" hidden="1" customHeight="1" x14ac:dyDescent="0.3">
      <c r="A670" s="34" t="s">
        <v>137</v>
      </c>
      <c r="B670" s="61" t="s">
        <v>155</v>
      </c>
      <c r="C670" s="61" t="s">
        <v>159</v>
      </c>
      <c r="D670" s="69">
        <v>1</v>
      </c>
      <c r="E670" s="74">
        <v>4.8500000000000001E-2</v>
      </c>
      <c r="F670" s="80">
        <v>4.8500000000000001E-2</v>
      </c>
      <c r="G670" s="61" t="s">
        <v>96</v>
      </c>
      <c r="H670" s="61" t="s">
        <v>21</v>
      </c>
    </row>
    <row r="671" spans="1:8" ht="14.25" hidden="1" customHeight="1" x14ac:dyDescent="0.3">
      <c r="A671" s="34" t="s">
        <v>137</v>
      </c>
      <c r="B671" s="61" t="s">
        <v>155</v>
      </c>
      <c r="C671" s="61" t="s">
        <v>212</v>
      </c>
      <c r="D671" s="69">
        <v>1</v>
      </c>
      <c r="E671" s="74">
        <v>30</v>
      </c>
      <c r="F671" s="80">
        <f>IFERROR(D671*E671,0)</f>
        <v>30</v>
      </c>
      <c r="G671" s="61" t="str">
        <f>INDEX(SETORES!$B:$B,MATCH(A671,SETORES!$A:$A,0))</f>
        <v>Clientes</v>
      </c>
      <c r="H671" s="61" t="s">
        <v>21</v>
      </c>
    </row>
    <row r="672" spans="1:8" ht="14.25" hidden="1" customHeight="1" x14ac:dyDescent="0.3">
      <c r="A672" s="2" t="s">
        <v>137</v>
      </c>
      <c r="B672" s="60" t="s">
        <v>155</v>
      </c>
      <c r="C672" s="60" t="s">
        <v>248</v>
      </c>
      <c r="D672" s="68">
        <v>1</v>
      </c>
      <c r="E672" s="73">
        <v>1086.4000000000001</v>
      </c>
      <c r="F672" s="79">
        <f>IFERROR(D672*E672,0)</f>
        <v>1086.4000000000001</v>
      </c>
      <c r="G672" s="60" t="str">
        <f>INDEX(SETORES!$B:$B,MATCH(A672,SETORES!$A:$A,0))</f>
        <v>Clientes</v>
      </c>
      <c r="H672" s="60" t="s">
        <v>21</v>
      </c>
    </row>
    <row r="673" spans="1:8" ht="14.25" customHeight="1" x14ac:dyDescent="0.3">
      <c r="A673" s="34" t="s">
        <v>137</v>
      </c>
      <c r="B673" s="61" t="s">
        <v>155</v>
      </c>
      <c r="C673" s="61" t="s">
        <v>171</v>
      </c>
      <c r="D673" s="69">
        <v>2</v>
      </c>
      <c r="E673" s="74">
        <v>43.54</v>
      </c>
      <c r="F673" s="80">
        <f>IFERROR(D673*E673,0)</f>
        <v>87.08</v>
      </c>
      <c r="G673" s="61" t="s">
        <v>98</v>
      </c>
      <c r="H673" s="61" t="s">
        <v>21</v>
      </c>
    </row>
    <row r="674" spans="1:8" ht="14.25" hidden="1" customHeight="1" x14ac:dyDescent="0.3">
      <c r="A674" s="34" t="s">
        <v>137</v>
      </c>
      <c r="B674" s="61" t="s">
        <v>155</v>
      </c>
      <c r="C674" s="61" t="s">
        <v>170</v>
      </c>
      <c r="D674" s="69">
        <v>2</v>
      </c>
      <c r="E674" s="74">
        <v>29.74</v>
      </c>
      <c r="F674" s="80">
        <f>IFERROR(D674*E674,0)</f>
        <v>59.48</v>
      </c>
      <c r="G674" s="60" t="s">
        <v>98</v>
      </c>
      <c r="H674" s="61" t="s">
        <v>21</v>
      </c>
    </row>
    <row r="675" spans="1:8" ht="14.25" hidden="1" customHeight="1" x14ac:dyDescent="0.3">
      <c r="A675" s="34" t="s">
        <v>137</v>
      </c>
      <c r="B675" s="61" t="s">
        <v>155</v>
      </c>
      <c r="C675" s="61" t="s">
        <v>169</v>
      </c>
      <c r="D675" s="69">
        <v>2</v>
      </c>
      <c r="E675" s="74">
        <v>47.66</v>
      </c>
      <c r="F675" s="80">
        <f>IFERROR(D675*E675,0)</f>
        <v>95.32</v>
      </c>
      <c r="G675" s="60" t="s">
        <v>98</v>
      </c>
      <c r="H675" s="61" t="s">
        <v>21</v>
      </c>
    </row>
    <row r="676" spans="1:8" ht="14.25" hidden="1" customHeight="1" x14ac:dyDescent="0.3">
      <c r="A676" s="2" t="s">
        <v>137</v>
      </c>
      <c r="B676" s="60" t="s">
        <v>155</v>
      </c>
      <c r="C676" s="60" t="s">
        <v>158</v>
      </c>
      <c r="D676" s="68">
        <v>1</v>
      </c>
      <c r="E676" s="73">
        <v>16.545999999999999</v>
      </c>
      <c r="F676" s="79">
        <v>16.545999999999999</v>
      </c>
      <c r="G676" s="60" t="s">
        <v>96</v>
      </c>
      <c r="H676" s="60" t="s">
        <v>21</v>
      </c>
    </row>
    <row r="677" spans="1:8" ht="14.25" hidden="1" customHeight="1" x14ac:dyDescent="0.3">
      <c r="A677" s="2" t="s">
        <v>137</v>
      </c>
      <c r="B677" s="60" t="s">
        <v>155</v>
      </c>
      <c r="C677" s="60" t="s">
        <v>161</v>
      </c>
      <c r="D677" s="68">
        <v>1</v>
      </c>
      <c r="E677" s="73">
        <v>6292.45</v>
      </c>
      <c r="F677" s="79">
        <f>IFERROR(E677,0)</f>
        <v>6292.45</v>
      </c>
      <c r="G677" s="60" t="str">
        <f>INDEX(SETORES!$B:$B,MATCH(A677,SETORES!$A:$A,0))</f>
        <v>Clientes</v>
      </c>
      <c r="H677" s="60" t="s">
        <v>21</v>
      </c>
    </row>
    <row r="678" spans="1:8" ht="14.25" hidden="1" customHeight="1" x14ac:dyDescent="0.3">
      <c r="A678" s="2" t="s">
        <v>137</v>
      </c>
      <c r="B678" s="60" t="s">
        <v>155</v>
      </c>
      <c r="C678" s="60" t="s">
        <v>167</v>
      </c>
      <c r="D678" s="68">
        <v>2</v>
      </c>
      <c r="E678" s="73">
        <v>9.92</v>
      </c>
      <c r="F678" s="79">
        <f>IFERROR(D678*E678,0)</f>
        <v>19.84</v>
      </c>
      <c r="G678" s="60" t="str">
        <f>INDEX(SETORES!$B:$B,MATCH(A678,SETORES!$A:$A,0))</f>
        <v>Clientes</v>
      </c>
      <c r="H678" s="60" t="s">
        <v>21</v>
      </c>
    </row>
    <row r="679" spans="1:8" ht="14.25" hidden="1" customHeight="1" x14ac:dyDescent="0.3">
      <c r="A679" s="2" t="s">
        <v>137</v>
      </c>
      <c r="B679" s="60" t="s">
        <v>155</v>
      </c>
      <c r="C679" s="60" t="s">
        <v>166</v>
      </c>
      <c r="D679" s="68">
        <v>2</v>
      </c>
      <c r="E679" s="73">
        <v>50</v>
      </c>
      <c r="F679" s="79">
        <f>IFERROR(D679*E679,0)</f>
        <v>100</v>
      </c>
      <c r="G679" s="60" t="str">
        <f>INDEX(SETORES!$B:$B,MATCH(A679,SETORES!$A:$A,0))</f>
        <v>Clientes</v>
      </c>
      <c r="H679" s="60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168</v>
      </c>
      <c r="D680" s="69">
        <v>2</v>
      </c>
      <c r="E680" s="74">
        <v>2.0499999999999998</v>
      </c>
      <c r="F680" s="80">
        <f>IFERROR(D680*E680,0)</f>
        <v>4.0999999999999996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35</v>
      </c>
      <c r="B681" s="60" t="s">
        <v>155</v>
      </c>
      <c r="C681" s="60" t="s">
        <v>159</v>
      </c>
      <c r="D681" s="68">
        <v>1</v>
      </c>
      <c r="E681" s="73">
        <v>7.2700000000000001E-2</v>
      </c>
      <c r="F681" s="79">
        <v>7.2700000000000001E-2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2" t="s">
        <v>35</v>
      </c>
      <c r="B682" s="60" t="s">
        <v>155</v>
      </c>
      <c r="C682" s="60" t="s">
        <v>212</v>
      </c>
      <c r="D682" s="68">
        <v>1</v>
      </c>
      <c r="E682" s="73">
        <v>30</v>
      </c>
      <c r="F682" s="79">
        <f>IFERROR(D682*E682,0)</f>
        <v>30</v>
      </c>
      <c r="G682" s="60" t="str">
        <f>INDEX(SETORES!$B:$B,MATCH(A682,SETORES!$A:$A,0))</f>
        <v>Clientes</v>
      </c>
      <c r="H682" s="60" t="s">
        <v>21</v>
      </c>
    </row>
    <row r="683" spans="1:8" ht="14.25" hidden="1" customHeight="1" x14ac:dyDescent="0.3">
      <c r="A683" s="34" t="s">
        <v>35</v>
      </c>
      <c r="B683" s="61" t="s">
        <v>155</v>
      </c>
      <c r="C683" s="61" t="s">
        <v>248</v>
      </c>
      <c r="D683" s="69">
        <v>1</v>
      </c>
      <c r="E683" s="74">
        <v>1629.6</v>
      </c>
      <c r="F683" s="80">
        <f>IFERROR(D683*E683,0)</f>
        <v>1629.6</v>
      </c>
      <c r="G683" s="61" t="str">
        <f>INDEX(SETORES!$B:$B,MATCH(A683,SETORES!$A:$A,0))</f>
        <v>Clientes</v>
      </c>
      <c r="H683" s="61" t="s">
        <v>21</v>
      </c>
    </row>
    <row r="684" spans="1:8" ht="14.25" customHeight="1" x14ac:dyDescent="0.3">
      <c r="A684" s="34" t="s">
        <v>35</v>
      </c>
      <c r="B684" s="61" t="s">
        <v>155</v>
      </c>
      <c r="C684" s="61" t="s">
        <v>171</v>
      </c>
      <c r="D684" s="69">
        <v>3</v>
      </c>
      <c r="E684" s="74">
        <v>43.54</v>
      </c>
      <c r="F684" s="80">
        <f>IFERROR(D684*E684,0)</f>
        <v>130.62</v>
      </c>
      <c r="G684" s="61" t="s">
        <v>98</v>
      </c>
      <c r="H684" s="61" t="s">
        <v>21</v>
      </c>
    </row>
    <row r="685" spans="1:8" ht="14.25" hidden="1" customHeight="1" x14ac:dyDescent="0.3">
      <c r="A685" s="2" t="s">
        <v>35</v>
      </c>
      <c r="B685" s="60" t="s">
        <v>155</v>
      </c>
      <c r="C685" s="60" t="s">
        <v>170</v>
      </c>
      <c r="D685" s="68">
        <v>3</v>
      </c>
      <c r="E685" s="73">
        <v>29.74</v>
      </c>
      <c r="F685" s="79">
        <f>IFERROR(D685*E685,0)</f>
        <v>89.22</v>
      </c>
      <c r="G685" s="60" t="s">
        <v>98</v>
      </c>
      <c r="H685" s="60" t="s">
        <v>21</v>
      </c>
    </row>
    <row r="686" spans="1:8" ht="14.25" hidden="1" customHeight="1" x14ac:dyDescent="0.3">
      <c r="A686" s="2" t="s">
        <v>35</v>
      </c>
      <c r="B686" s="60" t="s">
        <v>155</v>
      </c>
      <c r="C686" s="60" t="s">
        <v>169</v>
      </c>
      <c r="D686" s="68">
        <v>3</v>
      </c>
      <c r="E686" s="73">
        <v>47.66</v>
      </c>
      <c r="F686" s="79">
        <f>IFERROR(D686*E686,0)</f>
        <v>142.97999999999999</v>
      </c>
      <c r="G686" s="60" t="s">
        <v>98</v>
      </c>
      <c r="H686" s="60" t="s">
        <v>21</v>
      </c>
    </row>
    <row r="687" spans="1:8" ht="14.25" hidden="1" customHeight="1" x14ac:dyDescent="0.3">
      <c r="A687" s="34" t="s">
        <v>35</v>
      </c>
      <c r="B687" s="61" t="s">
        <v>155</v>
      </c>
      <c r="C687" s="61" t="s">
        <v>158</v>
      </c>
      <c r="D687" s="69">
        <v>1</v>
      </c>
      <c r="E687" s="74">
        <v>24.818999999999999</v>
      </c>
      <c r="F687" s="80">
        <v>24.818999999999999</v>
      </c>
      <c r="G687" s="61" t="str">
        <f>INDEX(SETORES!$B:$B,MATCH(A687,SETORES!$A:$A,0))</f>
        <v>Clientes</v>
      </c>
      <c r="H687" s="61" t="s">
        <v>21</v>
      </c>
    </row>
    <row r="688" spans="1:8" ht="14.25" hidden="1" customHeight="1" x14ac:dyDescent="0.3">
      <c r="A688" s="34" t="s">
        <v>35</v>
      </c>
      <c r="B688" s="61" t="s">
        <v>162</v>
      </c>
      <c r="C688" s="61" t="s">
        <v>165</v>
      </c>
      <c r="D688" s="69"/>
      <c r="E688" s="74"/>
      <c r="F688" s="80">
        <f>IFERROR(D688*E688,0)</f>
        <v>0</v>
      </c>
      <c r="G688" s="61" t="str">
        <f>INDEX(SETORES!$B:$B,MATCH(A688,SETORES!$A:$A,0))</f>
        <v>Clientes</v>
      </c>
      <c r="H688" s="61" t="s">
        <v>21</v>
      </c>
    </row>
    <row r="689" spans="1:8" ht="14.25" hidden="1" customHeight="1" x14ac:dyDescent="0.3">
      <c r="A689" s="34" t="s">
        <v>35</v>
      </c>
      <c r="B689" s="61" t="s">
        <v>162</v>
      </c>
      <c r="C689" s="61" t="s">
        <v>163</v>
      </c>
      <c r="D689" s="69"/>
      <c r="E689" s="74"/>
      <c r="F689" s="80">
        <f>IFERROR(D689*E689,0)</f>
        <v>0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162</v>
      </c>
      <c r="C690" s="60" t="s">
        <v>164</v>
      </c>
      <c r="D690" s="68"/>
      <c r="E690" s="73"/>
      <c r="F690" s="79">
        <f>IFERROR(D690*E690,0)</f>
        <v>0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161</v>
      </c>
      <c r="D691" s="68">
        <v>1</v>
      </c>
      <c r="E691" s="73">
        <v>8929.7000000000007</v>
      </c>
      <c r="F691" s="79">
        <f>IFERROR(E691,0)</f>
        <v>8929.7000000000007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167</v>
      </c>
      <c r="D692" s="69">
        <v>3</v>
      </c>
      <c r="E692" s="74">
        <v>9.92</v>
      </c>
      <c r="F692" s="80">
        <f>IFERROR(D692*E692,0)</f>
        <v>29.759999999999998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2" t="s">
        <v>35</v>
      </c>
      <c r="B693" s="60" t="s">
        <v>155</v>
      </c>
      <c r="C693" s="60" t="s">
        <v>166</v>
      </c>
      <c r="D693" s="68">
        <v>2</v>
      </c>
      <c r="E693" s="73">
        <v>50</v>
      </c>
      <c r="F693" s="79">
        <f>IFERROR(D693*E693,0)</f>
        <v>100</v>
      </c>
      <c r="G693" s="60" t="str">
        <f>INDEX(SETORES!$B:$B,MATCH(A693,SETORES!$A:$A,0))</f>
        <v>Clientes</v>
      </c>
      <c r="H693" s="60" t="s">
        <v>21</v>
      </c>
    </row>
    <row r="694" spans="1:8" ht="14.25" hidden="1" customHeight="1" x14ac:dyDescent="0.3">
      <c r="A694" s="34" t="s">
        <v>35</v>
      </c>
      <c r="B694" s="61" t="s">
        <v>155</v>
      </c>
      <c r="C694" s="61" t="s">
        <v>156</v>
      </c>
      <c r="D694" s="69"/>
      <c r="E694" s="74"/>
      <c r="F694" s="80">
        <v>0</v>
      </c>
      <c r="G694" s="61" t="str">
        <f>INDEX(SETORES!$B:$B,MATCH(A694,SETORES!$A:$A,0))</f>
        <v>Clientes</v>
      </c>
      <c r="H694" s="61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157</v>
      </c>
      <c r="D695" s="68">
        <v>1</v>
      </c>
      <c r="E695" s="73">
        <v>92.000100000000003</v>
      </c>
      <c r="F695" s="79">
        <v>92.000100000000003</v>
      </c>
      <c r="G695" s="60" t="str">
        <f>INDEX(SETORES!$B:$B,MATCH(A695,SETORES!$A:$A,0))</f>
        <v>Clientes</v>
      </c>
      <c r="H695" s="60" t="s">
        <v>21</v>
      </c>
    </row>
    <row r="696" spans="1:8" ht="14.25" hidden="1" customHeight="1" x14ac:dyDescent="0.3">
      <c r="A696" s="2" t="s">
        <v>35</v>
      </c>
      <c r="B696" s="60" t="s">
        <v>162</v>
      </c>
      <c r="C696" s="60" t="s">
        <v>222</v>
      </c>
      <c r="D696" s="68"/>
      <c r="E696" s="73"/>
      <c r="F696" s="79">
        <f>IFERROR(D696*E696,0)</f>
        <v>0</v>
      </c>
      <c r="G696" s="60" t="str">
        <f>INDEX(SETORES!$B:$B,MATCH(A696,SETORES!$A:$A,0))</f>
        <v>Clientes</v>
      </c>
      <c r="H696" s="60" t="s">
        <v>21</v>
      </c>
    </row>
    <row r="697" spans="1:8" ht="14.25" hidden="1" customHeight="1" x14ac:dyDescent="0.3">
      <c r="A697" s="2" t="s">
        <v>35</v>
      </c>
      <c r="B697" s="60" t="s">
        <v>155</v>
      </c>
      <c r="C697" s="60" t="s">
        <v>168</v>
      </c>
      <c r="D697" s="68">
        <v>3</v>
      </c>
      <c r="E697" s="73">
        <v>2.0499999999999998</v>
      </c>
      <c r="F697" s="79">
        <f>IFERROR(D697*E697,0)</f>
        <v>6.1499999999999995</v>
      </c>
      <c r="G697" s="60" t="str">
        <f>INDEX(SETORES!$B:$B,MATCH(A697,SETORES!$A:$A,0))</f>
        <v>Clientes</v>
      </c>
      <c r="H697" s="60" t="s">
        <v>21</v>
      </c>
    </row>
    <row r="698" spans="1:8" ht="14.25" hidden="1" customHeight="1" x14ac:dyDescent="0.3">
      <c r="A698" s="34" t="s">
        <v>35</v>
      </c>
      <c r="B698" s="61" t="s">
        <v>155</v>
      </c>
      <c r="C698" s="61" t="s">
        <v>160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38</v>
      </c>
      <c r="B699" s="60" t="s">
        <v>155</v>
      </c>
      <c r="C699" s="60" t="s">
        <v>159</v>
      </c>
      <c r="D699" s="68">
        <v>1</v>
      </c>
      <c r="E699" s="73">
        <v>0.31519999999999998</v>
      </c>
      <c r="F699" s="79">
        <v>0.31519999999999998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38</v>
      </c>
      <c r="B700" s="60" t="s">
        <v>155</v>
      </c>
      <c r="C700" s="60" t="s">
        <v>249</v>
      </c>
      <c r="D700" s="68">
        <v>1</v>
      </c>
      <c r="E700" s="73">
        <v>970.12</v>
      </c>
      <c r="F700" s="79">
        <f>IFERROR(D700*E700,0)</f>
        <v>970.12</v>
      </c>
      <c r="G700" s="60" t="str">
        <f>INDEX(SETORES!$B:$B,MATCH(A700,SETORES!$A:$A,0))</f>
        <v>Clientes</v>
      </c>
      <c r="H700" s="60" t="s">
        <v>21</v>
      </c>
    </row>
    <row r="701" spans="1:8" ht="14.25" customHeight="1" x14ac:dyDescent="0.3">
      <c r="A701" s="2" t="s">
        <v>38</v>
      </c>
      <c r="B701" s="60" t="s">
        <v>155</v>
      </c>
      <c r="C701" s="60" t="s">
        <v>171</v>
      </c>
      <c r="D701" s="68">
        <v>13</v>
      </c>
      <c r="E701" s="73">
        <v>43.54</v>
      </c>
      <c r="F701" s="79">
        <f>IFERROR(D701*E701,0)</f>
        <v>566.02</v>
      </c>
      <c r="G701" s="61" t="s">
        <v>98</v>
      </c>
      <c r="H701" s="60" t="s">
        <v>21</v>
      </c>
    </row>
    <row r="702" spans="1:8" ht="14.25" hidden="1" customHeight="1" x14ac:dyDescent="0.3">
      <c r="A702" s="34" t="s">
        <v>38</v>
      </c>
      <c r="B702" s="61" t="s">
        <v>155</v>
      </c>
      <c r="C702" s="61" t="s">
        <v>170</v>
      </c>
      <c r="D702" s="69">
        <v>13</v>
      </c>
      <c r="E702" s="74">
        <v>29.74</v>
      </c>
      <c r="F702" s="80">
        <f>IFERROR(D702*E702,0)</f>
        <v>386.62</v>
      </c>
      <c r="G702" s="60" t="s">
        <v>98</v>
      </c>
      <c r="H702" s="61" t="s">
        <v>21</v>
      </c>
    </row>
    <row r="703" spans="1:8" ht="14.25" hidden="1" customHeight="1" x14ac:dyDescent="0.3">
      <c r="A703" s="34" t="s">
        <v>38</v>
      </c>
      <c r="B703" s="61" t="s">
        <v>155</v>
      </c>
      <c r="C703" s="61" t="s">
        <v>169</v>
      </c>
      <c r="D703" s="69">
        <v>13</v>
      </c>
      <c r="E703" s="74">
        <v>47.66</v>
      </c>
      <c r="F703" s="80">
        <f>IFERROR(D703*E703,0)</f>
        <v>619.57999999999993</v>
      </c>
      <c r="G703" s="60" t="s">
        <v>98</v>
      </c>
      <c r="H703" s="61" t="s">
        <v>21</v>
      </c>
    </row>
    <row r="704" spans="1:8" ht="14.25" hidden="1" customHeight="1" x14ac:dyDescent="0.3">
      <c r="A704" s="34" t="s">
        <v>38</v>
      </c>
      <c r="B704" s="61" t="s">
        <v>155</v>
      </c>
      <c r="C704" s="61" t="s">
        <v>158</v>
      </c>
      <c r="D704" s="69">
        <v>1</v>
      </c>
      <c r="E704" s="74">
        <v>107.54900000000001</v>
      </c>
      <c r="F704" s="80">
        <v>107.54900000000001</v>
      </c>
      <c r="G704" s="61" t="str">
        <f>INDEX(SETORES!$B:$B,MATCH(A704,SETORES!$A:$A,0))</f>
        <v>Clientes</v>
      </c>
      <c r="H704" s="61" t="s">
        <v>21</v>
      </c>
    </row>
    <row r="705" spans="1:8" ht="14.25" hidden="1" customHeight="1" x14ac:dyDescent="0.3">
      <c r="A705" s="34" t="s">
        <v>38</v>
      </c>
      <c r="B705" s="61" t="s">
        <v>162</v>
      </c>
      <c r="C705" s="61" t="s">
        <v>165</v>
      </c>
      <c r="D705" s="69">
        <v>1</v>
      </c>
      <c r="E705" s="74">
        <v>65</v>
      </c>
      <c r="F705" s="80">
        <f>IFERROR(D705*E705,0)</f>
        <v>65</v>
      </c>
      <c r="G705" s="61" t="str">
        <f>INDEX(SETORES!$B:$B,MATCH(A705,SETORES!$A:$A,0))</f>
        <v>Clientes</v>
      </c>
      <c r="H705" s="61" t="s">
        <v>21</v>
      </c>
    </row>
    <row r="706" spans="1:8" ht="14.25" hidden="1" customHeight="1" x14ac:dyDescent="0.3">
      <c r="A706" s="34" t="s">
        <v>38</v>
      </c>
      <c r="B706" s="61" t="s">
        <v>162</v>
      </c>
      <c r="C706" s="61" t="s">
        <v>163</v>
      </c>
      <c r="D706" s="69">
        <v>4</v>
      </c>
      <c r="E706" s="74">
        <v>45</v>
      </c>
      <c r="F706" s="80">
        <f>IFERROR(D706*E706,0)</f>
        <v>180</v>
      </c>
      <c r="G706" s="61" t="str">
        <f>INDEX(SETORES!$B:$B,MATCH(A706,SETORES!$A:$A,0))</f>
        <v>Clientes</v>
      </c>
      <c r="H706" s="61" t="s">
        <v>21</v>
      </c>
    </row>
    <row r="707" spans="1:8" ht="14.25" hidden="1" customHeight="1" x14ac:dyDescent="0.3">
      <c r="A707" s="2" t="s">
        <v>38</v>
      </c>
      <c r="B707" s="60" t="s">
        <v>162</v>
      </c>
      <c r="C707" s="60" t="s">
        <v>164</v>
      </c>
      <c r="D707" s="68"/>
      <c r="E707" s="73"/>
      <c r="F707" s="79">
        <f>IFERROR(D707*E707,0)</f>
        <v>0</v>
      </c>
      <c r="G707" s="60" t="str">
        <f>INDEX(SETORES!$B:$B,MATCH(A707,SETORES!$A:$A,0))</f>
        <v>Clientes</v>
      </c>
      <c r="H707" s="60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161</v>
      </c>
      <c r="D708" s="68">
        <v>1</v>
      </c>
      <c r="E708" s="73">
        <v>38898.86</v>
      </c>
      <c r="F708" s="79">
        <f>IFERROR(E708,0)</f>
        <v>38898.86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34" t="s">
        <v>38</v>
      </c>
      <c r="B709" s="61" t="s">
        <v>155</v>
      </c>
      <c r="C709" s="61" t="s">
        <v>167</v>
      </c>
      <c r="D709" s="69">
        <v>13</v>
      </c>
      <c r="E709" s="74">
        <v>9.92</v>
      </c>
      <c r="F709" s="80">
        <f>IFERROR(D709*E709,0)</f>
        <v>128.96</v>
      </c>
      <c r="G709" s="61" t="str">
        <f>INDEX(SETORES!$B:$B,MATCH(A709,SETORES!$A:$A,0))</f>
        <v>Clientes</v>
      </c>
      <c r="H709" s="61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240</v>
      </c>
      <c r="D710" s="68">
        <v>1</v>
      </c>
      <c r="E710" s="73">
        <v>2.727868</v>
      </c>
      <c r="F710" s="79">
        <f>IFERROR(D710*E710,0)</f>
        <v>2.727868</v>
      </c>
      <c r="G710" s="60" t="str">
        <f>INDEX(SETORES!$B:$B,MATCH(A710,SETORES!$A:$A,0))</f>
        <v>Clientes</v>
      </c>
      <c r="H710" s="60" t="s">
        <v>21</v>
      </c>
    </row>
    <row r="711" spans="1:8" ht="14.25" hidden="1" customHeight="1" x14ac:dyDescent="0.3">
      <c r="A711" s="2" t="s">
        <v>38</v>
      </c>
      <c r="B711" s="60" t="s">
        <v>155</v>
      </c>
      <c r="C711" s="60" t="s">
        <v>166</v>
      </c>
      <c r="D711" s="68">
        <v>1</v>
      </c>
      <c r="E711" s="73">
        <v>50</v>
      </c>
      <c r="F711" s="79">
        <f>IFERROR(D711*E711,0)</f>
        <v>50</v>
      </c>
      <c r="G711" s="60" t="str">
        <f>INDEX(SETORES!$B:$B,MATCH(A711,SETORES!$A:$A,0))</f>
        <v>Clientes</v>
      </c>
      <c r="H711" s="60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156</v>
      </c>
      <c r="D712" s="69">
        <v>13</v>
      </c>
      <c r="E712" s="74">
        <v>0.98509999999999998</v>
      </c>
      <c r="F712" s="80">
        <v>12.8063</v>
      </c>
      <c r="G712" s="61" t="str">
        <f>INDEX(SETORES!$B:$B,MATCH(A712,SETORES!$A:$A,0))</f>
        <v>Clientes</v>
      </c>
      <c r="H712" s="61" t="s">
        <v>21</v>
      </c>
    </row>
    <row r="713" spans="1:8" ht="14.25" hidden="1" customHeight="1" x14ac:dyDescent="0.3">
      <c r="A713" s="2" t="s">
        <v>38</v>
      </c>
      <c r="B713" s="60" t="s">
        <v>155</v>
      </c>
      <c r="C713" s="60" t="s">
        <v>157</v>
      </c>
      <c r="D713" s="68">
        <v>1</v>
      </c>
      <c r="E713" s="73">
        <v>389.23278699999997</v>
      </c>
      <c r="F713" s="79">
        <v>389.23278699999997</v>
      </c>
      <c r="G713" s="60" t="str">
        <f>INDEX(SETORES!$B:$B,MATCH(A713,SETORES!$A:$A,0))</f>
        <v>Clientes</v>
      </c>
      <c r="H713" s="60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222</v>
      </c>
      <c r="D714" s="69"/>
      <c r="E714" s="74"/>
      <c r="F714" s="80">
        <f>IFERROR(D714*E714,0)</f>
        <v>0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155</v>
      </c>
      <c r="C715" s="61" t="s">
        <v>187</v>
      </c>
      <c r="D715" s="69">
        <v>1</v>
      </c>
      <c r="E715" s="74">
        <v>719.456231</v>
      </c>
      <c r="F715" s="80">
        <f>IFERROR(D715*E715,0)</f>
        <v>719.456231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155</v>
      </c>
      <c r="C716" s="60" t="s">
        <v>168</v>
      </c>
      <c r="D716" s="68">
        <v>13</v>
      </c>
      <c r="E716" s="73">
        <v>2.0499999999999998</v>
      </c>
      <c r="F716" s="79">
        <f>IFERROR(D716*E716,0)</f>
        <v>26.65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34" t="s">
        <v>38</v>
      </c>
      <c r="B717" s="61" t="s">
        <v>155</v>
      </c>
      <c r="C717" s="61" t="s">
        <v>160</v>
      </c>
      <c r="D717" s="69"/>
      <c r="E717" s="74"/>
      <c r="F717" s="80">
        <f>IFERROR(D717*E717,0)</f>
        <v>0</v>
      </c>
      <c r="G717" s="61" t="str">
        <f>INDEX(SETORES!$B:$B,MATCH(A717,SETORES!$A:$A,0))</f>
        <v>Clientes</v>
      </c>
      <c r="H717" s="61" t="s">
        <v>21</v>
      </c>
    </row>
    <row r="718" spans="1:8" ht="14.25" hidden="1" customHeight="1" x14ac:dyDescent="0.3">
      <c r="A718" s="34" t="s">
        <v>78</v>
      </c>
      <c r="B718" s="61" t="s">
        <v>155</v>
      </c>
      <c r="C718" s="61" t="s">
        <v>159</v>
      </c>
      <c r="D718" s="69">
        <v>14</v>
      </c>
      <c r="E718" s="74">
        <v>3.3247</v>
      </c>
      <c r="F718" s="80">
        <v>46.5458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34" t="s">
        <v>78</v>
      </c>
      <c r="B719" s="61" t="s">
        <v>155</v>
      </c>
      <c r="C719" s="61" t="s">
        <v>212</v>
      </c>
      <c r="D719" s="69">
        <v>13</v>
      </c>
      <c r="E719" s="74">
        <v>30</v>
      </c>
      <c r="F719" s="80">
        <f>IFERROR(D719*E719,0)</f>
        <v>390</v>
      </c>
      <c r="G719" s="61" t="str">
        <f>INDEX(SETORES!$B:$B,MATCH(A719,SETORES!$A:$A,0))</f>
        <v>Clientes</v>
      </c>
      <c r="H719" s="61" t="s">
        <v>21</v>
      </c>
    </row>
    <row r="720" spans="1:8" ht="14.25" customHeight="1" x14ac:dyDescent="0.3">
      <c r="A720" s="2" t="s">
        <v>78</v>
      </c>
      <c r="B720" s="60" t="s">
        <v>155</v>
      </c>
      <c r="C720" s="60" t="s">
        <v>171</v>
      </c>
      <c r="D720" s="68">
        <v>14</v>
      </c>
      <c r="E720" s="73">
        <v>43.54</v>
      </c>
      <c r="F720" s="79">
        <f>IFERROR(D720*E720,0)</f>
        <v>609.55999999999995</v>
      </c>
      <c r="G720" s="61" t="s">
        <v>98</v>
      </c>
      <c r="H720" s="60" t="s">
        <v>21</v>
      </c>
    </row>
    <row r="721" spans="1:8" ht="14.25" hidden="1" customHeight="1" x14ac:dyDescent="0.3">
      <c r="A721" s="34" t="s">
        <v>78</v>
      </c>
      <c r="B721" s="61" t="s">
        <v>155</v>
      </c>
      <c r="C721" s="61" t="s">
        <v>170</v>
      </c>
      <c r="D721" s="69">
        <v>14</v>
      </c>
      <c r="E721" s="74">
        <v>29.74</v>
      </c>
      <c r="F721" s="80">
        <f>IFERROR(D721*E721,0)</f>
        <v>416.35999999999996</v>
      </c>
      <c r="G721" s="60" t="s">
        <v>98</v>
      </c>
      <c r="H721" s="61" t="s">
        <v>21</v>
      </c>
    </row>
    <row r="722" spans="1:8" ht="14.25" hidden="1" customHeight="1" x14ac:dyDescent="0.3">
      <c r="A722" s="34" t="s">
        <v>78</v>
      </c>
      <c r="B722" s="61" t="s">
        <v>155</v>
      </c>
      <c r="C722" s="61" t="s">
        <v>169</v>
      </c>
      <c r="D722" s="69">
        <v>14</v>
      </c>
      <c r="E722" s="74">
        <v>47.66</v>
      </c>
      <c r="F722" s="80">
        <f>IFERROR(D722*E722,0)</f>
        <v>667.24</v>
      </c>
      <c r="G722" s="60" t="s">
        <v>98</v>
      </c>
      <c r="H722" s="61" t="s">
        <v>21</v>
      </c>
    </row>
    <row r="723" spans="1:8" ht="14.25" hidden="1" customHeight="1" x14ac:dyDescent="0.3">
      <c r="A723" s="2" t="s">
        <v>78</v>
      </c>
      <c r="B723" s="60" t="s">
        <v>155</v>
      </c>
      <c r="C723" s="60" t="s">
        <v>158</v>
      </c>
      <c r="D723" s="68">
        <v>14</v>
      </c>
      <c r="E723" s="73">
        <v>21.258199999999999</v>
      </c>
      <c r="F723" s="79">
        <v>297.6148</v>
      </c>
      <c r="G723" s="60" t="str">
        <f>INDEX(SETORES!$B:$B,MATCH(A723,SETORES!$A:$A,0))</f>
        <v>Clientes</v>
      </c>
      <c r="H723" s="60" t="s">
        <v>21</v>
      </c>
    </row>
    <row r="724" spans="1:8" ht="14.25" hidden="1" customHeight="1" x14ac:dyDescent="0.3">
      <c r="A724" s="34" t="s">
        <v>78</v>
      </c>
      <c r="B724" s="61" t="s">
        <v>155</v>
      </c>
      <c r="C724" s="61" t="s">
        <v>161</v>
      </c>
      <c r="D724" s="69">
        <v>1</v>
      </c>
      <c r="E724" s="74">
        <v>74369.919999999998</v>
      </c>
      <c r="F724" s="80">
        <f>IFERROR(E724,0)</f>
        <v>74369.919999999998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78</v>
      </c>
      <c r="B725" s="60" t="s">
        <v>155</v>
      </c>
      <c r="C725" s="60" t="s">
        <v>167</v>
      </c>
      <c r="D725" s="68">
        <v>14</v>
      </c>
      <c r="E725" s="73">
        <v>9.92</v>
      </c>
      <c r="F725" s="79">
        <f>IFERROR(D725*E725,0)</f>
        <v>138.88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78</v>
      </c>
      <c r="B726" s="61" t="s">
        <v>155</v>
      </c>
      <c r="C726" s="61" t="s">
        <v>238</v>
      </c>
      <c r="D726" s="69">
        <v>1</v>
      </c>
      <c r="E726" s="74">
        <v>220</v>
      </c>
      <c r="F726" s="80">
        <f>IFERROR(D726*E726,0)</f>
        <v>220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2" t="s">
        <v>78</v>
      </c>
      <c r="B727" s="60" t="s">
        <v>155</v>
      </c>
      <c r="C727" s="60" t="s">
        <v>166</v>
      </c>
      <c r="D727" s="68">
        <v>8</v>
      </c>
      <c r="E727" s="73">
        <v>50</v>
      </c>
      <c r="F727" s="79">
        <f>IFERROR(D727*E727,0)</f>
        <v>400</v>
      </c>
      <c r="G727" s="60" t="str">
        <f>INDEX(SETORES!$B:$B,MATCH(A727,SETORES!$A:$A,0))</f>
        <v>Clientes</v>
      </c>
      <c r="H727" s="60" t="s">
        <v>21</v>
      </c>
    </row>
    <row r="728" spans="1:8" ht="14.25" hidden="1" customHeight="1" x14ac:dyDescent="0.3">
      <c r="A728" s="2" t="s">
        <v>78</v>
      </c>
      <c r="B728" s="60" t="s">
        <v>162</v>
      </c>
      <c r="C728" s="60" t="s">
        <v>209</v>
      </c>
      <c r="D728" s="68">
        <v>14</v>
      </c>
      <c r="E728" s="73">
        <v>76.92</v>
      </c>
      <c r="F728" s="79">
        <f>IFERROR(D728*E728,0)</f>
        <v>1076.8800000000001</v>
      </c>
      <c r="G728" s="60" t="str">
        <f>INDEX(SETORES!$B:$B,MATCH(A728,SETORES!$A:$A,0))</f>
        <v>Clientes</v>
      </c>
      <c r="H728" s="60" t="s">
        <v>21</v>
      </c>
    </row>
    <row r="729" spans="1:8" ht="14.25" hidden="1" customHeight="1" x14ac:dyDescent="0.3">
      <c r="A729" s="2" t="s">
        <v>78</v>
      </c>
      <c r="B729" s="60" t="s">
        <v>162</v>
      </c>
      <c r="C729" s="60" t="s">
        <v>222</v>
      </c>
      <c r="D729" s="68"/>
      <c r="E729" s="73"/>
      <c r="F729" s="79">
        <f>IFERROR(D729*E729,0)</f>
        <v>0</v>
      </c>
      <c r="G729" s="60" t="str">
        <f>INDEX(SETORES!$B:$B,MATCH(A729,SETORES!$A:$A,0))</f>
        <v>Clientes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168</v>
      </c>
      <c r="D730" s="69">
        <v>14</v>
      </c>
      <c r="E730" s="74">
        <v>2.0499999999999998</v>
      </c>
      <c r="F730" s="80">
        <f>IFERROR(D730*E730,0)</f>
        <v>28.699999999999996</v>
      </c>
      <c r="G730" s="61" t="str">
        <f>INDEX(SETORES!$B:$B,MATCH(A730,SETORES!$A:$A,0))</f>
        <v>Clientes</v>
      </c>
      <c r="H730" s="61" t="s">
        <v>21</v>
      </c>
    </row>
    <row r="731" spans="1:8" ht="14.25" hidden="1" customHeight="1" x14ac:dyDescent="0.3">
      <c r="A731" s="2" t="s">
        <v>54</v>
      </c>
      <c r="B731" s="60" t="s">
        <v>155</v>
      </c>
      <c r="C731" s="60" t="s">
        <v>206</v>
      </c>
      <c r="D731" s="68">
        <v>1</v>
      </c>
      <c r="E731" s="73">
        <v>545.99</v>
      </c>
      <c r="F731" s="79">
        <f>IFERROR(D731*E731,0)</f>
        <v>545.99</v>
      </c>
      <c r="G731" s="60" t="str">
        <f>INDEX(SETORES!$B:$B,MATCH(A731,SETORES!$A:$A,0))</f>
        <v>Clientes</v>
      </c>
      <c r="H731" s="60" t="s">
        <v>21</v>
      </c>
    </row>
    <row r="732" spans="1:8" ht="14.25" hidden="1" customHeight="1" x14ac:dyDescent="0.3">
      <c r="A732" s="34" t="s">
        <v>54</v>
      </c>
      <c r="B732" s="61" t="s">
        <v>155</v>
      </c>
      <c r="C732" s="61" t="s">
        <v>159</v>
      </c>
      <c r="D732" s="69">
        <v>1</v>
      </c>
      <c r="E732" s="74">
        <v>0.26669999999999999</v>
      </c>
      <c r="F732" s="80">
        <v>0.26669999999999999</v>
      </c>
      <c r="G732" s="61" t="s">
        <v>96</v>
      </c>
      <c r="H732" s="61" t="s">
        <v>21</v>
      </c>
    </row>
    <row r="733" spans="1:8" ht="14.25" hidden="1" customHeight="1" x14ac:dyDescent="0.3">
      <c r="A733" s="34" t="s">
        <v>54</v>
      </c>
      <c r="B733" s="61" t="s">
        <v>162</v>
      </c>
      <c r="C733" s="61" t="s">
        <v>203</v>
      </c>
      <c r="D733" s="69">
        <v>1</v>
      </c>
      <c r="E733" s="74">
        <v>3393.29</v>
      </c>
      <c r="F733" s="80">
        <f>IFERROR(D733*E733,0)</f>
        <v>3393.29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34" t="s">
        <v>54</v>
      </c>
      <c r="B734" s="61" t="s">
        <v>155</v>
      </c>
      <c r="C734" s="61" t="s">
        <v>205</v>
      </c>
      <c r="D734" s="69">
        <v>1</v>
      </c>
      <c r="E734" s="74">
        <v>2997</v>
      </c>
      <c r="F734" s="80">
        <f>IFERROR(D734*E734,0)</f>
        <v>2997</v>
      </c>
      <c r="G734" s="61" t="str">
        <f>INDEX(SETORES!$B:$B,MATCH(A734,SETORES!$A:$A,0))</f>
        <v>Clientes</v>
      </c>
      <c r="H734" s="61" t="s">
        <v>21</v>
      </c>
    </row>
    <row r="735" spans="1:8" ht="14.25" customHeight="1" x14ac:dyDescent="0.3">
      <c r="A735" s="34" t="s">
        <v>54</v>
      </c>
      <c r="B735" s="61" t="s">
        <v>155</v>
      </c>
      <c r="C735" s="61" t="s">
        <v>171</v>
      </c>
      <c r="D735" s="69">
        <v>11</v>
      </c>
      <c r="E735" s="74">
        <v>43.54</v>
      </c>
      <c r="F735" s="80">
        <f>IFERROR(D735*E735,0)</f>
        <v>478.94</v>
      </c>
      <c r="G735" s="61" t="s">
        <v>98</v>
      </c>
      <c r="H735" s="61" t="s">
        <v>21</v>
      </c>
    </row>
    <row r="736" spans="1:8" ht="14.25" hidden="1" customHeight="1" x14ac:dyDescent="0.3">
      <c r="A736" s="2" t="s">
        <v>54</v>
      </c>
      <c r="B736" s="60" t="s">
        <v>155</v>
      </c>
      <c r="C736" s="60" t="s">
        <v>170</v>
      </c>
      <c r="D736" s="68">
        <v>11</v>
      </c>
      <c r="E736" s="73">
        <v>29.74</v>
      </c>
      <c r="F736" s="79">
        <f>IFERROR(D736*E736,0)</f>
        <v>327.14</v>
      </c>
      <c r="G736" s="60" t="s">
        <v>98</v>
      </c>
      <c r="H736" s="60" t="s">
        <v>21</v>
      </c>
    </row>
    <row r="737" spans="1:8" ht="14.25" hidden="1" customHeight="1" x14ac:dyDescent="0.3">
      <c r="A737" s="2" t="s">
        <v>54</v>
      </c>
      <c r="B737" s="60" t="s">
        <v>155</v>
      </c>
      <c r="C737" s="60" t="s">
        <v>169</v>
      </c>
      <c r="D737" s="68">
        <v>11</v>
      </c>
      <c r="E737" s="73">
        <v>47.66</v>
      </c>
      <c r="F737" s="79">
        <f>IFERROR(D737*E737,0)</f>
        <v>524.26</v>
      </c>
      <c r="G737" s="60" t="s">
        <v>98</v>
      </c>
      <c r="H737" s="60" t="s">
        <v>21</v>
      </c>
    </row>
    <row r="738" spans="1:8" ht="14.25" hidden="1" customHeight="1" x14ac:dyDescent="0.3">
      <c r="A738" s="34" t="s">
        <v>54</v>
      </c>
      <c r="B738" s="61" t="s">
        <v>162</v>
      </c>
      <c r="C738" s="61" t="s">
        <v>201</v>
      </c>
      <c r="D738" s="69"/>
      <c r="E738" s="74"/>
      <c r="F738" s="80">
        <f>IFERROR(D738*E738,0)</f>
        <v>0</v>
      </c>
      <c r="G738" s="61" t="str">
        <f>INDEX(SETORES!$B:$B,MATCH(A738,SETORES!$A:$A,0))</f>
        <v>Clientes</v>
      </c>
      <c r="H738" s="61" t="s">
        <v>21</v>
      </c>
    </row>
    <row r="739" spans="1:8" ht="14.25" hidden="1" customHeight="1" x14ac:dyDescent="0.3">
      <c r="A739" s="34" t="s">
        <v>54</v>
      </c>
      <c r="B739" s="61" t="s">
        <v>155</v>
      </c>
      <c r="C739" s="61" t="s">
        <v>207</v>
      </c>
      <c r="D739" s="69"/>
      <c r="E739" s="74"/>
      <c r="F739" s="80">
        <f>IFERROR(D739*E739,0)</f>
        <v>0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34" t="s">
        <v>54</v>
      </c>
      <c r="B740" s="61" t="s">
        <v>155</v>
      </c>
      <c r="C740" s="61" t="s">
        <v>196</v>
      </c>
      <c r="D740" s="69">
        <v>11</v>
      </c>
      <c r="E740" s="74">
        <v>50</v>
      </c>
      <c r="F740" s="80">
        <f>IFERROR(D740*E740,0)</f>
        <v>550</v>
      </c>
      <c r="G740" s="61" t="str">
        <f>INDEX(SETORES!$B:$B,MATCH(A740,SETORES!$A:$A,0))</f>
        <v>Clientes</v>
      </c>
      <c r="H740" s="61" t="s">
        <v>21</v>
      </c>
    </row>
    <row r="741" spans="1:8" ht="14.25" hidden="1" customHeight="1" x14ac:dyDescent="0.3">
      <c r="A741" s="34" t="s">
        <v>54</v>
      </c>
      <c r="B741" s="61" t="s">
        <v>162</v>
      </c>
      <c r="C741" s="61" t="s">
        <v>194</v>
      </c>
      <c r="D741" s="69"/>
      <c r="E741" s="74"/>
      <c r="F741" s="80">
        <f>IFERROR(D741*E741,0)</f>
        <v>0</v>
      </c>
      <c r="G741" s="61" t="str">
        <f>INDEX(SETORES!$B:$B,MATCH(A741,SETORES!$A:$A,0))</f>
        <v>Clientes</v>
      </c>
      <c r="H741" s="61" t="s">
        <v>21</v>
      </c>
    </row>
    <row r="742" spans="1:8" ht="14.25" hidden="1" customHeight="1" x14ac:dyDescent="0.3">
      <c r="A742" s="2" t="s">
        <v>54</v>
      </c>
      <c r="B742" s="60" t="s">
        <v>155</v>
      </c>
      <c r="C742" s="60" t="s">
        <v>158</v>
      </c>
      <c r="D742" s="68">
        <v>1</v>
      </c>
      <c r="E742" s="73">
        <v>91.003</v>
      </c>
      <c r="F742" s="79">
        <v>91.003</v>
      </c>
      <c r="G742" s="60" t="s">
        <v>96</v>
      </c>
      <c r="H742" s="60" t="s">
        <v>21</v>
      </c>
    </row>
    <row r="743" spans="1:8" ht="14.25" hidden="1" customHeight="1" x14ac:dyDescent="0.3">
      <c r="A743" s="34" t="s">
        <v>54</v>
      </c>
      <c r="B743" s="61" t="s">
        <v>162</v>
      </c>
      <c r="C743" s="61" t="s">
        <v>165</v>
      </c>
      <c r="D743" s="69">
        <v>1</v>
      </c>
      <c r="E743" s="74">
        <v>60</v>
      </c>
      <c r="F743" s="80">
        <f>IFERROR(D743*E743,0)</f>
        <v>60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2" t="s">
        <v>54</v>
      </c>
      <c r="B744" s="60" t="s">
        <v>155</v>
      </c>
      <c r="C744" s="60" t="s">
        <v>161</v>
      </c>
      <c r="D744" s="68">
        <v>1</v>
      </c>
      <c r="E744" s="73">
        <v>113007.3</v>
      </c>
      <c r="F744" s="79">
        <f>IFERROR(E744,0)</f>
        <v>113007.3</v>
      </c>
      <c r="G744" s="60" t="str">
        <f>INDEX(SETORES!$B:$B,MATCH(A744,SETORES!$A:$A,0))</f>
        <v>Clientes</v>
      </c>
      <c r="H744" s="60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167</v>
      </c>
      <c r="D745" s="68">
        <v>11</v>
      </c>
      <c r="E745" s="73">
        <v>9.92</v>
      </c>
      <c r="F745" s="79">
        <f>IFERROR(D745*E745,0)</f>
        <v>109.12</v>
      </c>
      <c r="G745" s="60" t="str">
        <f>INDEX(SETORES!$B:$B,MATCH(A745,SETORES!$A:$A,0))</f>
        <v>Clientes</v>
      </c>
      <c r="H745" s="60" t="s">
        <v>21</v>
      </c>
    </row>
    <row r="746" spans="1:8" ht="14.25" hidden="1" customHeight="1" x14ac:dyDescent="0.3">
      <c r="A746" s="34" t="s">
        <v>54</v>
      </c>
      <c r="B746" s="61" t="s">
        <v>155</v>
      </c>
      <c r="C746" s="61" t="s">
        <v>238</v>
      </c>
      <c r="D746" s="69">
        <v>1</v>
      </c>
      <c r="E746" s="74">
        <v>10.784312</v>
      </c>
      <c r="F746" s="80">
        <f>IFERROR(D746*E746,0)</f>
        <v>10.784312</v>
      </c>
      <c r="G746" s="61" t="str">
        <f>INDEX(SETORES!$B:$B,MATCH(A746,SETORES!$A:$A,0))</f>
        <v>Clientes</v>
      </c>
      <c r="H746" s="61" t="s">
        <v>21</v>
      </c>
    </row>
    <row r="747" spans="1:8" ht="14.25" hidden="1" customHeight="1" x14ac:dyDescent="0.3">
      <c r="A747" s="34" t="s">
        <v>54</v>
      </c>
      <c r="B747" s="61" t="s">
        <v>155</v>
      </c>
      <c r="C747" s="61" t="s">
        <v>198</v>
      </c>
      <c r="D747" s="69">
        <v>7</v>
      </c>
      <c r="E747" s="74">
        <v>30</v>
      </c>
      <c r="F747" s="80">
        <f>IFERROR(D747*E747,0)</f>
        <v>210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2" t="s">
        <v>54</v>
      </c>
      <c r="B748" s="60" t="s">
        <v>162</v>
      </c>
      <c r="C748" s="60" t="s">
        <v>195</v>
      </c>
      <c r="D748" s="68"/>
      <c r="E748" s="73"/>
      <c r="F748" s="79">
        <f>IFERROR(D748*E748,0)</f>
        <v>0</v>
      </c>
      <c r="G748" s="60" t="str">
        <f>INDEX(SETORES!$B:$B,MATCH(A748,SETORES!$A:$A,0))</f>
        <v>Clientes</v>
      </c>
      <c r="H748" s="60" t="s">
        <v>21</v>
      </c>
    </row>
    <row r="749" spans="1:8" ht="14.25" hidden="1" customHeight="1" x14ac:dyDescent="0.3">
      <c r="A749" s="2" t="s">
        <v>54</v>
      </c>
      <c r="B749" s="60" t="s">
        <v>155</v>
      </c>
      <c r="C749" s="60" t="s">
        <v>157</v>
      </c>
      <c r="D749" s="68">
        <v>1</v>
      </c>
      <c r="E749" s="73">
        <v>81.33</v>
      </c>
      <c r="F749" s="79">
        <v>81.33</v>
      </c>
      <c r="G749" s="60" t="str">
        <f>INDEX(SETORES!$B:$B,MATCH(A749,SETORES!$A:$A,0))</f>
        <v>Clientes</v>
      </c>
      <c r="H749" s="60" t="s">
        <v>21</v>
      </c>
    </row>
    <row r="750" spans="1:8" ht="14.25" hidden="1" customHeight="1" x14ac:dyDescent="0.3">
      <c r="A750" s="2" t="s">
        <v>54</v>
      </c>
      <c r="B750" s="60" t="s">
        <v>162</v>
      </c>
      <c r="C750" s="60" t="s">
        <v>200</v>
      </c>
      <c r="D750" s="68">
        <v>2</v>
      </c>
      <c r="E750" s="73">
        <v>45</v>
      </c>
      <c r="F750" s="79">
        <f>IFERROR(D750*E750,0)</f>
        <v>90</v>
      </c>
      <c r="G750" s="60" t="str">
        <f>INDEX(SETORES!$B:$B,MATCH(A750,SETORES!$A:$A,0))</f>
        <v>Clientes</v>
      </c>
      <c r="H750" s="60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246</v>
      </c>
      <c r="D751" s="68">
        <v>1</v>
      </c>
      <c r="E751" s="73">
        <v>106.58</v>
      </c>
      <c r="F751" s="79">
        <f>IFERROR(D751*E751,0)</f>
        <v>106.58</v>
      </c>
      <c r="G751" s="60" t="str">
        <f>INDEX(SETORES!$B:$B,MATCH(A751,SETORES!$A:$A,0))</f>
        <v>Clientes</v>
      </c>
      <c r="H751" s="60" t="s">
        <v>21</v>
      </c>
    </row>
    <row r="752" spans="1:8" ht="14.25" hidden="1" customHeight="1" x14ac:dyDescent="0.3">
      <c r="A752" s="2" t="s">
        <v>54</v>
      </c>
      <c r="B752" s="60" t="s">
        <v>162</v>
      </c>
      <c r="C752" s="60" t="s">
        <v>204</v>
      </c>
      <c r="D752" s="68"/>
      <c r="E752" s="73"/>
      <c r="F752" s="79">
        <f>IFERROR(D752*E752,0)</f>
        <v>0</v>
      </c>
      <c r="G752" s="60" t="str">
        <f>INDEX(SETORES!$B:$B,MATCH(A752,SETORES!$A:$A,0))</f>
        <v>Clientes</v>
      </c>
      <c r="H752" s="60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208</v>
      </c>
      <c r="D753" s="68">
        <v>1</v>
      </c>
      <c r="E753" s="73">
        <v>3042.34</v>
      </c>
      <c r="F753" s="79">
        <f>IFERROR(D753*E753,0)</f>
        <v>3042.34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34" t="s">
        <v>54</v>
      </c>
      <c r="B754" s="61" t="s">
        <v>155</v>
      </c>
      <c r="C754" s="61" t="s">
        <v>168</v>
      </c>
      <c r="D754" s="69">
        <v>11</v>
      </c>
      <c r="E754" s="74">
        <v>2.0499999999999998</v>
      </c>
      <c r="F754" s="80">
        <f>IFERROR(D754*E754,0)</f>
        <v>22.549999999999997</v>
      </c>
      <c r="G754" s="61" t="str">
        <f>INDEX(SETORES!$B:$B,MATCH(A754,SETORES!$A:$A,0))</f>
        <v>Clientes</v>
      </c>
      <c r="H754" s="61" t="s">
        <v>21</v>
      </c>
    </row>
    <row r="755" spans="1:8" ht="14.25" hidden="1" customHeight="1" x14ac:dyDescent="0.3">
      <c r="A755" s="2" t="s">
        <v>54</v>
      </c>
      <c r="B755" s="60" t="s">
        <v>162</v>
      </c>
      <c r="C755" s="60" t="s">
        <v>202</v>
      </c>
      <c r="D755" s="68"/>
      <c r="E755" s="73"/>
      <c r="F755" s="79">
        <f>IFERROR(D755*E755,0)</f>
        <v>0</v>
      </c>
      <c r="G755" s="60" t="str">
        <f>INDEX(SETORES!$B:$B,MATCH(A755,SETORES!$A:$A,0))</f>
        <v>Clientes</v>
      </c>
      <c r="H755" s="60" t="s">
        <v>21</v>
      </c>
    </row>
    <row r="756" spans="1:8" ht="14.25" hidden="1" customHeight="1" x14ac:dyDescent="0.3">
      <c r="A756" s="2" t="s">
        <v>43</v>
      </c>
      <c r="B756" s="60" t="s">
        <v>155</v>
      </c>
      <c r="C756" s="60" t="s">
        <v>159</v>
      </c>
      <c r="D756" s="68">
        <v>5</v>
      </c>
      <c r="E756" s="73">
        <v>3.3247</v>
      </c>
      <c r="F756" s="79">
        <v>16.6235</v>
      </c>
      <c r="G756" s="60" t="str">
        <f>INDEX(SETORES!$B:$B,MATCH(A756,SETORES!$A:$A,0))</f>
        <v>Clientes</v>
      </c>
      <c r="H756" s="60" t="s">
        <v>21</v>
      </c>
    </row>
    <row r="757" spans="1:8" ht="14.25" hidden="1" customHeight="1" x14ac:dyDescent="0.3">
      <c r="A757" s="2" t="s">
        <v>43</v>
      </c>
      <c r="B757" s="60" t="s">
        <v>155</v>
      </c>
      <c r="C757" s="60" t="s">
        <v>212</v>
      </c>
      <c r="D757" s="68">
        <v>2</v>
      </c>
      <c r="E757" s="73">
        <v>30</v>
      </c>
      <c r="F757" s="79">
        <f>IFERROR(D757*E757,0)</f>
        <v>60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43</v>
      </c>
      <c r="B758" s="60" t="s">
        <v>162</v>
      </c>
      <c r="C758" s="60" t="s">
        <v>217</v>
      </c>
      <c r="D758" s="68">
        <v>1</v>
      </c>
      <c r="E758" s="73">
        <v>811.2</v>
      </c>
      <c r="F758" s="79">
        <f>IFERROR(D758*E758,0)</f>
        <v>811.2</v>
      </c>
      <c r="G758" s="60" t="str">
        <f>INDEX(SETORES!$B:$B,MATCH(A758,SETORES!$A:$A,0))</f>
        <v>Clientes</v>
      </c>
      <c r="H758" s="60" t="s">
        <v>21</v>
      </c>
    </row>
    <row r="759" spans="1:8" ht="14.25" customHeight="1" x14ac:dyDescent="0.3">
      <c r="A759" s="34" t="s">
        <v>43</v>
      </c>
      <c r="B759" s="61" t="s">
        <v>155</v>
      </c>
      <c r="C759" s="61" t="s">
        <v>171</v>
      </c>
      <c r="D759" s="69">
        <v>5</v>
      </c>
      <c r="E759" s="74">
        <v>43.54</v>
      </c>
      <c r="F759" s="80">
        <f>IFERROR(D759*E759,0)</f>
        <v>217.7</v>
      </c>
      <c r="G759" s="61" t="s">
        <v>98</v>
      </c>
      <c r="H759" s="61" t="s">
        <v>21</v>
      </c>
    </row>
    <row r="760" spans="1:8" ht="14.25" hidden="1" customHeight="1" x14ac:dyDescent="0.3">
      <c r="A760" s="2" t="s">
        <v>43</v>
      </c>
      <c r="B760" s="60" t="s">
        <v>155</v>
      </c>
      <c r="C760" s="60" t="s">
        <v>170</v>
      </c>
      <c r="D760" s="68">
        <v>5</v>
      </c>
      <c r="E760" s="73">
        <v>29.74</v>
      </c>
      <c r="F760" s="79">
        <f>IFERROR(D760*E760,0)</f>
        <v>148.69999999999999</v>
      </c>
      <c r="G760" s="60" t="s">
        <v>98</v>
      </c>
      <c r="H760" s="60" t="s">
        <v>21</v>
      </c>
    </row>
    <row r="761" spans="1:8" ht="14.25" hidden="1" customHeight="1" x14ac:dyDescent="0.3">
      <c r="A761" s="2" t="s">
        <v>43</v>
      </c>
      <c r="B761" s="60" t="s">
        <v>155</v>
      </c>
      <c r="C761" s="60" t="s">
        <v>169</v>
      </c>
      <c r="D761" s="68">
        <v>5</v>
      </c>
      <c r="E761" s="73">
        <v>47.66</v>
      </c>
      <c r="F761" s="79">
        <f>IFERROR(D761*E761,0)</f>
        <v>238.29999999999998</v>
      </c>
      <c r="G761" s="60" t="s">
        <v>98</v>
      </c>
      <c r="H761" s="60" t="s">
        <v>21</v>
      </c>
    </row>
    <row r="762" spans="1:8" ht="14.25" hidden="1" customHeight="1" x14ac:dyDescent="0.3">
      <c r="A762" s="34" t="s">
        <v>43</v>
      </c>
      <c r="B762" s="61" t="s">
        <v>155</v>
      </c>
      <c r="C762" s="61" t="s">
        <v>158</v>
      </c>
      <c r="D762" s="69">
        <v>5</v>
      </c>
      <c r="E762" s="74">
        <v>21.258199999999999</v>
      </c>
      <c r="F762" s="80">
        <v>106.291</v>
      </c>
      <c r="G762" s="61" t="str">
        <f>INDEX(SETORES!$B:$B,MATCH(A762,SETORES!$A:$A,0))</f>
        <v>Clientes</v>
      </c>
      <c r="H762" s="61" t="s">
        <v>21</v>
      </c>
    </row>
    <row r="763" spans="1:8" ht="14.25" hidden="1" customHeight="1" x14ac:dyDescent="0.3">
      <c r="A763" s="2" t="s">
        <v>43</v>
      </c>
      <c r="B763" s="60" t="s">
        <v>162</v>
      </c>
      <c r="C763" s="60" t="s">
        <v>163</v>
      </c>
      <c r="D763" s="68">
        <v>2</v>
      </c>
      <c r="E763" s="73">
        <v>45</v>
      </c>
      <c r="F763" s="79">
        <f>IFERROR(D763*E763,0)</f>
        <v>90</v>
      </c>
      <c r="G763" s="60" t="str">
        <f>INDEX(SETORES!$B:$B,MATCH(A763,SETORES!$A:$A,0))</f>
        <v>Clientes</v>
      </c>
      <c r="H763" s="60" t="s">
        <v>21</v>
      </c>
    </row>
    <row r="764" spans="1:8" ht="14.25" hidden="1" customHeight="1" x14ac:dyDescent="0.3">
      <c r="A764" s="2" t="s">
        <v>43</v>
      </c>
      <c r="B764" s="60" t="s">
        <v>155</v>
      </c>
      <c r="C764" s="60" t="s">
        <v>161</v>
      </c>
      <c r="D764" s="68">
        <v>1</v>
      </c>
      <c r="E764" s="73">
        <v>25624.63</v>
      </c>
      <c r="F764" s="79">
        <f>IFERROR(E764,0)</f>
        <v>25624.63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167</v>
      </c>
      <c r="D765" s="68">
        <v>5</v>
      </c>
      <c r="E765" s="73">
        <v>9.92</v>
      </c>
      <c r="F765" s="79">
        <f>IFERROR(D765*E765,0)</f>
        <v>49.6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34" t="s">
        <v>43</v>
      </c>
      <c r="B766" s="61" t="s">
        <v>155</v>
      </c>
      <c r="C766" s="61" t="s">
        <v>238</v>
      </c>
      <c r="D766" s="69">
        <v>1</v>
      </c>
      <c r="E766" s="74">
        <v>25.6</v>
      </c>
      <c r="F766" s="80">
        <f>IFERROR(D766*E766,0)</f>
        <v>25.6</v>
      </c>
      <c r="G766" s="61" t="str">
        <f>INDEX(SETORES!$B:$B,MATCH(A766,SETORES!$A:$A,0))</f>
        <v>Clientes</v>
      </c>
      <c r="H766" s="61" t="s">
        <v>21</v>
      </c>
    </row>
    <row r="767" spans="1:8" ht="14.25" hidden="1" customHeight="1" x14ac:dyDescent="0.3">
      <c r="A767" s="2" t="s">
        <v>43</v>
      </c>
      <c r="B767" s="60" t="s">
        <v>155</v>
      </c>
      <c r="C767" s="60" t="s">
        <v>166</v>
      </c>
      <c r="D767" s="68">
        <v>3</v>
      </c>
      <c r="E767" s="73">
        <v>50</v>
      </c>
      <c r="F767" s="79">
        <f>IFERROR(D767*E767,0)</f>
        <v>150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156</v>
      </c>
      <c r="D768" s="69"/>
      <c r="E768" s="74"/>
      <c r="F768" s="80">
        <v>0</v>
      </c>
      <c r="G768" s="61" t="str">
        <f>INDEX(SETORES!$B:$B,MATCH(A768,SETORES!$A:$A,0))</f>
        <v>Clientes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157</v>
      </c>
      <c r="D769" s="68"/>
      <c r="E769" s="73"/>
      <c r="F769" s="79">
        <v>0</v>
      </c>
      <c r="G769" s="60" t="str">
        <f>INDEX(SETORES!$B:$B,MATCH(A769,SETORES!$A:$A,0))</f>
        <v>Clientes</v>
      </c>
      <c r="H769" s="60" t="s">
        <v>21</v>
      </c>
    </row>
    <row r="770" spans="1:8" ht="14.25" hidden="1" customHeight="1" x14ac:dyDescent="0.3">
      <c r="A770" s="34" t="s">
        <v>43</v>
      </c>
      <c r="B770" s="61" t="s">
        <v>162</v>
      </c>
      <c r="C770" s="61" t="s">
        <v>209</v>
      </c>
      <c r="D770" s="69">
        <v>5</v>
      </c>
      <c r="E770" s="74">
        <v>76.92</v>
      </c>
      <c r="F770" s="80">
        <f>IFERROR(D770*E770,0)</f>
        <v>384.6</v>
      </c>
      <c r="G770" s="61" t="str">
        <f>INDEX(SETORES!$B:$B,MATCH(A770,SETORES!$A:$A,0))</f>
        <v>Clientes</v>
      </c>
      <c r="H770" s="61" t="s">
        <v>21</v>
      </c>
    </row>
    <row r="771" spans="1:8" ht="14.25" hidden="1" customHeight="1" x14ac:dyDescent="0.3">
      <c r="A771" s="34" t="s">
        <v>43</v>
      </c>
      <c r="B771" s="61" t="s">
        <v>162</v>
      </c>
      <c r="C771" s="61" t="s">
        <v>222</v>
      </c>
      <c r="D771" s="69"/>
      <c r="E771" s="74"/>
      <c r="F771" s="80">
        <f>IFERROR(D771*E771,0)</f>
        <v>0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34" t="s">
        <v>43</v>
      </c>
      <c r="B772" s="61" t="s">
        <v>155</v>
      </c>
      <c r="C772" s="61" t="s">
        <v>168</v>
      </c>
      <c r="D772" s="69">
        <v>5</v>
      </c>
      <c r="E772" s="74">
        <v>2.0499999999999998</v>
      </c>
      <c r="F772" s="80">
        <f>IFERROR(D772*E772,0)</f>
        <v>10.25</v>
      </c>
      <c r="G772" s="61" t="str">
        <f>INDEX(SETORES!$B:$B,MATCH(A772,SETORES!$A:$A,0))</f>
        <v>Clientes</v>
      </c>
      <c r="H772" s="61" t="s">
        <v>21</v>
      </c>
    </row>
    <row r="773" spans="1:8" ht="14.25" hidden="1" customHeight="1" x14ac:dyDescent="0.3">
      <c r="A773" s="34" t="s">
        <v>43</v>
      </c>
      <c r="B773" s="61" t="s">
        <v>155</v>
      </c>
      <c r="C773" s="61" t="s">
        <v>160</v>
      </c>
      <c r="D773" s="69"/>
      <c r="E773" s="74"/>
      <c r="F773" s="80">
        <f>IFERROR(D773*E773,0)</f>
        <v>0</v>
      </c>
      <c r="G773" s="61" t="str">
        <f>INDEX(SETORES!$B:$B,MATCH(A773,SETORES!$A:$A,0))</f>
        <v>Clientes</v>
      </c>
      <c r="H773" s="61" t="s">
        <v>21</v>
      </c>
    </row>
    <row r="774" spans="1:8" ht="14.25" hidden="1" customHeight="1" x14ac:dyDescent="0.3">
      <c r="A774" s="35" t="s">
        <v>143</v>
      </c>
      <c r="B774" s="66" t="s">
        <v>155</v>
      </c>
      <c r="C774" s="66" t="s">
        <v>161</v>
      </c>
      <c r="D774" s="66">
        <v>1</v>
      </c>
      <c r="E774" s="78">
        <v>38158.160000000003</v>
      </c>
      <c r="F774" s="78">
        <f>D774*E774</f>
        <v>38158.160000000003</v>
      </c>
      <c r="G774" s="66" t="s">
        <v>96</v>
      </c>
      <c r="H774" s="66" t="s">
        <v>21</v>
      </c>
    </row>
    <row r="775" spans="1:8" ht="14.25" hidden="1" customHeight="1" x14ac:dyDescent="0.3">
      <c r="A775" s="35" t="s">
        <v>143</v>
      </c>
      <c r="B775" s="66" t="s">
        <v>162</v>
      </c>
      <c r="C775" s="66" t="s">
        <v>222</v>
      </c>
      <c r="D775" s="66">
        <v>1</v>
      </c>
      <c r="E775" s="78">
        <v>8880.36</v>
      </c>
      <c r="F775" s="78">
        <f>D775*E775</f>
        <v>8880.36</v>
      </c>
      <c r="G775" s="66" t="s">
        <v>96</v>
      </c>
      <c r="H775" s="66" t="s">
        <v>21</v>
      </c>
    </row>
    <row r="776" spans="1:8" ht="14.25" hidden="1" customHeight="1" x14ac:dyDescent="0.3">
      <c r="A776" s="34" t="s">
        <v>40</v>
      </c>
      <c r="B776" s="61" t="s">
        <v>155</v>
      </c>
      <c r="C776" s="61" t="s">
        <v>159</v>
      </c>
      <c r="D776" s="69">
        <v>1</v>
      </c>
      <c r="E776" s="74">
        <v>0.1212</v>
      </c>
      <c r="F776" s="80">
        <v>0.1212</v>
      </c>
      <c r="G776" s="61" t="str">
        <f>INDEX(SETORES!$B:$B,MATCH(A776,SETORES!$A:$A,0))</f>
        <v>Clientes</v>
      </c>
      <c r="H776" s="61" t="s">
        <v>21</v>
      </c>
    </row>
    <row r="777" spans="1:8" ht="14.25" hidden="1" customHeight="1" x14ac:dyDescent="0.3">
      <c r="A777" s="2" t="s">
        <v>40</v>
      </c>
      <c r="B777" s="60" t="s">
        <v>162</v>
      </c>
      <c r="C777" s="60" t="s">
        <v>241</v>
      </c>
      <c r="D777" s="68">
        <v>1</v>
      </c>
      <c r="E777" s="73">
        <v>6000</v>
      </c>
      <c r="F777" s="79">
        <f>IFERROR(D777*E777,0)</f>
        <v>6000</v>
      </c>
      <c r="G777" s="60" t="str">
        <f>INDEX(SETORES!$B:$B,MATCH(A777,SETORES!$A:$A,0))</f>
        <v>Clientes</v>
      </c>
      <c r="H777" s="60" t="s">
        <v>21</v>
      </c>
    </row>
    <row r="778" spans="1:8" ht="14.25" hidden="1" customHeight="1" x14ac:dyDescent="0.3">
      <c r="A778" s="34" t="s">
        <v>40</v>
      </c>
      <c r="B778" s="61" t="s">
        <v>155</v>
      </c>
      <c r="C778" s="61" t="s">
        <v>212</v>
      </c>
      <c r="D778" s="69">
        <v>2</v>
      </c>
      <c r="E778" s="74">
        <v>30</v>
      </c>
      <c r="F778" s="80">
        <f>IFERROR(D778*E778,0)</f>
        <v>60</v>
      </c>
      <c r="G778" s="61" t="str">
        <f>INDEX(SETORES!$B:$B,MATCH(A778,SETORES!$A:$A,0))</f>
        <v>Clientes</v>
      </c>
      <c r="H778" s="61" t="s">
        <v>21</v>
      </c>
    </row>
    <row r="779" spans="1:8" ht="14.25" hidden="1" customHeight="1" x14ac:dyDescent="0.3">
      <c r="A779" s="34" t="s">
        <v>40</v>
      </c>
      <c r="B779" s="61" t="s">
        <v>162</v>
      </c>
      <c r="C779" s="61" t="s">
        <v>211</v>
      </c>
      <c r="D779" s="69">
        <v>1</v>
      </c>
      <c r="E779" s="74">
        <v>12000</v>
      </c>
      <c r="F779" s="80">
        <f>IFERROR(D779*E779,0)</f>
        <v>12000</v>
      </c>
      <c r="G779" s="61" t="str">
        <f>INDEX(SETORES!$B:$B,MATCH(A779,SETORES!$A:$A,0))</f>
        <v>Clientes</v>
      </c>
      <c r="H779" s="61" t="s">
        <v>21</v>
      </c>
    </row>
    <row r="780" spans="1:8" ht="14.25" customHeight="1" x14ac:dyDescent="0.3">
      <c r="A780" s="2" t="s">
        <v>40</v>
      </c>
      <c r="B780" s="60" t="s">
        <v>155</v>
      </c>
      <c r="C780" s="60" t="s">
        <v>171</v>
      </c>
      <c r="D780" s="68">
        <v>5</v>
      </c>
      <c r="E780" s="73">
        <v>43.54</v>
      </c>
      <c r="F780" s="79">
        <f>IFERROR(D780*E780,0)</f>
        <v>217.7</v>
      </c>
      <c r="G780" s="61" t="s">
        <v>98</v>
      </c>
      <c r="H780" s="60" t="s">
        <v>21</v>
      </c>
    </row>
    <row r="781" spans="1:8" ht="14.25" hidden="1" customHeight="1" x14ac:dyDescent="0.3">
      <c r="A781" s="34" t="s">
        <v>40</v>
      </c>
      <c r="B781" s="61" t="s">
        <v>155</v>
      </c>
      <c r="C781" s="61" t="s">
        <v>170</v>
      </c>
      <c r="D781" s="69">
        <v>5</v>
      </c>
      <c r="E781" s="74">
        <v>29.74</v>
      </c>
      <c r="F781" s="80">
        <f>IFERROR(D781*E781,0)</f>
        <v>148.69999999999999</v>
      </c>
      <c r="G781" s="60" t="s">
        <v>98</v>
      </c>
      <c r="H781" s="61" t="s">
        <v>21</v>
      </c>
    </row>
    <row r="782" spans="1:8" ht="14.25" hidden="1" customHeight="1" x14ac:dyDescent="0.3">
      <c r="A782" s="34" t="s">
        <v>40</v>
      </c>
      <c r="B782" s="61" t="s">
        <v>155</v>
      </c>
      <c r="C782" s="61" t="s">
        <v>169</v>
      </c>
      <c r="D782" s="69">
        <v>5</v>
      </c>
      <c r="E782" s="74">
        <v>47.66</v>
      </c>
      <c r="F782" s="80">
        <f>IFERROR(D782*E782,0)</f>
        <v>238.29999999999998</v>
      </c>
      <c r="G782" s="60" t="s">
        <v>98</v>
      </c>
      <c r="H782" s="61" t="s">
        <v>21</v>
      </c>
    </row>
    <row r="783" spans="1:8" ht="14.25" hidden="1" customHeight="1" x14ac:dyDescent="0.3">
      <c r="A783" s="2" t="s">
        <v>40</v>
      </c>
      <c r="B783" s="60" t="s">
        <v>155</v>
      </c>
      <c r="C783" s="60" t="s">
        <v>158</v>
      </c>
      <c r="D783" s="68">
        <v>1</v>
      </c>
      <c r="E783" s="73">
        <v>41.365000000000002</v>
      </c>
      <c r="F783" s="79">
        <v>41.365000000000002</v>
      </c>
      <c r="G783" s="60" t="str">
        <f>INDEX(SETORES!$B:$B,MATCH(A783,SETORES!$A:$A,0))</f>
        <v>Clientes</v>
      </c>
      <c r="H783" s="60" t="s">
        <v>21</v>
      </c>
    </row>
    <row r="784" spans="1:8" ht="14.25" hidden="1" customHeight="1" x14ac:dyDescent="0.3">
      <c r="A784" s="34" t="s">
        <v>40</v>
      </c>
      <c r="B784" s="61" t="s">
        <v>162</v>
      </c>
      <c r="C784" s="61" t="s">
        <v>165</v>
      </c>
      <c r="D784" s="69">
        <v>1</v>
      </c>
      <c r="E784" s="74">
        <v>65</v>
      </c>
      <c r="F784" s="80">
        <f>IFERROR(D784*E784,0)</f>
        <v>65</v>
      </c>
      <c r="G784" s="61" t="str">
        <f>INDEX(SETORES!$B:$B,MATCH(A784,SETORES!$A:$A,0))</f>
        <v>Clientes</v>
      </c>
      <c r="H784" s="61" t="s">
        <v>21</v>
      </c>
    </row>
    <row r="785" spans="1:8" ht="14.25" hidden="1" customHeight="1" x14ac:dyDescent="0.3">
      <c r="A785" s="34" t="s">
        <v>40</v>
      </c>
      <c r="B785" s="61" t="s">
        <v>162</v>
      </c>
      <c r="C785" s="61" t="s">
        <v>163</v>
      </c>
      <c r="D785" s="69">
        <v>4</v>
      </c>
      <c r="E785" s="74">
        <v>56.5</v>
      </c>
      <c r="F785" s="80">
        <f>IFERROR(D785*E785,0)</f>
        <v>226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164</v>
      </c>
      <c r="D786" s="68"/>
      <c r="E786" s="73"/>
      <c r="F786" s="79">
        <f>IFERROR(D786*E786,0)</f>
        <v>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161</v>
      </c>
      <c r="D787" s="69">
        <v>1</v>
      </c>
      <c r="E787" s="74">
        <v>14720.9</v>
      </c>
      <c r="F787" s="80">
        <f>IFERROR(E787,0)</f>
        <v>14720.9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155</v>
      </c>
      <c r="C788" s="61" t="s">
        <v>167</v>
      </c>
      <c r="D788" s="69">
        <v>5</v>
      </c>
      <c r="E788" s="74">
        <v>9.92</v>
      </c>
      <c r="F788" s="80">
        <f>IFERROR(D788*E788,0)</f>
        <v>49.6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238</v>
      </c>
      <c r="D789" s="68">
        <v>1</v>
      </c>
      <c r="E789" s="73">
        <v>4.9019599999999999</v>
      </c>
      <c r="F789" s="79">
        <f>IFERROR(D789*E789,0)</f>
        <v>4.9019599999999999</v>
      </c>
      <c r="G789" s="60" t="str">
        <f>INDEX(SETORES!$B:$B,MATCH(A789,SETORES!$A:$A,0))</f>
        <v>Clientes</v>
      </c>
      <c r="H789" s="60" t="s">
        <v>21</v>
      </c>
    </row>
    <row r="790" spans="1:8" ht="14.25" hidden="1" customHeight="1" x14ac:dyDescent="0.3">
      <c r="A790" s="2" t="s">
        <v>40</v>
      </c>
      <c r="B790" s="60" t="s">
        <v>155</v>
      </c>
      <c r="C790" s="60" t="s">
        <v>166</v>
      </c>
      <c r="D790" s="68">
        <v>7</v>
      </c>
      <c r="E790" s="73">
        <v>50</v>
      </c>
      <c r="F790" s="79">
        <f>IFERROR(D790*E790,0)</f>
        <v>350</v>
      </c>
      <c r="G790" s="60" t="str">
        <f>INDEX(SETORES!$B:$B,MATCH(A790,SETORES!$A:$A,0))</f>
        <v>Clientes</v>
      </c>
      <c r="H790" s="60" t="s">
        <v>21</v>
      </c>
    </row>
    <row r="791" spans="1:8" ht="14.25" hidden="1" customHeight="1" x14ac:dyDescent="0.3">
      <c r="A791" s="2" t="s">
        <v>40</v>
      </c>
      <c r="B791" s="60" t="s">
        <v>155</v>
      </c>
      <c r="C791" s="60" t="s">
        <v>181</v>
      </c>
      <c r="D791" s="68">
        <v>1</v>
      </c>
      <c r="E791" s="73">
        <v>2559.4499999999998</v>
      </c>
      <c r="F791" s="79">
        <f>IFERROR(D791*E791,0)</f>
        <v>2559.4499999999998</v>
      </c>
      <c r="G791" s="60" t="str">
        <f>INDEX(SETORES!$B:$B,MATCH(A791,SETORES!$A:$A,0))</f>
        <v>Clientes</v>
      </c>
      <c r="H791" s="60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156</v>
      </c>
      <c r="D792" s="68"/>
      <c r="E792" s="73"/>
      <c r="F792" s="79">
        <v>0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155</v>
      </c>
      <c r="C793" s="61" t="s">
        <v>157</v>
      </c>
      <c r="D793" s="69">
        <v>1</v>
      </c>
      <c r="E793" s="74">
        <v>51.3</v>
      </c>
      <c r="F793" s="80">
        <v>51.3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222</v>
      </c>
      <c r="D794" s="69"/>
      <c r="E794" s="74"/>
      <c r="F794" s="80">
        <f>IFERROR(D794*E794,0)</f>
        <v>0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155</v>
      </c>
      <c r="C795" s="60" t="s">
        <v>168</v>
      </c>
      <c r="D795" s="68">
        <v>5</v>
      </c>
      <c r="E795" s="73">
        <v>2.0499999999999998</v>
      </c>
      <c r="F795" s="79">
        <f>IFERROR(D795*E795,0)</f>
        <v>10.25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2" t="s">
        <v>40</v>
      </c>
      <c r="B796" s="60" t="s">
        <v>155</v>
      </c>
      <c r="C796" s="60" t="s">
        <v>160</v>
      </c>
      <c r="D796" s="68"/>
      <c r="E796" s="73"/>
      <c r="F796" s="79">
        <f>IFERROR(D796*E796,0)</f>
        <v>0</v>
      </c>
      <c r="G796" s="60" t="str">
        <f>INDEX(SETORES!$B:$B,MATCH(A796,SETORES!$A:$A,0))</f>
        <v>Clientes</v>
      </c>
      <c r="H796" s="60" t="s">
        <v>21</v>
      </c>
    </row>
    <row r="797" spans="1:8" ht="14.25" hidden="1" customHeight="1" x14ac:dyDescent="0.3">
      <c r="A797" s="34" t="s">
        <v>41</v>
      </c>
      <c r="B797" s="61" t="s">
        <v>155</v>
      </c>
      <c r="C797" s="61" t="s">
        <v>159</v>
      </c>
      <c r="D797" s="69">
        <v>1</v>
      </c>
      <c r="E797" s="74">
        <v>2.4199999999999999E-2</v>
      </c>
      <c r="F797" s="80">
        <v>2.4199999999999999E-2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41</v>
      </c>
      <c r="B798" s="60" t="s">
        <v>155</v>
      </c>
      <c r="C798" s="60" t="s">
        <v>212</v>
      </c>
      <c r="D798" s="68">
        <v>1</v>
      </c>
      <c r="E798" s="73">
        <v>30</v>
      </c>
      <c r="F798" s="79">
        <f>IFERROR(D798*E798,0)</f>
        <v>30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34" t="s">
        <v>41</v>
      </c>
      <c r="B799" s="61" t="s">
        <v>162</v>
      </c>
      <c r="C799" s="61" t="s">
        <v>217</v>
      </c>
      <c r="D799" s="69">
        <v>1</v>
      </c>
      <c r="E799" s="74">
        <v>1837.24</v>
      </c>
      <c r="F799" s="80">
        <f>IFERROR(D799*E799,0)</f>
        <v>1837.24</v>
      </c>
      <c r="G799" s="61" t="str">
        <f>INDEX(SETORES!$B:$B,MATCH(A799,SETORES!$A:$A,0))</f>
        <v>Clientes</v>
      </c>
      <c r="H799" s="61" t="s">
        <v>21</v>
      </c>
    </row>
    <row r="800" spans="1:8" ht="14.25" customHeight="1" x14ac:dyDescent="0.3">
      <c r="A800" s="34" t="s">
        <v>41</v>
      </c>
      <c r="B800" s="61" t="s">
        <v>155</v>
      </c>
      <c r="C800" s="61" t="s">
        <v>171</v>
      </c>
      <c r="D800" s="69">
        <v>1</v>
      </c>
      <c r="E800" s="74">
        <v>43.54</v>
      </c>
      <c r="F800" s="80">
        <f>IFERROR(D800*E800,0)</f>
        <v>43.54</v>
      </c>
      <c r="G800" s="61" t="s">
        <v>98</v>
      </c>
      <c r="H800" s="61" t="s">
        <v>21</v>
      </c>
    </row>
    <row r="801" spans="1:8" ht="14.25" hidden="1" customHeight="1" x14ac:dyDescent="0.3">
      <c r="A801" s="2" t="s">
        <v>41</v>
      </c>
      <c r="B801" s="60" t="s">
        <v>155</v>
      </c>
      <c r="C801" s="60" t="s">
        <v>170</v>
      </c>
      <c r="D801" s="68">
        <v>1</v>
      </c>
      <c r="E801" s="73">
        <v>29.74</v>
      </c>
      <c r="F801" s="79">
        <f>IFERROR(D801*E801,0)</f>
        <v>29.74</v>
      </c>
      <c r="G801" s="60" t="s">
        <v>98</v>
      </c>
      <c r="H801" s="60" t="s">
        <v>21</v>
      </c>
    </row>
    <row r="802" spans="1:8" ht="14.25" hidden="1" customHeight="1" x14ac:dyDescent="0.3">
      <c r="A802" s="2" t="s">
        <v>41</v>
      </c>
      <c r="B802" s="60" t="s">
        <v>155</v>
      </c>
      <c r="C802" s="60" t="s">
        <v>169</v>
      </c>
      <c r="D802" s="68">
        <v>1</v>
      </c>
      <c r="E802" s="73">
        <v>47.66</v>
      </c>
      <c r="F802" s="79">
        <f>IFERROR(D802*E802,0)</f>
        <v>47.66</v>
      </c>
      <c r="G802" s="60" t="s">
        <v>98</v>
      </c>
      <c r="H802" s="60" t="s">
        <v>21</v>
      </c>
    </row>
    <row r="803" spans="1:8" ht="14.25" hidden="1" customHeight="1" x14ac:dyDescent="0.3">
      <c r="A803" s="2" t="s">
        <v>41</v>
      </c>
      <c r="B803" s="60" t="s">
        <v>155</v>
      </c>
      <c r="C803" s="60" t="s">
        <v>158</v>
      </c>
      <c r="D803" s="68">
        <v>1</v>
      </c>
      <c r="E803" s="73">
        <v>8.2729999999999997</v>
      </c>
      <c r="F803" s="79">
        <v>8.2729999999999997</v>
      </c>
      <c r="G803" s="60" t="str">
        <f>INDEX(SETORES!$B:$B,MATCH(A803,SETORES!$A:$A,0))</f>
        <v>Clientes</v>
      </c>
      <c r="H803" s="60" t="s">
        <v>21</v>
      </c>
    </row>
    <row r="804" spans="1:8" ht="14.25" hidden="1" customHeight="1" x14ac:dyDescent="0.3">
      <c r="A804" s="34" t="s">
        <v>41</v>
      </c>
      <c r="B804" s="61" t="s">
        <v>155</v>
      </c>
      <c r="C804" s="61" t="s">
        <v>161</v>
      </c>
      <c r="D804" s="69">
        <v>1</v>
      </c>
      <c r="E804" s="74">
        <v>18000</v>
      </c>
      <c r="F804" s="80">
        <f>IFERROR(E804,0)</f>
        <v>18000</v>
      </c>
      <c r="G804" s="61" t="str">
        <f>INDEX(SETORES!$B:$B,MATCH(A804,SETORES!$A:$A,0))</f>
        <v>Clientes</v>
      </c>
      <c r="H804" s="61" t="s">
        <v>21</v>
      </c>
    </row>
    <row r="805" spans="1:8" ht="14.25" hidden="1" customHeight="1" x14ac:dyDescent="0.3">
      <c r="A805" s="2" t="s">
        <v>41</v>
      </c>
      <c r="B805" s="60" t="s">
        <v>155</v>
      </c>
      <c r="C805" s="60" t="s">
        <v>167</v>
      </c>
      <c r="D805" s="68">
        <v>1</v>
      </c>
      <c r="E805" s="73">
        <v>9.92</v>
      </c>
      <c r="F805" s="79">
        <f>IFERROR(D805*E805,0)</f>
        <v>9.92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238</v>
      </c>
      <c r="D806" s="69">
        <v>1</v>
      </c>
      <c r="E806" s="74">
        <v>0.98039200000000004</v>
      </c>
      <c r="F806" s="80">
        <f>IFERROR(D806*E806,0)</f>
        <v>0.98039200000000004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166</v>
      </c>
      <c r="D807" s="68">
        <v>1</v>
      </c>
      <c r="E807" s="73">
        <v>50</v>
      </c>
      <c r="F807" s="79">
        <f>IFERROR(D807*E807,0)</f>
        <v>50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2" t="s">
        <v>41</v>
      </c>
      <c r="B808" s="60" t="s">
        <v>155</v>
      </c>
      <c r="C808" s="60" t="s">
        <v>156</v>
      </c>
      <c r="D808" s="68"/>
      <c r="E808" s="73"/>
      <c r="F808" s="79">
        <v>0</v>
      </c>
      <c r="G808" s="60" t="str">
        <f>INDEX(SETORES!$B:$B,MATCH(A808,SETORES!$A:$A,0))</f>
        <v>Clientes</v>
      </c>
      <c r="H808" s="60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157</v>
      </c>
      <c r="D809" s="69">
        <v>1</v>
      </c>
      <c r="E809" s="74">
        <v>37.43</v>
      </c>
      <c r="F809" s="80">
        <v>37.43</v>
      </c>
      <c r="G809" s="61" t="str">
        <f>INDEX(SETORES!$B:$B,MATCH(A809,SETORES!$A:$A,0))</f>
        <v>Clientes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162</v>
      </c>
      <c r="C810" s="60" t="s">
        <v>222</v>
      </c>
      <c r="D810" s="68"/>
      <c r="E810" s="73"/>
      <c r="F810" s="79">
        <f>IFERROR(D810*E810,0)</f>
        <v>0</v>
      </c>
      <c r="G810" s="60" t="str">
        <f>INDEX(SETORES!$B:$B,MATCH(A810,SETORES!$A:$A,0))</f>
        <v>Clientes</v>
      </c>
      <c r="H810" s="60" t="s">
        <v>21</v>
      </c>
    </row>
    <row r="811" spans="1:8" ht="14.25" hidden="1" customHeight="1" x14ac:dyDescent="0.3">
      <c r="A811" s="34" t="s">
        <v>41</v>
      </c>
      <c r="B811" s="61" t="s">
        <v>155</v>
      </c>
      <c r="C811" s="61" t="s">
        <v>168</v>
      </c>
      <c r="D811" s="69">
        <v>1</v>
      </c>
      <c r="E811" s="74">
        <v>2.0499999999999998</v>
      </c>
      <c r="F811" s="80">
        <f>IFERROR(D811*E811,0)</f>
        <v>2.0499999999999998</v>
      </c>
      <c r="G811" s="61" t="str">
        <f>INDEX(SETORES!$B:$B,MATCH(A811,SETORES!$A:$A,0))</f>
        <v>Clientes</v>
      </c>
      <c r="H811" s="61" t="s">
        <v>21</v>
      </c>
    </row>
    <row r="812" spans="1:8" ht="14.25" hidden="1" customHeight="1" x14ac:dyDescent="0.3">
      <c r="A812" s="34" t="s">
        <v>79</v>
      </c>
      <c r="B812" s="61" t="s">
        <v>155</v>
      </c>
      <c r="C812" s="61" t="s">
        <v>159</v>
      </c>
      <c r="D812" s="69">
        <v>5</v>
      </c>
      <c r="E812" s="74">
        <v>3.3247</v>
      </c>
      <c r="F812" s="80">
        <v>16.6235</v>
      </c>
      <c r="G812" s="61" t="str">
        <f>INDEX(SETORES!$B:$B,MATCH(A812,SETORES!$A:$A,0))</f>
        <v>Funcionários</v>
      </c>
      <c r="H812" s="61" t="s">
        <v>21</v>
      </c>
    </row>
    <row r="813" spans="1:8" ht="14.25" hidden="1" customHeight="1" x14ac:dyDescent="0.3">
      <c r="A813" s="34" t="s">
        <v>79</v>
      </c>
      <c r="B813" s="61" t="s">
        <v>162</v>
      </c>
      <c r="C813" s="61" t="s">
        <v>252</v>
      </c>
      <c r="D813" s="69">
        <v>1</v>
      </c>
      <c r="E813" s="74">
        <v>89474.31</v>
      </c>
      <c r="F813" s="80">
        <f>IFERROR(E813,0)</f>
        <v>89474.31</v>
      </c>
      <c r="G813" s="61" t="s">
        <v>98</v>
      </c>
      <c r="H813" s="61" t="s">
        <v>21</v>
      </c>
    </row>
    <row r="814" spans="1:8" ht="14.25" hidden="1" customHeight="1" x14ac:dyDescent="0.3">
      <c r="A814" s="2" t="s">
        <v>79</v>
      </c>
      <c r="B814" s="60" t="s">
        <v>162</v>
      </c>
      <c r="C814" s="60" t="s">
        <v>255</v>
      </c>
      <c r="D814" s="68">
        <v>1</v>
      </c>
      <c r="E814" s="73">
        <v>-12600</v>
      </c>
      <c r="F814" s="79">
        <f>IFERROR(E814,0)</f>
        <v>-12600</v>
      </c>
      <c r="G814" s="60" t="s">
        <v>98</v>
      </c>
      <c r="H814" s="60" t="s">
        <v>21</v>
      </c>
    </row>
    <row r="815" spans="1:8" ht="14.25" hidden="1" customHeight="1" x14ac:dyDescent="0.3">
      <c r="A815" s="2" t="s">
        <v>79</v>
      </c>
      <c r="B815" s="60" t="s">
        <v>155</v>
      </c>
      <c r="C815" s="60" t="s">
        <v>250</v>
      </c>
      <c r="D815" s="68">
        <v>1</v>
      </c>
      <c r="E815" s="73">
        <v>885.85</v>
      </c>
      <c r="F815" s="79">
        <f>IFERROR(D815*E815,0)</f>
        <v>885.85</v>
      </c>
      <c r="G815" s="60" t="s">
        <v>98</v>
      </c>
      <c r="H815" s="60" t="s">
        <v>21</v>
      </c>
    </row>
    <row r="816" spans="1:8" ht="14.25" customHeight="1" x14ac:dyDescent="0.3">
      <c r="A816" s="34" t="s">
        <v>79</v>
      </c>
      <c r="B816" s="61" t="s">
        <v>155</v>
      </c>
      <c r="C816" s="61" t="s">
        <v>171</v>
      </c>
      <c r="D816" s="69">
        <v>5</v>
      </c>
      <c r="E816" s="74">
        <v>43.54</v>
      </c>
      <c r="F816" s="80">
        <f>IFERROR(D816*E816,0)</f>
        <v>217.7</v>
      </c>
      <c r="G816" s="61" t="s">
        <v>98</v>
      </c>
      <c r="H816" s="61" t="s">
        <v>21</v>
      </c>
    </row>
    <row r="817" spans="1:8" ht="14.25" hidden="1" customHeight="1" x14ac:dyDescent="0.3">
      <c r="A817" s="2" t="s">
        <v>79</v>
      </c>
      <c r="B817" s="60" t="s">
        <v>155</v>
      </c>
      <c r="C817" s="60" t="s">
        <v>170</v>
      </c>
      <c r="D817" s="68">
        <v>5</v>
      </c>
      <c r="E817" s="73">
        <v>29.74</v>
      </c>
      <c r="F817" s="79">
        <f>IFERROR(D817*E817,0)</f>
        <v>148.69999999999999</v>
      </c>
      <c r="G817" s="60" t="s">
        <v>98</v>
      </c>
      <c r="H817" s="60" t="s">
        <v>21</v>
      </c>
    </row>
    <row r="818" spans="1:8" ht="14.25" hidden="1" customHeight="1" x14ac:dyDescent="0.3">
      <c r="A818" s="2" t="s">
        <v>79</v>
      </c>
      <c r="B818" s="60" t="s">
        <v>155</v>
      </c>
      <c r="C818" s="60" t="s">
        <v>169</v>
      </c>
      <c r="D818" s="68">
        <v>5</v>
      </c>
      <c r="E818" s="73">
        <v>47.66</v>
      </c>
      <c r="F818" s="79">
        <f>IFERROR(D818*E818,0)</f>
        <v>238.29999999999998</v>
      </c>
      <c r="G818" s="60" t="s">
        <v>98</v>
      </c>
      <c r="H818" s="60" t="s">
        <v>21</v>
      </c>
    </row>
    <row r="819" spans="1:8" ht="14.25" hidden="1" customHeight="1" x14ac:dyDescent="0.3">
      <c r="A819" s="2" t="s">
        <v>79</v>
      </c>
      <c r="B819" s="60" t="s">
        <v>155</v>
      </c>
      <c r="C819" s="60" t="s">
        <v>158</v>
      </c>
      <c r="D819" s="68">
        <v>5</v>
      </c>
      <c r="E819" s="73">
        <v>21.258199999999999</v>
      </c>
      <c r="F819" s="79">
        <v>106.291</v>
      </c>
      <c r="G819" s="60" t="str">
        <f>INDEX(SETORES!$B:$B,MATCH(A819,SETORES!$A:$A,0))</f>
        <v>Funcionários</v>
      </c>
      <c r="H819" s="60" t="s">
        <v>21</v>
      </c>
    </row>
    <row r="820" spans="1:8" ht="14.25" hidden="1" customHeight="1" x14ac:dyDescent="0.3">
      <c r="A820" s="2" t="s">
        <v>79</v>
      </c>
      <c r="B820" s="60" t="s">
        <v>155</v>
      </c>
      <c r="C820" s="60" t="s">
        <v>161</v>
      </c>
      <c r="D820" s="68">
        <v>1</v>
      </c>
      <c r="E820" s="73">
        <v>27510.6</v>
      </c>
      <c r="F820" s="79">
        <v>27510.6</v>
      </c>
      <c r="G820" s="60" t="str">
        <f>INDEX(SETORES!$B:$B,MATCH(A820,SETORES!$A:$A,0))</f>
        <v>Funcionários</v>
      </c>
      <c r="H820" s="60" t="s">
        <v>21</v>
      </c>
    </row>
    <row r="821" spans="1:8" ht="14.25" hidden="1" customHeight="1" x14ac:dyDescent="0.3">
      <c r="A821" s="34" t="s">
        <v>79</v>
      </c>
      <c r="B821" s="61" t="s">
        <v>162</v>
      </c>
      <c r="C821" s="61" t="s">
        <v>254</v>
      </c>
      <c r="D821" s="69">
        <v>1</v>
      </c>
      <c r="E821" s="74">
        <v>1170</v>
      </c>
      <c r="F821" s="80">
        <f>IFERROR(E821,0)</f>
        <v>1170</v>
      </c>
      <c r="G821" s="61" t="s">
        <v>98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155</v>
      </c>
      <c r="C822" s="61" t="s">
        <v>167</v>
      </c>
      <c r="D822" s="69">
        <v>5</v>
      </c>
      <c r="E822" s="74">
        <v>9.92</v>
      </c>
      <c r="F822" s="80">
        <f>IFERROR(D822*E822,0)</f>
        <v>49.6</v>
      </c>
      <c r="G822" s="61" t="s">
        <v>98</v>
      </c>
      <c r="H822" s="61" t="s">
        <v>21</v>
      </c>
    </row>
    <row r="823" spans="1:8" ht="14.25" hidden="1" customHeight="1" x14ac:dyDescent="0.3">
      <c r="A823" s="34" t="s">
        <v>79</v>
      </c>
      <c r="B823" s="61" t="s">
        <v>155</v>
      </c>
      <c r="C823" s="61" t="s">
        <v>166</v>
      </c>
      <c r="D823" s="69">
        <v>1</v>
      </c>
      <c r="E823" s="74">
        <v>50</v>
      </c>
      <c r="F823" s="80">
        <f>IFERROR(D823*E823,0)</f>
        <v>50</v>
      </c>
      <c r="G823" s="61" t="str">
        <f>INDEX(SETORES!$B:$B,MATCH(A823,SETORES!$A:$A,0))</f>
        <v>Funcionários</v>
      </c>
      <c r="H823" s="61" t="s">
        <v>21</v>
      </c>
    </row>
    <row r="824" spans="1:8" ht="14.25" hidden="1" customHeight="1" x14ac:dyDescent="0.3">
      <c r="A824" s="2" t="s">
        <v>79</v>
      </c>
      <c r="B824" s="60" t="s">
        <v>162</v>
      </c>
      <c r="C824" s="60" t="s">
        <v>253</v>
      </c>
      <c r="D824" s="68">
        <v>1</v>
      </c>
      <c r="E824" s="73">
        <v>1800.06</v>
      </c>
      <c r="F824" s="79">
        <f>IFERROR(E824,0)</f>
        <v>1800.06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162</v>
      </c>
      <c r="C825" s="61" t="s">
        <v>209</v>
      </c>
      <c r="D825" s="69">
        <v>5</v>
      </c>
      <c r="E825" s="74">
        <v>76.92</v>
      </c>
      <c r="F825" s="80">
        <f>IFERROR(D825*E825,0)</f>
        <v>384.6</v>
      </c>
      <c r="G825" s="61" t="str">
        <f>INDEX(SETORES!$B:$B,MATCH(A825,SETORES!$A:$A,0))</f>
        <v>Funcionários</v>
      </c>
      <c r="H825" s="61" t="s">
        <v>21</v>
      </c>
    </row>
    <row r="826" spans="1:8" ht="14.25" hidden="1" customHeight="1" x14ac:dyDescent="0.3">
      <c r="A826" s="34" t="s">
        <v>79</v>
      </c>
      <c r="B826" s="61" t="s">
        <v>162</v>
      </c>
      <c r="C826" s="61" t="s">
        <v>222</v>
      </c>
      <c r="D826" s="69"/>
      <c r="E826" s="74"/>
      <c r="F826" s="80">
        <f>IFERROR(D826*E826,0)</f>
        <v>0</v>
      </c>
      <c r="G826" s="61" t="str">
        <f>INDEX(SETORES!$B:$B,MATCH(A826,SETORES!$A:$A,0))</f>
        <v>Funcionários</v>
      </c>
      <c r="H826" s="61" t="s">
        <v>21</v>
      </c>
    </row>
    <row r="827" spans="1:8" ht="14.25" hidden="1" customHeight="1" x14ac:dyDescent="0.3">
      <c r="A827" s="35" t="s">
        <v>79</v>
      </c>
      <c r="B827" s="66" t="s">
        <v>162</v>
      </c>
      <c r="C827" s="66" t="s">
        <v>222</v>
      </c>
      <c r="D827" s="66">
        <v>1</v>
      </c>
      <c r="E827" s="78">
        <v>11025.81</v>
      </c>
      <c r="F827" s="78">
        <f>D827*E827</f>
        <v>11025.81</v>
      </c>
      <c r="G827" s="66" t="s">
        <v>98</v>
      </c>
      <c r="H827" s="66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168</v>
      </c>
      <c r="D828" s="68">
        <v>5</v>
      </c>
      <c r="E828" s="73">
        <v>2.0499999999999998</v>
      </c>
      <c r="F828" s="79">
        <f>IFERROR(D828*E828,0)</f>
        <v>10.25</v>
      </c>
      <c r="G828" s="60" t="s">
        <v>98</v>
      </c>
      <c r="H828" s="60" t="s">
        <v>21</v>
      </c>
    </row>
    <row r="829" spans="1:8" ht="14.25" hidden="1" customHeight="1" x14ac:dyDescent="0.3">
      <c r="A829" s="34" t="s">
        <v>141</v>
      </c>
      <c r="B829" s="61" t="s">
        <v>155</v>
      </c>
      <c r="C829" s="61" t="s">
        <v>161</v>
      </c>
      <c r="D829" s="69">
        <v>1</v>
      </c>
      <c r="E829" s="74">
        <v>20362.12</v>
      </c>
      <c r="F829" s="80">
        <f>D829*E829</f>
        <v>20362.12</v>
      </c>
      <c r="G829" s="61"/>
      <c r="H829" s="61" t="s">
        <v>21</v>
      </c>
    </row>
    <row r="830" spans="1:8" ht="14.25" hidden="1" customHeight="1" x14ac:dyDescent="0.3">
      <c r="A830" s="34" t="s">
        <v>80</v>
      </c>
      <c r="B830" s="61" t="s">
        <v>155</v>
      </c>
      <c r="C830" s="61" t="s">
        <v>159</v>
      </c>
      <c r="D830" s="69">
        <v>1</v>
      </c>
      <c r="E830" s="74">
        <v>7.2700000000000001E-2</v>
      </c>
      <c r="F830" s="80">
        <v>7.2700000000000001E-2</v>
      </c>
      <c r="G830" s="61" t="s">
        <v>96</v>
      </c>
      <c r="H830" s="61" t="s">
        <v>21</v>
      </c>
    </row>
    <row r="831" spans="1:8" ht="14.25" customHeight="1" x14ac:dyDescent="0.3">
      <c r="A831" s="2" t="s">
        <v>80</v>
      </c>
      <c r="B831" s="60" t="s">
        <v>155</v>
      </c>
      <c r="C831" s="60" t="s">
        <v>171</v>
      </c>
      <c r="D831" s="68">
        <v>3</v>
      </c>
      <c r="E831" s="73">
        <v>43.54</v>
      </c>
      <c r="F831" s="79">
        <f>IFERROR(D831*E831,0)</f>
        <v>130.62</v>
      </c>
      <c r="G831" s="61" t="s">
        <v>98</v>
      </c>
      <c r="H831" s="60" t="s">
        <v>21</v>
      </c>
    </row>
    <row r="832" spans="1:8" ht="14.25" hidden="1" customHeight="1" x14ac:dyDescent="0.3">
      <c r="A832" s="34" t="s">
        <v>80</v>
      </c>
      <c r="B832" s="61" t="s">
        <v>155</v>
      </c>
      <c r="C832" s="61" t="s">
        <v>170</v>
      </c>
      <c r="D832" s="69">
        <v>3</v>
      </c>
      <c r="E832" s="74">
        <v>29.74</v>
      </c>
      <c r="F832" s="80">
        <f>IFERROR(D832*E832,0)</f>
        <v>89.22</v>
      </c>
      <c r="G832" s="60" t="s">
        <v>98</v>
      </c>
      <c r="H832" s="61" t="s">
        <v>21</v>
      </c>
    </row>
    <row r="833" spans="1:8" ht="14.25" hidden="1" customHeight="1" x14ac:dyDescent="0.3">
      <c r="A833" s="34" t="s">
        <v>80</v>
      </c>
      <c r="B833" s="61" t="s">
        <v>155</v>
      </c>
      <c r="C833" s="61" t="s">
        <v>169</v>
      </c>
      <c r="D833" s="69">
        <v>3</v>
      </c>
      <c r="E833" s="74">
        <v>47.66</v>
      </c>
      <c r="F833" s="80">
        <f>IFERROR(D833*E833,0)</f>
        <v>142.97999999999999</v>
      </c>
      <c r="G833" s="60" t="s">
        <v>98</v>
      </c>
      <c r="H833" s="61" t="s">
        <v>21</v>
      </c>
    </row>
    <row r="834" spans="1:8" ht="14.25" hidden="1" customHeight="1" x14ac:dyDescent="0.3">
      <c r="A834" s="2" t="s">
        <v>80</v>
      </c>
      <c r="B834" s="60" t="s">
        <v>155</v>
      </c>
      <c r="C834" s="60" t="s">
        <v>158</v>
      </c>
      <c r="D834" s="68">
        <v>1</v>
      </c>
      <c r="E834" s="73">
        <v>24.818999999999999</v>
      </c>
      <c r="F834" s="79">
        <v>24.818999999999999</v>
      </c>
      <c r="G834" s="60" t="s">
        <v>96</v>
      </c>
      <c r="H834" s="60" t="s">
        <v>21</v>
      </c>
    </row>
    <row r="835" spans="1:8" ht="14.25" hidden="1" customHeight="1" x14ac:dyDescent="0.3">
      <c r="A835" s="34" t="s">
        <v>80</v>
      </c>
      <c r="B835" s="61" t="s">
        <v>155</v>
      </c>
      <c r="C835" s="61" t="s">
        <v>161</v>
      </c>
      <c r="D835" s="69">
        <v>1</v>
      </c>
      <c r="E835" s="74">
        <v>28674.49</v>
      </c>
      <c r="F835" s="80">
        <f>IFERROR(E835,0)</f>
        <v>28674.49</v>
      </c>
      <c r="G835" s="61" t="str">
        <f>INDEX(SETORES!$B:$B,MATCH(A835,SETORES!$A:$A,0))</f>
        <v>Clientes</v>
      </c>
      <c r="H835" s="61" t="s">
        <v>21</v>
      </c>
    </row>
    <row r="836" spans="1:8" ht="14.25" hidden="1" customHeight="1" x14ac:dyDescent="0.3">
      <c r="A836" s="2" t="s">
        <v>80</v>
      </c>
      <c r="B836" s="60" t="s">
        <v>155</v>
      </c>
      <c r="C836" s="60" t="s">
        <v>167</v>
      </c>
      <c r="D836" s="68">
        <v>3</v>
      </c>
      <c r="E836" s="73">
        <v>9.92</v>
      </c>
      <c r="F836" s="79">
        <f>IFERROR(D836*E836,0)</f>
        <v>29.759999999999998</v>
      </c>
      <c r="G836" s="60" t="str">
        <f>INDEX(SETORES!$B:$B,MATCH(A836,SETORES!$A:$A,0))</f>
        <v>Clientes</v>
      </c>
      <c r="H836" s="60" t="s">
        <v>21</v>
      </c>
    </row>
    <row r="837" spans="1:8" ht="14.25" hidden="1" customHeight="1" x14ac:dyDescent="0.3">
      <c r="A837" s="2" t="s">
        <v>80</v>
      </c>
      <c r="B837" s="60" t="s">
        <v>155</v>
      </c>
      <c r="C837" s="60" t="s">
        <v>238</v>
      </c>
      <c r="D837" s="68">
        <v>1</v>
      </c>
      <c r="E837" s="73">
        <v>2.941176</v>
      </c>
      <c r="F837" s="79">
        <f>IFERROR(D837*E837,0)</f>
        <v>2.941176</v>
      </c>
      <c r="G837" s="60" t="str">
        <f>INDEX(SETORES!$B:$B,MATCH(A837,SETORES!$A:$A,0))</f>
        <v>Clientes</v>
      </c>
      <c r="H837" s="60" t="s">
        <v>21</v>
      </c>
    </row>
    <row r="838" spans="1:8" ht="14.25" hidden="1" customHeight="1" x14ac:dyDescent="0.3">
      <c r="A838" s="2" t="s">
        <v>80</v>
      </c>
      <c r="B838" s="60" t="s">
        <v>155</v>
      </c>
      <c r="C838" s="60" t="s">
        <v>166</v>
      </c>
      <c r="D838" s="68">
        <v>2</v>
      </c>
      <c r="E838" s="73">
        <v>50</v>
      </c>
      <c r="F838" s="79">
        <f>IFERROR(D838*E838,0)</f>
        <v>100</v>
      </c>
      <c r="G838" s="60" t="str">
        <f>INDEX(SETORES!$B:$B,MATCH(A838,SETORES!$A:$A,0))</f>
        <v>Clientes</v>
      </c>
      <c r="H838" s="60" t="s">
        <v>21</v>
      </c>
    </row>
    <row r="839" spans="1:8" ht="14.25" hidden="1" customHeight="1" x14ac:dyDescent="0.3">
      <c r="A839" s="2" t="s">
        <v>80</v>
      </c>
      <c r="B839" s="60" t="s">
        <v>155</v>
      </c>
      <c r="C839" s="60" t="s">
        <v>156</v>
      </c>
      <c r="D839" s="68">
        <v>3</v>
      </c>
      <c r="E839" s="73">
        <v>2.2566999999999999</v>
      </c>
      <c r="F839" s="79">
        <v>6.7701000000000002</v>
      </c>
      <c r="G839" s="60" t="str">
        <f>INDEX(SETORES!$B:$B,MATCH(A839,SETORES!$A:$A,0))</f>
        <v>Clientes</v>
      </c>
      <c r="H839" s="60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157</v>
      </c>
      <c r="D840" s="69">
        <v>1</v>
      </c>
      <c r="E840" s="74">
        <v>66.760000000000005</v>
      </c>
      <c r="F840" s="80">
        <v>66.760000000000005</v>
      </c>
      <c r="G840" s="61" t="str">
        <f>INDEX(SETORES!$B:$B,MATCH(A840,SETORES!$A:$A,0))</f>
        <v>Clientes</v>
      </c>
      <c r="H840" s="61" t="s">
        <v>21</v>
      </c>
    </row>
    <row r="841" spans="1:8" ht="14.25" hidden="1" customHeight="1" x14ac:dyDescent="0.3">
      <c r="A841" s="2" t="s">
        <v>80</v>
      </c>
      <c r="B841" s="60" t="s">
        <v>162</v>
      </c>
      <c r="C841" s="60" t="s">
        <v>222</v>
      </c>
      <c r="D841" s="68"/>
      <c r="E841" s="73"/>
      <c r="F841" s="79">
        <f>IFERROR(D841*E841,0)</f>
        <v>0</v>
      </c>
      <c r="G841" s="60" t="str">
        <f>INDEX(SETORES!$B:$B,MATCH(A841,SETORES!$A:$A,0))</f>
        <v>Clientes</v>
      </c>
      <c r="H841" s="60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168</v>
      </c>
      <c r="D842" s="69">
        <v>3</v>
      </c>
      <c r="E842" s="74">
        <v>2.0499999999999998</v>
      </c>
      <c r="F842" s="80">
        <f>IFERROR(D842*E842,0)</f>
        <v>6.1499999999999995</v>
      </c>
      <c r="G842" s="61" t="str">
        <f>INDEX(SETORES!$B:$B,MATCH(A842,SETORES!$A:$A,0))</f>
        <v>Clientes</v>
      </c>
      <c r="H842" s="61" t="s">
        <v>21</v>
      </c>
    </row>
    <row r="843" spans="1:8" ht="14.25" hidden="1" customHeight="1" x14ac:dyDescent="0.3">
      <c r="A843" s="34" t="s">
        <v>42</v>
      </c>
      <c r="B843" s="61" t="s">
        <v>155</v>
      </c>
      <c r="C843" s="61" t="s">
        <v>159</v>
      </c>
      <c r="D843" s="69">
        <v>1</v>
      </c>
      <c r="E843" s="74">
        <v>4.8500000000000001E-2</v>
      </c>
      <c r="F843" s="80">
        <v>4.8500000000000001E-2</v>
      </c>
      <c r="G843" s="61" t="str">
        <f>INDEX(SETORES!$B:$B,MATCH(A843,SETORES!$A:$A,0))</f>
        <v>Clientes</v>
      </c>
      <c r="H843" s="61" t="s">
        <v>21</v>
      </c>
    </row>
    <row r="844" spans="1:8" ht="14.25" customHeight="1" x14ac:dyDescent="0.3">
      <c r="A844" s="34" t="s">
        <v>42</v>
      </c>
      <c r="B844" s="61" t="s">
        <v>155</v>
      </c>
      <c r="C844" s="61" t="s">
        <v>171</v>
      </c>
      <c r="D844" s="69">
        <v>2</v>
      </c>
      <c r="E844" s="74">
        <v>43.54</v>
      </c>
      <c r="F844" s="80">
        <f>IFERROR(D844*E844,0)</f>
        <v>87.08</v>
      </c>
      <c r="G844" s="61" t="s">
        <v>98</v>
      </c>
      <c r="H844" s="61" t="s">
        <v>21</v>
      </c>
    </row>
    <row r="845" spans="1:8" ht="14.25" hidden="1" customHeight="1" x14ac:dyDescent="0.3">
      <c r="A845" s="2" t="s">
        <v>42</v>
      </c>
      <c r="B845" s="60" t="s">
        <v>155</v>
      </c>
      <c r="C845" s="60" t="s">
        <v>170</v>
      </c>
      <c r="D845" s="68">
        <v>2</v>
      </c>
      <c r="E845" s="73">
        <v>29.74</v>
      </c>
      <c r="F845" s="79">
        <f>IFERROR(D845*E845,0)</f>
        <v>59.48</v>
      </c>
      <c r="G845" s="60" t="s">
        <v>98</v>
      </c>
      <c r="H845" s="60" t="s">
        <v>21</v>
      </c>
    </row>
    <row r="846" spans="1:8" ht="14.25" hidden="1" customHeight="1" x14ac:dyDescent="0.3">
      <c r="A846" s="2" t="s">
        <v>42</v>
      </c>
      <c r="B846" s="60" t="s">
        <v>155</v>
      </c>
      <c r="C846" s="60" t="s">
        <v>169</v>
      </c>
      <c r="D846" s="68">
        <v>2</v>
      </c>
      <c r="E846" s="73">
        <v>47.66</v>
      </c>
      <c r="F846" s="79">
        <f>IFERROR(D846*E846,0)</f>
        <v>95.32</v>
      </c>
      <c r="G846" s="60" t="s">
        <v>98</v>
      </c>
      <c r="H846" s="60" t="s">
        <v>21</v>
      </c>
    </row>
    <row r="847" spans="1:8" ht="14.25" hidden="1" customHeight="1" x14ac:dyDescent="0.3">
      <c r="A847" s="2" t="s">
        <v>42</v>
      </c>
      <c r="B847" s="60" t="s">
        <v>155</v>
      </c>
      <c r="C847" s="60" t="s">
        <v>158</v>
      </c>
      <c r="D847" s="68">
        <v>1</v>
      </c>
      <c r="E847" s="73">
        <v>16.545999999999999</v>
      </c>
      <c r="F847" s="79">
        <v>16.545999999999999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34" t="s">
        <v>42</v>
      </c>
      <c r="B848" s="61" t="s">
        <v>162</v>
      </c>
      <c r="C848" s="61" t="s">
        <v>163</v>
      </c>
      <c r="D848" s="69"/>
      <c r="E848" s="74"/>
      <c r="F848" s="80">
        <f>IFERROR(D848*E848,0)</f>
        <v>0</v>
      </c>
      <c r="G848" s="61" t="str">
        <f>INDEX(SETORES!$B:$B,MATCH(A848,SETORES!$A:$A,0))</f>
        <v>Clientes</v>
      </c>
      <c r="H848" s="61" t="s">
        <v>21</v>
      </c>
    </row>
    <row r="849" spans="1:8" ht="14.25" hidden="1" customHeight="1" x14ac:dyDescent="0.3">
      <c r="A849" s="2" t="s">
        <v>42</v>
      </c>
      <c r="B849" s="60" t="s">
        <v>162</v>
      </c>
      <c r="C849" s="60" t="s">
        <v>164</v>
      </c>
      <c r="D849" s="68"/>
      <c r="E849" s="73"/>
      <c r="F849" s="79">
        <f>IFERROR(D849*E849,0)</f>
        <v>0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42</v>
      </c>
      <c r="B850" s="61" t="s">
        <v>155</v>
      </c>
      <c r="C850" s="61" t="s">
        <v>161</v>
      </c>
      <c r="D850" s="69">
        <v>1</v>
      </c>
      <c r="E850" s="74">
        <v>27129.8033777778</v>
      </c>
      <c r="F850" s="80">
        <f>IFERROR(E850,0)</f>
        <v>27129.8033777778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2" t="s">
        <v>42</v>
      </c>
      <c r="B851" s="60" t="s">
        <v>155</v>
      </c>
      <c r="C851" s="60" t="s">
        <v>167</v>
      </c>
      <c r="D851" s="68">
        <v>2</v>
      </c>
      <c r="E851" s="73">
        <v>9.92</v>
      </c>
      <c r="F851" s="79">
        <f>IFERROR(D851*E851,0)</f>
        <v>19.84</v>
      </c>
      <c r="G851" s="60" t="str">
        <f>INDEX(SETORES!$B:$B,MATCH(A851,SETORES!$A:$A,0))</f>
        <v>Clientes</v>
      </c>
      <c r="H851" s="60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238</v>
      </c>
      <c r="D852" s="69">
        <v>1</v>
      </c>
      <c r="E852" s="74">
        <v>1.9607840000000001</v>
      </c>
      <c r="F852" s="80">
        <f>IFERROR(D852*E852,0)</f>
        <v>1.9607840000000001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166</v>
      </c>
      <c r="D853" s="69">
        <v>2</v>
      </c>
      <c r="E853" s="74">
        <v>50</v>
      </c>
      <c r="F853" s="80">
        <f>IFERROR(D853*E853,0)</f>
        <v>100</v>
      </c>
      <c r="G853" s="61" t="str">
        <f>INDEX(SETORES!$B:$B,MATCH(A853,SETORES!$A:$A,0))</f>
        <v>Clientes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156</v>
      </c>
      <c r="D854" s="68">
        <v>2</v>
      </c>
      <c r="E854" s="73">
        <v>3.3849999999999998</v>
      </c>
      <c r="F854" s="79">
        <v>6.77</v>
      </c>
      <c r="G854" s="60" t="str">
        <f>INDEX(SETORES!$B:$B,MATCH(A854,SETORES!$A:$A,0))</f>
        <v>Clientes</v>
      </c>
      <c r="H854" s="60" t="s">
        <v>21</v>
      </c>
    </row>
    <row r="855" spans="1:8" ht="14.25" hidden="1" customHeight="1" x14ac:dyDescent="0.3">
      <c r="A855" s="34" t="s">
        <v>42</v>
      </c>
      <c r="B855" s="61" t="s">
        <v>155</v>
      </c>
      <c r="C855" s="61" t="s">
        <v>157</v>
      </c>
      <c r="D855" s="69">
        <v>1</v>
      </c>
      <c r="E855" s="74">
        <v>78.930000000000007</v>
      </c>
      <c r="F855" s="80">
        <v>78.930000000000007</v>
      </c>
      <c r="G855" s="61" t="str">
        <f>INDEX(SETORES!$B:$B,MATCH(A855,SETORES!$A:$A,0))</f>
        <v>Clientes</v>
      </c>
      <c r="H855" s="61" t="s">
        <v>21</v>
      </c>
    </row>
    <row r="856" spans="1:8" ht="14.25" hidden="1" customHeight="1" x14ac:dyDescent="0.3">
      <c r="A856" s="34" t="s">
        <v>42</v>
      </c>
      <c r="B856" s="61" t="s">
        <v>162</v>
      </c>
      <c r="C856" s="61" t="s">
        <v>222</v>
      </c>
      <c r="D856" s="69"/>
      <c r="E856" s="74"/>
      <c r="F856" s="80">
        <f>IFERROR(D856*E856,0)</f>
        <v>0</v>
      </c>
      <c r="G856" s="61" t="str">
        <f>INDEX(SETORES!$B:$B,MATCH(A856,SETORES!$A:$A,0))</f>
        <v>Clientes</v>
      </c>
      <c r="H856" s="61" t="s">
        <v>21</v>
      </c>
    </row>
    <row r="857" spans="1:8" ht="14.25" hidden="1" customHeight="1" x14ac:dyDescent="0.3">
      <c r="A857" s="34" t="s">
        <v>42</v>
      </c>
      <c r="B857" s="61" t="s">
        <v>155</v>
      </c>
      <c r="C857" s="61" t="s">
        <v>168</v>
      </c>
      <c r="D857" s="69">
        <v>2</v>
      </c>
      <c r="E857" s="74">
        <v>2.0499999999999998</v>
      </c>
      <c r="F857" s="80">
        <f>IFERROR(D857*E857,0)</f>
        <v>4.0999999999999996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155</v>
      </c>
      <c r="C858" s="60" t="s">
        <v>160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2" t="s">
        <v>42</v>
      </c>
      <c r="B859" s="60" t="s">
        <v>162</v>
      </c>
      <c r="C859" s="60" t="s">
        <v>215</v>
      </c>
      <c r="D859" s="68"/>
      <c r="E859" s="73"/>
      <c r="F859" s="79">
        <f>IFERROR(D859*E859,0)</f>
        <v>0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33</v>
      </c>
      <c r="B860" s="61" t="s">
        <v>155</v>
      </c>
      <c r="C860" s="61" t="s">
        <v>159</v>
      </c>
      <c r="D860" s="69">
        <v>1</v>
      </c>
      <c r="E860" s="74">
        <v>0.16969999999999999</v>
      </c>
      <c r="F860" s="80">
        <v>0.16969999999999999</v>
      </c>
      <c r="G860" s="61" t="str">
        <f>INDEX(SETORES!$B:$B,MATCH(A860,SETORES!$A:$A,0))</f>
        <v>Funcionários</v>
      </c>
      <c r="H860" s="61" t="s">
        <v>21</v>
      </c>
    </row>
    <row r="861" spans="1:8" ht="14.25" hidden="1" customHeight="1" x14ac:dyDescent="0.3">
      <c r="A861" s="2" t="s">
        <v>33</v>
      </c>
      <c r="B861" s="60" t="s">
        <v>155</v>
      </c>
      <c r="C861" s="60" t="s">
        <v>212</v>
      </c>
      <c r="D861" s="68">
        <v>2</v>
      </c>
      <c r="E861" s="73">
        <v>30</v>
      </c>
      <c r="F861" s="79">
        <f>IFERROR(D861*E861,0)</f>
        <v>60</v>
      </c>
      <c r="G861" s="60" t="str">
        <f>INDEX(SETORES!$B:$B,MATCH(A861,SETORES!$A:$A,0))</f>
        <v>Funcionários</v>
      </c>
      <c r="H861" s="60" t="s">
        <v>21</v>
      </c>
    </row>
    <row r="862" spans="1:8" ht="14.25" customHeight="1" x14ac:dyDescent="0.3">
      <c r="A862" s="2" t="s">
        <v>33</v>
      </c>
      <c r="B862" s="60" t="s">
        <v>155</v>
      </c>
      <c r="C862" s="60" t="s">
        <v>171</v>
      </c>
      <c r="D862" s="68">
        <v>7</v>
      </c>
      <c r="E862" s="73">
        <v>43.54</v>
      </c>
      <c r="F862" s="79">
        <f>IFERROR(D862*E862,0)</f>
        <v>304.77999999999997</v>
      </c>
      <c r="G862" s="60" t="str">
        <f>INDEX(SETORES!$B:$B,MATCH(A862,SETORES!$A:$A,0))</f>
        <v>Funcionários</v>
      </c>
      <c r="H862" s="60" t="s">
        <v>21</v>
      </c>
    </row>
    <row r="863" spans="1:8" ht="14.25" hidden="1" customHeight="1" x14ac:dyDescent="0.3">
      <c r="A863" s="34" t="s">
        <v>33</v>
      </c>
      <c r="B863" s="61" t="s">
        <v>155</v>
      </c>
      <c r="C863" s="61" t="s">
        <v>170</v>
      </c>
      <c r="D863" s="69">
        <v>7</v>
      </c>
      <c r="E863" s="74">
        <v>29.74</v>
      </c>
      <c r="F863" s="80">
        <f>IFERROR(D863*E863,0)</f>
        <v>208.17999999999998</v>
      </c>
      <c r="G863" s="60" t="s">
        <v>98</v>
      </c>
      <c r="H863" s="61" t="s">
        <v>21</v>
      </c>
    </row>
    <row r="864" spans="1:8" ht="14.25" hidden="1" customHeight="1" x14ac:dyDescent="0.3">
      <c r="A864" s="34" t="s">
        <v>33</v>
      </c>
      <c r="B864" s="61" t="s">
        <v>155</v>
      </c>
      <c r="C864" s="61" t="s">
        <v>169</v>
      </c>
      <c r="D864" s="69">
        <v>7</v>
      </c>
      <c r="E864" s="74">
        <v>47.66</v>
      </c>
      <c r="F864" s="80">
        <f>IFERROR(D864*E864,0)</f>
        <v>333.62</v>
      </c>
      <c r="G864" s="60" t="s">
        <v>98</v>
      </c>
      <c r="H864" s="61" t="s">
        <v>21</v>
      </c>
    </row>
    <row r="865" spans="1:8" ht="14.25" hidden="1" customHeight="1" x14ac:dyDescent="0.3">
      <c r="A865" s="2" t="s">
        <v>33</v>
      </c>
      <c r="B865" s="60" t="s">
        <v>155</v>
      </c>
      <c r="C865" s="60" t="s">
        <v>158</v>
      </c>
      <c r="D865" s="68">
        <v>1</v>
      </c>
      <c r="E865" s="73">
        <v>57.911000000000001</v>
      </c>
      <c r="F865" s="79">
        <v>57.911000000000001</v>
      </c>
      <c r="G865" s="60" t="str">
        <f>INDEX(SETORES!$B:$B,MATCH(A865,SETORES!$A:$A,0))</f>
        <v>Funcionários</v>
      </c>
      <c r="H865" s="60" t="s">
        <v>21</v>
      </c>
    </row>
    <row r="866" spans="1:8" ht="14.25" hidden="1" customHeight="1" x14ac:dyDescent="0.3">
      <c r="A866" s="2" t="s">
        <v>33</v>
      </c>
      <c r="B866" s="60" t="s">
        <v>162</v>
      </c>
      <c r="C866" s="60" t="s">
        <v>165</v>
      </c>
      <c r="D866" s="68">
        <v>1</v>
      </c>
      <c r="E866" s="73">
        <v>65</v>
      </c>
      <c r="F866" s="79">
        <f>IFERROR(D866*E866,0)</f>
        <v>65</v>
      </c>
      <c r="G866" s="60" t="str">
        <f>INDEX(SETORES!$B:$B,MATCH(A866,SETORES!$A:$A,0))</f>
        <v>Funcionários</v>
      </c>
      <c r="H866" s="60" t="s">
        <v>21</v>
      </c>
    </row>
    <row r="867" spans="1:8" ht="14.25" hidden="1" customHeight="1" x14ac:dyDescent="0.3">
      <c r="A867" s="2" t="s">
        <v>33</v>
      </c>
      <c r="B867" s="60" t="s">
        <v>162</v>
      </c>
      <c r="C867" s="60" t="s">
        <v>163</v>
      </c>
      <c r="D867" s="68"/>
      <c r="E867" s="73"/>
      <c r="F867" s="79">
        <f>IFERROR(D867*E867,0)</f>
        <v>0</v>
      </c>
      <c r="G867" s="60" t="str">
        <f>INDEX(SETORES!$B:$B,MATCH(A867,SETORES!$A:$A,0))</f>
        <v>Funcionários</v>
      </c>
      <c r="H867" s="60" t="s">
        <v>21</v>
      </c>
    </row>
    <row r="868" spans="1:8" ht="14.25" hidden="1" customHeight="1" x14ac:dyDescent="0.3">
      <c r="A868" s="34" t="s">
        <v>33</v>
      </c>
      <c r="B868" s="61" t="s">
        <v>162</v>
      </c>
      <c r="C868" s="61" t="s">
        <v>164</v>
      </c>
      <c r="D868" s="69"/>
      <c r="E868" s="74"/>
      <c r="F868" s="80">
        <f>IFERROR(D868*E868,0)</f>
        <v>0</v>
      </c>
      <c r="G868" s="61" t="str">
        <f>INDEX(SETORES!$B:$B,MATCH(A868,SETORES!$A:$A,0))</f>
        <v>Funcionários</v>
      </c>
      <c r="H868" s="61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161</v>
      </c>
      <c r="D869" s="69">
        <v>1</v>
      </c>
      <c r="E869" s="74">
        <v>43775.11</v>
      </c>
      <c r="F869" s="80">
        <f>IFERROR(E869,0)</f>
        <v>43775.11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167</v>
      </c>
      <c r="D870" s="68">
        <v>7</v>
      </c>
      <c r="E870" s="73">
        <v>9.92</v>
      </c>
      <c r="F870" s="79">
        <f>IFERROR(D870*E870,0)</f>
        <v>69.44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34" t="s">
        <v>33</v>
      </c>
      <c r="B871" s="61" t="s">
        <v>162</v>
      </c>
      <c r="C871" s="61" t="s">
        <v>214</v>
      </c>
      <c r="D871" s="69"/>
      <c r="E871" s="74"/>
      <c r="F871" s="80">
        <f>IFERROR(D871*E871,0)</f>
        <v>0</v>
      </c>
      <c r="G871" s="61" t="str">
        <f>INDEX(SETORES!$B:$B,MATCH(A871,SETORES!$A:$A,0))</f>
        <v>Funcionários</v>
      </c>
      <c r="H871" s="61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238</v>
      </c>
      <c r="D872" s="69">
        <v>1</v>
      </c>
      <c r="E872" s="74">
        <v>153.58000000000001</v>
      </c>
      <c r="F872" s="80">
        <f>IFERROR(D872*E872,0)</f>
        <v>153.58000000000001</v>
      </c>
      <c r="G872" s="61" t="str">
        <f>INDEX(SETORES!$B:$B,MATCH(A872,SETORES!$A:$A,0))</f>
        <v>Funcionários</v>
      </c>
      <c r="H872" s="61" t="s">
        <v>21</v>
      </c>
    </row>
    <row r="873" spans="1:8" ht="14.25" hidden="1" customHeight="1" x14ac:dyDescent="0.3">
      <c r="A873" s="2" t="s">
        <v>33</v>
      </c>
      <c r="B873" s="60" t="s">
        <v>155</v>
      </c>
      <c r="C873" s="60" t="s">
        <v>166</v>
      </c>
      <c r="D873" s="68">
        <v>7</v>
      </c>
      <c r="E873" s="73">
        <v>50</v>
      </c>
      <c r="F873" s="79">
        <f>IFERROR(D873*E873,0)</f>
        <v>350</v>
      </c>
      <c r="G873" s="60" t="str">
        <f>INDEX(SETORES!$B:$B,MATCH(A873,SETORES!$A:$A,0))</f>
        <v>Funcionários</v>
      </c>
      <c r="H873" s="60" t="s">
        <v>21</v>
      </c>
    </row>
    <row r="874" spans="1:8" ht="14.25" customHeight="1" x14ac:dyDescent="0.3">
      <c r="A874" s="34" t="s">
        <v>33</v>
      </c>
      <c r="B874" s="61" t="s">
        <v>155</v>
      </c>
      <c r="C874" s="61" t="s">
        <v>177</v>
      </c>
      <c r="D874" s="69">
        <v>1</v>
      </c>
      <c r="E874" s="74">
        <v>2559.44</v>
      </c>
      <c r="F874" s="80">
        <f>IFERROR(D874*E874,0)</f>
        <v>2559.44</v>
      </c>
      <c r="G874" s="61" t="str">
        <f>INDEX(SETORES!$B:$B,MATCH(A874,SETORES!$A:$A,0))</f>
        <v>Funcionários</v>
      </c>
      <c r="H874" s="61" t="s">
        <v>21</v>
      </c>
    </row>
    <row r="875" spans="1:8" ht="14.25" hidden="1" customHeight="1" x14ac:dyDescent="0.3">
      <c r="A875" s="2" t="s">
        <v>33</v>
      </c>
      <c r="B875" s="60" t="s">
        <v>155</v>
      </c>
      <c r="C875" s="60" t="s">
        <v>156</v>
      </c>
      <c r="D875" s="68"/>
      <c r="E875" s="73"/>
      <c r="F875" s="79">
        <v>0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34" t="s">
        <v>33</v>
      </c>
      <c r="B876" s="61" t="s">
        <v>155</v>
      </c>
      <c r="C876" s="61" t="s">
        <v>157</v>
      </c>
      <c r="D876" s="69">
        <v>1</v>
      </c>
      <c r="E876" s="74">
        <v>75.540000000000006</v>
      </c>
      <c r="F876" s="80">
        <v>75.540000000000006</v>
      </c>
      <c r="G876" s="61" t="str">
        <f>INDEX(SETORES!$B:$B,MATCH(A876,SETORES!$A:$A,0))</f>
        <v>Funcionários</v>
      </c>
      <c r="H876" s="61" t="s">
        <v>21</v>
      </c>
    </row>
    <row r="877" spans="1:8" ht="14.25" customHeight="1" x14ac:dyDescent="0.3">
      <c r="A877" s="2" t="s">
        <v>33</v>
      </c>
      <c r="B877" s="60" t="s">
        <v>155</v>
      </c>
      <c r="C877" s="60" t="s">
        <v>239</v>
      </c>
      <c r="D877" s="68">
        <v>1</v>
      </c>
      <c r="E877" s="73">
        <v>4226.8</v>
      </c>
      <c r="F877" s="79">
        <f>IFERROR(D877*E877,0)</f>
        <v>4226.8</v>
      </c>
      <c r="G877" s="60" t="str">
        <f>INDEX(SETORES!$B:$B,MATCH(A877,SETORES!$A:$A,0))</f>
        <v>Funcionários</v>
      </c>
      <c r="H877" s="60" t="s">
        <v>21</v>
      </c>
    </row>
    <row r="878" spans="1:8" ht="14.25" customHeight="1" x14ac:dyDescent="0.3">
      <c r="A878" s="34" t="s">
        <v>33</v>
      </c>
      <c r="B878" s="61" t="s">
        <v>155</v>
      </c>
      <c r="C878" s="61" t="s">
        <v>180</v>
      </c>
      <c r="D878" s="69">
        <v>1</v>
      </c>
      <c r="E878" s="74">
        <v>3800</v>
      </c>
      <c r="F878" s="80">
        <f>IFERROR(D878*E878,0)</f>
        <v>3800</v>
      </c>
      <c r="G878" s="61" t="str">
        <f>INDEX(SETORES!$B:$B,MATCH(A878,SETORES!$A:$A,0))</f>
        <v>Funcionários</v>
      </c>
      <c r="H878" s="61" t="s">
        <v>21</v>
      </c>
    </row>
    <row r="879" spans="1:8" ht="14.25" customHeight="1" x14ac:dyDescent="0.3">
      <c r="A879" s="2" t="s">
        <v>33</v>
      </c>
      <c r="B879" s="60" t="s">
        <v>155</v>
      </c>
      <c r="C879" s="60" t="s">
        <v>179</v>
      </c>
      <c r="D879" s="68">
        <v>1</v>
      </c>
      <c r="E879" s="73">
        <v>1099.93</v>
      </c>
      <c r="F879" s="79">
        <f>IFERROR(D879*E879,0)</f>
        <v>1099.93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155</v>
      </c>
      <c r="C880" s="61" t="s">
        <v>168</v>
      </c>
      <c r="D880" s="69">
        <v>7</v>
      </c>
      <c r="E880" s="74">
        <v>2.0499999999999998</v>
      </c>
      <c r="F880" s="80">
        <f>IFERROR(D880*E880,0)</f>
        <v>14.349999999999998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2" t="s">
        <v>33</v>
      </c>
      <c r="B881" s="60" t="s">
        <v>155</v>
      </c>
      <c r="C881" s="60" t="s">
        <v>160</v>
      </c>
      <c r="D881" s="68"/>
      <c r="E881" s="73"/>
      <c r="F881" s="79">
        <f>IFERROR(D881*E881,0)</f>
        <v>0</v>
      </c>
      <c r="G881" s="60" t="str">
        <f>INDEX(SETORES!$B:$B,MATCH(A881,SETORES!$A:$A,0))</f>
        <v>Funcionários</v>
      </c>
      <c r="H881" s="60" t="s">
        <v>21</v>
      </c>
    </row>
    <row r="882" spans="1:8" ht="14.25" hidden="1" customHeight="1" x14ac:dyDescent="0.3">
      <c r="A882" s="2" t="s">
        <v>45</v>
      </c>
      <c r="B882" s="60" t="s">
        <v>155</v>
      </c>
      <c r="C882" s="60" t="s">
        <v>159</v>
      </c>
      <c r="D882" s="68">
        <v>10</v>
      </c>
      <c r="E882" s="73">
        <v>3.3247</v>
      </c>
      <c r="F882" s="79">
        <v>33.247</v>
      </c>
      <c r="G882" s="60" t="str">
        <f>INDEX(SETORES!$B:$B,MATCH(A882,SETORES!$A:$A,0))</f>
        <v>Clientes</v>
      </c>
      <c r="H882" s="60" t="s">
        <v>21</v>
      </c>
    </row>
    <row r="883" spans="1:8" ht="14.25" hidden="1" customHeight="1" x14ac:dyDescent="0.3">
      <c r="A883" s="34" t="s">
        <v>45</v>
      </c>
      <c r="B883" s="61" t="s">
        <v>155</v>
      </c>
      <c r="C883" s="61" t="s">
        <v>212</v>
      </c>
      <c r="D883" s="69">
        <v>8</v>
      </c>
      <c r="E883" s="74">
        <v>30</v>
      </c>
      <c r="F883" s="80">
        <f>IFERROR(D883*E883,0)</f>
        <v>240</v>
      </c>
      <c r="G883" s="61" t="str">
        <f>INDEX(SETORES!$B:$B,MATCH(A883,SETORES!$A:$A,0))</f>
        <v>Clientes</v>
      </c>
      <c r="H883" s="61" t="s">
        <v>21</v>
      </c>
    </row>
    <row r="884" spans="1:8" ht="14.25" hidden="1" customHeight="1" x14ac:dyDescent="0.3">
      <c r="A884" s="2" t="s">
        <v>45</v>
      </c>
      <c r="B884" s="60" t="s">
        <v>162</v>
      </c>
      <c r="C884" s="60" t="s">
        <v>217</v>
      </c>
      <c r="D884" s="68">
        <v>1</v>
      </c>
      <c r="E884" s="73">
        <v>6506.65</v>
      </c>
      <c r="F884" s="79">
        <f>IFERROR(D884*E884,0)</f>
        <v>6506.65</v>
      </c>
      <c r="G884" s="60" t="str">
        <f>INDEX(SETORES!$B:$B,MATCH(A884,SETORES!$A:$A,0))</f>
        <v>Clientes</v>
      </c>
      <c r="H884" s="60" t="s">
        <v>21</v>
      </c>
    </row>
    <row r="885" spans="1:8" ht="14.25" hidden="1" customHeight="1" x14ac:dyDescent="0.3">
      <c r="A885" s="34" t="s">
        <v>45</v>
      </c>
      <c r="B885" s="61" t="s">
        <v>155</v>
      </c>
      <c r="C885" s="61" t="s">
        <v>250</v>
      </c>
      <c r="D885" s="69">
        <v>1</v>
      </c>
      <c r="E885" s="74">
        <v>1771.7</v>
      </c>
      <c r="F885" s="80">
        <f>IFERROR(D885*E885,0)</f>
        <v>1771.7</v>
      </c>
      <c r="G885" s="61" t="str">
        <f>INDEX(SETORES!$B:$B,MATCH(A885,SETORES!$A:$A,0))</f>
        <v>Clientes</v>
      </c>
      <c r="H885" s="61" t="s">
        <v>21</v>
      </c>
    </row>
    <row r="886" spans="1:8" ht="14.25" customHeight="1" x14ac:dyDescent="0.3">
      <c r="A886" s="2" t="s">
        <v>45</v>
      </c>
      <c r="B886" s="60" t="s">
        <v>155</v>
      </c>
      <c r="C886" s="60" t="s">
        <v>171</v>
      </c>
      <c r="D886" s="68">
        <v>10</v>
      </c>
      <c r="E886" s="73">
        <v>43.54</v>
      </c>
      <c r="F886" s="79">
        <f>IFERROR(D886*E886,0)</f>
        <v>435.4</v>
      </c>
      <c r="G886" s="60" t="s">
        <v>98</v>
      </c>
      <c r="H886" s="60" t="s">
        <v>21</v>
      </c>
    </row>
    <row r="887" spans="1:8" ht="14.25" hidden="1" customHeight="1" x14ac:dyDescent="0.3">
      <c r="A887" s="34" t="s">
        <v>45</v>
      </c>
      <c r="B887" s="61" t="s">
        <v>155</v>
      </c>
      <c r="C887" s="61" t="s">
        <v>170</v>
      </c>
      <c r="D887" s="69">
        <v>10</v>
      </c>
      <c r="E887" s="74">
        <v>29.74</v>
      </c>
      <c r="F887" s="80">
        <f>IFERROR(D887*E887,0)</f>
        <v>297.39999999999998</v>
      </c>
      <c r="G887" s="60" t="s">
        <v>98</v>
      </c>
      <c r="H887" s="61" t="s">
        <v>21</v>
      </c>
    </row>
    <row r="888" spans="1:8" ht="14.25" hidden="1" customHeight="1" x14ac:dyDescent="0.3">
      <c r="A888" s="34" t="s">
        <v>45</v>
      </c>
      <c r="B888" s="61" t="s">
        <v>155</v>
      </c>
      <c r="C888" s="61" t="s">
        <v>169</v>
      </c>
      <c r="D888" s="69">
        <v>10</v>
      </c>
      <c r="E888" s="74">
        <v>47.66</v>
      </c>
      <c r="F888" s="80">
        <f>IFERROR(D888*E888,0)</f>
        <v>476.59999999999997</v>
      </c>
      <c r="G888" s="60" t="s">
        <v>98</v>
      </c>
      <c r="H888" s="61" t="s">
        <v>21</v>
      </c>
    </row>
    <row r="889" spans="1:8" ht="14.25" hidden="1" customHeight="1" x14ac:dyDescent="0.3">
      <c r="A889" s="2" t="s">
        <v>45</v>
      </c>
      <c r="B889" s="60" t="s">
        <v>162</v>
      </c>
      <c r="C889" s="60" t="s">
        <v>194</v>
      </c>
      <c r="D889" s="68"/>
      <c r="E889" s="73"/>
      <c r="F889" s="79">
        <f>IFERROR(D889*E889,0)</f>
        <v>0</v>
      </c>
      <c r="G889" s="60" t="str">
        <f>INDEX(SETORES!$B:$B,MATCH(A889,SETORES!$A:$A,0))</f>
        <v>Clientes</v>
      </c>
      <c r="H889" s="60" t="s">
        <v>21</v>
      </c>
    </row>
    <row r="890" spans="1:8" ht="14.25" hidden="1" customHeight="1" x14ac:dyDescent="0.3">
      <c r="A890" s="34" t="s">
        <v>45</v>
      </c>
      <c r="B890" s="61" t="s">
        <v>155</v>
      </c>
      <c r="C890" s="61" t="s">
        <v>158</v>
      </c>
      <c r="D890" s="69">
        <v>10</v>
      </c>
      <c r="E890" s="74">
        <v>21.258199999999999</v>
      </c>
      <c r="F890" s="80">
        <v>212.58199999999999</v>
      </c>
      <c r="G890" s="61" t="str">
        <f>INDEX(SETORES!$B:$B,MATCH(A890,SETORES!$A:$A,0))</f>
        <v>Clientes</v>
      </c>
      <c r="H890" s="61" t="s">
        <v>21</v>
      </c>
    </row>
    <row r="891" spans="1:8" ht="14.25" hidden="1" customHeight="1" x14ac:dyDescent="0.3">
      <c r="A891" s="34" t="s">
        <v>45</v>
      </c>
      <c r="B891" s="61" t="s">
        <v>162</v>
      </c>
      <c r="C891" s="61" t="s">
        <v>163</v>
      </c>
      <c r="D891" s="69">
        <v>2</v>
      </c>
      <c r="E891" s="74">
        <v>68</v>
      </c>
      <c r="F891" s="80">
        <f>IFERROR(D891*E891,0)</f>
        <v>136</v>
      </c>
      <c r="G891" s="61" t="str">
        <f>INDEX(SETORES!$B:$B,MATCH(A891,SETORES!$A:$A,0))</f>
        <v>Clientes</v>
      </c>
      <c r="H891" s="61" t="s">
        <v>21</v>
      </c>
    </row>
    <row r="892" spans="1:8" ht="14.25" hidden="1" customHeight="1" x14ac:dyDescent="0.3">
      <c r="A892" s="2" t="s">
        <v>45</v>
      </c>
      <c r="B892" s="60" t="s">
        <v>162</v>
      </c>
      <c r="C892" s="60" t="s">
        <v>164</v>
      </c>
      <c r="D892" s="68"/>
      <c r="E892" s="73"/>
      <c r="F892" s="79">
        <f>IFERROR(D892*E892,0)</f>
        <v>0</v>
      </c>
      <c r="G892" s="60" t="str">
        <f>INDEX(SETORES!$B:$B,MATCH(A892,SETORES!$A:$A,0))</f>
        <v>Clientes</v>
      </c>
      <c r="H892" s="60" t="s">
        <v>21</v>
      </c>
    </row>
    <row r="893" spans="1:8" ht="14.25" hidden="1" customHeight="1" x14ac:dyDescent="0.3">
      <c r="A893" s="2" t="s">
        <v>45</v>
      </c>
      <c r="B893" s="60" t="s">
        <v>155</v>
      </c>
      <c r="C893" s="60" t="s">
        <v>161</v>
      </c>
      <c r="D893" s="68">
        <v>1</v>
      </c>
      <c r="E893" s="73">
        <v>62444.09</v>
      </c>
      <c r="F893" s="79">
        <f>IFERROR(E893,0)</f>
        <v>62444.09</v>
      </c>
      <c r="G893" s="60" t="str">
        <f>INDEX(SETORES!$B:$B,MATCH(A893,SETORES!$A:$A,0))</f>
        <v>Clientes</v>
      </c>
      <c r="H893" s="60" t="s">
        <v>21</v>
      </c>
    </row>
    <row r="894" spans="1:8" ht="14.25" hidden="1" customHeight="1" x14ac:dyDescent="0.3">
      <c r="A894" s="2" t="s">
        <v>45</v>
      </c>
      <c r="B894" s="60" t="s">
        <v>155</v>
      </c>
      <c r="C894" s="60" t="s">
        <v>167</v>
      </c>
      <c r="D894" s="68">
        <v>10</v>
      </c>
      <c r="E894" s="73">
        <v>9.92</v>
      </c>
      <c r="F894" s="79">
        <f>IFERROR(D894*E894,0)</f>
        <v>99.2</v>
      </c>
      <c r="G894" s="60" t="str">
        <f>INDEX(SETORES!$B:$B,MATCH(A894,SETORES!$A:$A,0))</f>
        <v>Clientes</v>
      </c>
      <c r="H894" s="60" t="s">
        <v>21</v>
      </c>
    </row>
    <row r="895" spans="1:8" ht="14.25" hidden="1" customHeight="1" x14ac:dyDescent="0.3">
      <c r="A895" s="34" t="s">
        <v>45</v>
      </c>
      <c r="B895" s="61" t="s">
        <v>155</v>
      </c>
      <c r="C895" s="61" t="s">
        <v>238</v>
      </c>
      <c r="D895" s="69">
        <v>1</v>
      </c>
      <c r="E895" s="74">
        <v>128.68</v>
      </c>
      <c r="F895" s="80">
        <f>IFERROR(D895*E895,0)</f>
        <v>128.68</v>
      </c>
      <c r="G895" s="61" t="str">
        <f>INDEX(SETORES!$B:$B,MATCH(A895,SETORES!$A:$A,0))</f>
        <v>Clientes</v>
      </c>
      <c r="H895" s="61" t="s">
        <v>21</v>
      </c>
    </row>
    <row r="896" spans="1:8" ht="14.25" hidden="1" customHeight="1" x14ac:dyDescent="0.3">
      <c r="A896" s="34" t="s">
        <v>45</v>
      </c>
      <c r="B896" s="61" t="s">
        <v>155</v>
      </c>
      <c r="C896" s="61" t="s">
        <v>166</v>
      </c>
      <c r="D896" s="69">
        <v>14</v>
      </c>
      <c r="E896" s="74">
        <v>44.29</v>
      </c>
      <c r="F896" s="80">
        <f>IFERROR(D896*E896,0)</f>
        <v>620.05999999999995</v>
      </c>
      <c r="G896" s="61" t="str">
        <f>INDEX(SETORES!$B:$B,MATCH(A896,SETORES!$A:$A,0))</f>
        <v>Clientes</v>
      </c>
      <c r="H896" s="61" t="s">
        <v>21</v>
      </c>
    </row>
    <row r="897" spans="1:8" ht="14.25" hidden="1" customHeight="1" x14ac:dyDescent="0.3">
      <c r="A897" s="2" t="s">
        <v>45</v>
      </c>
      <c r="B897" s="60" t="s">
        <v>155</v>
      </c>
      <c r="C897" s="60" t="s">
        <v>156</v>
      </c>
      <c r="D897" s="68"/>
      <c r="E897" s="73"/>
      <c r="F897" s="79">
        <v>0</v>
      </c>
      <c r="G897" s="60" t="str">
        <f>INDEX(SETORES!$B:$B,MATCH(A897,SETORES!$A:$A,0))</f>
        <v>Clientes</v>
      </c>
      <c r="H897" s="60" t="s">
        <v>21</v>
      </c>
    </row>
    <row r="898" spans="1:8" ht="14.25" hidden="1" customHeight="1" x14ac:dyDescent="0.3">
      <c r="A898" s="34" t="s">
        <v>45</v>
      </c>
      <c r="B898" s="61" t="s">
        <v>155</v>
      </c>
      <c r="C898" s="61" t="s">
        <v>157</v>
      </c>
      <c r="D898" s="69"/>
      <c r="E898" s="74"/>
      <c r="F898" s="80">
        <v>0</v>
      </c>
      <c r="G898" s="61" t="str">
        <f>INDEX(SETORES!$B:$B,MATCH(A898,SETORES!$A:$A,0))</f>
        <v>Clientes</v>
      </c>
      <c r="H898" s="61" t="s">
        <v>21</v>
      </c>
    </row>
    <row r="899" spans="1:8" ht="14.25" hidden="1" customHeight="1" x14ac:dyDescent="0.3">
      <c r="A899" s="34" t="s">
        <v>45</v>
      </c>
      <c r="B899" s="61" t="s">
        <v>162</v>
      </c>
      <c r="C899" s="61" t="s">
        <v>209</v>
      </c>
      <c r="D899" s="69">
        <v>10</v>
      </c>
      <c r="E899" s="74">
        <v>76.92</v>
      </c>
      <c r="F899" s="80">
        <f>IFERROR(D899*E899,0)</f>
        <v>769.2</v>
      </c>
      <c r="G899" s="61" t="str">
        <f>INDEX(SETORES!$B:$B,MATCH(A899,SETORES!$A:$A,0))</f>
        <v>Clientes</v>
      </c>
      <c r="H899" s="61" t="s">
        <v>21</v>
      </c>
    </row>
    <row r="900" spans="1:8" ht="14.25" hidden="1" customHeight="1" x14ac:dyDescent="0.3">
      <c r="A900" s="2" t="s">
        <v>45</v>
      </c>
      <c r="B900" s="60" t="s">
        <v>162</v>
      </c>
      <c r="C900" s="60" t="s">
        <v>222</v>
      </c>
      <c r="D900" s="68">
        <v>1</v>
      </c>
      <c r="E900" s="73">
        <v>14703.68</v>
      </c>
      <c r="F900" s="79">
        <f>IFERROR(D900*E900,0)</f>
        <v>14703.68</v>
      </c>
      <c r="G900" s="60" t="str">
        <f>INDEX(SETORES!$B:$B,MATCH(A900,SETORES!$A:$A,0))</f>
        <v>Clientes</v>
      </c>
      <c r="H900" s="60" t="s">
        <v>21</v>
      </c>
    </row>
    <row r="901" spans="1:8" ht="14.25" hidden="1" customHeight="1" x14ac:dyDescent="0.3">
      <c r="A901" s="2" t="s">
        <v>45</v>
      </c>
      <c r="B901" s="60" t="s">
        <v>155</v>
      </c>
      <c r="C901" s="60" t="s">
        <v>244</v>
      </c>
      <c r="D901" s="68">
        <v>1</v>
      </c>
      <c r="E901" s="73">
        <v>666.2</v>
      </c>
      <c r="F901" s="79">
        <f>IFERROR(D901*E901,0)</f>
        <v>666.2</v>
      </c>
      <c r="G901" s="60" t="str">
        <f>INDEX(SETORES!$B:$B,MATCH(A901,SETORES!$A:$A,0))</f>
        <v>Clientes</v>
      </c>
      <c r="H901" s="60" t="s">
        <v>21</v>
      </c>
    </row>
    <row r="902" spans="1:8" ht="14.25" hidden="1" customHeight="1" x14ac:dyDescent="0.3">
      <c r="A902" s="34" t="s">
        <v>45</v>
      </c>
      <c r="B902" s="61" t="s">
        <v>155</v>
      </c>
      <c r="C902" s="61" t="s">
        <v>168</v>
      </c>
      <c r="D902" s="69">
        <v>10</v>
      </c>
      <c r="E902" s="74">
        <v>2.0499999999999998</v>
      </c>
      <c r="F902" s="80">
        <f>IFERROR(D902*E902,0)</f>
        <v>20.5</v>
      </c>
      <c r="G902" s="61" t="str">
        <f>INDEX(SETORES!$B:$B,MATCH(A902,SETORES!$A:$A,0))</f>
        <v>Clientes</v>
      </c>
      <c r="H902" s="61" t="s">
        <v>21</v>
      </c>
    </row>
    <row r="903" spans="1:8" ht="14.25" hidden="1" customHeight="1" x14ac:dyDescent="0.3">
      <c r="A903" s="34" t="s">
        <v>45</v>
      </c>
      <c r="B903" s="61" t="s">
        <v>155</v>
      </c>
      <c r="C903" s="61" t="s">
        <v>160</v>
      </c>
      <c r="D903" s="69"/>
      <c r="E903" s="74"/>
      <c r="F903" s="80">
        <f>IFERROR(D903*E903,0)</f>
        <v>0</v>
      </c>
      <c r="G903" s="61" t="str">
        <f>INDEX(SETORES!$B:$B,MATCH(A903,SETORES!$A:$A,0))</f>
        <v>Clientes</v>
      </c>
      <c r="H903" s="61" t="s">
        <v>21</v>
      </c>
    </row>
    <row r="904" spans="1:8" ht="14.25" hidden="1" customHeight="1" x14ac:dyDescent="0.3">
      <c r="A904" s="34" t="s">
        <v>50</v>
      </c>
      <c r="B904" s="61" t="s">
        <v>155</v>
      </c>
      <c r="C904" s="61" t="s">
        <v>159</v>
      </c>
      <c r="D904" s="69">
        <v>16</v>
      </c>
      <c r="E904" s="74">
        <v>3.3247</v>
      </c>
      <c r="F904" s="80">
        <v>53.1952</v>
      </c>
      <c r="G904" s="61" t="str">
        <f>INDEX(SETORES!$B:$B,MATCH(A904,SETORES!$A:$A,0))</f>
        <v>Clientes</v>
      </c>
      <c r="H904" s="61" t="s">
        <v>21</v>
      </c>
    </row>
    <row r="905" spans="1:8" ht="14.25" customHeight="1" x14ac:dyDescent="0.3">
      <c r="A905" s="34" t="s">
        <v>50</v>
      </c>
      <c r="B905" s="61" t="s">
        <v>155</v>
      </c>
      <c r="C905" s="61" t="s">
        <v>171</v>
      </c>
      <c r="D905" s="69">
        <v>16</v>
      </c>
      <c r="E905" s="74">
        <v>43.54</v>
      </c>
      <c r="F905" s="80">
        <f>IFERROR(D905*E905,0)</f>
        <v>696.64</v>
      </c>
      <c r="G905" s="61" t="s">
        <v>98</v>
      </c>
      <c r="H905" s="61" t="s">
        <v>21</v>
      </c>
    </row>
    <row r="906" spans="1:8" ht="14.25" hidden="1" customHeight="1" x14ac:dyDescent="0.3">
      <c r="A906" s="2" t="s">
        <v>50</v>
      </c>
      <c r="B906" s="60" t="s">
        <v>155</v>
      </c>
      <c r="C906" s="60" t="s">
        <v>170</v>
      </c>
      <c r="D906" s="68">
        <v>16</v>
      </c>
      <c r="E906" s="73">
        <v>29.74</v>
      </c>
      <c r="F906" s="79">
        <f>IFERROR(D906*E906,0)</f>
        <v>475.84</v>
      </c>
      <c r="G906" s="60" t="s">
        <v>98</v>
      </c>
      <c r="H906" s="60" t="s">
        <v>21</v>
      </c>
    </row>
    <row r="907" spans="1:8" ht="14.25" hidden="1" customHeight="1" x14ac:dyDescent="0.3">
      <c r="A907" s="2" t="s">
        <v>50</v>
      </c>
      <c r="B907" s="60" t="s">
        <v>155</v>
      </c>
      <c r="C907" s="60" t="s">
        <v>169</v>
      </c>
      <c r="D907" s="68">
        <v>16</v>
      </c>
      <c r="E907" s="73">
        <v>47.66</v>
      </c>
      <c r="F907" s="79">
        <f>IFERROR(D907*E907,0)</f>
        <v>762.56</v>
      </c>
      <c r="G907" s="60" t="s">
        <v>98</v>
      </c>
      <c r="H907" s="60" t="s">
        <v>21</v>
      </c>
    </row>
    <row r="908" spans="1:8" ht="14.25" hidden="1" customHeight="1" x14ac:dyDescent="0.3">
      <c r="A908" s="2" t="s">
        <v>50</v>
      </c>
      <c r="B908" s="60" t="s">
        <v>155</v>
      </c>
      <c r="C908" s="60" t="s">
        <v>158</v>
      </c>
      <c r="D908" s="68">
        <v>16</v>
      </c>
      <c r="E908" s="73">
        <v>21.258199999999999</v>
      </c>
      <c r="F908" s="79">
        <v>340.13119999999998</v>
      </c>
      <c r="G908" s="60" t="str">
        <f>INDEX(SETORES!$B:$B,MATCH(A908,SETORES!$A:$A,0))</f>
        <v>Clientes</v>
      </c>
      <c r="H908" s="60" t="s">
        <v>21</v>
      </c>
    </row>
    <row r="909" spans="1:8" ht="14.25" hidden="1" customHeight="1" x14ac:dyDescent="0.3">
      <c r="A909" s="2" t="s">
        <v>50</v>
      </c>
      <c r="B909" s="60" t="s">
        <v>162</v>
      </c>
      <c r="C909" s="60" t="s">
        <v>165</v>
      </c>
      <c r="D909" s="68">
        <v>1</v>
      </c>
      <c r="E909" s="73">
        <v>100</v>
      </c>
      <c r="F909" s="79">
        <f>IFERROR(D909*E909,0)</f>
        <v>100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50</v>
      </c>
      <c r="B910" s="60" t="s">
        <v>162</v>
      </c>
      <c r="C910" s="60" t="s">
        <v>163</v>
      </c>
      <c r="D910" s="68">
        <v>4</v>
      </c>
      <c r="E910" s="73">
        <v>33.75</v>
      </c>
      <c r="F910" s="79">
        <f>IFERROR(D910*E910,0)</f>
        <v>135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50</v>
      </c>
      <c r="B911" s="61" t="s">
        <v>162</v>
      </c>
      <c r="C911" s="61" t="s">
        <v>164</v>
      </c>
      <c r="D911" s="69"/>
      <c r="E911" s="74"/>
      <c r="F911" s="80">
        <f>IFERROR(D911*E911,0)</f>
        <v>0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50</v>
      </c>
      <c r="B912" s="61" t="s">
        <v>155</v>
      </c>
      <c r="C912" s="61" t="s">
        <v>161</v>
      </c>
      <c r="D912" s="69">
        <v>1</v>
      </c>
      <c r="E912" s="74">
        <v>80081.350000000006</v>
      </c>
      <c r="F912" s="80">
        <f>IFERROR(E912,0)</f>
        <v>80081.350000000006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167</v>
      </c>
      <c r="D913" s="69">
        <v>16</v>
      </c>
      <c r="E913" s="74">
        <v>9.92</v>
      </c>
      <c r="F913" s="80">
        <f>IFERROR(D913*E913,0)</f>
        <v>158.72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2" t="s">
        <v>50</v>
      </c>
      <c r="B914" s="60" t="s">
        <v>155</v>
      </c>
      <c r="C914" s="60" t="s">
        <v>238</v>
      </c>
      <c r="D914" s="68">
        <v>1</v>
      </c>
      <c r="E914" s="73">
        <v>153.58000000000001</v>
      </c>
      <c r="F914" s="79">
        <f>IFERROR(D914*E914,0)</f>
        <v>153.58000000000001</v>
      </c>
      <c r="G914" s="60" t="str">
        <f>INDEX(SETORES!$B:$B,MATCH(A914,SETORES!$A:$A,0))</f>
        <v>Clientes</v>
      </c>
      <c r="H914" s="60" t="s">
        <v>21</v>
      </c>
    </row>
    <row r="915" spans="1:8" ht="14.25" hidden="1" customHeight="1" x14ac:dyDescent="0.3">
      <c r="A915" s="34" t="s">
        <v>50</v>
      </c>
      <c r="B915" s="61" t="s">
        <v>155</v>
      </c>
      <c r="C915" s="61" t="s">
        <v>166</v>
      </c>
      <c r="D915" s="69">
        <v>12</v>
      </c>
      <c r="E915" s="74">
        <v>23.33</v>
      </c>
      <c r="F915" s="80">
        <f>IFERROR(D915*E915,0)</f>
        <v>279.95999999999998</v>
      </c>
      <c r="G915" s="61" t="str">
        <f>INDEX(SETORES!$B:$B,MATCH(A915,SETORES!$A:$A,0))</f>
        <v>Clientes</v>
      </c>
      <c r="H915" s="61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156</v>
      </c>
      <c r="D916" s="68"/>
      <c r="E916" s="73"/>
      <c r="F916" s="79">
        <v>32684.03</v>
      </c>
      <c r="G916" s="60" t="str">
        <f>INDEX(SETORES!$B:$B,MATCH(A916,SETORES!$A:$A,0))</f>
        <v>Clientes</v>
      </c>
      <c r="H916" s="60" t="s">
        <v>21</v>
      </c>
    </row>
    <row r="917" spans="1:8" ht="14.25" hidden="1" customHeight="1" x14ac:dyDescent="0.3">
      <c r="A917" s="34" t="s">
        <v>50</v>
      </c>
      <c r="B917" s="61" t="s">
        <v>155</v>
      </c>
      <c r="C917" s="61" t="s">
        <v>157</v>
      </c>
      <c r="D917" s="69"/>
      <c r="E917" s="74"/>
      <c r="F917" s="80">
        <v>0</v>
      </c>
      <c r="G917" s="61" t="str">
        <f>INDEX(SETORES!$B:$B,MATCH(A917,SETORES!$A:$A,0))</f>
        <v>Clientes</v>
      </c>
      <c r="H917" s="61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209</v>
      </c>
      <c r="D918" s="68">
        <v>16</v>
      </c>
      <c r="E918" s="73">
        <v>76.92</v>
      </c>
      <c r="F918" s="79">
        <f>IFERROR(D918*E918,0)</f>
        <v>1230.72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34" t="s">
        <v>50</v>
      </c>
      <c r="B919" s="61" t="s">
        <v>162</v>
      </c>
      <c r="C919" s="61" t="s">
        <v>222</v>
      </c>
      <c r="D919" s="69"/>
      <c r="E919" s="74"/>
      <c r="F919" s="80">
        <f>IFERROR(D919*E919,0)</f>
        <v>0</v>
      </c>
      <c r="G919" s="61" t="str">
        <f>INDEX(SETORES!$B:$B,MATCH(A919,SETORES!$A:$A,0))</f>
        <v>Clientes</v>
      </c>
      <c r="H919" s="61" t="s">
        <v>21</v>
      </c>
    </row>
    <row r="920" spans="1:8" ht="14.25" hidden="1" customHeight="1" x14ac:dyDescent="0.3">
      <c r="A920" s="2" t="s">
        <v>50</v>
      </c>
      <c r="B920" s="60" t="s">
        <v>155</v>
      </c>
      <c r="C920" s="60" t="s">
        <v>168</v>
      </c>
      <c r="D920" s="68">
        <v>16</v>
      </c>
      <c r="E920" s="73">
        <v>2.0499999999999998</v>
      </c>
      <c r="F920" s="79">
        <f>IFERROR(D920*E920,0)</f>
        <v>32.799999999999997</v>
      </c>
      <c r="G920" s="60" t="str">
        <f>INDEX(SETORES!$B:$B,MATCH(A920,SETORES!$A:$A,0))</f>
        <v>Clientes</v>
      </c>
      <c r="H920" s="60" t="s">
        <v>21</v>
      </c>
    </row>
    <row r="921" spans="1:8" ht="14.25" hidden="1" customHeight="1" x14ac:dyDescent="0.3">
      <c r="A921" s="2" t="s">
        <v>50</v>
      </c>
      <c r="B921" s="60" t="s">
        <v>155</v>
      </c>
      <c r="C921" s="60" t="s">
        <v>160</v>
      </c>
      <c r="D921" s="68"/>
      <c r="E921" s="73"/>
      <c r="F921" s="79">
        <f>IFERROR(D921*E921,0)</f>
        <v>0</v>
      </c>
      <c r="G921" s="60" t="str">
        <f>INDEX(SETORES!$B:$B,MATCH(A921,SETORES!$A:$A,0))</f>
        <v>Clientes</v>
      </c>
      <c r="H921" s="60" t="s">
        <v>21</v>
      </c>
    </row>
    <row r="922" spans="1:8" ht="14.25" hidden="1" customHeight="1" x14ac:dyDescent="0.3">
      <c r="A922" s="2" t="s">
        <v>36</v>
      </c>
      <c r="B922" s="60" t="s">
        <v>155</v>
      </c>
      <c r="C922" s="60" t="s">
        <v>159</v>
      </c>
      <c r="D922" s="68">
        <v>1</v>
      </c>
      <c r="E922" s="73">
        <v>0.19400000000000001</v>
      </c>
      <c r="F922" s="79">
        <v>0.19400000000000001</v>
      </c>
      <c r="G922" s="60" t="str">
        <f>INDEX(SETORES!$B:$B,MATCH(A922,SETORES!$A:$A,0))</f>
        <v>Clientes</v>
      </c>
      <c r="H922" s="60" t="s">
        <v>21</v>
      </c>
    </row>
    <row r="923" spans="1:8" ht="14.25" hidden="1" customHeight="1" x14ac:dyDescent="0.3">
      <c r="A923" s="2" t="s">
        <v>36</v>
      </c>
      <c r="B923" s="60" t="s">
        <v>155</v>
      </c>
      <c r="C923" s="60" t="s">
        <v>212</v>
      </c>
      <c r="D923" s="68">
        <v>2</v>
      </c>
      <c r="E923" s="73">
        <v>30</v>
      </c>
      <c r="F923" s="79">
        <f>IFERROR(D923*E923,0)</f>
        <v>60</v>
      </c>
      <c r="G923" s="60" t="str">
        <f>INDEX(SETORES!$B:$B,MATCH(A923,SETORES!$A:$A,0))</f>
        <v>Clientes</v>
      </c>
      <c r="H923" s="60" t="s">
        <v>21</v>
      </c>
    </row>
    <row r="924" spans="1:8" ht="14.25" customHeight="1" x14ac:dyDescent="0.3">
      <c r="A924" s="2" t="s">
        <v>36</v>
      </c>
      <c r="B924" s="60" t="s">
        <v>155</v>
      </c>
      <c r="C924" s="60" t="s">
        <v>171</v>
      </c>
      <c r="D924" s="68">
        <v>9</v>
      </c>
      <c r="E924" s="73">
        <v>43.54</v>
      </c>
      <c r="F924" s="79">
        <f>IFERROR(D924*E924,0)</f>
        <v>391.86</v>
      </c>
      <c r="G924" s="60" t="s">
        <v>98</v>
      </c>
      <c r="H924" s="60" t="s">
        <v>21</v>
      </c>
    </row>
    <row r="925" spans="1:8" ht="14.25" hidden="1" customHeight="1" x14ac:dyDescent="0.3">
      <c r="A925" s="34" t="s">
        <v>36</v>
      </c>
      <c r="B925" s="61" t="s">
        <v>155</v>
      </c>
      <c r="C925" s="61" t="s">
        <v>170</v>
      </c>
      <c r="D925" s="69">
        <v>9</v>
      </c>
      <c r="E925" s="74">
        <v>29.74</v>
      </c>
      <c r="F925" s="80">
        <f>IFERROR(D925*E925,0)</f>
        <v>267.65999999999997</v>
      </c>
      <c r="G925" s="60" t="s">
        <v>98</v>
      </c>
      <c r="H925" s="61" t="s">
        <v>21</v>
      </c>
    </row>
    <row r="926" spans="1:8" ht="14.25" hidden="1" customHeight="1" x14ac:dyDescent="0.3">
      <c r="A926" s="34" t="s">
        <v>36</v>
      </c>
      <c r="B926" s="61" t="s">
        <v>155</v>
      </c>
      <c r="C926" s="61" t="s">
        <v>169</v>
      </c>
      <c r="D926" s="69">
        <v>9</v>
      </c>
      <c r="E926" s="74">
        <v>47.66</v>
      </c>
      <c r="F926" s="80">
        <f>IFERROR(D926*E926,0)</f>
        <v>428.93999999999994</v>
      </c>
      <c r="G926" s="60" t="s">
        <v>98</v>
      </c>
      <c r="H926" s="61" t="s">
        <v>21</v>
      </c>
    </row>
    <row r="927" spans="1:8" ht="14.25" hidden="1" customHeight="1" x14ac:dyDescent="0.3">
      <c r="A927" s="34" t="s">
        <v>36</v>
      </c>
      <c r="B927" s="61" t="s">
        <v>155</v>
      </c>
      <c r="C927" s="61" t="s">
        <v>158</v>
      </c>
      <c r="D927" s="69">
        <v>1</v>
      </c>
      <c r="E927" s="74">
        <v>66.183999999999997</v>
      </c>
      <c r="F927" s="80">
        <v>66.183999999999997</v>
      </c>
      <c r="G927" s="61" t="str">
        <f>INDEX(SETORES!$B:$B,MATCH(A927,SETORES!$A:$A,0))</f>
        <v>Clientes</v>
      </c>
      <c r="H927" s="61" t="s">
        <v>21</v>
      </c>
    </row>
    <row r="928" spans="1:8" ht="14.25" hidden="1" customHeight="1" x14ac:dyDescent="0.3">
      <c r="A928" s="2" t="s">
        <v>36</v>
      </c>
      <c r="B928" s="60" t="s">
        <v>162</v>
      </c>
      <c r="C928" s="60" t="s">
        <v>163</v>
      </c>
      <c r="D928" s="68">
        <v>2</v>
      </c>
      <c r="E928" s="73">
        <v>45</v>
      </c>
      <c r="F928" s="79">
        <f>IFERROR(D928*E928,0)</f>
        <v>90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34" t="s">
        <v>36</v>
      </c>
      <c r="B929" s="61" t="s">
        <v>162</v>
      </c>
      <c r="C929" s="61" t="s">
        <v>164</v>
      </c>
      <c r="D929" s="69"/>
      <c r="E929" s="74"/>
      <c r="F929" s="80">
        <f>IFERROR(D929*E929,0)</f>
        <v>0</v>
      </c>
      <c r="G929" s="61" t="str">
        <f>INDEX(SETORES!$B:$B,MATCH(A929,SETORES!$A:$A,0))</f>
        <v>Clientes</v>
      </c>
      <c r="H929" s="61" t="s">
        <v>21</v>
      </c>
    </row>
    <row r="930" spans="1:8" ht="14.25" hidden="1" customHeight="1" x14ac:dyDescent="0.3">
      <c r="A930" s="2" t="s">
        <v>36</v>
      </c>
      <c r="B930" s="60" t="s">
        <v>155</v>
      </c>
      <c r="C930" s="60" t="s">
        <v>161</v>
      </c>
      <c r="D930" s="68">
        <v>1</v>
      </c>
      <c r="E930" s="73">
        <v>41415.06</v>
      </c>
      <c r="F930" s="79">
        <f>IFERROR(E930,0)</f>
        <v>41415.06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167</v>
      </c>
      <c r="D931" s="68">
        <v>9</v>
      </c>
      <c r="E931" s="73">
        <v>9.92</v>
      </c>
      <c r="F931" s="79">
        <f>IFERROR(D931*E931,0)</f>
        <v>89.28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34" t="s">
        <v>36</v>
      </c>
      <c r="B932" s="61" t="s">
        <v>155</v>
      </c>
      <c r="C932" s="61" t="s">
        <v>238</v>
      </c>
      <c r="D932" s="69">
        <v>1</v>
      </c>
      <c r="E932" s="74">
        <v>153.58000000000001</v>
      </c>
      <c r="F932" s="80">
        <f>IFERROR(D932*E932,0)</f>
        <v>153.58000000000001</v>
      </c>
      <c r="G932" s="61" t="str">
        <f>INDEX(SETORES!$B:$B,MATCH(A932,SETORES!$A:$A,0))</f>
        <v>Clientes</v>
      </c>
      <c r="H932" s="61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166</v>
      </c>
      <c r="D933" s="68">
        <v>8</v>
      </c>
      <c r="E933" s="73">
        <v>50</v>
      </c>
      <c r="F933" s="79">
        <f>IFERROR(D933*E933,0)</f>
        <v>400</v>
      </c>
      <c r="G933" s="60" t="str">
        <f>INDEX(SETORES!$B:$B,MATCH(A933,SETORES!$A:$A,0))</f>
        <v>Clientes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219</v>
      </c>
      <c r="D934" s="69">
        <v>1</v>
      </c>
      <c r="E934" s="74">
        <v>29185.01</v>
      </c>
      <c r="F934" s="80">
        <f>IFERROR(D934*E934,0)</f>
        <v>29185.01</v>
      </c>
      <c r="G934" s="61" t="str">
        <f>INDEX(SETORES!$B:$B,MATCH(A934,SETORES!$A:$A,0))</f>
        <v>Clientes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156</v>
      </c>
      <c r="D935" s="69">
        <v>1</v>
      </c>
      <c r="E935" s="74">
        <v>71.42</v>
      </c>
      <c r="F935" s="80">
        <v>714.20039999999995</v>
      </c>
      <c r="G935" s="61" t="str">
        <f>INDEX(SETORES!$B:$B,MATCH(A935,SETORES!$A:$A,0))</f>
        <v>Clientes</v>
      </c>
      <c r="H935" s="61" t="s">
        <v>21</v>
      </c>
    </row>
    <row r="936" spans="1:8" ht="14.25" hidden="1" customHeight="1" x14ac:dyDescent="0.3">
      <c r="A936" s="2" t="s">
        <v>36</v>
      </c>
      <c r="B936" s="60" t="s">
        <v>155</v>
      </c>
      <c r="C936" s="60" t="s">
        <v>157</v>
      </c>
      <c r="D936" s="68">
        <v>1</v>
      </c>
      <c r="E936" s="73">
        <v>221.42</v>
      </c>
      <c r="F936" s="79">
        <v>221.42</v>
      </c>
      <c r="G936" s="60" t="str">
        <f>INDEX(SETORES!$B:$B,MATCH(A936,SETORES!$A:$A,0))</f>
        <v>Clientes</v>
      </c>
      <c r="H936" s="60" t="s">
        <v>21</v>
      </c>
    </row>
    <row r="937" spans="1:8" ht="14.25" hidden="1" customHeight="1" x14ac:dyDescent="0.3">
      <c r="A937" s="2" t="s">
        <v>36</v>
      </c>
      <c r="B937" s="60" t="s">
        <v>155</v>
      </c>
      <c r="C937" s="60" t="s">
        <v>242</v>
      </c>
      <c r="D937" s="68">
        <v>1</v>
      </c>
      <c r="E937" s="73">
        <v>1807.85</v>
      </c>
      <c r="F937" s="79">
        <f>IFERROR(D937*E937,0)</f>
        <v>1807.85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2" t="s">
        <v>36</v>
      </c>
      <c r="B938" s="60" t="s">
        <v>162</v>
      </c>
      <c r="C938" s="60" t="s">
        <v>222</v>
      </c>
      <c r="D938" s="68"/>
      <c r="E938" s="73"/>
      <c r="F938" s="79">
        <f>IFERROR(D938*E938,0)</f>
        <v>0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34" t="s">
        <v>36</v>
      </c>
      <c r="B939" s="61" t="s">
        <v>155</v>
      </c>
      <c r="C939" s="61" t="s">
        <v>168</v>
      </c>
      <c r="D939" s="69">
        <v>9</v>
      </c>
      <c r="E939" s="74">
        <v>2.0499999999999998</v>
      </c>
      <c r="F939" s="80">
        <f>IFERROR(D939*E939,0)</f>
        <v>18.45</v>
      </c>
      <c r="G939" s="61" t="str">
        <f>INDEX(SETORES!$B:$B,MATCH(A939,SETORES!$A:$A,0))</f>
        <v>Clientes</v>
      </c>
      <c r="H939" s="61" t="s">
        <v>21</v>
      </c>
    </row>
    <row r="940" spans="1:8" ht="14.25" hidden="1" customHeight="1" x14ac:dyDescent="0.3">
      <c r="A940" s="34" t="s">
        <v>36</v>
      </c>
      <c r="B940" s="61" t="s">
        <v>155</v>
      </c>
      <c r="C940" s="61" t="s">
        <v>160</v>
      </c>
      <c r="D940" s="69"/>
      <c r="E940" s="74"/>
      <c r="F940" s="80">
        <f>IFERROR(D940*E940,0)</f>
        <v>0</v>
      </c>
      <c r="G940" s="61" t="str">
        <f>INDEX(SETORES!$B:$B,MATCH(A940,SETORES!$A:$A,0))</f>
        <v>Clientes</v>
      </c>
      <c r="H940" s="61" t="s">
        <v>21</v>
      </c>
    </row>
    <row r="941" spans="1:8" ht="14.25" hidden="1" customHeight="1" x14ac:dyDescent="0.3">
      <c r="A941" s="34" t="s">
        <v>81</v>
      </c>
      <c r="B941" s="61" t="s">
        <v>155</v>
      </c>
      <c r="C941" s="61" t="s">
        <v>212</v>
      </c>
      <c r="D941" s="69">
        <v>2</v>
      </c>
      <c r="E941" s="74">
        <v>30</v>
      </c>
      <c r="F941" s="80">
        <f>IFERROR(D941*E941,0)</f>
        <v>60</v>
      </c>
      <c r="G941" s="61" t="str">
        <f>INDEX(SETORES!$B:$B,MATCH(A941,SETORES!$A:$A,0))</f>
        <v>Clientes</v>
      </c>
      <c r="H941" s="61" t="s">
        <v>21</v>
      </c>
    </row>
    <row r="942" spans="1:8" ht="14.25" customHeight="1" x14ac:dyDescent="0.3">
      <c r="A942" s="2" t="s">
        <v>81</v>
      </c>
      <c r="B942" s="60" t="s">
        <v>155</v>
      </c>
      <c r="C942" s="60" t="s">
        <v>171</v>
      </c>
      <c r="D942" s="68">
        <v>3</v>
      </c>
      <c r="E942" s="73">
        <v>43.54</v>
      </c>
      <c r="F942" s="79">
        <f>IFERROR(D942*E942,0)</f>
        <v>130.62</v>
      </c>
      <c r="G942" s="60" t="s">
        <v>98</v>
      </c>
      <c r="H942" s="60" t="s">
        <v>21</v>
      </c>
    </row>
    <row r="943" spans="1:8" ht="14.25" hidden="1" customHeight="1" x14ac:dyDescent="0.3">
      <c r="A943" s="34" t="s">
        <v>81</v>
      </c>
      <c r="B943" s="61" t="s">
        <v>155</v>
      </c>
      <c r="C943" s="61" t="s">
        <v>170</v>
      </c>
      <c r="D943" s="69">
        <v>3</v>
      </c>
      <c r="E943" s="74">
        <v>29.74</v>
      </c>
      <c r="F943" s="80">
        <f>IFERROR(D943*E943,0)</f>
        <v>89.22</v>
      </c>
      <c r="G943" s="60" t="s">
        <v>98</v>
      </c>
      <c r="H943" s="61" t="s">
        <v>21</v>
      </c>
    </row>
    <row r="944" spans="1:8" ht="14.25" hidden="1" customHeight="1" x14ac:dyDescent="0.3">
      <c r="A944" s="34" t="s">
        <v>81</v>
      </c>
      <c r="B944" s="61" t="s">
        <v>155</v>
      </c>
      <c r="C944" s="61" t="s">
        <v>169</v>
      </c>
      <c r="D944" s="69">
        <v>3</v>
      </c>
      <c r="E944" s="74">
        <v>47.66</v>
      </c>
      <c r="F944" s="80">
        <f>IFERROR(D944*E944,0)</f>
        <v>142.97999999999999</v>
      </c>
      <c r="G944" s="60" t="s">
        <v>98</v>
      </c>
      <c r="H944" s="61" t="s">
        <v>21</v>
      </c>
    </row>
    <row r="945" spans="1:8" ht="14.25" hidden="1" customHeight="1" x14ac:dyDescent="0.3">
      <c r="A945" s="34" t="s">
        <v>81</v>
      </c>
      <c r="B945" s="61" t="s">
        <v>162</v>
      </c>
      <c r="C945" s="61" t="s">
        <v>163</v>
      </c>
      <c r="D945" s="69">
        <v>2</v>
      </c>
      <c r="E945" s="74">
        <v>45</v>
      </c>
      <c r="F945" s="80">
        <f>IFERROR(D945*E945,0)</f>
        <v>90</v>
      </c>
      <c r="G945" s="61" t="str">
        <f>INDEX(SETORES!$B:$B,MATCH(A945,SETORES!$A:$A,0))</f>
        <v>Clientes</v>
      </c>
      <c r="H945" s="61" t="s">
        <v>21</v>
      </c>
    </row>
    <row r="946" spans="1:8" ht="14.25" hidden="1" customHeight="1" x14ac:dyDescent="0.3">
      <c r="A946" s="2" t="s">
        <v>81</v>
      </c>
      <c r="B946" s="60" t="s">
        <v>155</v>
      </c>
      <c r="C946" s="60" t="s">
        <v>161</v>
      </c>
      <c r="D946" s="68">
        <v>1</v>
      </c>
      <c r="E946" s="73">
        <v>13569.86</v>
      </c>
      <c r="F946" s="79">
        <f>IFERROR(E946,0)</f>
        <v>13569.86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81</v>
      </c>
      <c r="B947" s="60" t="s">
        <v>155</v>
      </c>
      <c r="C947" s="60" t="s">
        <v>167</v>
      </c>
      <c r="D947" s="68">
        <v>3</v>
      </c>
      <c r="E947" s="73">
        <v>9.92</v>
      </c>
      <c r="F947" s="79">
        <f>IFERROR(D947*E947,0)</f>
        <v>29.759999999999998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2" t="s">
        <v>81</v>
      </c>
      <c r="B948" s="60" t="s">
        <v>155</v>
      </c>
      <c r="C948" s="60" t="s">
        <v>238</v>
      </c>
      <c r="D948" s="68">
        <v>1</v>
      </c>
      <c r="E948" s="73">
        <v>2.941176</v>
      </c>
      <c r="F948" s="79">
        <f>IFERROR(D948*E948,0)</f>
        <v>2.941176</v>
      </c>
      <c r="G948" s="60" t="str">
        <f>INDEX(SETORES!$B:$B,MATCH(A948,SETORES!$A:$A,0))</f>
        <v>Clientes</v>
      </c>
      <c r="H948" s="60" t="s">
        <v>21</v>
      </c>
    </row>
    <row r="949" spans="1:8" ht="14.25" hidden="1" customHeight="1" x14ac:dyDescent="0.3">
      <c r="A949" s="2" t="s">
        <v>81</v>
      </c>
      <c r="B949" s="60" t="s">
        <v>155</v>
      </c>
      <c r="C949" s="60" t="s">
        <v>166</v>
      </c>
      <c r="D949" s="68">
        <v>3</v>
      </c>
      <c r="E949" s="73">
        <v>50</v>
      </c>
      <c r="F949" s="79">
        <f>IFERROR(D949*E949,0)</f>
        <v>150</v>
      </c>
      <c r="G949" s="60" t="str">
        <f>INDEX(SETORES!$B:$B,MATCH(A949,SETORES!$A:$A,0))</f>
        <v>Clientes</v>
      </c>
      <c r="H949" s="60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157</v>
      </c>
      <c r="D950" s="69">
        <v>1</v>
      </c>
      <c r="E950" s="74">
        <v>68.12</v>
      </c>
      <c r="F950" s="80">
        <v>68.12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34" t="s">
        <v>81</v>
      </c>
      <c r="B951" s="61" t="s">
        <v>162</v>
      </c>
      <c r="C951" s="61" t="s">
        <v>222</v>
      </c>
      <c r="D951" s="69"/>
      <c r="E951" s="74"/>
      <c r="F951" s="80">
        <f>IFERROR(D951*E951,0)</f>
        <v>0</v>
      </c>
      <c r="G951" s="61" t="str">
        <f>INDEX(SETORES!$B:$B,MATCH(A951,SETORES!$A:$A,0))</f>
        <v>Clientes</v>
      </c>
      <c r="H951" s="61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168</v>
      </c>
      <c r="D952" s="69">
        <v>3</v>
      </c>
      <c r="E952" s="74">
        <v>2.0499999999999998</v>
      </c>
      <c r="F952" s="80">
        <f>IFERROR(D952*E952,0)</f>
        <v>6.1499999999999995</v>
      </c>
      <c r="G952" s="61" t="str">
        <f>INDEX(SETORES!$B:$B,MATCH(A952,SETORES!$A:$A,0))</f>
        <v>Clientes</v>
      </c>
      <c r="H952" s="61" t="s">
        <v>21</v>
      </c>
    </row>
    <row r="953" spans="1:8" ht="14.25" hidden="1" customHeight="1" x14ac:dyDescent="0.3">
      <c r="A953" s="34" t="s">
        <v>82</v>
      </c>
      <c r="B953" s="61" t="s">
        <v>162</v>
      </c>
      <c r="C953" s="61" t="s">
        <v>217</v>
      </c>
      <c r="D953" s="69">
        <v>1</v>
      </c>
      <c r="E953" s="74">
        <v>13559.09</v>
      </c>
      <c r="F953" s="80">
        <f>IFERROR(D953*E953,0)</f>
        <v>13559.09</v>
      </c>
      <c r="G953" s="61" t="str">
        <f>INDEX(SETORES!$B:$B,MATCH(A953,SETORES!$A:$A,0))</f>
        <v>Clientes</v>
      </c>
      <c r="H953" s="61" t="s">
        <v>21</v>
      </c>
    </row>
    <row r="954" spans="1:8" ht="14.25" hidden="1" customHeight="1" x14ac:dyDescent="0.3">
      <c r="A954" s="34" t="s">
        <v>82</v>
      </c>
      <c r="B954" s="61" t="s">
        <v>155</v>
      </c>
      <c r="C954" s="61" t="s">
        <v>250</v>
      </c>
      <c r="D954" s="69">
        <v>1</v>
      </c>
      <c r="E954" s="74">
        <v>1417.36</v>
      </c>
      <c r="F954" s="80">
        <f>IFERROR(D954*E954,0)</f>
        <v>1417.36</v>
      </c>
      <c r="G954" s="61" t="str">
        <f>INDEX(SETORES!$B:$B,MATCH(A954,SETORES!$A:$A,0))</f>
        <v>Clientes</v>
      </c>
      <c r="H954" s="61" t="s">
        <v>21</v>
      </c>
    </row>
    <row r="955" spans="1:8" ht="14.25" customHeight="1" x14ac:dyDescent="0.3">
      <c r="A955" s="2" t="s">
        <v>82</v>
      </c>
      <c r="B955" s="60" t="s">
        <v>155</v>
      </c>
      <c r="C955" s="60" t="s">
        <v>171</v>
      </c>
      <c r="D955" s="68">
        <v>8</v>
      </c>
      <c r="E955" s="73">
        <v>43.54</v>
      </c>
      <c r="F955" s="79">
        <f>IFERROR(D955*E955,0)</f>
        <v>348.32</v>
      </c>
      <c r="G955" s="60" t="s">
        <v>98</v>
      </c>
      <c r="H955" s="60" t="s">
        <v>21</v>
      </c>
    </row>
    <row r="956" spans="1:8" ht="14.25" hidden="1" customHeight="1" x14ac:dyDescent="0.3">
      <c r="A956" s="34" t="s">
        <v>82</v>
      </c>
      <c r="B956" s="61" t="s">
        <v>155</v>
      </c>
      <c r="C956" s="61" t="s">
        <v>170</v>
      </c>
      <c r="D956" s="69">
        <v>8</v>
      </c>
      <c r="E956" s="74">
        <v>29.74</v>
      </c>
      <c r="F956" s="80">
        <f>IFERROR(D956*E956,0)</f>
        <v>237.92</v>
      </c>
      <c r="G956" s="60" t="s">
        <v>98</v>
      </c>
      <c r="H956" s="61" t="s">
        <v>21</v>
      </c>
    </row>
    <row r="957" spans="1:8" ht="14.25" hidden="1" customHeight="1" x14ac:dyDescent="0.3">
      <c r="A957" s="34" t="s">
        <v>82</v>
      </c>
      <c r="B957" s="61" t="s">
        <v>155</v>
      </c>
      <c r="C957" s="61" t="s">
        <v>169</v>
      </c>
      <c r="D957" s="69">
        <v>8</v>
      </c>
      <c r="E957" s="74">
        <v>47.66</v>
      </c>
      <c r="F957" s="80">
        <f>IFERROR(D957*E957,0)</f>
        <v>381.28</v>
      </c>
      <c r="G957" s="60" t="s">
        <v>98</v>
      </c>
      <c r="H957" s="61" t="s">
        <v>21</v>
      </c>
    </row>
    <row r="958" spans="1:8" ht="14.25" hidden="1" customHeight="1" x14ac:dyDescent="0.3">
      <c r="A958" s="2" t="s">
        <v>82</v>
      </c>
      <c r="B958" s="60" t="s">
        <v>162</v>
      </c>
      <c r="C958" s="60" t="s">
        <v>221</v>
      </c>
      <c r="D958" s="68">
        <v>1</v>
      </c>
      <c r="E958" s="73">
        <v>2979.78</v>
      </c>
      <c r="F958" s="79">
        <f>IFERROR(D958*E958,0)</f>
        <v>2979.78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2" t="s">
        <v>82</v>
      </c>
      <c r="B959" s="60" t="s">
        <v>155</v>
      </c>
      <c r="C959" s="60" t="s">
        <v>161</v>
      </c>
      <c r="D959" s="68">
        <v>1</v>
      </c>
      <c r="E959" s="73">
        <v>56795.02</v>
      </c>
      <c r="F959" s="79">
        <f>IFERROR(E959,0)</f>
        <v>56795.02</v>
      </c>
      <c r="G959" s="60" t="str">
        <f>INDEX(SETORES!$B:$B,MATCH(A959,SETORES!$A:$A,0))</f>
        <v>Clientes</v>
      </c>
      <c r="H959" s="60" t="s">
        <v>21</v>
      </c>
    </row>
    <row r="960" spans="1:8" ht="14.25" hidden="1" customHeight="1" x14ac:dyDescent="0.3">
      <c r="A960" s="2" t="s">
        <v>82</v>
      </c>
      <c r="B960" s="60" t="s">
        <v>155</v>
      </c>
      <c r="C960" s="60" t="s">
        <v>167</v>
      </c>
      <c r="D960" s="68">
        <v>8</v>
      </c>
      <c r="E960" s="73">
        <v>9.92</v>
      </c>
      <c r="F960" s="79">
        <f>IFERROR(D960*E960,0)</f>
        <v>79.36</v>
      </c>
      <c r="G960" s="60" t="str">
        <f>INDEX(SETORES!$B:$B,MATCH(A960,SETORES!$A:$A,0))</f>
        <v>Clientes</v>
      </c>
      <c r="H960" s="60" t="s">
        <v>21</v>
      </c>
    </row>
    <row r="961" spans="1:8" ht="14.25" hidden="1" customHeight="1" x14ac:dyDescent="0.3">
      <c r="A961" s="2" t="s">
        <v>82</v>
      </c>
      <c r="B961" s="60" t="s">
        <v>155</v>
      </c>
      <c r="C961" s="60" t="s">
        <v>166</v>
      </c>
      <c r="D961" s="68">
        <v>1</v>
      </c>
      <c r="E961" s="73">
        <v>50</v>
      </c>
      <c r="F961" s="79">
        <f>IFERROR(D961*E961,0)</f>
        <v>50</v>
      </c>
      <c r="G961" s="60" t="str">
        <f>INDEX(SETORES!$B:$B,MATCH(A961,SETORES!$A:$A,0))</f>
        <v>Clientes</v>
      </c>
      <c r="H961" s="60" t="s">
        <v>21</v>
      </c>
    </row>
    <row r="962" spans="1:8" ht="14.25" hidden="1" customHeight="1" x14ac:dyDescent="0.3">
      <c r="A962" s="2" t="s">
        <v>82</v>
      </c>
      <c r="B962" s="60" t="s">
        <v>162</v>
      </c>
      <c r="C962" s="60" t="s">
        <v>222</v>
      </c>
      <c r="D962" s="68"/>
      <c r="E962" s="73"/>
      <c r="F962" s="79">
        <f>IFERROR(D962*E962,0)</f>
        <v>0</v>
      </c>
      <c r="G962" s="60" t="str">
        <f>INDEX(SETORES!$B:$B,MATCH(A962,SETORES!$A:$A,0))</f>
        <v>Clientes</v>
      </c>
      <c r="H962" s="60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168</v>
      </c>
      <c r="D963" s="69">
        <v>8</v>
      </c>
      <c r="E963" s="74">
        <v>2.0499999999999998</v>
      </c>
      <c r="F963" s="80">
        <f>IFERROR(D963*E963,0)</f>
        <v>16.399999999999999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34</v>
      </c>
      <c r="B964" s="60" t="s">
        <v>155</v>
      </c>
      <c r="C964" s="60" t="s">
        <v>159</v>
      </c>
      <c r="D964" s="68">
        <v>1</v>
      </c>
      <c r="E964" s="73">
        <v>0.14549999999999999</v>
      </c>
      <c r="F964" s="79">
        <v>0.14549999999999999</v>
      </c>
      <c r="G964" s="60" t="str">
        <f>INDEX(SETORES!$B:$B,MATCH(A964,SETORES!$A:$A,0))</f>
        <v>Clientes</v>
      </c>
      <c r="H964" s="60" t="s">
        <v>21</v>
      </c>
    </row>
    <row r="965" spans="1:8" ht="14.25" hidden="1" customHeight="1" x14ac:dyDescent="0.3">
      <c r="A965" s="2" t="s">
        <v>34</v>
      </c>
      <c r="B965" s="60" t="s">
        <v>155</v>
      </c>
      <c r="C965" s="60" t="s">
        <v>212</v>
      </c>
      <c r="D965" s="68">
        <v>2</v>
      </c>
      <c r="E965" s="73">
        <v>30</v>
      </c>
      <c r="F965" s="79">
        <f>IFERROR(D965*E965,0)</f>
        <v>60</v>
      </c>
      <c r="G965" s="60" t="str">
        <f>INDEX(SETORES!$B:$B,MATCH(A965,SETORES!$A:$A,0))</f>
        <v>Clientes</v>
      </c>
      <c r="H965" s="60" t="s">
        <v>21</v>
      </c>
    </row>
    <row r="966" spans="1:8" ht="14.25" hidden="1" customHeight="1" x14ac:dyDescent="0.3">
      <c r="A966" s="2" t="s">
        <v>34</v>
      </c>
      <c r="B966" s="60" t="s">
        <v>155</v>
      </c>
      <c r="C966" s="60" t="s">
        <v>248</v>
      </c>
      <c r="D966" s="68">
        <v>1</v>
      </c>
      <c r="E966" s="73">
        <v>3259.19</v>
      </c>
      <c r="F966" s="79">
        <f>IFERROR(D966*E966,0)</f>
        <v>3259.19</v>
      </c>
      <c r="G966" s="60" t="str">
        <f>INDEX(SETORES!$B:$B,MATCH(A966,SETORES!$A:$A,0))</f>
        <v>Clientes</v>
      </c>
      <c r="H966" s="60" t="s">
        <v>21</v>
      </c>
    </row>
    <row r="967" spans="1:8" ht="14.25" customHeight="1" x14ac:dyDescent="0.3">
      <c r="A967" s="2" t="s">
        <v>34</v>
      </c>
      <c r="B967" s="60" t="s">
        <v>155</v>
      </c>
      <c r="C967" s="60" t="s">
        <v>171</v>
      </c>
      <c r="D967" s="68">
        <v>6</v>
      </c>
      <c r="E967" s="73">
        <v>43.54</v>
      </c>
      <c r="F967" s="79">
        <f>IFERROR(D967*E967,0)</f>
        <v>261.24</v>
      </c>
      <c r="G967" s="60" t="s">
        <v>98</v>
      </c>
      <c r="H967" s="60" t="s">
        <v>21</v>
      </c>
    </row>
    <row r="968" spans="1:8" ht="14.25" hidden="1" customHeight="1" x14ac:dyDescent="0.3">
      <c r="A968" s="34" t="s">
        <v>34</v>
      </c>
      <c r="B968" s="61" t="s">
        <v>155</v>
      </c>
      <c r="C968" s="61" t="s">
        <v>170</v>
      </c>
      <c r="D968" s="69">
        <v>6</v>
      </c>
      <c r="E968" s="74">
        <v>29.74</v>
      </c>
      <c r="F968" s="80">
        <f>IFERROR(D968*E968,0)</f>
        <v>178.44</v>
      </c>
      <c r="G968" s="60" t="s">
        <v>98</v>
      </c>
      <c r="H968" s="61" t="s">
        <v>21</v>
      </c>
    </row>
    <row r="969" spans="1:8" ht="14.25" hidden="1" customHeight="1" x14ac:dyDescent="0.3">
      <c r="A969" s="34" t="s">
        <v>34</v>
      </c>
      <c r="B969" s="61" t="s">
        <v>155</v>
      </c>
      <c r="C969" s="61" t="s">
        <v>169</v>
      </c>
      <c r="D969" s="69">
        <v>6</v>
      </c>
      <c r="E969" s="74">
        <v>47.66</v>
      </c>
      <c r="F969" s="80">
        <f>IFERROR(D969*E969,0)</f>
        <v>285.95999999999998</v>
      </c>
      <c r="G969" s="60" t="s">
        <v>98</v>
      </c>
      <c r="H969" s="61" t="s">
        <v>21</v>
      </c>
    </row>
    <row r="970" spans="1:8" ht="14.25" hidden="1" customHeight="1" x14ac:dyDescent="0.3">
      <c r="A970" s="34" t="s">
        <v>34</v>
      </c>
      <c r="B970" s="61" t="s">
        <v>155</v>
      </c>
      <c r="C970" s="61" t="s">
        <v>158</v>
      </c>
      <c r="D970" s="69">
        <v>1</v>
      </c>
      <c r="E970" s="74">
        <v>49.637999999999998</v>
      </c>
      <c r="F970" s="80">
        <v>49.637999999999998</v>
      </c>
      <c r="G970" s="61" t="str">
        <f>INDEX(SETORES!$B:$B,MATCH(A970,SETORES!$A:$A,0))</f>
        <v>Clientes</v>
      </c>
      <c r="H970" s="61" t="s">
        <v>21</v>
      </c>
    </row>
    <row r="971" spans="1:8" ht="14.25" hidden="1" customHeight="1" x14ac:dyDescent="0.3">
      <c r="A971" s="34" t="s">
        <v>34</v>
      </c>
      <c r="B971" s="61" t="s">
        <v>162</v>
      </c>
      <c r="C971" s="61" t="s">
        <v>165</v>
      </c>
      <c r="D971" s="69"/>
      <c r="E971" s="74"/>
      <c r="F971" s="80">
        <f>IFERROR(D971*E971,0)</f>
        <v>0</v>
      </c>
      <c r="G971" s="61" t="str">
        <f>INDEX(SETORES!$B:$B,MATCH(A971,SETORES!$A:$A,0))</f>
        <v>Clientes</v>
      </c>
      <c r="H971" s="61" t="s">
        <v>21</v>
      </c>
    </row>
    <row r="972" spans="1:8" ht="14.25" hidden="1" customHeight="1" x14ac:dyDescent="0.3">
      <c r="A972" s="34" t="s">
        <v>34</v>
      </c>
      <c r="B972" s="61" t="s">
        <v>162</v>
      </c>
      <c r="C972" s="61" t="s">
        <v>163</v>
      </c>
      <c r="D972" s="69">
        <v>3</v>
      </c>
      <c r="E972" s="74">
        <v>45</v>
      </c>
      <c r="F972" s="80">
        <f>IFERROR(D972*E972,0)</f>
        <v>135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162</v>
      </c>
      <c r="C973" s="60" t="s">
        <v>164</v>
      </c>
      <c r="D973" s="68"/>
      <c r="E973" s="73"/>
      <c r="F973" s="79">
        <f>IFERROR(D973*E973,0)</f>
        <v>0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161</v>
      </c>
      <c r="D974" s="68">
        <v>1</v>
      </c>
      <c r="E974" s="73">
        <v>22488.240000000002</v>
      </c>
      <c r="F974" s="79">
        <f>IFERROR(E974,0)</f>
        <v>22488.240000000002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34" t="s">
        <v>34</v>
      </c>
      <c r="B975" s="61" t="s">
        <v>155</v>
      </c>
      <c r="C975" s="61" t="s">
        <v>167</v>
      </c>
      <c r="D975" s="69">
        <v>6</v>
      </c>
      <c r="E975" s="74">
        <v>9.92</v>
      </c>
      <c r="F975" s="80">
        <f>IFERROR(D975*E975,0)</f>
        <v>59.519999999999996</v>
      </c>
      <c r="G975" s="61" t="str">
        <f>INDEX(SETORES!$B:$B,MATCH(A975,SETORES!$A:$A,0))</f>
        <v>Clientes</v>
      </c>
      <c r="H975" s="61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238</v>
      </c>
      <c r="D976" s="68">
        <v>1</v>
      </c>
      <c r="E976" s="73">
        <v>5.882352</v>
      </c>
      <c r="F976" s="79">
        <f>IFERROR(D976*E976,0)</f>
        <v>5.882352</v>
      </c>
      <c r="G976" s="60" t="str">
        <f>INDEX(SETORES!$B:$B,MATCH(A976,SETORES!$A:$A,0))</f>
        <v>Clientes</v>
      </c>
      <c r="H976" s="60" t="s">
        <v>21</v>
      </c>
    </row>
    <row r="977" spans="1:8" ht="14.25" hidden="1" customHeight="1" x14ac:dyDescent="0.3">
      <c r="A977" s="2" t="s">
        <v>34</v>
      </c>
      <c r="B977" s="60" t="s">
        <v>155</v>
      </c>
      <c r="C977" s="60" t="s">
        <v>166</v>
      </c>
      <c r="D977" s="68">
        <v>6</v>
      </c>
      <c r="E977" s="73">
        <v>50</v>
      </c>
      <c r="F977" s="79">
        <f>IFERROR(D977*E977,0)</f>
        <v>300</v>
      </c>
      <c r="G977" s="60" t="str">
        <f>INDEX(SETORES!$B:$B,MATCH(A977,SETORES!$A:$A,0))</f>
        <v>Clientes</v>
      </c>
      <c r="H977" s="60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156</v>
      </c>
      <c r="D978" s="69">
        <v>6</v>
      </c>
      <c r="E978" s="74">
        <v>3.1032999999999999</v>
      </c>
      <c r="F978" s="80">
        <v>18.619800000000001</v>
      </c>
      <c r="G978" s="61" t="str">
        <f>INDEX(SETORES!$B:$B,MATCH(A978,SETORES!$A:$A,0))</f>
        <v>Clientes</v>
      </c>
      <c r="H978" s="61" t="s">
        <v>21</v>
      </c>
    </row>
    <row r="979" spans="1:8" ht="14.25" hidden="1" customHeight="1" x14ac:dyDescent="0.3">
      <c r="A979" s="2" t="s">
        <v>34</v>
      </c>
      <c r="B979" s="60" t="s">
        <v>155</v>
      </c>
      <c r="C979" s="60" t="s">
        <v>157</v>
      </c>
      <c r="D979" s="68">
        <v>1</v>
      </c>
      <c r="E979" s="73">
        <v>188.83</v>
      </c>
      <c r="F979" s="79">
        <v>188.83</v>
      </c>
      <c r="G979" s="60" t="str">
        <f>INDEX(SETORES!$B:$B,MATCH(A979,SETORES!$A:$A,0))</f>
        <v>Clientes</v>
      </c>
      <c r="H979" s="60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222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2" t="s">
        <v>34</v>
      </c>
      <c r="B981" s="60" t="s">
        <v>155</v>
      </c>
      <c r="C981" s="60" t="s">
        <v>168</v>
      </c>
      <c r="D981" s="68">
        <v>6</v>
      </c>
      <c r="E981" s="73">
        <v>2.0499999999999998</v>
      </c>
      <c r="F981" s="79">
        <f>IFERROR(D981*E981,0)</f>
        <v>12.299999999999999</v>
      </c>
      <c r="G981" s="60" t="str">
        <f>INDEX(SETORES!$B:$B,MATCH(A981,SETORES!$A:$A,0))</f>
        <v>Clientes</v>
      </c>
      <c r="H981" s="60" t="s">
        <v>21</v>
      </c>
    </row>
    <row r="982" spans="1:8" ht="14.25" hidden="1" customHeight="1" x14ac:dyDescent="0.3">
      <c r="A982" s="34" t="s">
        <v>34</v>
      </c>
      <c r="B982" s="61" t="s">
        <v>155</v>
      </c>
      <c r="C982" s="61" t="s">
        <v>160</v>
      </c>
      <c r="D982" s="69"/>
      <c r="E982" s="74"/>
      <c r="F982" s="80">
        <f>IFERROR(D982*E982,0)</f>
        <v>0</v>
      </c>
      <c r="G982" s="61" t="str">
        <f>INDEX(SETORES!$B:$B,MATCH(A982,SETORES!$A:$A,0))</f>
        <v>Clientes</v>
      </c>
      <c r="H982" s="61" t="s">
        <v>21</v>
      </c>
    </row>
    <row r="983" spans="1:8" ht="14.25" hidden="1" customHeight="1" x14ac:dyDescent="0.3">
      <c r="A983" s="34" t="s">
        <v>83</v>
      </c>
      <c r="B983" s="61" t="s">
        <v>155</v>
      </c>
      <c r="C983" s="61" t="s">
        <v>212</v>
      </c>
      <c r="D983" s="69">
        <v>2</v>
      </c>
      <c r="E983" s="74">
        <v>30</v>
      </c>
      <c r="F983" s="80">
        <f>IFERROR(D983*E983,0)</f>
        <v>60</v>
      </c>
      <c r="G983" s="61" t="str">
        <f>INDEX(SETORES!$B:$B,MATCH(A983,SETORES!$A:$A,0))</f>
        <v>Clientes</v>
      </c>
      <c r="H983" s="61" t="s">
        <v>21</v>
      </c>
    </row>
    <row r="984" spans="1:8" ht="14.25" hidden="1" customHeight="1" x14ac:dyDescent="0.3">
      <c r="A984" s="2" t="s">
        <v>83</v>
      </c>
      <c r="B984" s="60" t="s">
        <v>162</v>
      </c>
      <c r="C984" s="60" t="s">
        <v>217</v>
      </c>
      <c r="D984" s="68">
        <v>1</v>
      </c>
      <c r="E984" s="73">
        <v>1878.14</v>
      </c>
      <c r="F984" s="79">
        <f>IFERROR(D984*E984,0)</f>
        <v>1878.14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34" t="s">
        <v>83</v>
      </c>
      <c r="B985" s="61" t="s">
        <v>155</v>
      </c>
      <c r="C985" s="61" t="s">
        <v>237</v>
      </c>
      <c r="D985" s="69">
        <v>1</v>
      </c>
      <c r="E985" s="74">
        <v>7500</v>
      </c>
      <c r="F985" s="80">
        <f>IFERROR(D985*E985,0)</f>
        <v>7500</v>
      </c>
      <c r="G985" s="61" t="str">
        <f>INDEX(SETORES!$B:$B,MATCH(A985,SETORES!$A:$A,0))</f>
        <v>Clientes</v>
      </c>
      <c r="H985" s="61" t="s">
        <v>21</v>
      </c>
    </row>
    <row r="986" spans="1:8" ht="14.25" customHeight="1" x14ac:dyDescent="0.3">
      <c r="A986" s="2" t="s">
        <v>83</v>
      </c>
      <c r="B986" s="60" t="s">
        <v>155</v>
      </c>
      <c r="C986" s="60" t="s">
        <v>171</v>
      </c>
      <c r="D986" s="68">
        <v>2</v>
      </c>
      <c r="E986" s="73">
        <v>43.54</v>
      </c>
      <c r="F986" s="79">
        <f>IFERROR(D986*E986,0)</f>
        <v>87.08</v>
      </c>
      <c r="G986" s="60" t="s">
        <v>98</v>
      </c>
      <c r="H986" s="60" t="s">
        <v>21</v>
      </c>
    </row>
    <row r="987" spans="1:8" ht="14.25" hidden="1" customHeight="1" x14ac:dyDescent="0.3">
      <c r="A987" s="34" t="s">
        <v>83</v>
      </c>
      <c r="B987" s="61" t="s">
        <v>155</v>
      </c>
      <c r="C987" s="61" t="s">
        <v>170</v>
      </c>
      <c r="D987" s="69">
        <v>2</v>
      </c>
      <c r="E987" s="74">
        <v>29.74</v>
      </c>
      <c r="F987" s="80">
        <f>IFERROR(D987*E987,0)</f>
        <v>59.48</v>
      </c>
      <c r="G987" s="60" t="s">
        <v>98</v>
      </c>
      <c r="H987" s="61" t="s">
        <v>21</v>
      </c>
    </row>
    <row r="988" spans="1:8" ht="14.25" hidden="1" customHeight="1" x14ac:dyDescent="0.3">
      <c r="A988" s="34" t="s">
        <v>83</v>
      </c>
      <c r="B988" s="61" t="s">
        <v>155</v>
      </c>
      <c r="C988" s="61" t="s">
        <v>169</v>
      </c>
      <c r="D988" s="69">
        <v>2</v>
      </c>
      <c r="E988" s="74">
        <v>47.66</v>
      </c>
      <c r="F988" s="80">
        <f>IFERROR(D988*E988,0)</f>
        <v>95.32</v>
      </c>
      <c r="G988" s="60" t="s">
        <v>98</v>
      </c>
      <c r="H988" s="61" t="s">
        <v>21</v>
      </c>
    </row>
    <row r="989" spans="1:8" ht="14.25" hidden="1" customHeight="1" x14ac:dyDescent="0.3">
      <c r="A989" s="2" t="s">
        <v>83</v>
      </c>
      <c r="B989" s="60" t="s">
        <v>155</v>
      </c>
      <c r="C989" s="60" t="s">
        <v>161</v>
      </c>
      <c r="D989" s="68">
        <v>1</v>
      </c>
      <c r="E989" s="73">
        <v>6068.32</v>
      </c>
      <c r="F989" s="79">
        <f>IFERROR(E989,0)</f>
        <v>6068.32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2" t="s">
        <v>83</v>
      </c>
      <c r="B990" s="60" t="s">
        <v>155</v>
      </c>
      <c r="C990" s="60" t="s">
        <v>167</v>
      </c>
      <c r="D990" s="68">
        <v>2</v>
      </c>
      <c r="E990" s="73">
        <v>9.92</v>
      </c>
      <c r="F990" s="79">
        <f>IFERROR(D990*E990,0)</f>
        <v>19.84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83</v>
      </c>
      <c r="B991" s="61" t="s">
        <v>155</v>
      </c>
      <c r="C991" s="61" t="s">
        <v>238</v>
      </c>
      <c r="D991" s="69">
        <v>1</v>
      </c>
      <c r="E991" s="74">
        <v>0</v>
      </c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2" t="s">
        <v>83</v>
      </c>
      <c r="B992" s="60" t="s">
        <v>155</v>
      </c>
      <c r="C992" s="60" t="s">
        <v>166</v>
      </c>
      <c r="D992" s="68">
        <v>3</v>
      </c>
      <c r="E992" s="73">
        <v>50</v>
      </c>
      <c r="F992" s="79">
        <f>IFERROR(D992*E992,0)</f>
        <v>150</v>
      </c>
      <c r="G992" s="60" t="str">
        <f>INDEX(SETORES!$B:$B,MATCH(A992,SETORES!$A:$A,0))</f>
        <v>Clientes</v>
      </c>
      <c r="H992" s="60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157</v>
      </c>
      <c r="D993" s="69">
        <v>1</v>
      </c>
      <c r="E993" s="74">
        <v>71.13</v>
      </c>
      <c r="F993" s="80">
        <v>71.13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162</v>
      </c>
      <c r="C994" s="60" t="s">
        <v>222</v>
      </c>
      <c r="D994" s="68"/>
      <c r="E994" s="73"/>
      <c r="F994" s="79">
        <f>IFERROR(D994*E994,0)</f>
        <v>0</v>
      </c>
      <c r="G994" s="60" t="str">
        <f>INDEX(SETORES!$B:$B,MATCH(A994,SETORES!$A:$A,0))</f>
        <v>Clientes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168</v>
      </c>
      <c r="D995" s="69">
        <v>2</v>
      </c>
      <c r="E995" s="74">
        <v>2.0499999999999998</v>
      </c>
      <c r="F995" s="80">
        <f>IFERROR(D995*E995,0)</f>
        <v>4.0999999999999996</v>
      </c>
      <c r="G995" s="61" t="str">
        <f>INDEX(SETORES!$B:$B,MATCH(A995,SETORES!$A:$A,0))</f>
        <v>Clientes</v>
      </c>
      <c r="H995" s="61" t="s">
        <v>21</v>
      </c>
    </row>
    <row r="996" spans="1:8" ht="14.25" hidden="1" customHeight="1" x14ac:dyDescent="0.3">
      <c r="A996" s="2" t="s">
        <v>84</v>
      </c>
      <c r="B996" s="60" t="s">
        <v>162</v>
      </c>
      <c r="C996" s="60" t="s">
        <v>217</v>
      </c>
      <c r="D996" s="68">
        <v>1</v>
      </c>
      <c r="E996" s="73">
        <v>7771.58</v>
      </c>
      <c r="F996" s="79">
        <f>IFERROR(D996*E996,0)</f>
        <v>7771.58</v>
      </c>
      <c r="G996" s="60" t="str">
        <f>INDEX(SETORES!$B:$B,MATCH(A996,SETORES!$A:$A,0))</f>
        <v>Clientes</v>
      </c>
      <c r="H996" s="60" t="s">
        <v>21</v>
      </c>
    </row>
    <row r="997" spans="1:8" ht="14.25" hidden="1" customHeight="1" x14ac:dyDescent="0.3">
      <c r="A997" s="2" t="s">
        <v>84</v>
      </c>
      <c r="B997" s="60" t="s">
        <v>155</v>
      </c>
      <c r="C997" s="60" t="s">
        <v>250</v>
      </c>
      <c r="D997" s="68">
        <v>1</v>
      </c>
      <c r="E997" s="73">
        <v>3897.73</v>
      </c>
      <c r="F997" s="79">
        <f>IFERROR(D997*E997,0)</f>
        <v>3897.73</v>
      </c>
      <c r="G997" s="60" t="str">
        <f>INDEX(SETORES!$B:$B,MATCH(A997,SETORES!$A:$A,0))</f>
        <v>Clientes</v>
      </c>
      <c r="H997" s="60" t="s">
        <v>21</v>
      </c>
    </row>
    <row r="998" spans="1:8" ht="14.25" customHeight="1" x14ac:dyDescent="0.3">
      <c r="A998" s="2" t="s">
        <v>84</v>
      </c>
      <c r="B998" s="60" t="s">
        <v>155</v>
      </c>
      <c r="C998" s="60" t="s">
        <v>171</v>
      </c>
      <c r="D998" s="68">
        <v>22</v>
      </c>
      <c r="E998" s="73">
        <v>43.54</v>
      </c>
      <c r="F998" s="79">
        <f>IFERROR(D998*E998,0)</f>
        <v>957.88</v>
      </c>
      <c r="G998" s="60" t="s">
        <v>98</v>
      </c>
      <c r="H998" s="60" t="s">
        <v>21</v>
      </c>
    </row>
    <row r="999" spans="1:8" ht="14.25" hidden="1" customHeight="1" x14ac:dyDescent="0.3">
      <c r="A999" s="34" t="s">
        <v>84</v>
      </c>
      <c r="B999" s="61" t="s">
        <v>155</v>
      </c>
      <c r="C999" s="61" t="s">
        <v>170</v>
      </c>
      <c r="D999" s="69">
        <v>22</v>
      </c>
      <c r="E999" s="74">
        <v>29.74</v>
      </c>
      <c r="F999" s="80">
        <f>IFERROR(D999*E999,0)</f>
        <v>654.28</v>
      </c>
      <c r="G999" s="60" t="s">
        <v>98</v>
      </c>
      <c r="H999" s="61" t="s">
        <v>21</v>
      </c>
    </row>
    <row r="1000" spans="1:8" ht="14.25" hidden="1" customHeight="1" x14ac:dyDescent="0.3">
      <c r="A1000" s="34" t="s">
        <v>84</v>
      </c>
      <c r="B1000" s="61" t="s">
        <v>155</v>
      </c>
      <c r="C1000" s="61" t="s">
        <v>169</v>
      </c>
      <c r="D1000" s="69">
        <v>22</v>
      </c>
      <c r="E1000" s="74">
        <v>47.66</v>
      </c>
      <c r="F1000" s="80">
        <f>IFERROR(D1000*E1000,0)</f>
        <v>1048.52</v>
      </c>
      <c r="G1000" s="60" t="s">
        <v>98</v>
      </c>
      <c r="H1000" s="61" t="s">
        <v>21</v>
      </c>
    </row>
    <row r="1001" spans="1:8" ht="14.25" hidden="1" customHeight="1" x14ac:dyDescent="0.3">
      <c r="A1001" s="34" t="s">
        <v>84</v>
      </c>
      <c r="B1001" s="61" t="s">
        <v>162</v>
      </c>
      <c r="C1001" s="61" t="s">
        <v>221</v>
      </c>
      <c r="D1001" s="69">
        <v>1</v>
      </c>
      <c r="E1001" s="74">
        <v>7429.1</v>
      </c>
      <c r="F1001" s="80">
        <f>IFERROR(D1001*E1001,0)</f>
        <v>7429.1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34" t="s">
        <v>84</v>
      </c>
      <c r="B1002" s="61" t="s">
        <v>155</v>
      </c>
      <c r="C1002" s="61" t="s">
        <v>161</v>
      </c>
      <c r="D1002" s="69">
        <v>1</v>
      </c>
      <c r="E1002" s="74">
        <v>158087.5</v>
      </c>
      <c r="F1002" s="80">
        <f>IFERROR(E1002,0)</f>
        <v>158087.5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84</v>
      </c>
      <c r="B1003" s="60" t="s">
        <v>155</v>
      </c>
      <c r="C1003" s="60" t="s">
        <v>167</v>
      </c>
      <c r="D1003" s="68">
        <v>22</v>
      </c>
      <c r="E1003" s="73">
        <v>9.92</v>
      </c>
      <c r="F1003" s="79">
        <f>IFERROR(D1003*E1003,0)</f>
        <v>218.24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2" t="s">
        <v>84</v>
      </c>
      <c r="B1004" s="60" t="s">
        <v>155</v>
      </c>
      <c r="C1004" s="60" t="s">
        <v>166</v>
      </c>
      <c r="D1004" s="68">
        <v>1</v>
      </c>
      <c r="E1004" s="73">
        <v>50</v>
      </c>
      <c r="F1004" s="79">
        <f>IFERROR(D1004*E1004,0)</f>
        <v>50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34" t="s">
        <v>84</v>
      </c>
      <c r="B1005" s="61" t="s">
        <v>155</v>
      </c>
      <c r="C1005" s="61" t="s">
        <v>168</v>
      </c>
      <c r="D1005" s="69">
        <v>22</v>
      </c>
      <c r="E1005" s="74">
        <v>2.0499999999999998</v>
      </c>
      <c r="F1005" s="80">
        <f>IFERROR(D1005*E1005,0)</f>
        <v>45.099999999999994</v>
      </c>
      <c r="G1005" s="61" t="str">
        <f>INDEX(SETORES!$B:$B,MATCH(A1005,SETORES!$A:$A,0))</f>
        <v>Clientes</v>
      </c>
      <c r="H1005" s="61" t="s">
        <v>21</v>
      </c>
    </row>
    <row r="1006" spans="1:8" ht="14.25" hidden="1" customHeight="1" x14ac:dyDescent="0.3">
      <c r="A1006" s="34" t="s">
        <v>48</v>
      </c>
      <c r="B1006" s="61" t="s">
        <v>155</v>
      </c>
      <c r="C1006" s="61" t="s">
        <v>159</v>
      </c>
      <c r="D1006" s="69">
        <v>14</v>
      </c>
      <c r="E1006" s="74">
        <v>3.3247</v>
      </c>
      <c r="F1006" s="80">
        <v>46.5458</v>
      </c>
      <c r="G1006" s="61" t="str">
        <f>INDEX(SETORES!$B:$B,MATCH(A1006,SETORES!$A:$A,0))</f>
        <v>Clientes</v>
      </c>
      <c r="H1006" s="61" t="s">
        <v>21</v>
      </c>
    </row>
    <row r="1007" spans="1:8" ht="14.25" hidden="1" customHeight="1" x14ac:dyDescent="0.3">
      <c r="A1007" s="2" t="s">
        <v>48</v>
      </c>
      <c r="B1007" s="60" t="s">
        <v>155</v>
      </c>
      <c r="C1007" s="60" t="s">
        <v>212</v>
      </c>
      <c r="D1007" s="68">
        <v>7</v>
      </c>
      <c r="E1007" s="73">
        <v>30</v>
      </c>
      <c r="F1007" s="79">
        <f>IFERROR(D1007*E1007,0)</f>
        <v>210</v>
      </c>
      <c r="G1007" s="60" t="str">
        <f>INDEX(SETORES!$B:$B,MATCH(A1007,SETORES!$A:$A,0))</f>
        <v>Clientes</v>
      </c>
      <c r="H1007" s="60" t="s">
        <v>21</v>
      </c>
    </row>
    <row r="1008" spans="1:8" ht="14.25" hidden="1" customHeight="1" x14ac:dyDescent="0.3">
      <c r="A1008" s="2" t="s">
        <v>48</v>
      </c>
      <c r="B1008" s="60" t="s">
        <v>162</v>
      </c>
      <c r="C1008" s="60" t="s">
        <v>217</v>
      </c>
      <c r="D1008" s="68">
        <v>1</v>
      </c>
      <c r="E1008" s="73">
        <v>37632.61</v>
      </c>
      <c r="F1008" s="79">
        <f>IFERROR(D1008*E1008,0)</f>
        <v>37632.61</v>
      </c>
      <c r="G1008" s="60" t="str">
        <f>INDEX(SETORES!$B:$B,MATCH(A1008,SETORES!$A:$A,0))</f>
        <v>Clientes</v>
      </c>
      <c r="H1008" s="60" t="s">
        <v>21</v>
      </c>
    </row>
    <row r="1009" spans="1:8" ht="14.25" hidden="1" customHeight="1" x14ac:dyDescent="0.3">
      <c r="A1009" s="2" t="s">
        <v>48</v>
      </c>
      <c r="B1009" s="60" t="s">
        <v>162</v>
      </c>
      <c r="C1009" s="60" t="s">
        <v>247</v>
      </c>
      <c r="D1009" s="68">
        <v>1</v>
      </c>
      <c r="E1009" s="73">
        <v>21332.99</v>
      </c>
      <c r="F1009" s="79">
        <f>IFERROR(D1009*E1009,0)</f>
        <v>21332.99</v>
      </c>
      <c r="G1009" s="60" t="str">
        <f>INDEX(SETORES!$B:$B,MATCH(A1009,SETORES!$A:$A,0))</f>
        <v>Clientes</v>
      </c>
      <c r="H1009" s="60" t="s">
        <v>21</v>
      </c>
    </row>
    <row r="1010" spans="1:8" ht="14.25" hidden="1" customHeight="1" x14ac:dyDescent="0.3">
      <c r="A1010" s="2" t="s">
        <v>48</v>
      </c>
      <c r="B1010" s="60" t="s">
        <v>155</v>
      </c>
      <c r="C1010" s="60" t="s">
        <v>256</v>
      </c>
      <c r="D1010" s="68">
        <v>1</v>
      </c>
      <c r="E1010" s="73">
        <v>10847.070632999999</v>
      </c>
      <c r="F1010" s="79">
        <v>10847.070632999999</v>
      </c>
      <c r="G1010" s="60" t="s">
        <v>96</v>
      </c>
      <c r="H1010" s="60" t="s">
        <v>21</v>
      </c>
    </row>
    <row r="1011" spans="1:8" ht="14.25" customHeight="1" x14ac:dyDescent="0.3">
      <c r="A1011" s="34" t="s">
        <v>48</v>
      </c>
      <c r="B1011" s="61" t="s">
        <v>155</v>
      </c>
      <c r="C1011" s="61" t="s">
        <v>171</v>
      </c>
      <c r="D1011" s="69">
        <v>14</v>
      </c>
      <c r="E1011" s="74">
        <v>43.54</v>
      </c>
      <c r="F1011" s="80">
        <v>609.55999999999995</v>
      </c>
      <c r="G1011" s="60" t="s">
        <v>98</v>
      </c>
      <c r="H1011" s="61" t="s">
        <v>21</v>
      </c>
    </row>
    <row r="1012" spans="1:8" ht="14.25" hidden="1" customHeight="1" x14ac:dyDescent="0.3">
      <c r="A1012" s="2" t="s">
        <v>48</v>
      </c>
      <c r="B1012" s="60" t="s">
        <v>155</v>
      </c>
      <c r="C1012" s="60" t="s">
        <v>170</v>
      </c>
      <c r="D1012" s="68">
        <v>14</v>
      </c>
      <c r="E1012" s="73">
        <v>29.74</v>
      </c>
      <c r="F1012" s="79">
        <v>416.36</v>
      </c>
      <c r="G1012" s="60" t="s">
        <v>98</v>
      </c>
      <c r="H1012" s="60" t="s">
        <v>21</v>
      </c>
    </row>
    <row r="1013" spans="1:8" ht="14.25" hidden="1" customHeight="1" x14ac:dyDescent="0.3">
      <c r="A1013" s="2" t="s">
        <v>48</v>
      </c>
      <c r="B1013" s="60" t="s">
        <v>155</v>
      </c>
      <c r="C1013" s="60" t="s">
        <v>169</v>
      </c>
      <c r="D1013" s="68">
        <v>14</v>
      </c>
      <c r="E1013" s="73">
        <v>47.66</v>
      </c>
      <c r="F1013" s="79">
        <v>667.24</v>
      </c>
      <c r="G1013" s="60" t="s">
        <v>98</v>
      </c>
      <c r="H1013" s="60" t="s">
        <v>21</v>
      </c>
    </row>
    <row r="1014" spans="1:8" ht="14.25" hidden="1" customHeight="1" x14ac:dyDescent="0.3">
      <c r="A1014" s="2" t="s">
        <v>48</v>
      </c>
      <c r="B1014" s="60" t="s">
        <v>155</v>
      </c>
      <c r="C1014" s="60" t="s">
        <v>158</v>
      </c>
      <c r="D1014" s="68">
        <v>14</v>
      </c>
      <c r="E1014" s="73">
        <v>21.258199999999999</v>
      </c>
      <c r="F1014" s="79">
        <v>297.6148</v>
      </c>
      <c r="G1014" s="60" t="str">
        <f>INDEX(SETORES!$B:$B,MATCH(A1014,SETORES!$A:$A,0))</f>
        <v>Clientes</v>
      </c>
      <c r="H1014" s="60" t="s">
        <v>21</v>
      </c>
    </row>
    <row r="1015" spans="1:8" ht="14.25" hidden="1" customHeight="1" x14ac:dyDescent="0.3">
      <c r="A1015" s="2" t="s">
        <v>48</v>
      </c>
      <c r="B1015" s="60" t="s">
        <v>162</v>
      </c>
      <c r="C1015" s="60" t="s">
        <v>221</v>
      </c>
      <c r="D1015" s="68"/>
      <c r="E1015" s="73"/>
      <c r="F1015" s="79">
        <f>IFERROR(D1015*E1015,0)</f>
        <v>0</v>
      </c>
      <c r="G1015" s="60" t="str">
        <f>INDEX(SETORES!$B:$B,MATCH(A1015,SETORES!$A:$A,0))</f>
        <v>Clientes</v>
      </c>
      <c r="H1015" s="60" t="s">
        <v>21</v>
      </c>
    </row>
    <row r="1016" spans="1:8" ht="14.25" hidden="1" customHeight="1" x14ac:dyDescent="0.3">
      <c r="A1016" s="2" t="s">
        <v>48</v>
      </c>
      <c r="B1016" s="60" t="s">
        <v>162</v>
      </c>
      <c r="C1016" s="60" t="s">
        <v>165</v>
      </c>
      <c r="D1016" s="68">
        <v>1</v>
      </c>
      <c r="E1016" s="73">
        <v>35</v>
      </c>
      <c r="F1016" s="79">
        <f>IFERROR(D1016*E1016,0)</f>
        <v>35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163</v>
      </c>
      <c r="D1017" s="68">
        <v>2</v>
      </c>
      <c r="E1017" s="73">
        <v>68</v>
      </c>
      <c r="F1017" s="79">
        <f>IFERROR(D1017*E1017,0)</f>
        <v>136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34" t="s">
        <v>48</v>
      </c>
      <c r="B1018" s="61" t="s">
        <v>162</v>
      </c>
      <c r="C1018" s="61" t="s">
        <v>164</v>
      </c>
      <c r="D1018" s="69"/>
      <c r="E1018" s="74"/>
      <c r="F1018" s="80">
        <f>IFERROR(D1018*E1018,0)</f>
        <v>0</v>
      </c>
      <c r="G1018" s="61" t="str">
        <f>INDEX(SETORES!$B:$B,MATCH(A1018,SETORES!$A:$A,0))</f>
        <v>Clientes</v>
      </c>
      <c r="H1018" s="61" t="s">
        <v>21</v>
      </c>
    </row>
    <row r="1019" spans="1:8" ht="14.25" hidden="1" customHeight="1" x14ac:dyDescent="0.3">
      <c r="A1019" s="34" t="s">
        <v>48</v>
      </c>
      <c r="B1019" s="61" t="s">
        <v>155</v>
      </c>
      <c r="C1019" s="61" t="s">
        <v>161</v>
      </c>
      <c r="D1019" s="69">
        <v>1</v>
      </c>
      <c r="E1019" s="74">
        <v>66787.046329000004</v>
      </c>
      <c r="F1019" s="80">
        <v>66787.046329000004</v>
      </c>
      <c r="G1019" s="61" t="str">
        <f>INDEX(SETORES!$B:$B,MATCH(A1019,SETORES!$A:$A,0))</f>
        <v>Clientes</v>
      </c>
      <c r="H1019" s="61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167</v>
      </c>
      <c r="D1020" s="68">
        <v>14</v>
      </c>
      <c r="E1020" s="73">
        <v>9.92</v>
      </c>
      <c r="F1020" s="79">
        <v>138.88</v>
      </c>
      <c r="G1020" s="60" t="str">
        <f>INDEX(SETORES!$B:$B,MATCH(A1020,SETORES!$A:$A,0))</f>
        <v>Clientes</v>
      </c>
      <c r="H1020" s="60" t="s">
        <v>21</v>
      </c>
    </row>
    <row r="1021" spans="1:8" ht="14.25" hidden="1" customHeight="1" x14ac:dyDescent="0.3">
      <c r="A1021" s="34" t="s">
        <v>48</v>
      </c>
      <c r="B1021" s="61" t="s">
        <v>155</v>
      </c>
      <c r="C1021" s="61" t="s">
        <v>238</v>
      </c>
      <c r="D1021" s="69">
        <v>1</v>
      </c>
      <c r="E1021" s="74">
        <v>403.58</v>
      </c>
      <c r="F1021" s="80">
        <f>IFERROR(D1021*E1021,0)</f>
        <v>403.58</v>
      </c>
      <c r="G1021" s="61" t="str">
        <f>INDEX(SETORES!$B:$B,MATCH(A1021,SETORES!$A:$A,0))</f>
        <v>Clientes</v>
      </c>
      <c r="H1021" s="61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166</v>
      </c>
      <c r="D1022" s="68">
        <v>3</v>
      </c>
      <c r="E1022" s="73">
        <v>50</v>
      </c>
      <c r="F1022" s="79">
        <f>IFERROR(D1022*E1022,0)</f>
        <v>150</v>
      </c>
      <c r="G1022" s="60" t="str">
        <f>INDEX(SETORES!$B:$B,MATCH(A1022,SETORES!$A:$A,0))</f>
        <v>Clientes</v>
      </c>
      <c r="H1022" s="60" t="s">
        <v>21</v>
      </c>
    </row>
    <row r="1023" spans="1:8" ht="14.25" hidden="1" customHeight="1" x14ac:dyDescent="0.3">
      <c r="A1023" s="34" t="s">
        <v>48</v>
      </c>
      <c r="B1023" s="61" t="s">
        <v>162</v>
      </c>
      <c r="C1023" s="61" t="s">
        <v>220</v>
      </c>
      <c r="D1023" s="69"/>
      <c r="E1023" s="74"/>
      <c r="F1023" s="80">
        <f>IFERROR(D1023*E1023,0)</f>
        <v>0</v>
      </c>
      <c r="G1023" s="61" t="str">
        <f>INDEX(SETORES!$B:$B,MATCH(A1023,SETORES!$A:$A,0))</f>
        <v>Clientes</v>
      </c>
      <c r="H1023" s="61" t="s">
        <v>21</v>
      </c>
    </row>
    <row r="1024" spans="1:8" ht="14.25" hidden="1" customHeight="1" x14ac:dyDescent="0.3">
      <c r="A1024" s="2" t="s">
        <v>48</v>
      </c>
      <c r="B1024" s="60" t="s">
        <v>155</v>
      </c>
      <c r="C1024" s="60" t="s">
        <v>156</v>
      </c>
      <c r="D1024" s="68"/>
      <c r="E1024" s="73"/>
      <c r="F1024" s="79"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34" t="s">
        <v>48</v>
      </c>
      <c r="B1025" s="61" t="s">
        <v>155</v>
      </c>
      <c r="C1025" s="61" t="s">
        <v>157</v>
      </c>
      <c r="D1025" s="69"/>
      <c r="E1025" s="74"/>
      <c r="F1025" s="80">
        <v>0</v>
      </c>
      <c r="G1025" s="61" t="str">
        <f>INDEX(SETORES!$B:$B,MATCH(A1025,SETORES!$A:$A,0))</f>
        <v>Clientes</v>
      </c>
      <c r="H1025" s="61" t="s">
        <v>21</v>
      </c>
    </row>
    <row r="1026" spans="1:8" ht="14.25" hidden="1" customHeight="1" x14ac:dyDescent="0.3">
      <c r="A1026" s="34" t="s">
        <v>48</v>
      </c>
      <c r="B1026" s="61" t="s">
        <v>162</v>
      </c>
      <c r="C1026" s="61" t="s">
        <v>209</v>
      </c>
      <c r="D1026" s="69">
        <v>14</v>
      </c>
      <c r="E1026" s="74">
        <v>76.92</v>
      </c>
      <c r="F1026" s="80">
        <v>1076.8800000000001</v>
      </c>
      <c r="G1026" s="61" t="str">
        <f>INDEX(SETORES!$B:$B,MATCH(A1026,SETORES!$A:$A,0))</f>
        <v>Clientes</v>
      </c>
      <c r="H1026" s="61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222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186</v>
      </c>
      <c r="D1028" s="69">
        <v>1</v>
      </c>
      <c r="E1028" s="74">
        <v>2911</v>
      </c>
      <c r="F1028" s="80">
        <f>IFERROR(D1028*E1028,0)</f>
        <v>2911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168</v>
      </c>
      <c r="D1029" s="69">
        <v>14</v>
      </c>
      <c r="E1029" s="74">
        <v>2.0499999999999998</v>
      </c>
      <c r="F1029" s="80">
        <v>28.7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160</v>
      </c>
      <c r="D1030" s="68"/>
      <c r="E1030" s="73"/>
      <c r="F1030" s="79">
        <f>IFERROR(D1030*E1030,0)</f>
        <v>0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47</v>
      </c>
      <c r="B1031" s="61" t="s">
        <v>155</v>
      </c>
      <c r="C1031" s="61" t="s">
        <v>212</v>
      </c>
      <c r="D1031" s="69">
        <v>7</v>
      </c>
      <c r="E1031" s="74">
        <v>30</v>
      </c>
      <c r="F1031" s="80">
        <f>IFERROR(D1031*E1031,0)</f>
        <v>210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34" t="s">
        <v>47</v>
      </c>
      <c r="B1032" s="61" t="s">
        <v>162</v>
      </c>
      <c r="C1032" s="61" t="s">
        <v>217</v>
      </c>
      <c r="D1032" s="69">
        <v>1</v>
      </c>
      <c r="E1032" s="74">
        <v>8877.73</v>
      </c>
      <c r="F1032" s="80">
        <f>IFERROR(D1032*E1032,0)</f>
        <v>8877.73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34" t="s">
        <v>47</v>
      </c>
      <c r="B1033" s="61" t="s">
        <v>155</v>
      </c>
      <c r="C1033" s="61" t="s">
        <v>250</v>
      </c>
      <c r="D1033" s="69">
        <v>1</v>
      </c>
      <c r="E1033" s="74">
        <v>2303.21</v>
      </c>
      <c r="F1033" s="80">
        <f>IFERROR(D1033*E1033,0)</f>
        <v>2303.21</v>
      </c>
      <c r="G1033" s="61" t="str">
        <f>INDEX(SETORES!$B:$B,MATCH(A1033,SETORES!$A:$A,0))</f>
        <v>Clientes</v>
      </c>
      <c r="H1033" s="61" t="s">
        <v>21</v>
      </c>
    </row>
    <row r="1034" spans="1:8" ht="14.25" customHeight="1" x14ac:dyDescent="0.3">
      <c r="A1034" s="2" t="s">
        <v>47</v>
      </c>
      <c r="B1034" s="60" t="s">
        <v>155</v>
      </c>
      <c r="C1034" s="60" t="s">
        <v>171</v>
      </c>
      <c r="D1034" s="68">
        <v>13</v>
      </c>
      <c r="E1034" s="73">
        <v>43.54</v>
      </c>
      <c r="F1034" s="79">
        <f>IFERROR(D1034*E1034,0)</f>
        <v>566.02</v>
      </c>
      <c r="G1034" s="60" t="s">
        <v>98</v>
      </c>
      <c r="H1034" s="60" t="s">
        <v>21</v>
      </c>
    </row>
    <row r="1035" spans="1:8" ht="14.25" hidden="1" customHeight="1" x14ac:dyDescent="0.3">
      <c r="A1035" s="34" t="s">
        <v>47</v>
      </c>
      <c r="B1035" s="61" t="s">
        <v>155</v>
      </c>
      <c r="C1035" s="61" t="s">
        <v>170</v>
      </c>
      <c r="D1035" s="69">
        <v>13</v>
      </c>
      <c r="E1035" s="74">
        <v>29.74</v>
      </c>
      <c r="F1035" s="80">
        <f>IFERROR(D1035*E1035,0)</f>
        <v>386.62</v>
      </c>
      <c r="G1035" s="60" t="s">
        <v>98</v>
      </c>
      <c r="H1035" s="61" t="s">
        <v>21</v>
      </c>
    </row>
    <row r="1036" spans="1:8" ht="14.25" hidden="1" customHeight="1" x14ac:dyDescent="0.3">
      <c r="A1036" s="34" t="s">
        <v>47</v>
      </c>
      <c r="B1036" s="61" t="s">
        <v>155</v>
      </c>
      <c r="C1036" s="61" t="s">
        <v>169</v>
      </c>
      <c r="D1036" s="69">
        <v>13</v>
      </c>
      <c r="E1036" s="74">
        <v>47.66</v>
      </c>
      <c r="F1036" s="80">
        <f>IFERROR(D1036*E1036,0)</f>
        <v>619.57999999999993</v>
      </c>
      <c r="G1036" s="60" t="s">
        <v>98</v>
      </c>
      <c r="H1036" s="61" t="s">
        <v>21</v>
      </c>
    </row>
    <row r="1037" spans="1:8" ht="14.25" hidden="1" customHeight="1" x14ac:dyDescent="0.3">
      <c r="A1037" s="34" t="s">
        <v>47</v>
      </c>
      <c r="B1037" s="61" t="s">
        <v>162</v>
      </c>
      <c r="C1037" s="61" t="s">
        <v>221</v>
      </c>
      <c r="D1037" s="69">
        <v>1</v>
      </c>
      <c r="E1037" s="74">
        <v>577.53</v>
      </c>
      <c r="F1037" s="80">
        <f>IFERROR(D1037*E1037,0)</f>
        <v>577.53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2" t="s">
        <v>47</v>
      </c>
      <c r="B1038" s="60" t="s">
        <v>162</v>
      </c>
      <c r="C1038" s="60" t="s">
        <v>165</v>
      </c>
      <c r="D1038" s="68">
        <v>1</v>
      </c>
      <c r="E1038" s="73">
        <v>735</v>
      </c>
      <c r="F1038" s="79">
        <f>IFERROR(D1038*E1038,0)</f>
        <v>735</v>
      </c>
      <c r="G1038" s="60" t="str">
        <f>INDEX(SETORES!$B:$B,MATCH(A1038,SETORES!$A:$A,0))</f>
        <v>Clientes</v>
      </c>
      <c r="H1038" s="60" t="s">
        <v>21</v>
      </c>
    </row>
    <row r="1039" spans="1:8" ht="14.25" hidden="1" customHeight="1" x14ac:dyDescent="0.3">
      <c r="A1039" s="2" t="s">
        <v>47</v>
      </c>
      <c r="B1039" s="60" t="s">
        <v>162</v>
      </c>
      <c r="C1039" s="60" t="s">
        <v>163</v>
      </c>
      <c r="D1039" s="68">
        <v>3</v>
      </c>
      <c r="E1039" s="73">
        <v>30</v>
      </c>
      <c r="F1039" s="79">
        <f>IFERROR(D1039*E1039,0)</f>
        <v>90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162</v>
      </c>
      <c r="C1040" s="61" t="s">
        <v>164</v>
      </c>
      <c r="D1040" s="69">
        <v>1</v>
      </c>
      <c r="E1040" s="74">
        <v>45</v>
      </c>
      <c r="F1040" s="80">
        <f>IFERROR(D1040*E1040,0)</f>
        <v>45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161</v>
      </c>
      <c r="D1041" s="69">
        <v>1</v>
      </c>
      <c r="E1041" s="74">
        <v>105508.61</v>
      </c>
      <c r="F1041" s="80">
        <f>IFERROR(E1041,0)</f>
        <v>105508.61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2" t="s">
        <v>47</v>
      </c>
      <c r="B1042" s="60" t="s">
        <v>155</v>
      </c>
      <c r="C1042" s="60" t="s">
        <v>167</v>
      </c>
      <c r="D1042" s="68">
        <v>13</v>
      </c>
      <c r="E1042" s="73">
        <v>9.92</v>
      </c>
      <c r="F1042" s="79">
        <f>IFERROR(D1042*E1042,0)</f>
        <v>128.96</v>
      </c>
      <c r="G1042" s="60" t="str">
        <f>INDEX(SETORES!$B:$B,MATCH(A1042,SETORES!$A:$A,0))</f>
        <v>Clientes</v>
      </c>
      <c r="H1042" s="60" t="s">
        <v>21</v>
      </c>
    </row>
    <row r="1043" spans="1:8" ht="14.25" hidden="1" customHeight="1" x14ac:dyDescent="0.3">
      <c r="A1043" s="2" t="s">
        <v>47</v>
      </c>
      <c r="B1043" s="60" t="s">
        <v>162</v>
      </c>
      <c r="C1043" s="60" t="s">
        <v>218</v>
      </c>
      <c r="D1043" s="68"/>
      <c r="E1043" s="73"/>
      <c r="F1043" s="79">
        <f>IFERROR(D1043*E1043,0)</f>
        <v>0</v>
      </c>
      <c r="G1043" s="60" t="str">
        <f>INDEX(SETORES!$B:$B,MATCH(A1043,SETORES!$A:$A,0))</f>
        <v>Clientes</v>
      </c>
      <c r="H1043" s="60" t="s">
        <v>21</v>
      </c>
    </row>
    <row r="1044" spans="1:8" ht="14.25" hidden="1" customHeight="1" x14ac:dyDescent="0.3">
      <c r="A1044" s="2" t="s">
        <v>47</v>
      </c>
      <c r="B1044" s="60" t="s">
        <v>155</v>
      </c>
      <c r="C1044" s="60" t="s">
        <v>166</v>
      </c>
      <c r="D1044" s="68">
        <v>1</v>
      </c>
      <c r="E1044" s="73">
        <v>50</v>
      </c>
      <c r="F1044" s="79">
        <f>IFERROR(D1044*E1044,0)</f>
        <v>50</v>
      </c>
      <c r="G1044" s="60" t="str">
        <f>INDEX(SETORES!$B:$B,MATCH(A1044,SETORES!$A:$A,0))</f>
        <v>Clientes</v>
      </c>
      <c r="H1044" s="60" t="s">
        <v>21</v>
      </c>
    </row>
    <row r="1045" spans="1:8" ht="14.25" hidden="1" customHeight="1" x14ac:dyDescent="0.3">
      <c r="A1045" s="2" t="s">
        <v>47</v>
      </c>
      <c r="B1045" s="60" t="s">
        <v>155</v>
      </c>
      <c r="C1045" s="60" t="s">
        <v>156</v>
      </c>
      <c r="D1045" s="68"/>
      <c r="E1045" s="73"/>
      <c r="F1045" s="79">
        <v>0</v>
      </c>
      <c r="G1045" s="60" t="str">
        <f>INDEX(SETORES!$B:$B,MATCH(A1045,SETORES!$A:$A,0))</f>
        <v>Clientes</v>
      </c>
      <c r="H1045" s="60" t="s">
        <v>21</v>
      </c>
    </row>
    <row r="1046" spans="1:8" ht="14.25" hidden="1" customHeight="1" x14ac:dyDescent="0.3">
      <c r="A1046" s="34" t="s">
        <v>47</v>
      </c>
      <c r="B1046" s="61" t="s">
        <v>155</v>
      </c>
      <c r="C1046" s="61" t="s">
        <v>157</v>
      </c>
      <c r="D1046" s="69"/>
      <c r="E1046" s="74"/>
      <c r="F1046" s="80">
        <v>0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34" t="s">
        <v>47</v>
      </c>
      <c r="B1047" s="61" t="s">
        <v>155</v>
      </c>
      <c r="C1047" s="61" t="s">
        <v>168</v>
      </c>
      <c r="D1047" s="69">
        <v>13</v>
      </c>
      <c r="E1047" s="74">
        <v>2.0499999999999998</v>
      </c>
      <c r="F1047" s="80">
        <f>IFERROR(D1047*E1047,0)</f>
        <v>26.65</v>
      </c>
      <c r="G1047" s="61" t="str">
        <f>INDEX(SETORES!$B:$B,MATCH(A1047,SETORES!$A:$A,0))</f>
        <v>Clientes</v>
      </c>
      <c r="H1047" s="61" t="s">
        <v>21</v>
      </c>
    </row>
    <row r="1048" spans="1:8" ht="14.25" hidden="1" customHeight="1" x14ac:dyDescent="0.3">
      <c r="A1048" s="2" t="s">
        <v>47</v>
      </c>
      <c r="B1048" s="60" t="s">
        <v>155</v>
      </c>
      <c r="C1048" s="60" t="s">
        <v>160</v>
      </c>
      <c r="D1048" s="68"/>
      <c r="E1048" s="73"/>
      <c r="F1048" s="79">
        <f>IFERROR(D1048*E1048,0)</f>
        <v>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85</v>
      </c>
      <c r="B1049" s="61" t="s">
        <v>155</v>
      </c>
      <c r="C1049" s="61" t="s">
        <v>159</v>
      </c>
      <c r="D1049" s="69">
        <v>1</v>
      </c>
      <c r="E1049" s="74">
        <v>0.29099999999999998</v>
      </c>
      <c r="F1049" s="80">
        <v>0.29099999999999998</v>
      </c>
      <c r="G1049" s="61" t="s">
        <v>96</v>
      </c>
      <c r="H1049" s="61" t="s">
        <v>21</v>
      </c>
    </row>
    <row r="1050" spans="1:8" ht="14.25" hidden="1" customHeight="1" x14ac:dyDescent="0.3">
      <c r="A1050" s="2" t="s">
        <v>85</v>
      </c>
      <c r="B1050" s="60" t="s">
        <v>155</v>
      </c>
      <c r="C1050" s="60" t="s">
        <v>212</v>
      </c>
      <c r="D1050" s="68">
        <v>10</v>
      </c>
      <c r="E1050" s="73">
        <v>30</v>
      </c>
      <c r="F1050" s="79">
        <f>IFERROR(D1050*E1050,0)</f>
        <v>300</v>
      </c>
      <c r="G1050" s="60" t="str">
        <f>INDEX(SETORES!$B:$B,MATCH(A1050,SETORES!$A:$A,0))</f>
        <v>Clientes</v>
      </c>
      <c r="H1050" s="60" t="s">
        <v>21</v>
      </c>
    </row>
    <row r="1051" spans="1:8" ht="14.25" hidden="1" customHeight="1" x14ac:dyDescent="0.3">
      <c r="A1051" s="34" t="s">
        <v>85</v>
      </c>
      <c r="B1051" s="61" t="s">
        <v>162</v>
      </c>
      <c r="C1051" s="61" t="s">
        <v>217</v>
      </c>
      <c r="D1051" s="69">
        <v>1</v>
      </c>
      <c r="E1051" s="74">
        <v>1223.23</v>
      </c>
      <c r="F1051" s="80">
        <f>IFERROR(D1051*E1051,0)</f>
        <v>1223.23</v>
      </c>
      <c r="G1051" s="61" t="str">
        <f>INDEX(SETORES!$B:$B,MATCH(A1051,SETORES!$A:$A,0))</f>
        <v>Clientes</v>
      </c>
      <c r="H1051" s="61" t="s">
        <v>21</v>
      </c>
    </row>
    <row r="1052" spans="1:8" ht="14.25" customHeight="1" x14ac:dyDescent="0.3">
      <c r="A1052" s="2" t="s">
        <v>85</v>
      </c>
      <c r="B1052" s="60" t="s">
        <v>155</v>
      </c>
      <c r="C1052" s="60" t="s">
        <v>171</v>
      </c>
      <c r="D1052" s="68">
        <v>12</v>
      </c>
      <c r="E1052" s="73">
        <v>43.54</v>
      </c>
      <c r="F1052" s="79">
        <f>IFERROR(D1052*E1052,0)</f>
        <v>522.48</v>
      </c>
      <c r="G1052" s="60" t="s">
        <v>98</v>
      </c>
      <c r="H1052" s="60" t="s">
        <v>21</v>
      </c>
    </row>
    <row r="1053" spans="1:8" ht="14.25" hidden="1" customHeight="1" x14ac:dyDescent="0.3">
      <c r="A1053" s="34" t="s">
        <v>85</v>
      </c>
      <c r="B1053" s="61" t="s">
        <v>155</v>
      </c>
      <c r="C1053" s="61" t="s">
        <v>170</v>
      </c>
      <c r="D1053" s="69">
        <v>12</v>
      </c>
      <c r="E1053" s="74">
        <v>29.74</v>
      </c>
      <c r="F1053" s="80">
        <f>IFERROR(D1053*E1053,0)</f>
        <v>356.88</v>
      </c>
      <c r="G1053" s="60" t="s">
        <v>98</v>
      </c>
      <c r="H1053" s="61" t="s">
        <v>21</v>
      </c>
    </row>
    <row r="1054" spans="1:8" ht="14.25" hidden="1" customHeight="1" x14ac:dyDescent="0.3">
      <c r="A1054" s="34" t="s">
        <v>85</v>
      </c>
      <c r="B1054" s="61" t="s">
        <v>155</v>
      </c>
      <c r="C1054" s="61" t="s">
        <v>169</v>
      </c>
      <c r="D1054" s="69">
        <v>12</v>
      </c>
      <c r="E1054" s="74">
        <v>47.66</v>
      </c>
      <c r="F1054" s="80">
        <f>IFERROR(D1054*E1054,0)</f>
        <v>571.91999999999996</v>
      </c>
      <c r="G1054" s="60" t="s">
        <v>98</v>
      </c>
      <c r="H1054" s="61" t="s">
        <v>21</v>
      </c>
    </row>
    <row r="1055" spans="1:8" ht="14.25" hidden="1" customHeight="1" x14ac:dyDescent="0.3">
      <c r="A1055" s="2" t="s">
        <v>85</v>
      </c>
      <c r="B1055" s="60" t="s">
        <v>155</v>
      </c>
      <c r="C1055" s="60" t="s">
        <v>158</v>
      </c>
      <c r="D1055" s="68">
        <v>1</v>
      </c>
      <c r="E1055" s="73">
        <v>99.275999999999996</v>
      </c>
      <c r="F1055" s="79">
        <v>99.275999999999996</v>
      </c>
      <c r="G1055" s="60" t="s">
        <v>96</v>
      </c>
      <c r="H1055" s="60" t="s">
        <v>21</v>
      </c>
    </row>
    <row r="1056" spans="1:8" ht="14.25" hidden="1" customHeight="1" x14ac:dyDescent="0.3">
      <c r="A1056" s="2" t="s">
        <v>85</v>
      </c>
      <c r="B1056" s="60" t="s">
        <v>162</v>
      </c>
      <c r="C1056" s="60" t="s">
        <v>165</v>
      </c>
      <c r="D1056" s="68">
        <v>1</v>
      </c>
      <c r="E1056" s="73">
        <v>65</v>
      </c>
      <c r="F1056" s="79">
        <f>IFERROR(D1056*E1056,0)</f>
        <v>65</v>
      </c>
      <c r="G1056" s="60" t="str">
        <f>INDEX(SETORES!$B:$B,MATCH(A1056,SETORES!$A:$A,0))</f>
        <v>Clientes</v>
      </c>
      <c r="H1056" s="60" t="s">
        <v>21</v>
      </c>
    </row>
    <row r="1057" spans="1:8" ht="14.25" hidden="1" customHeight="1" x14ac:dyDescent="0.3">
      <c r="A1057" s="2" t="s">
        <v>85</v>
      </c>
      <c r="B1057" s="60" t="s">
        <v>162</v>
      </c>
      <c r="C1057" s="60" t="s">
        <v>163</v>
      </c>
      <c r="D1057" s="68">
        <v>2</v>
      </c>
      <c r="E1057" s="73">
        <v>45</v>
      </c>
      <c r="F1057" s="79">
        <f>IFERROR(D1057*E1057,0)</f>
        <v>90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161</v>
      </c>
      <c r="D1058" s="69">
        <v>1</v>
      </c>
      <c r="E1058" s="74">
        <v>55912.74</v>
      </c>
      <c r="F1058" s="80">
        <f>IFERROR(E1058,0)</f>
        <v>55912.74</v>
      </c>
      <c r="G1058" s="61" t="str">
        <f>INDEX(SETORES!$B:$B,MATCH(A1058,SETORES!$A:$A,0))</f>
        <v>Clientes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167</v>
      </c>
      <c r="D1059" s="68">
        <v>12</v>
      </c>
      <c r="E1059" s="73">
        <v>9.92</v>
      </c>
      <c r="F1059" s="79">
        <f>IFERROR(D1059*E1059,0)</f>
        <v>119.03999999999999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155</v>
      </c>
      <c r="C1060" s="61" t="s">
        <v>238</v>
      </c>
      <c r="D1060" s="69">
        <v>1</v>
      </c>
      <c r="E1060" s="74">
        <v>128.68</v>
      </c>
      <c r="F1060" s="80">
        <f>IFERROR(D1060*E1060,0)</f>
        <v>128.68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166</v>
      </c>
      <c r="D1061" s="68">
        <v>15</v>
      </c>
      <c r="E1061" s="73">
        <v>47.33</v>
      </c>
      <c r="F1061" s="79">
        <f>IFERROR(D1061*E1061,0)</f>
        <v>709.94999999999993</v>
      </c>
      <c r="G1061" s="60" t="str">
        <f>INDEX(SETORES!$B:$B,MATCH(A1061,SETORES!$A:$A,0))</f>
        <v>Clientes</v>
      </c>
      <c r="H1061" s="60" t="s">
        <v>21</v>
      </c>
    </row>
    <row r="1062" spans="1:8" ht="14.25" hidden="1" customHeight="1" x14ac:dyDescent="0.3">
      <c r="A1062" s="2" t="s">
        <v>85</v>
      </c>
      <c r="B1062" s="60" t="s">
        <v>155</v>
      </c>
      <c r="C1062" s="60" t="s">
        <v>157</v>
      </c>
      <c r="D1062" s="68">
        <v>1</v>
      </c>
      <c r="E1062" s="73">
        <v>198.78</v>
      </c>
      <c r="F1062" s="79">
        <v>198.78</v>
      </c>
      <c r="G1062" s="60" t="str">
        <f>INDEX(SETORES!$B:$B,MATCH(A1062,SETORES!$A:$A,0))</f>
        <v>Clientes</v>
      </c>
      <c r="H1062" s="60" t="s">
        <v>21</v>
      </c>
    </row>
    <row r="1063" spans="1:8" ht="14.25" hidden="1" customHeight="1" x14ac:dyDescent="0.3">
      <c r="A1063" s="2" t="s">
        <v>85</v>
      </c>
      <c r="B1063" s="60" t="s">
        <v>162</v>
      </c>
      <c r="C1063" s="60" t="s">
        <v>222</v>
      </c>
      <c r="D1063" s="68"/>
      <c r="E1063" s="73"/>
      <c r="F1063" s="79">
        <f>IFERROR(D1063*E1063,0)</f>
        <v>0</v>
      </c>
      <c r="G1063" s="60" t="str">
        <f>INDEX(SETORES!$B:$B,MATCH(A1063,SETORES!$A:$A,0))</f>
        <v>Clientes</v>
      </c>
      <c r="H1063" s="60" t="s">
        <v>21</v>
      </c>
    </row>
    <row r="1064" spans="1:8" ht="14.25" hidden="1" customHeight="1" x14ac:dyDescent="0.3">
      <c r="A1064" s="35" t="s">
        <v>85</v>
      </c>
      <c r="B1064" s="66" t="s">
        <v>162</v>
      </c>
      <c r="C1064" s="66" t="s">
        <v>222</v>
      </c>
      <c r="D1064" s="66">
        <v>1</v>
      </c>
      <c r="E1064" s="78">
        <v>9553.58</v>
      </c>
      <c r="F1064" s="78">
        <f>D1064*E1064</f>
        <v>9553.58</v>
      </c>
      <c r="G1064" s="66" t="s">
        <v>96</v>
      </c>
      <c r="H1064" s="66" t="s">
        <v>21</v>
      </c>
    </row>
    <row r="1065" spans="1:8" ht="14.25" hidden="1" customHeight="1" x14ac:dyDescent="0.3">
      <c r="A1065" s="34" t="s">
        <v>85</v>
      </c>
      <c r="B1065" s="61" t="s">
        <v>155</v>
      </c>
      <c r="C1065" s="61" t="s">
        <v>168</v>
      </c>
      <c r="D1065" s="69">
        <v>12</v>
      </c>
      <c r="E1065" s="74">
        <v>2.0499999999999998</v>
      </c>
      <c r="F1065" s="80">
        <f>IFERROR(D1065*E1065,0)</f>
        <v>24.599999999999998</v>
      </c>
      <c r="G1065" s="61" t="str">
        <f>INDEX(SETORES!$B:$B,MATCH(A1065,SETORES!$A:$A,0))</f>
        <v>Clientes</v>
      </c>
      <c r="H1065" s="61" t="s">
        <v>21</v>
      </c>
    </row>
    <row r="1066" spans="1:8" ht="14.25" hidden="1" customHeight="1" x14ac:dyDescent="0.3">
      <c r="A1066" s="34" t="s">
        <v>31</v>
      </c>
      <c r="B1066" s="61" t="s">
        <v>155</v>
      </c>
      <c r="C1066" s="61" t="s">
        <v>159</v>
      </c>
      <c r="D1066" s="69">
        <v>1</v>
      </c>
      <c r="E1066" s="74">
        <v>0.1212</v>
      </c>
      <c r="F1066" s="80">
        <v>0.1212</v>
      </c>
      <c r="G1066" s="61" t="str">
        <f>INDEX(SETORES!$B:$B,MATCH(A1066,SETORES!$A:$A,0))</f>
        <v>Clientes</v>
      </c>
      <c r="H1066" s="61" t="s">
        <v>21</v>
      </c>
    </row>
    <row r="1067" spans="1:8" ht="14.25" hidden="1" customHeight="1" x14ac:dyDescent="0.3">
      <c r="A1067" s="34" t="s">
        <v>31</v>
      </c>
      <c r="B1067" s="61" t="s">
        <v>155</v>
      </c>
      <c r="C1067" s="61" t="s">
        <v>212</v>
      </c>
      <c r="D1067" s="69">
        <v>3</v>
      </c>
      <c r="E1067" s="74">
        <v>30</v>
      </c>
      <c r="F1067" s="80">
        <f>IFERROR(D1067*E1067,0)</f>
        <v>90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34" t="s">
        <v>31</v>
      </c>
      <c r="B1068" s="61" t="s">
        <v>162</v>
      </c>
      <c r="C1068" s="61" t="s">
        <v>217</v>
      </c>
      <c r="D1068" s="69">
        <v>1</v>
      </c>
      <c r="E1068" s="74">
        <v>1999.61</v>
      </c>
      <c r="F1068" s="80">
        <f>IFERROR(D1068*E1068,0)</f>
        <v>1999.61</v>
      </c>
      <c r="G1068" s="61" t="str">
        <f>INDEX(SETORES!$B:$B,MATCH(A1068,SETORES!$A:$A,0))</f>
        <v>Clientes</v>
      </c>
      <c r="H1068" s="61" t="s">
        <v>21</v>
      </c>
    </row>
    <row r="1069" spans="1:8" ht="14.25" customHeight="1" x14ac:dyDescent="0.3">
      <c r="A1069" s="34" t="s">
        <v>31</v>
      </c>
      <c r="B1069" s="61" t="s">
        <v>155</v>
      </c>
      <c r="C1069" s="61" t="s">
        <v>171</v>
      </c>
      <c r="D1069" s="69">
        <v>5</v>
      </c>
      <c r="E1069" s="74">
        <v>43.54</v>
      </c>
      <c r="F1069" s="80">
        <f>IFERROR(D1069*E1069,0)</f>
        <v>217.7</v>
      </c>
      <c r="G1069" s="60" t="s">
        <v>98</v>
      </c>
      <c r="H1069" s="61" t="s">
        <v>21</v>
      </c>
    </row>
    <row r="1070" spans="1:8" ht="14.25" hidden="1" customHeight="1" x14ac:dyDescent="0.3">
      <c r="A1070" s="2" t="s">
        <v>31</v>
      </c>
      <c r="B1070" s="60" t="s">
        <v>155</v>
      </c>
      <c r="C1070" s="60" t="s">
        <v>170</v>
      </c>
      <c r="D1070" s="68">
        <v>5</v>
      </c>
      <c r="E1070" s="73">
        <v>29.74</v>
      </c>
      <c r="F1070" s="79">
        <f>IFERROR(D1070*E1070,0)</f>
        <v>148.69999999999999</v>
      </c>
      <c r="G1070" s="60" t="s">
        <v>98</v>
      </c>
      <c r="H1070" s="60" t="s">
        <v>21</v>
      </c>
    </row>
    <row r="1071" spans="1:8" ht="14.25" hidden="1" customHeight="1" x14ac:dyDescent="0.3">
      <c r="A1071" s="2" t="s">
        <v>31</v>
      </c>
      <c r="B1071" s="60" t="s">
        <v>155</v>
      </c>
      <c r="C1071" s="60" t="s">
        <v>169</v>
      </c>
      <c r="D1071" s="68">
        <v>5</v>
      </c>
      <c r="E1071" s="73">
        <v>47.66</v>
      </c>
      <c r="F1071" s="79">
        <f>IFERROR(D1071*E1071,0)</f>
        <v>238.29999999999998</v>
      </c>
      <c r="G1071" s="60" t="s">
        <v>98</v>
      </c>
      <c r="H1071" s="60" t="s">
        <v>21</v>
      </c>
    </row>
    <row r="1072" spans="1:8" ht="14.25" hidden="1" customHeight="1" x14ac:dyDescent="0.3">
      <c r="A1072" s="2" t="s">
        <v>31</v>
      </c>
      <c r="B1072" s="60" t="s">
        <v>155</v>
      </c>
      <c r="C1072" s="60" t="s">
        <v>158</v>
      </c>
      <c r="D1072" s="68">
        <v>1</v>
      </c>
      <c r="E1072" s="73">
        <v>41.365000000000002</v>
      </c>
      <c r="F1072" s="79">
        <v>41.365000000000002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4" t="s">
        <v>31</v>
      </c>
      <c r="B1073" s="61" t="s">
        <v>155</v>
      </c>
      <c r="C1073" s="61" t="s">
        <v>161</v>
      </c>
      <c r="D1073" s="69">
        <v>1</v>
      </c>
      <c r="E1073" s="74">
        <v>58179.03</v>
      </c>
      <c r="F1073" s="80">
        <f>IFERROR(E1073,0)</f>
        <v>58179.03</v>
      </c>
      <c r="G1073" s="61" t="str">
        <f>INDEX(SETORES!$B:$B,MATCH(A1073,SETORES!$A:$A,0))</f>
        <v>Clientes</v>
      </c>
      <c r="H1073" s="61" t="s">
        <v>21</v>
      </c>
    </row>
    <row r="1074" spans="1:8" ht="14.25" hidden="1" customHeight="1" x14ac:dyDescent="0.3">
      <c r="A1074" s="2" t="s">
        <v>31</v>
      </c>
      <c r="B1074" s="60" t="s">
        <v>155</v>
      </c>
      <c r="C1074" s="60" t="s">
        <v>167</v>
      </c>
      <c r="D1074" s="68">
        <v>5</v>
      </c>
      <c r="E1074" s="73">
        <v>9.92</v>
      </c>
      <c r="F1074" s="79">
        <f>IFERROR(D1074*E1074,0)</f>
        <v>49.6</v>
      </c>
      <c r="G1074" s="60" t="str">
        <f>INDEX(SETORES!$B:$B,MATCH(A1074,SETORES!$A:$A,0))</f>
        <v>Clientes</v>
      </c>
      <c r="H1074" s="60" t="s">
        <v>21</v>
      </c>
    </row>
    <row r="1075" spans="1:8" ht="14.25" hidden="1" customHeight="1" x14ac:dyDescent="0.3">
      <c r="A1075" s="2" t="s">
        <v>31</v>
      </c>
      <c r="B1075" s="60" t="s">
        <v>155</v>
      </c>
      <c r="C1075" s="60" t="s">
        <v>238</v>
      </c>
      <c r="D1075" s="68">
        <v>1</v>
      </c>
      <c r="E1075" s="73">
        <v>200</v>
      </c>
      <c r="F1075" s="79">
        <f>IFERROR(D1075*E1075,0)</f>
        <v>200</v>
      </c>
      <c r="G1075" s="60" t="str">
        <f>INDEX(SETORES!$B:$B,MATCH(A1075,SETORES!$A:$A,0))</f>
        <v>Clientes</v>
      </c>
      <c r="H1075" s="60" t="s">
        <v>21</v>
      </c>
    </row>
    <row r="1076" spans="1:8" ht="14.25" hidden="1" customHeight="1" x14ac:dyDescent="0.3">
      <c r="A1076" s="2" t="s">
        <v>31</v>
      </c>
      <c r="B1076" s="60" t="s">
        <v>155</v>
      </c>
      <c r="C1076" s="60" t="s">
        <v>166</v>
      </c>
      <c r="D1076" s="68">
        <v>6</v>
      </c>
      <c r="E1076" s="73">
        <v>50</v>
      </c>
      <c r="F1076" s="79">
        <f>IFERROR(D1076*E1076,0)</f>
        <v>300</v>
      </c>
      <c r="G1076" s="60" t="str">
        <f>INDEX(SETORES!$B:$B,MATCH(A1076,SETORES!$A:$A,0))</f>
        <v>Clientes</v>
      </c>
      <c r="H1076" s="60" t="s">
        <v>21</v>
      </c>
    </row>
    <row r="1077" spans="1:8" ht="14.25" hidden="1" customHeight="1" x14ac:dyDescent="0.3">
      <c r="A1077" s="2" t="s">
        <v>31</v>
      </c>
      <c r="B1077" s="60" t="s">
        <v>155</v>
      </c>
      <c r="C1077" s="60" t="s">
        <v>156</v>
      </c>
      <c r="D1077" s="68">
        <v>1</v>
      </c>
      <c r="E1077" s="73">
        <v>63.1</v>
      </c>
      <c r="F1077" s="79">
        <v>189.3</v>
      </c>
      <c r="G1077" s="60" t="str">
        <f>INDEX(SETORES!$B:$B,MATCH(A1077,SETORES!$A:$A,0))</f>
        <v>Clientes</v>
      </c>
      <c r="H1077" s="60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157</v>
      </c>
      <c r="D1078" s="69">
        <v>1</v>
      </c>
      <c r="E1078" s="74">
        <v>213.49</v>
      </c>
      <c r="F1078" s="80">
        <v>213.49</v>
      </c>
      <c r="G1078" s="61" t="str">
        <f>INDEX(SETORES!$B:$B,MATCH(A1078,SETORES!$A:$A,0))</f>
        <v>Clientes</v>
      </c>
      <c r="H1078" s="61" t="s">
        <v>21</v>
      </c>
    </row>
    <row r="1079" spans="1:8" ht="14.25" hidden="1" customHeight="1" x14ac:dyDescent="0.3">
      <c r="A1079" s="34" t="s">
        <v>31</v>
      </c>
      <c r="B1079" s="61" t="s">
        <v>162</v>
      </c>
      <c r="C1079" s="61" t="s">
        <v>222</v>
      </c>
      <c r="D1079" s="69">
        <v>1</v>
      </c>
      <c r="E1079" s="74">
        <v>13047.79</v>
      </c>
      <c r="F1079" s="80">
        <f>IFERROR(D1079*E1079,0)</f>
        <v>13047.79</v>
      </c>
      <c r="G1079" s="61" t="str">
        <f>INDEX(SETORES!$B:$B,MATCH(A1079,SETORES!$A:$A,0))</f>
        <v>Clientes</v>
      </c>
      <c r="H1079" s="61" t="s">
        <v>21</v>
      </c>
    </row>
    <row r="1080" spans="1:8" ht="14.25" hidden="1" customHeight="1" x14ac:dyDescent="0.3">
      <c r="A1080" s="34" t="s">
        <v>31</v>
      </c>
      <c r="B1080" s="61" t="s">
        <v>155</v>
      </c>
      <c r="C1080" s="61" t="s">
        <v>168</v>
      </c>
      <c r="D1080" s="69">
        <v>5</v>
      </c>
      <c r="E1080" s="74">
        <v>2.0499999999999998</v>
      </c>
      <c r="F1080" s="80">
        <f>IFERROR(D1080*E1080,0)</f>
        <v>10.25</v>
      </c>
      <c r="G1080" s="61" t="str">
        <f>INDEX(SETORES!$B:$B,MATCH(A1080,SETORES!$A:$A,0))</f>
        <v>Clientes</v>
      </c>
      <c r="H1080" s="61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160</v>
      </c>
      <c r="D1081" s="68"/>
      <c r="E1081" s="73"/>
      <c r="F1081" s="79">
        <f>IFERROR(D1081*E1081,0)</f>
        <v>0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37</v>
      </c>
      <c r="B1082" s="61" t="s">
        <v>155</v>
      </c>
      <c r="C1082" s="61" t="s">
        <v>159</v>
      </c>
      <c r="D1082" s="69">
        <v>1</v>
      </c>
      <c r="E1082" s="74">
        <v>1.0427</v>
      </c>
      <c r="F1082" s="80">
        <v>1.0427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34" t="s">
        <v>37</v>
      </c>
      <c r="B1083" s="61" t="s">
        <v>155</v>
      </c>
      <c r="C1083" s="61" t="s">
        <v>249</v>
      </c>
      <c r="D1083" s="69">
        <v>1</v>
      </c>
      <c r="E1083" s="74">
        <v>3208.87</v>
      </c>
      <c r="F1083" s="80">
        <f>IFERROR(D1083*E1083,0)</f>
        <v>3208.87</v>
      </c>
      <c r="G1083" s="61" t="str">
        <f>INDEX(SETORES!$B:$B,MATCH(A1083,SETORES!$A:$A,0))</f>
        <v>Clientes</v>
      </c>
      <c r="H1083" s="61" t="s">
        <v>21</v>
      </c>
    </row>
    <row r="1084" spans="1:8" ht="14.25" customHeight="1" x14ac:dyDescent="0.3">
      <c r="A1084" s="2" t="s">
        <v>37</v>
      </c>
      <c r="B1084" s="60" t="s">
        <v>155</v>
      </c>
      <c r="C1084" s="60" t="s">
        <v>171</v>
      </c>
      <c r="D1084" s="68">
        <v>43</v>
      </c>
      <c r="E1084" s="73">
        <v>43.54</v>
      </c>
      <c r="F1084" s="79">
        <f>IFERROR(D1084*E1084,0)</f>
        <v>1872.22</v>
      </c>
      <c r="G1084" s="60" t="s">
        <v>98</v>
      </c>
      <c r="H1084" s="60" t="s">
        <v>21</v>
      </c>
    </row>
    <row r="1085" spans="1:8" ht="14.25" hidden="1" customHeight="1" x14ac:dyDescent="0.3">
      <c r="A1085" s="34" t="s">
        <v>37</v>
      </c>
      <c r="B1085" s="61" t="s">
        <v>155</v>
      </c>
      <c r="C1085" s="61" t="s">
        <v>170</v>
      </c>
      <c r="D1085" s="69">
        <v>43</v>
      </c>
      <c r="E1085" s="74">
        <v>29.74</v>
      </c>
      <c r="F1085" s="80">
        <f>IFERROR(D1085*E1085,0)</f>
        <v>1278.82</v>
      </c>
      <c r="G1085" s="60" t="s">
        <v>98</v>
      </c>
      <c r="H1085" s="61" t="s">
        <v>21</v>
      </c>
    </row>
    <row r="1086" spans="1:8" ht="14.25" hidden="1" customHeight="1" x14ac:dyDescent="0.3">
      <c r="A1086" s="34" t="s">
        <v>37</v>
      </c>
      <c r="B1086" s="61" t="s">
        <v>155</v>
      </c>
      <c r="C1086" s="61" t="s">
        <v>169</v>
      </c>
      <c r="D1086" s="69">
        <v>43</v>
      </c>
      <c r="E1086" s="74">
        <v>47.66</v>
      </c>
      <c r="F1086" s="80">
        <f>IFERROR(D1086*E1086,0)</f>
        <v>2049.3799999999997</v>
      </c>
      <c r="G1086" s="60" t="s">
        <v>98</v>
      </c>
      <c r="H1086" s="61" t="s">
        <v>21</v>
      </c>
    </row>
    <row r="1087" spans="1:8" ht="14.25" hidden="1" customHeight="1" x14ac:dyDescent="0.3">
      <c r="A1087" s="2" t="s">
        <v>37</v>
      </c>
      <c r="B1087" s="60" t="s">
        <v>155</v>
      </c>
      <c r="C1087" s="60" t="s">
        <v>158</v>
      </c>
      <c r="D1087" s="68">
        <v>1</v>
      </c>
      <c r="E1087" s="73">
        <v>355.73899999999998</v>
      </c>
      <c r="F1087" s="79">
        <v>355.73899999999998</v>
      </c>
      <c r="G1087" s="60" t="str">
        <f>INDEX(SETORES!$B:$B,MATCH(A1087,SETORES!$A:$A,0))</f>
        <v>Clientes</v>
      </c>
      <c r="H1087" s="60" t="s">
        <v>21</v>
      </c>
    </row>
    <row r="1088" spans="1:8" ht="14.25" hidden="1" customHeight="1" x14ac:dyDescent="0.3">
      <c r="A1088" s="2" t="s">
        <v>37</v>
      </c>
      <c r="B1088" s="60" t="s">
        <v>162</v>
      </c>
      <c r="C1088" s="60" t="s">
        <v>165</v>
      </c>
      <c r="D1088" s="68">
        <v>1</v>
      </c>
      <c r="E1088" s="73">
        <v>35</v>
      </c>
      <c r="F1088" s="79">
        <f>IFERROR(D1088*E1088,0)</f>
        <v>35</v>
      </c>
      <c r="G1088" s="60" t="str">
        <f>INDEX(SETORES!$B:$B,MATCH(A1088,SETORES!$A:$A,0))</f>
        <v>Clientes</v>
      </c>
      <c r="H1088" s="60" t="s">
        <v>21</v>
      </c>
    </row>
    <row r="1089" spans="1:8" ht="14.25" hidden="1" customHeight="1" x14ac:dyDescent="0.3">
      <c r="A1089" s="34" t="s">
        <v>37</v>
      </c>
      <c r="B1089" s="61" t="s">
        <v>162</v>
      </c>
      <c r="C1089" s="61" t="s">
        <v>163</v>
      </c>
      <c r="D1089" s="69"/>
      <c r="E1089" s="74"/>
      <c r="F1089" s="80">
        <f>IFERROR(D1089*E1089,0)</f>
        <v>0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37</v>
      </c>
      <c r="B1090" s="60" t="s">
        <v>162</v>
      </c>
      <c r="C1090" s="60" t="s">
        <v>164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161</v>
      </c>
      <c r="D1091" s="69">
        <v>1</v>
      </c>
      <c r="E1091" s="74">
        <v>142024.07</v>
      </c>
      <c r="F1091" s="80">
        <f>IFERROR(E1091,0)</f>
        <v>142024.07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167</v>
      </c>
      <c r="D1092" s="69">
        <v>43</v>
      </c>
      <c r="E1092" s="74">
        <v>9.92</v>
      </c>
      <c r="F1092" s="80">
        <f>IFERROR(D1092*E1092,0)</f>
        <v>426.56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240</v>
      </c>
      <c r="D1093" s="68">
        <v>1</v>
      </c>
      <c r="E1093" s="73">
        <v>9.0229479999999995</v>
      </c>
      <c r="F1093" s="79">
        <f>IFERROR(D1093*E1093,0)</f>
        <v>9.0229479999999995</v>
      </c>
      <c r="G1093" s="60" t="str">
        <f>INDEX(SETORES!$B:$B,MATCH(A1093,SETORES!$A:$A,0))</f>
        <v>Clientes</v>
      </c>
      <c r="H1093" s="60" t="s">
        <v>21</v>
      </c>
    </row>
    <row r="1094" spans="1:8" ht="14.25" hidden="1" customHeight="1" x14ac:dyDescent="0.3">
      <c r="A1094" s="2" t="s">
        <v>37</v>
      </c>
      <c r="B1094" s="60" t="s">
        <v>155</v>
      </c>
      <c r="C1094" s="60" t="s">
        <v>166</v>
      </c>
      <c r="D1094" s="68">
        <v>7</v>
      </c>
      <c r="E1094" s="73">
        <v>50</v>
      </c>
      <c r="F1094" s="79">
        <f>IFERROR(D1094*E1094,0)</f>
        <v>350</v>
      </c>
      <c r="G1094" s="60" t="str">
        <f>INDEX(SETORES!$B:$B,MATCH(A1094,SETORES!$A:$A,0))</f>
        <v>Clientes</v>
      </c>
      <c r="H1094" s="60" t="s">
        <v>21</v>
      </c>
    </row>
    <row r="1095" spans="1:8" ht="14.25" hidden="1" customHeight="1" x14ac:dyDescent="0.3">
      <c r="A1095" s="2" t="s">
        <v>37</v>
      </c>
      <c r="B1095" s="60" t="s">
        <v>155</v>
      </c>
      <c r="C1095" s="60" t="s">
        <v>223</v>
      </c>
      <c r="D1095" s="68"/>
      <c r="E1095" s="73"/>
      <c r="F1095" s="79">
        <f>IFERROR(D1095*E1095,0)</f>
        <v>0</v>
      </c>
      <c r="G1095" s="60" t="str">
        <f>INDEX(SETORES!$B:$B,MATCH(A1095,SETORES!$A:$A,0))</f>
        <v>Clientes</v>
      </c>
      <c r="H1095" s="60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156</v>
      </c>
      <c r="D1096" s="68">
        <v>43</v>
      </c>
      <c r="E1096" s="73">
        <v>0.98509999999999998</v>
      </c>
      <c r="F1096" s="79">
        <v>42.359299999999998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34" t="s">
        <v>37</v>
      </c>
      <c r="B1097" s="61" t="s">
        <v>155</v>
      </c>
      <c r="C1097" s="61" t="s">
        <v>157</v>
      </c>
      <c r="D1097" s="69">
        <v>1</v>
      </c>
      <c r="E1097" s="74">
        <v>1287.462295</v>
      </c>
      <c r="F1097" s="80">
        <v>1287.462295</v>
      </c>
      <c r="G1097" s="61" t="str">
        <f>INDEX(SETORES!$B:$B,MATCH(A1097,SETORES!$A:$A,0))</f>
        <v>Clientes</v>
      </c>
      <c r="H1097" s="61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222</v>
      </c>
      <c r="D1098" s="69">
        <v>1</v>
      </c>
      <c r="E1098" s="74">
        <v>7086.44</v>
      </c>
      <c r="F1098" s="80">
        <f>IFERROR(D1098*E1098,0)</f>
        <v>7086.44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34" t="s">
        <v>37</v>
      </c>
      <c r="B1099" s="61" t="s">
        <v>155</v>
      </c>
      <c r="C1099" s="61" t="s">
        <v>187</v>
      </c>
      <c r="D1099" s="69">
        <v>1</v>
      </c>
      <c r="E1099" s="74">
        <v>2379.7398410000001</v>
      </c>
      <c r="F1099" s="80">
        <f>IFERROR(D1099*E1099,0)</f>
        <v>2379.7398410000001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2" t="s">
        <v>37</v>
      </c>
      <c r="B1100" s="60" t="s">
        <v>155</v>
      </c>
      <c r="C1100" s="60" t="s">
        <v>168</v>
      </c>
      <c r="D1100" s="68">
        <v>43</v>
      </c>
      <c r="E1100" s="73">
        <v>2.0499999999999998</v>
      </c>
      <c r="F1100" s="79">
        <f>IFERROR(D1100*E1100,0)</f>
        <v>88.149999999999991</v>
      </c>
      <c r="G1100" s="60" t="str">
        <f>INDEX(SETORES!$B:$B,MATCH(A1100,SETORES!$A:$A,0))</f>
        <v>Clientes</v>
      </c>
      <c r="H1100" s="60" t="s">
        <v>21</v>
      </c>
    </row>
    <row r="1101" spans="1:8" ht="14.25" hidden="1" customHeight="1" x14ac:dyDescent="0.3">
      <c r="A1101" s="2" t="s">
        <v>37</v>
      </c>
      <c r="B1101" s="60" t="s">
        <v>155</v>
      </c>
      <c r="C1101" s="60" t="s">
        <v>160</v>
      </c>
      <c r="D1101" s="68"/>
      <c r="E1101" s="73"/>
      <c r="F1101" s="79">
        <f>IFERROR(D1101*E1101,0)</f>
        <v>0</v>
      </c>
      <c r="G1101" s="60" t="str">
        <f>INDEX(SETORES!$B:$B,MATCH(A1101,SETORES!$A:$A,0))</f>
        <v>Clientes</v>
      </c>
      <c r="H1101" s="60" t="s">
        <v>21</v>
      </c>
    </row>
    <row r="1102" spans="1:8" ht="14.25" hidden="1" customHeight="1" x14ac:dyDescent="0.3">
      <c r="A1102" s="2" t="s">
        <v>46</v>
      </c>
      <c r="B1102" s="60" t="s">
        <v>155</v>
      </c>
      <c r="C1102" s="60" t="s">
        <v>212</v>
      </c>
      <c r="D1102" s="68">
        <v>5</v>
      </c>
      <c r="E1102" s="73">
        <v>30</v>
      </c>
      <c r="F1102" s="79">
        <f>IFERROR(D1102*E1102,0)</f>
        <v>150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34" t="s">
        <v>46</v>
      </c>
      <c r="B1103" s="61" t="s">
        <v>162</v>
      </c>
      <c r="C1103" s="61" t="s">
        <v>217</v>
      </c>
      <c r="D1103" s="69">
        <v>1</v>
      </c>
      <c r="E1103" s="74">
        <v>11003.74</v>
      </c>
      <c r="F1103" s="80">
        <f>IFERROR(D1103*E1103,0)</f>
        <v>11003.74</v>
      </c>
      <c r="G1103" s="61" t="str">
        <f>INDEX(SETORES!$B:$B,MATCH(A1103,SETORES!$A:$A,0))</f>
        <v>Clientes</v>
      </c>
      <c r="H1103" s="61" t="s">
        <v>21</v>
      </c>
    </row>
    <row r="1104" spans="1:8" ht="14.25" hidden="1" customHeight="1" x14ac:dyDescent="0.3">
      <c r="A1104" s="2" t="s">
        <v>46</v>
      </c>
      <c r="B1104" s="60" t="s">
        <v>155</v>
      </c>
      <c r="C1104" s="60" t="s">
        <v>250</v>
      </c>
      <c r="D1104" s="68">
        <v>1</v>
      </c>
      <c r="E1104" s="73">
        <v>4074.9</v>
      </c>
      <c r="F1104" s="79">
        <f>IFERROR(D1104*E1104,0)</f>
        <v>4074.9</v>
      </c>
      <c r="G1104" s="60" t="str">
        <f>INDEX(SETORES!$B:$B,MATCH(A1104,SETORES!$A:$A,0))</f>
        <v>Clientes</v>
      </c>
      <c r="H1104" s="60" t="s">
        <v>21</v>
      </c>
    </row>
    <row r="1105" spans="1:8" ht="14.25" customHeight="1" x14ac:dyDescent="0.3">
      <c r="A1105" s="34" t="s">
        <v>46</v>
      </c>
      <c r="B1105" s="61" t="s">
        <v>155</v>
      </c>
      <c r="C1105" s="61" t="s">
        <v>171</v>
      </c>
      <c r="D1105" s="69">
        <v>23</v>
      </c>
      <c r="E1105" s="74">
        <v>43.54</v>
      </c>
      <c r="F1105" s="80">
        <f>IFERROR(D1105*E1105,0)</f>
        <v>1001.42</v>
      </c>
      <c r="G1105" s="60" t="s">
        <v>98</v>
      </c>
      <c r="H1105" s="61" t="s">
        <v>21</v>
      </c>
    </row>
    <row r="1106" spans="1:8" ht="14.25" hidden="1" customHeight="1" x14ac:dyDescent="0.3">
      <c r="A1106" s="2" t="s">
        <v>46</v>
      </c>
      <c r="B1106" s="60" t="s">
        <v>155</v>
      </c>
      <c r="C1106" s="60" t="s">
        <v>170</v>
      </c>
      <c r="D1106" s="68">
        <v>23</v>
      </c>
      <c r="E1106" s="73">
        <v>29.74</v>
      </c>
      <c r="F1106" s="79">
        <f>IFERROR(D1106*E1106,0)</f>
        <v>684.02</v>
      </c>
      <c r="G1106" s="60" t="s">
        <v>98</v>
      </c>
      <c r="H1106" s="60" t="s">
        <v>21</v>
      </c>
    </row>
    <row r="1107" spans="1:8" ht="14.25" hidden="1" customHeight="1" x14ac:dyDescent="0.3">
      <c r="A1107" s="2" t="s">
        <v>46</v>
      </c>
      <c r="B1107" s="60" t="s">
        <v>155</v>
      </c>
      <c r="C1107" s="60" t="s">
        <v>169</v>
      </c>
      <c r="D1107" s="68">
        <v>23</v>
      </c>
      <c r="E1107" s="73">
        <v>47.66</v>
      </c>
      <c r="F1107" s="79">
        <f>IFERROR(D1107*E1107,0)</f>
        <v>1096.1799999999998</v>
      </c>
      <c r="G1107" s="60" t="s">
        <v>98</v>
      </c>
      <c r="H1107" s="60" t="s">
        <v>21</v>
      </c>
    </row>
    <row r="1108" spans="1:8" ht="14.25" hidden="1" customHeight="1" x14ac:dyDescent="0.3">
      <c r="A1108" s="2" t="s">
        <v>46</v>
      </c>
      <c r="B1108" s="60" t="s">
        <v>162</v>
      </c>
      <c r="C1108" s="60" t="s">
        <v>221</v>
      </c>
      <c r="D1108" s="68">
        <v>1</v>
      </c>
      <c r="E1108" s="73">
        <v>749.1</v>
      </c>
      <c r="F1108" s="79">
        <f>IFERROR(D1108*E1108,0)</f>
        <v>749.1</v>
      </c>
      <c r="G1108" s="60" t="str">
        <f>INDEX(SETORES!$B:$B,MATCH(A1108,SETORES!$A:$A,0))</f>
        <v>Clientes</v>
      </c>
      <c r="H1108" s="60" t="s">
        <v>21</v>
      </c>
    </row>
    <row r="1109" spans="1:8" ht="14.25" hidden="1" customHeight="1" x14ac:dyDescent="0.3">
      <c r="A1109" s="2" t="s">
        <v>46</v>
      </c>
      <c r="B1109" s="60" t="s">
        <v>155</v>
      </c>
      <c r="C1109" s="60" t="s">
        <v>161</v>
      </c>
      <c r="D1109" s="68">
        <v>1</v>
      </c>
      <c r="E1109" s="73">
        <v>154792.47</v>
      </c>
      <c r="F1109" s="79">
        <f>IFERROR(E1109,0)</f>
        <v>154792.47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46</v>
      </c>
      <c r="B1110" s="60" t="s">
        <v>155</v>
      </c>
      <c r="C1110" s="60" t="s">
        <v>167</v>
      </c>
      <c r="D1110" s="68">
        <v>23</v>
      </c>
      <c r="E1110" s="73">
        <v>9.92</v>
      </c>
      <c r="F1110" s="79">
        <f>IFERROR(D1110*E1110,0)</f>
        <v>228.16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34" t="s">
        <v>46</v>
      </c>
      <c r="B1111" s="61" t="s">
        <v>162</v>
      </c>
      <c r="C1111" s="61" t="s">
        <v>218</v>
      </c>
      <c r="D1111" s="69"/>
      <c r="E1111" s="74"/>
      <c r="F1111" s="80">
        <f>IFERROR(D1111*E1111,0)</f>
        <v>0</v>
      </c>
      <c r="G1111" s="61" t="str">
        <f>INDEX(SETORES!$B:$B,MATCH(A1111,SETORES!$A:$A,0))</f>
        <v>Clientes</v>
      </c>
      <c r="H1111" s="61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166</v>
      </c>
      <c r="D1112" s="68"/>
      <c r="E1112" s="73"/>
      <c r="F1112" s="79">
        <f>IFERROR(D1112*E1112,0)</f>
        <v>0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162</v>
      </c>
      <c r="C1113" s="61" t="s">
        <v>222</v>
      </c>
      <c r="D1113" s="69">
        <v>1</v>
      </c>
      <c r="E1113" s="74">
        <v>8704.7999999999993</v>
      </c>
      <c r="F1113" s="80">
        <f>IFERROR(D1113*E1113,0)</f>
        <v>8704.7999999999993</v>
      </c>
      <c r="G1113" s="61" t="str">
        <f>INDEX(SETORES!$B:$B,MATCH(A1113,SETORES!$A:$A,0))</f>
        <v>Clientes</v>
      </c>
      <c r="H1113" s="61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168</v>
      </c>
      <c r="D1114" s="69">
        <v>23</v>
      </c>
      <c r="E1114" s="74">
        <v>2.0499999999999998</v>
      </c>
      <c r="F1114" s="80">
        <f>IFERROR(D1114*E1114,0)</f>
        <v>47.15</v>
      </c>
      <c r="G1114" s="61" t="str">
        <f>INDEX(SETORES!$B:$B,MATCH(A1114,SETORES!$A:$A,0))</f>
        <v>Clientes</v>
      </c>
      <c r="H1114" s="61" t="s">
        <v>21</v>
      </c>
    </row>
    <row r="1115" spans="1:8" ht="14.25" hidden="1" customHeight="1" x14ac:dyDescent="0.3">
      <c r="A1115" s="34" t="s">
        <v>46</v>
      </c>
      <c r="B1115" s="61" t="s">
        <v>155</v>
      </c>
      <c r="C1115" s="61" t="s">
        <v>160</v>
      </c>
      <c r="D1115" s="69"/>
      <c r="E1115" s="74"/>
      <c r="F1115" s="80">
        <f>IFERROR(D1115*E1115,0)</f>
        <v>0</v>
      </c>
      <c r="G1115" s="61" t="str">
        <f>INDEX(SETORES!$B:$B,MATCH(A1115,SETORES!$A:$A,0))</f>
        <v>Clientes</v>
      </c>
      <c r="H1115" s="61" t="s">
        <v>21</v>
      </c>
    </row>
    <row r="1116" spans="1:8" ht="14.25" hidden="1" customHeight="1" x14ac:dyDescent="0.3">
      <c r="A1116" s="2" t="s">
        <v>49</v>
      </c>
      <c r="B1116" s="60" t="s">
        <v>155</v>
      </c>
      <c r="C1116" s="60" t="s">
        <v>159</v>
      </c>
      <c r="D1116" s="68">
        <v>4</v>
      </c>
      <c r="E1116" s="73">
        <v>3.3247</v>
      </c>
      <c r="F1116" s="79">
        <v>13.2988</v>
      </c>
      <c r="G1116" s="60" t="str">
        <f>INDEX(SETORES!$B:$B,MATCH(A1116,SETORES!$A:$A,0))</f>
        <v>Clientes</v>
      </c>
      <c r="H1116" s="60" t="s">
        <v>21</v>
      </c>
    </row>
    <row r="1117" spans="1:8" ht="14.25" hidden="1" customHeight="1" x14ac:dyDescent="0.3">
      <c r="A1117" s="34" t="s">
        <v>49</v>
      </c>
      <c r="B1117" s="61" t="s">
        <v>162</v>
      </c>
      <c r="C1117" s="61" t="s">
        <v>217</v>
      </c>
      <c r="D1117" s="69">
        <v>1</v>
      </c>
      <c r="E1117" s="74">
        <v>55.05</v>
      </c>
      <c r="F1117" s="80">
        <f>IFERROR(D1117*E1117,0)</f>
        <v>55.05</v>
      </c>
      <c r="G1117" s="61" t="str">
        <f>INDEX(SETORES!$B:$B,MATCH(A1117,SETORES!$A:$A,0))</f>
        <v>Clientes</v>
      </c>
      <c r="H1117" s="61" t="s">
        <v>21</v>
      </c>
    </row>
    <row r="1118" spans="1:8" ht="14.25" hidden="1" customHeight="1" x14ac:dyDescent="0.3">
      <c r="A1118" s="2" t="s">
        <v>49</v>
      </c>
      <c r="B1118" s="60" t="s">
        <v>155</v>
      </c>
      <c r="C1118" s="60" t="s">
        <v>256</v>
      </c>
      <c r="D1118" s="68">
        <v>1</v>
      </c>
      <c r="E1118" s="73">
        <v>3099.1630380000001</v>
      </c>
      <c r="F1118" s="79">
        <v>3099.1630380000001</v>
      </c>
      <c r="G1118" s="60" t="s">
        <v>96</v>
      </c>
      <c r="H1118" s="60" t="s">
        <v>21</v>
      </c>
    </row>
    <row r="1119" spans="1:8" ht="14.25" customHeight="1" x14ac:dyDescent="0.3">
      <c r="A1119" s="2" t="s">
        <v>49</v>
      </c>
      <c r="B1119" s="60" t="s">
        <v>155</v>
      </c>
      <c r="C1119" s="60" t="s">
        <v>171</v>
      </c>
      <c r="D1119" s="68">
        <v>4</v>
      </c>
      <c r="E1119" s="73">
        <v>43.54</v>
      </c>
      <c r="F1119" s="79">
        <f>IFERROR(D1119*E1119,0)</f>
        <v>174.16</v>
      </c>
      <c r="G1119" s="60" t="s">
        <v>98</v>
      </c>
      <c r="H1119" s="60" t="s">
        <v>21</v>
      </c>
    </row>
    <row r="1120" spans="1:8" ht="14.25" hidden="1" customHeight="1" x14ac:dyDescent="0.3">
      <c r="A1120" s="34" t="s">
        <v>49</v>
      </c>
      <c r="B1120" s="61" t="s">
        <v>155</v>
      </c>
      <c r="C1120" s="61" t="s">
        <v>170</v>
      </c>
      <c r="D1120" s="69">
        <v>4</v>
      </c>
      <c r="E1120" s="74">
        <v>29.74</v>
      </c>
      <c r="F1120" s="80">
        <f>IFERROR(D1120*E1120,0)</f>
        <v>118.96</v>
      </c>
      <c r="G1120" s="60" t="s">
        <v>98</v>
      </c>
      <c r="H1120" s="61" t="s">
        <v>21</v>
      </c>
    </row>
    <row r="1121" spans="1:8" ht="14.25" hidden="1" customHeight="1" x14ac:dyDescent="0.3">
      <c r="A1121" s="34" t="s">
        <v>49</v>
      </c>
      <c r="B1121" s="61" t="s">
        <v>155</v>
      </c>
      <c r="C1121" s="61" t="s">
        <v>169</v>
      </c>
      <c r="D1121" s="69">
        <v>4</v>
      </c>
      <c r="E1121" s="74">
        <v>47.66</v>
      </c>
      <c r="F1121" s="80">
        <f>IFERROR(D1121*E1121,0)</f>
        <v>190.64</v>
      </c>
      <c r="G1121" s="60" t="s">
        <v>98</v>
      </c>
      <c r="H1121" s="61" t="s">
        <v>21</v>
      </c>
    </row>
    <row r="1122" spans="1:8" ht="14.25" hidden="1" customHeight="1" x14ac:dyDescent="0.3">
      <c r="A1122" s="34" t="s">
        <v>49</v>
      </c>
      <c r="B1122" s="61" t="s">
        <v>155</v>
      </c>
      <c r="C1122" s="61" t="s">
        <v>158</v>
      </c>
      <c r="D1122" s="69">
        <v>4</v>
      </c>
      <c r="E1122" s="74">
        <v>21.258199999999999</v>
      </c>
      <c r="F1122" s="80">
        <v>85.032799999999995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49</v>
      </c>
      <c r="B1123" s="61" t="s">
        <v>162</v>
      </c>
      <c r="C1123" s="61" t="s">
        <v>165</v>
      </c>
      <c r="D1123" s="69">
        <v>1</v>
      </c>
      <c r="E1123" s="74">
        <v>184</v>
      </c>
      <c r="F1123" s="80">
        <f>IFERROR(D1123*E1123,0)</f>
        <v>184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2" t="s">
        <v>49</v>
      </c>
      <c r="B1124" s="60" t="s">
        <v>155</v>
      </c>
      <c r="C1124" s="60" t="s">
        <v>161</v>
      </c>
      <c r="D1124" s="68">
        <v>1</v>
      </c>
      <c r="E1124" s="73">
        <v>23068.3</v>
      </c>
      <c r="F1124" s="79">
        <f>IFERROR(E1124,0)</f>
        <v>23068.3</v>
      </c>
      <c r="G1124" s="60" t="str">
        <f>INDEX(SETORES!$B:$B,MATCH(A1124,SETORES!$A:$A,0))</f>
        <v>Clientes</v>
      </c>
      <c r="H1124" s="60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167</v>
      </c>
      <c r="D1125" s="68">
        <v>4</v>
      </c>
      <c r="E1125" s="73">
        <v>9.92</v>
      </c>
      <c r="F1125" s="79">
        <f>IFERROR(D1125*E1125,0)</f>
        <v>39.68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238</v>
      </c>
      <c r="D1126" s="68">
        <v>1</v>
      </c>
      <c r="E1126" s="73">
        <v>250</v>
      </c>
      <c r="F1126" s="79">
        <f>IFERROR(D1126*E1126,0)</f>
        <v>250</v>
      </c>
      <c r="G1126" s="60" t="str">
        <f>INDEX(SETORES!$B:$B,MATCH(A1126,SETORES!$A:$A,0))</f>
        <v>Clientes</v>
      </c>
      <c r="H1126" s="60" t="s">
        <v>21</v>
      </c>
    </row>
    <row r="1127" spans="1:8" ht="14.25" hidden="1" customHeight="1" x14ac:dyDescent="0.3">
      <c r="A1127" s="2" t="s">
        <v>49</v>
      </c>
      <c r="B1127" s="60" t="s">
        <v>162</v>
      </c>
      <c r="C1127" s="60" t="s">
        <v>220</v>
      </c>
      <c r="D1127" s="68"/>
      <c r="E1127" s="73"/>
      <c r="F1127" s="79">
        <f>IFERROR(D1127*E1127,0)</f>
        <v>0</v>
      </c>
      <c r="G1127" s="60" t="str">
        <f>INDEX(SETORES!$B:$B,MATCH(A1127,SETORES!$A:$A,0))</f>
        <v>Clientes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156</v>
      </c>
      <c r="D1128" s="68"/>
      <c r="E1128" s="73"/>
      <c r="F1128" s="79">
        <v>0</v>
      </c>
      <c r="G1128" s="60" t="str">
        <f>INDEX(SETORES!$B:$B,MATCH(A1128,SETORES!$A:$A,0))</f>
        <v>Clientes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157</v>
      </c>
      <c r="D1129" s="69"/>
      <c r="E1129" s="74"/>
      <c r="F1129" s="80">
        <v>0</v>
      </c>
      <c r="G1129" s="61" t="str">
        <f>INDEX(SETORES!$B:$B,MATCH(A1129,SETORES!$A:$A,0))</f>
        <v>Clientes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162</v>
      </c>
      <c r="C1130" s="61" t="s">
        <v>209</v>
      </c>
      <c r="D1130" s="69">
        <v>4</v>
      </c>
      <c r="E1130" s="74">
        <v>76.92</v>
      </c>
      <c r="F1130" s="80">
        <f>IFERROR(D1130*E1130,0)</f>
        <v>307.68</v>
      </c>
      <c r="G1130" s="61" t="str">
        <f>INDEX(SETORES!$B:$B,MATCH(A1130,SETORES!$A:$A,0))</f>
        <v>Clientes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162</v>
      </c>
      <c r="C1131" s="61" t="s">
        <v>222</v>
      </c>
      <c r="D1131" s="69"/>
      <c r="E1131" s="74"/>
      <c r="F1131" s="80">
        <f>IFERROR(D1131*E1131,0)</f>
        <v>0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2" t="s">
        <v>49</v>
      </c>
      <c r="B1132" s="60" t="s">
        <v>155</v>
      </c>
      <c r="C1132" s="60" t="s">
        <v>224</v>
      </c>
      <c r="D1132" s="68">
        <v>1</v>
      </c>
      <c r="E1132" s="73">
        <v>1800</v>
      </c>
      <c r="F1132" s="79">
        <f>IFERROR(D1132*E1132,0)</f>
        <v>1800</v>
      </c>
      <c r="G1132" s="60" t="str">
        <f>INDEX(SETORES!$B:$B,MATCH(A1132,SETORES!$A:$A,0))</f>
        <v>Clientes</v>
      </c>
      <c r="H1132" s="60" t="s">
        <v>21</v>
      </c>
    </row>
    <row r="1133" spans="1:8" ht="14.25" hidden="1" customHeight="1" x14ac:dyDescent="0.3">
      <c r="A1133" s="34" t="s">
        <v>49</v>
      </c>
      <c r="B1133" s="61" t="s">
        <v>155</v>
      </c>
      <c r="C1133" s="61" t="s">
        <v>168</v>
      </c>
      <c r="D1133" s="69">
        <v>4</v>
      </c>
      <c r="E1133" s="74">
        <v>2.0499999999999998</v>
      </c>
      <c r="F1133" s="80">
        <f>IFERROR(D1133*E1133,0)</f>
        <v>8.1999999999999993</v>
      </c>
      <c r="G1133" s="61" t="str">
        <f>INDEX(SETORES!$B:$B,MATCH(A1133,SETORES!$A:$A,0))</f>
        <v>Clientes</v>
      </c>
      <c r="H1133" s="61" t="s">
        <v>21</v>
      </c>
    </row>
    <row r="1134" spans="1:8" ht="14.25" hidden="1" customHeight="1" x14ac:dyDescent="0.3">
      <c r="A1134" s="34" t="s">
        <v>49</v>
      </c>
      <c r="B1134" s="61" t="s">
        <v>155</v>
      </c>
      <c r="C1134" s="61" t="s">
        <v>160</v>
      </c>
      <c r="D1134" s="69"/>
      <c r="E1134" s="74"/>
      <c r="F1134" s="80">
        <f>IFERROR(D1134*E1134,0)</f>
        <v>0</v>
      </c>
      <c r="G1134" s="61" t="str">
        <f>INDEX(SETORES!$B:$B,MATCH(A1134,SETORES!$A:$A,0))</f>
        <v>Clientes</v>
      </c>
      <c r="H1134" s="61" t="s">
        <v>21</v>
      </c>
    </row>
    <row r="1135" spans="1:8" ht="14.25" hidden="1" customHeight="1" x14ac:dyDescent="0.3">
      <c r="A1135" s="35" t="s">
        <v>146</v>
      </c>
      <c r="B1135" s="66" t="s">
        <v>155</v>
      </c>
      <c r="C1135" s="66" t="s">
        <v>161</v>
      </c>
      <c r="D1135" s="66">
        <v>1</v>
      </c>
      <c r="E1135" s="78">
        <v>23134.52</v>
      </c>
      <c r="F1135" s="78">
        <f>IFERROR(D1135*E1135,0)</f>
        <v>23134.52</v>
      </c>
      <c r="G1135" s="66" t="str">
        <f>INDEX(SETORES!$B:$B,MATCH(A1135,SETORES!$A:$A,0))</f>
        <v>Clientes</v>
      </c>
      <c r="H1135" s="66" t="s">
        <v>21</v>
      </c>
    </row>
    <row r="1136" spans="1:8" ht="14.25" hidden="1" customHeight="1" x14ac:dyDescent="0.3">
      <c r="A1136" s="34" t="s">
        <v>86</v>
      </c>
      <c r="B1136" s="61" t="s">
        <v>155</v>
      </c>
      <c r="C1136" s="61" t="s">
        <v>212</v>
      </c>
      <c r="D1136" s="69">
        <v>4</v>
      </c>
      <c r="E1136" s="74">
        <v>30</v>
      </c>
      <c r="F1136" s="80">
        <f>IFERROR(D1136*E1136,0)</f>
        <v>120</v>
      </c>
      <c r="G1136" s="61" t="str">
        <f>INDEX(SETORES!$B:$B,MATCH(A1136,SETORES!$A:$A,0))</f>
        <v>Clientes</v>
      </c>
      <c r="H1136" s="61" t="s">
        <v>21</v>
      </c>
    </row>
    <row r="1137" spans="1:8" ht="14.25" customHeight="1" x14ac:dyDescent="0.3">
      <c r="A1137" s="2" t="s">
        <v>86</v>
      </c>
      <c r="B1137" s="60" t="s">
        <v>155</v>
      </c>
      <c r="C1137" s="60" t="s">
        <v>171</v>
      </c>
      <c r="D1137" s="68">
        <v>7</v>
      </c>
      <c r="E1137" s="73">
        <v>43.54</v>
      </c>
      <c r="F1137" s="79">
        <f>IFERROR(D1137*E1137,0)</f>
        <v>304.77999999999997</v>
      </c>
      <c r="G1137" s="60" t="s">
        <v>98</v>
      </c>
      <c r="H1137" s="60" t="s">
        <v>21</v>
      </c>
    </row>
    <row r="1138" spans="1:8" ht="14.25" hidden="1" customHeight="1" x14ac:dyDescent="0.3">
      <c r="A1138" s="34" t="s">
        <v>86</v>
      </c>
      <c r="B1138" s="61" t="s">
        <v>155</v>
      </c>
      <c r="C1138" s="61" t="s">
        <v>170</v>
      </c>
      <c r="D1138" s="69">
        <v>7</v>
      </c>
      <c r="E1138" s="74">
        <v>29.74</v>
      </c>
      <c r="F1138" s="80">
        <f>IFERROR(D1138*E1138,0)</f>
        <v>208.17999999999998</v>
      </c>
      <c r="G1138" s="60" t="s">
        <v>98</v>
      </c>
      <c r="H1138" s="61" t="s">
        <v>21</v>
      </c>
    </row>
    <row r="1139" spans="1:8" ht="14.25" hidden="1" customHeight="1" x14ac:dyDescent="0.3">
      <c r="A1139" s="34" t="s">
        <v>86</v>
      </c>
      <c r="B1139" s="61" t="s">
        <v>155</v>
      </c>
      <c r="C1139" s="61" t="s">
        <v>169</v>
      </c>
      <c r="D1139" s="69">
        <v>7</v>
      </c>
      <c r="E1139" s="74">
        <v>47.66</v>
      </c>
      <c r="F1139" s="80">
        <f>IFERROR(D1139*E1139,0)</f>
        <v>333.62</v>
      </c>
      <c r="G1139" s="60" t="s">
        <v>98</v>
      </c>
      <c r="H1139" s="61" t="s">
        <v>21</v>
      </c>
    </row>
    <row r="1140" spans="1:8" ht="14.25" hidden="1" customHeight="1" x14ac:dyDescent="0.3">
      <c r="A1140" s="34" t="s">
        <v>86</v>
      </c>
      <c r="B1140" s="61" t="s">
        <v>162</v>
      </c>
      <c r="C1140" s="61" t="s">
        <v>165</v>
      </c>
      <c r="D1140" s="69">
        <v>1</v>
      </c>
      <c r="E1140" s="74">
        <v>35</v>
      </c>
      <c r="F1140" s="80">
        <f>IFERROR(D1140*E1140,0)</f>
        <v>35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34" t="s">
        <v>86</v>
      </c>
      <c r="B1141" s="61" t="s">
        <v>155</v>
      </c>
      <c r="C1141" s="61" t="s">
        <v>161</v>
      </c>
      <c r="D1141" s="69">
        <v>1</v>
      </c>
      <c r="E1141" s="74">
        <v>27856.75</v>
      </c>
      <c r="F1141" s="80">
        <f>IFERROR(E1141,0)</f>
        <v>27856.75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2" t="s">
        <v>86</v>
      </c>
      <c r="B1142" s="60" t="s">
        <v>155</v>
      </c>
      <c r="C1142" s="60" t="s">
        <v>167</v>
      </c>
      <c r="D1142" s="68">
        <v>7</v>
      </c>
      <c r="E1142" s="73">
        <v>9.92</v>
      </c>
      <c r="F1142" s="79">
        <f>IFERROR(D1142*E1142,0)</f>
        <v>69.44</v>
      </c>
      <c r="G1142" s="60" t="str">
        <f>INDEX(SETORES!$B:$B,MATCH(A1142,SETORES!$A:$A,0))</f>
        <v>Clientes</v>
      </c>
      <c r="H1142" s="60" t="s">
        <v>21</v>
      </c>
    </row>
    <row r="1143" spans="1:8" ht="14.25" hidden="1" customHeight="1" x14ac:dyDescent="0.3">
      <c r="A1143" s="34" t="s">
        <v>86</v>
      </c>
      <c r="B1143" s="61" t="s">
        <v>155</v>
      </c>
      <c r="C1143" s="61" t="s">
        <v>238</v>
      </c>
      <c r="D1143" s="69">
        <v>1</v>
      </c>
      <c r="E1143" s="74">
        <v>6.8627440000000002</v>
      </c>
      <c r="F1143" s="80">
        <f>IFERROR(D1143*E1143,0)</f>
        <v>6.8627440000000002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2" t="s">
        <v>86</v>
      </c>
      <c r="B1144" s="60" t="s">
        <v>155</v>
      </c>
      <c r="C1144" s="60" t="s">
        <v>166</v>
      </c>
      <c r="D1144" s="68">
        <v>7</v>
      </c>
      <c r="E1144" s="73">
        <v>50</v>
      </c>
      <c r="F1144" s="79">
        <f>IFERROR(D1144*E1144,0)</f>
        <v>350</v>
      </c>
      <c r="G1144" s="60" t="str">
        <f>INDEX(SETORES!$B:$B,MATCH(A1144,SETORES!$A:$A,0))</f>
        <v>Clientes</v>
      </c>
      <c r="H1144" s="60" t="s">
        <v>21</v>
      </c>
    </row>
    <row r="1145" spans="1:8" ht="14.25" hidden="1" customHeight="1" x14ac:dyDescent="0.3">
      <c r="A1145" s="2" t="s">
        <v>86</v>
      </c>
      <c r="B1145" s="60" t="s">
        <v>155</v>
      </c>
      <c r="C1145" s="60" t="s">
        <v>157</v>
      </c>
      <c r="D1145" s="68">
        <v>1</v>
      </c>
      <c r="E1145" s="73">
        <v>176.73</v>
      </c>
      <c r="F1145" s="79">
        <v>176.73</v>
      </c>
      <c r="G1145" s="60" t="str">
        <f>INDEX(SETORES!$B:$B,MATCH(A1145,SETORES!$A:$A,0))</f>
        <v>Clientes</v>
      </c>
      <c r="H1145" s="60" t="s">
        <v>21</v>
      </c>
    </row>
    <row r="1146" spans="1:8" ht="14.25" hidden="1" customHeight="1" x14ac:dyDescent="0.3">
      <c r="A1146" s="2" t="s">
        <v>86</v>
      </c>
      <c r="B1146" s="60" t="s">
        <v>162</v>
      </c>
      <c r="C1146" s="60" t="s">
        <v>222</v>
      </c>
      <c r="D1146" s="68"/>
      <c r="E1146" s="73"/>
      <c r="F1146" s="79">
        <f>IFERROR(D1146*E1146,0)</f>
        <v>0</v>
      </c>
      <c r="G1146" s="60" t="str">
        <f>INDEX(SETORES!$B:$B,MATCH(A1146,SETORES!$A:$A,0))</f>
        <v>Clientes</v>
      </c>
      <c r="H1146" s="60" t="s">
        <v>21</v>
      </c>
    </row>
    <row r="1147" spans="1:8" ht="14.25" hidden="1" customHeight="1" x14ac:dyDescent="0.3">
      <c r="A1147" s="34" t="s">
        <v>86</v>
      </c>
      <c r="B1147" s="61" t="s">
        <v>155</v>
      </c>
      <c r="C1147" s="61" t="s">
        <v>168</v>
      </c>
      <c r="D1147" s="69">
        <v>7</v>
      </c>
      <c r="E1147" s="74">
        <v>2.0499999999999998</v>
      </c>
      <c r="F1147" s="80">
        <f>IFERROR(D1147*E1147,0)</f>
        <v>14.349999999999998</v>
      </c>
      <c r="G1147" s="61" t="str">
        <f>INDEX(SETORES!$B:$B,MATCH(A1147,SETORES!$A:$A,0))</f>
        <v>Clientes</v>
      </c>
      <c r="H1147" s="61" t="s">
        <v>21</v>
      </c>
    </row>
    <row r="1148" spans="1:8" ht="14.25" hidden="1" customHeight="1" x14ac:dyDescent="0.3">
      <c r="A1148" s="34" t="s">
        <v>39</v>
      </c>
      <c r="B1148" s="61" t="s">
        <v>155</v>
      </c>
      <c r="C1148" s="61" t="s">
        <v>159</v>
      </c>
      <c r="D1148" s="69">
        <v>1</v>
      </c>
      <c r="E1148" s="74">
        <v>0.29099999999999998</v>
      </c>
      <c r="F1148" s="80">
        <v>0.29099999999999998</v>
      </c>
      <c r="G1148" s="61" t="str">
        <f>INDEX(SETORES!$B:$B,MATCH(A1148,SETORES!$A:$A,0))</f>
        <v>Clientes</v>
      </c>
      <c r="H1148" s="61" t="s">
        <v>21</v>
      </c>
    </row>
    <row r="1149" spans="1:8" ht="14.25" hidden="1" customHeight="1" x14ac:dyDescent="0.3">
      <c r="A1149" s="34" t="s">
        <v>39</v>
      </c>
      <c r="B1149" s="61" t="s">
        <v>155</v>
      </c>
      <c r="C1149" s="61" t="s">
        <v>249</v>
      </c>
      <c r="D1149" s="69">
        <v>1</v>
      </c>
      <c r="E1149" s="74">
        <v>895.5</v>
      </c>
      <c r="F1149" s="80">
        <f>IFERROR(D1149*E1149,0)</f>
        <v>895.5</v>
      </c>
      <c r="G1149" s="61" t="str">
        <f>INDEX(SETORES!$B:$B,MATCH(A1149,SETORES!$A:$A,0))</f>
        <v>Clientes</v>
      </c>
      <c r="H1149" s="61" t="s">
        <v>21</v>
      </c>
    </row>
    <row r="1150" spans="1:8" ht="14.25" customHeight="1" x14ac:dyDescent="0.3">
      <c r="A1150" s="2" t="s">
        <v>39</v>
      </c>
      <c r="B1150" s="60" t="s">
        <v>155</v>
      </c>
      <c r="C1150" s="60" t="s">
        <v>171</v>
      </c>
      <c r="D1150" s="68">
        <v>12</v>
      </c>
      <c r="E1150" s="73">
        <v>43.54</v>
      </c>
      <c r="F1150" s="79">
        <f>IFERROR(D1150*E1150,0)</f>
        <v>522.48</v>
      </c>
      <c r="G1150" s="60" t="s">
        <v>98</v>
      </c>
      <c r="H1150" s="60" t="s">
        <v>21</v>
      </c>
    </row>
    <row r="1151" spans="1:8" ht="14.25" hidden="1" customHeight="1" x14ac:dyDescent="0.3">
      <c r="A1151" s="34" t="s">
        <v>39</v>
      </c>
      <c r="B1151" s="61" t="s">
        <v>155</v>
      </c>
      <c r="C1151" s="61" t="s">
        <v>170</v>
      </c>
      <c r="D1151" s="69">
        <v>12</v>
      </c>
      <c r="E1151" s="74">
        <v>29.74</v>
      </c>
      <c r="F1151" s="80">
        <f>IFERROR(D1151*E1151,0)</f>
        <v>356.88</v>
      </c>
      <c r="G1151" s="60" t="s">
        <v>98</v>
      </c>
      <c r="H1151" s="61" t="s">
        <v>21</v>
      </c>
    </row>
    <row r="1152" spans="1:8" ht="14.25" hidden="1" customHeight="1" x14ac:dyDescent="0.3">
      <c r="A1152" s="34" t="s">
        <v>39</v>
      </c>
      <c r="B1152" s="61" t="s">
        <v>155</v>
      </c>
      <c r="C1152" s="61" t="s">
        <v>169</v>
      </c>
      <c r="D1152" s="69">
        <v>12</v>
      </c>
      <c r="E1152" s="74">
        <v>47.66</v>
      </c>
      <c r="F1152" s="80">
        <f>IFERROR(D1152*E1152,0)</f>
        <v>571.91999999999996</v>
      </c>
      <c r="G1152" s="60" t="s">
        <v>98</v>
      </c>
      <c r="H1152" s="61" t="s">
        <v>21</v>
      </c>
    </row>
    <row r="1153" spans="1:8" ht="14.25" hidden="1" customHeight="1" x14ac:dyDescent="0.3">
      <c r="A1153" s="2" t="s">
        <v>39</v>
      </c>
      <c r="B1153" s="60" t="s">
        <v>155</v>
      </c>
      <c r="C1153" s="60" t="s">
        <v>158</v>
      </c>
      <c r="D1153" s="68">
        <v>1</v>
      </c>
      <c r="E1153" s="73">
        <v>99.275999999999996</v>
      </c>
      <c r="F1153" s="79">
        <v>99.275999999999996</v>
      </c>
      <c r="G1153" s="60" t="str">
        <f>INDEX(SETORES!$B:$B,MATCH(A1153,SETORES!$A:$A,0))</f>
        <v>Clientes</v>
      </c>
      <c r="H1153" s="60" t="s">
        <v>21</v>
      </c>
    </row>
    <row r="1154" spans="1:8" ht="14.25" hidden="1" customHeight="1" x14ac:dyDescent="0.3">
      <c r="A1154" s="2" t="s">
        <v>39</v>
      </c>
      <c r="B1154" s="60" t="s">
        <v>162</v>
      </c>
      <c r="C1154" s="60" t="s">
        <v>163</v>
      </c>
      <c r="D1154" s="68"/>
      <c r="E1154" s="73"/>
      <c r="F1154" s="79">
        <f>IFERROR(D1154*E1154,0)</f>
        <v>0</v>
      </c>
      <c r="G1154" s="60" t="str">
        <f>INDEX(SETORES!$B:$B,MATCH(A1154,SETORES!$A:$A,0))</f>
        <v>Clientes</v>
      </c>
      <c r="H1154" s="60" t="s">
        <v>21</v>
      </c>
    </row>
    <row r="1155" spans="1:8" ht="14.25" hidden="1" customHeight="1" x14ac:dyDescent="0.3">
      <c r="A1155" s="34" t="s">
        <v>39</v>
      </c>
      <c r="B1155" s="61" t="s">
        <v>162</v>
      </c>
      <c r="C1155" s="61" t="s">
        <v>164</v>
      </c>
      <c r="D1155" s="69"/>
      <c r="E1155" s="74"/>
      <c r="F1155" s="80">
        <f>IFERROR(D1155*E1155,0)</f>
        <v>0</v>
      </c>
      <c r="G1155" s="61" t="str">
        <f>INDEX(SETORES!$B:$B,MATCH(A1155,SETORES!$A:$A,0))</f>
        <v>Clientes</v>
      </c>
      <c r="H1155" s="61" t="s">
        <v>21</v>
      </c>
    </row>
    <row r="1156" spans="1:8" ht="14.25" hidden="1" customHeight="1" x14ac:dyDescent="0.3">
      <c r="A1156" s="34" t="s">
        <v>39</v>
      </c>
      <c r="B1156" s="61" t="s">
        <v>155</v>
      </c>
      <c r="C1156" s="61" t="s">
        <v>161</v>
      </c>
      <c r="D1156" s="69">
        <v>1</v>
      </c>
      <c r="E1156" s="74">
        <v>38376.559999999998</v>
      </c>
      <c r="F1156" s="80">
        <f>IFERROR(E1156,0)</f>
        <v>38376.559999999998</v>
      </c>
      <c r="G1156" s="61" t="str">
        <f>INDEX(SETORES!$B:$B,MATCH(A1156,SETORES!$A:$A,0))</f>
        <v>Clientes</v>
      </c>
      <c r="H1156" s="61" t="s">
        <v>21</v>
      </c>
    </row>
    <row r="1157" spans="1:8" ht="14.25" hidden="1" customHeight="1" x14ac:dyDescent="0.3">
      <c r="A1157" s="2" t="s">
        <v>39</v>
      </c>
      <c r="B1157" s="60" t="s">
        <v>155</v>
      </c>
      <c r="C1157" s="60" t="s">
        <v>167</v>
      </c>
      <c r="D1157" s="68">
        <v>12</v>
      </c>
      <c r="E1157" s="73">
        <v>9.92</v>
      </c>
      <c r="F1157" s="79">
        <f>IFERROR(D1157*E1157,0)</f>
        <v>119.03999999999999</v>
      </c>
      <c r="G1157" s="60" t="str">
        <f>INDEX(SETORES!$B:$B,MATCH(A1157,SETORES!$A:$A,0))</f>
        <v>Clientes</v>
      </c>
      <c r="H1157" s="60" t="s">
        <v>21</v>
      </c>
    </row>
    <row r="1158" spans="1:8" ht="14.25" hidden="1" customHeight="1" x14ac:dyDescent="0.3">
      <c r="A1158" s="34" t="s">
        <v>39</v>
      </c>
      <c r="B1158" s="61" t="s">
        <v>155</v>
      </c>
      <c r="C1158" s="61" t="s">
        <v>240</v>
      </c>
      <c r="D1158" s="69">
        <v>1</v>
      </c>
      <c r="E1158" s="74">
        <v>2.5180319999999998</v>
      </c>
      <c r="F1158" s="80">
        <f>IFERROR(D1158*E1158,0)</f>
        <v>2.5180319999999998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34" t="s">
        <v>39</v>
      </c>
      <c r="B1159" s="61" t="s">
        <v>155</v>
      </c>
      <c r="C1159" s="61" t="s">
        <v>166</v>
      </c>
      <c r="D1159" s="69">
        <v>2</v>
      </c>
      <c r="E1159" s="74">
        <v>50</v>
      </c>
      <c r="F1159" s="80">
        <f>IFERROR(D1159*E1159,0)</f>
        <v>100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39</v>
      </c>
      <c r="B1160" s="60" t="s">
        <v>155</v>
      </c>
      <c r="C1160" s="60" t="s">
        <v>156</v>
      </c>
      <c r="D1160" s="68">
        <v>12</v>
      </c>
      <c r="E1160" s="73">
        <v>0.98509999999999998</v>
      </c>
      <c r="F1160" s="79">
        <v>11.821199999999999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34" t="s">
        <v>39</v>
      </c>
      <c r="B1161" s="61" t="s">
        <v>155</v>
      </c>
      <c r="C1161" s="61" t="s">
        <v>157</v>
      </c>
      <c r="D1161" s="69">
        <v>1</v>
      </c>
      <c r="E1161" s="74">
        <v>359.29180300000002</v>
      </c>
      <c r="F1161" s="80">
        <v>359.29180300000002</v>
      </c>
      <c r="G1161" s="61" t="str">
        <f>INDEX(SETORES!$B:$B,MATCH(A1161,SETORES!$A:$A,0))</f>
        <v>Clientes</v>
      </c>
      <c r="H1161" s="61" t="s">
        <v>21</v>
      </c>
    </row>
    <row r="1162" spans="1:8" ht="14.25" hidden="1" customHeight="1" x14ac:dyDescent="0.3">
      <c r="A1162" s="2" t="s">
        <v>39</v>
      </c>
      <c r="B1162" s="60" t="s">
        <v>162</v>
      </c>
      <c r="C1162" s="60" t="s">
        <v>222</v>
      </c>
      <c r="D1162" s="68">
        <v>1</v>
      </c>
      <c r="E1162" s="73">
        <v>10389.200000000001</v>
      </c>
      <c r="F1162" s="79">
        <f>IFERROR(D1162*E1162,0)</f>
        <v>10389.200000000001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39</v>
      </c>
      <c r="B1163" s="60" t="s">
        <v>155</v>
      </c>
      <c r="C1163" s="60" t="s">
        <v>187</v>
      </c>
      <c r="D1163" s="68">
        <v>1</v>
      </c>
      <c r="E1163" s="73">
        <v>664.11344399999996</v>
      </c>
      <c r="F1163" s="79">
        <f>IFERROR(D1163*E1163,0)</f>
        <v>664.11344399999996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34" t="s">
        <v>39</v>
      </c>
      <c r="B1164" s="61" t="s">
        <v>155</v>
      </c>
      <c r="C1164" s="61" t="s">
        <v>168</v>
      </c>
      <c r="D1164" s="69">
        <v>12</v>
      </c>
      <c r="E1164" s="74">
        <v>2.0499999999999998</v>
      </c>
      <c r="F1164" s="80">
        <f>IFERROR(D1164*E1164,0)</f>
        <v>24.599999999999998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2" t="s">
        <v>39</v>
      </c>
      <c r="B1165" s="60" t="s">
        <v>155</v>
      </c>
      <c r="C1165" s="60" t="s">
        <v>160</v>
      </c>
      <c r="D1165" s="68"/>
      <c r="E1165" s="73"/>
      <c r="F1165" s="79">
        <f>IFERROR(D1165*E1165,0)</f>
        <v>0</v>
      </c>
      <c r="G1165" s="60" t="str">
        <f>INDEX(SETORES!$B:$B,MATCH(A1165,SETORES!$A:$A,0))</f>
        <v>Clientes</v>
      </c>
      <c r="H1165" s="60" t="s">
        <v>21</v>
      </c>
    </row>
    <row r="1166" spans="1:8" ht="14.25" hidden="1" customHeight="1" x14ac:dyDescent="0.3">
      <c r="A1166" s="2" t="s">
        <v>32</v>
      </c>
      <c r="B1166" s="60" t="s">
        <v>155</v>
      </c>
      <c r="C1166" s="60" t="s">
        <v>229</v>
      </c>
      <c r="D1166" s="68"/>
      <c r="E1166" s="73"/>
      <c r="F1166" s="79">
        <f>IFERROR(D1166*E1166,0)</f>
        <v>0</v>
      </c>
      <c r="G1166" s="60" t="str">
        <f>INDEX(SETORES!$B:$B,MATCH(A1166,SETORES!$A:$A,0))</f>
        <v>Funcionários</v>
      </c>
      <c r="H1166" s="60" t="s">
        <v>21</v>
      </c>
    </row>
    <row r="1167" spans="1:8" ht="14.25" hidden="1" customHeight="1" x14ac:dyDescent="0.3">
      <c r="A1167" s="34" t="s">
        <v>32</v>
      </c>
      <c r="B1167" s="61" t="s">
        <v>155</v>
      </c>
      <c r="C1167" s="61" t="s">
        <v>159</v>
      </c>
      <c r="D1167" s="69">
        <v>1</v>
      </c>
      <c r="E1167" s="74">
        <v>0.14549999999999999</v>
      </c>
      <c r="F1167" s="80">
        <v>0.14549999999999999</v>
      </c>
      <c r="G1167" s="61" t="str">
        <f>INDEX(SETORES!$B:$B,MATCH(A1167,SETORES!$A:$A,0))</f>
        <v>Funcionários</v>
      </c>
      <c r="H1167" s="61" t="s">
        <v>21</v>
      </c>
    </row>
    <row r="1168" spans="1:8" ht="14.25" hidden="1" customHeight="1" x14ac:dyDescent="0.3">
      <c r="A1168" s="2" t="s">
        <v>32</v>
      </c>
      <c r="B1168" s="60" t="s">
        <v>155</v>
      </c>
      <c r="C1168" s="60" t="s">
        <v>212</v>
      </c>
      <c r="D1168" s="68">
        <v>3</v>
      </c>
      <c r="E1168" s="73">
        <v>30</v>
      </c>
      <c r="F1168" s="79">
        <f>IFERROR(D1168*E1168,0)</f>
        <v>90</v>
      </c>
      <c r="G1168" s="60" t="str">
        <f>INDEX(SETORES!$B:$B,MATCH(A1168,SETORES!$A:$A,0))</f>
        <v>Funcionários</v>
      </c>
      <c r="H1168" s="60" t="s">
        <v>21</v>
      </c>
    </row>
    <row r="1169" spans="1:8" ht="14.25" customHeight="1" x14ac:dyDescent="0.3">
      <c r="A1169" s="34" t="s">
        <v>32</v>
      </c>
      <c r="B1169" s="61" t="s">
        <v>155</v>
      </c>
      <c r="C1169" s="61" t="s">
        <v>171</v>
      </c>
      <c r="D1169" s="69">
        <v>6</v>
      </c>
      <c r="E1169" s="74">
        <v>43.54</v>
      </c>
      <c r="F1169" s="80">
        <f>IFERROR(D1169*E1169,0)</f>
        <v>261.24</v>
      </c>
      <c r="G1169" s="61" t="str">
        <f>INDEX(SETORES!$B:$B,MATCH(A1169,SETORES!$A:$A,0))</f>
        <v>Funcionários</v>
      </c>
      <c r="H1169" s="61" t="s">
        <v>21</v>
      </c>
    </row>
    <row r="1170" spans="1:8" ht="14.25" hidden="1" customHeight="1" x14ac:dyDescent="0.3">
      <c r="A1170" s="2" t="s">
        <v>32</v>
      </c>
      <c r="B1170" s="60" t="s">
        <v>155</v>
      </c>
      <c r="C1170" s="60" t="s">
        <v>170</v>
      </c>
      <c r="D1170" s="68">
        <v>6</v>
      </c>
      <c r="E1170" s="73">
        <v>29.74</v>
      </c>
      <c r="F1170" s="79">
        <f>IFERROR(D1170*E1170,0)</f>
        <v>178.44</v>
      </c>
      <c r="G1170" s="60" t="str">
        <f>INDEX(SETORES!$B:$B,MATCH(A1170,SETORES!$A:$A,0))</f>
        <v>Funcionários</v>
      </c>
      <c r="H1170" s="60" t="s">
        <v>21</v>
      </c>
    </row>
    <row r="1171" spans="1:8" ht="14.25" hidden="1" customHeight="1" x14ac:dyDescent="0.3">
      <c r="A1171" s="2" t="s">
        <v>32</v>
      </c>
      <c r="B1171" s="60" t="s">
        <v>155</v>
      </c>
      <c r="C1171" s="60" t="s">
        <v>169</v>
      </c>
      <c r="D1171" s="68">
        <v>6</v>
      </c>
      <c r="E1171" s="73">
        <v>47.66</v>
      </c>
      <c r="F1171" s="79">
        <f>IFERROR(D1171*E1171,0)</f>
        <v>285.95999999999998</v>
      </c>
      <c r="G1171" s="60" t="str">
        <f>INDEX(SETORES!$B:$B,MATCH(A1171,SETORES!$A:$A,0))</f>
        <v>Funcionários</v>
      </c>
      <c r="H1171" s="60" t="s">
        <v>21</v>
      </c>
    </row>
    <row r="1172" spans="1:8" ht="14.25" hidden="1" customHeight="1" x14ac:dyDescent="0.3">
      <c r="A1172" s="2" t="s">
        <v>32</v>
      </c>
      <c r="B1172" s="60" t="s">
        <v>155</v>
      </c>
      <c r="C1172" s="60" t="s">
        <v>158</v>
      </c>
      <c r="D1172" s="68">
        <v>1</v>
      </c>
      <c r="E1172" s="73">
        <v>49.637999999999998</v>
      </c>
      <c r="F1172" s="79">
        <v>49.637999999999998</v>
      </c>
      <c r="G1172" s="60" t="str">
        <f>INDEX(SETORES!$B:$B,MATCH(A1172,SETORES!$A:$A,0))</f>
        <v>Funcionários</v>
      </c>
      <c r="H1172" s="60" t="s">
        <v>21</v>
      </c>
    </row>
    <row r="1173" spans="1:8" ht="14.25" hidden="1" customHeight="1" x14ac:dyDescent="0.3">
      <c r="A1173" s="2" t="s">
        <v>32</v>
      </c>
      <c r="B1173" s="60" t="s">
        <v>162</v>
      </c>
      <c r="C1173" s="60" t="s">
        <v>225</v>
      </c>
      <c r="D1173" s="68">
        <v>4</v>
      </c>
      <c r="E1173" s="73">
        <v>45</v>
      </c>
      <c r="F1173" s="79">
        <f>IFERROR(D1173*E1173,0)</f>
        <v>180</v>
      </c>
      <c r="G1173" s="60" t="str">
        <f>INDEX(SETORES!$B:$B,MATCH(A1173,SETORES!$A:$A,0))</f>
        <v>Funcionários</v>
      </c>
      <c r="H1173" s="60" t="s">
        <v>21</v>
      </c>
    </row>
    <row r="1174" spans="1:8" ht="14.25" hidden="1" customHeight="1" x14ac:dyDescent="0.3">
      <c r="A1174" s="34" t="s">
        <v>32</v>
      </c>
      <c r="B1174" s="61" t="s">
        <v>162</v>
      </c>
      <c r="C1174" s="61" t="s">
        <v>226</v>
      </c>
      <c r="D1174" s="69"/>
      <c r="E1174" s="74"/>
      <c r="F1174" s="80">
        <f>IFERROR(D1174*E1174,0)</f>
        <v>0</v>
      </c>
      <c r="G1174" s="61" t="str">
        <f>INDEX(SETORES!$B:$B,MATCH(A1174,SETORES!$A:$A,0))</f>
        <v>Funcionários</v>
      </c>
      <c r="H1174" s="61" t="s">
        <v>21</v>
      </c>
    </row>
    <row r="1175" spans="1:8" ht="14.25" hidden="1" customHeight="1" x14ac:dyDescent="0.3">
      <c r="A1175" s="34" t="s">
        <v>32</v>
      </c>
      <c r="B1175" s="61" t="s">
        <v>155</v>
      </c>
      <c r="C1175" s="61" t="s">
        <v>161</v>
      </c>
      <c r="D1175" s="69">
        <v>1</v>
      </c>
      <c r="E1175" s="74">
        <v>30249.56</v>
      </c>
      <c r="F1175" s="80">
        <f>IFERROR(E1175,0)</f>
        <v>30249.56</v>
      </c>
      <c r="G1175" s="61" t="str">
        <f>INDEX(SETORES!$B:$B,MATCH(A1175,SETORES!$A:$A,0))</f>
        <v>Funcionários</v>
      </c>
      <c r="H1175" s="61" t="s">
        <v>21</v>
      </c>
    </row>
    <row r="1176" spans="1:8" ht="14.25" hidden="1" customHeight="1" x14ac:dyDescent="0.3">
      <c r="A1176" s="2" t="s">
        <v>32</v>
      </c>
      <c r="B1176" s="60" t="s">
        <v>155</v>
      </c>
      <c r="C1176" s="60" t="s">
        <v>167</v>
      </c>
      <c r="D1176" s="68">
        <v>6</v>
      </c>
      <c r="E1176" s="73">
        <v>9.92</v>
      </c>
      <c r="F1176" s="79">
        <f>IFERROR(D1176*E1176,0)</f>
        <v>59.519999999999996</v>
      </c>
      <c r="G1176" s="60" t="str">
        <f>INDEX(SETORES!$B:$B,MATCH(A1176,SETORES!$A:$A,0))</f>
        <v>Funcionários</v>
      </c>
      <c r="H1176" s="60" t="s">
        <v>21</v>
      </c>
    </row>
    <row r="1177" spans="1:8" ht="14.25" hidden="1" customHeight="1" x14ac:dyDescent="0.3">
      <c r="A1177" s="34" t="s">
        <v>32</v>
      </c>
      <c r="B1177" s="61" t="s">
        <v>155</v>
      </c>
      <c r="C1177" s="61" t="s">
        <v>238</v>
      </c>
      <c r="D1177" s="69">
        <v>1</v>
      </c>
      <c r="E1177" s="74">
        <v>5.882352</v>
      </c>
      <c r="F1177" s="80">
        <f>IFERROR(D1177*E1177,0)</f>
        <v>5.882352</v>
      </c>
      <c r="G1177" s="61" t="str">
        <f>INDEX(SETORES!$B:$B,MATCH(A1177,SETORES!$A:$A,0))</f>
        <v>Funcionários</v>
      </c>
      <c r="H1177" s="61" t="s">
        <v>21</v>
      </c>
    </row>
    <row r="1178" spans="1:8" ht="14.25" hidden="1" customHeight="1" x14ac:dyDescent="0.3">
      <c r="A1178" s="2" t="s">
        <v>32</v>
      </c>
      <c r="B1178" s="60" t="s">
        <v>155</v>
      </c>
      <c r="C1178" s="60" t="s">
        <v>166</v>
      </c>
      <c r="D1178" s="68">
        <v>6</v>
      </c>
      <c r="E1178" s="73">
        <v>50</v>
      </c>
      <c r="F1178" s="79">
        <f>IFERROR(D1178*E1178,0)</f>
        <v>300</v>
      </c>
      <c r="G1178" s="60" t="str">
        <f>INDEX(SETORES!$B:$B,MATCH(A1178,SETORES!$A:$A,0))</f>
        <v>Funcionários</v>
      </c>
      <c r="H1178" s="60" t="s">
        <v>21</v>
      </c>
    </row>
    <row r="1179" spans="1:8" ht="14.25" hidden="1" customHeight="1" x14ac:dyDescent="0.3">
      <c r="A1179" s="2" t="s">
        <v>32</v>
      </c>
      <c r="B1179" s="60" t="s">
        <v>155</v>
      </c>
      <c r="C1179" s="60" t="s">
        <v>156</v>
      </c>
      <c r="D1179" s="68"/>
      <c r="E1179" s="73"/>
      <c r="F1179" s="79">
        <v>0</v>
      </c>
      <c r="G1179" s="60" t="str">
        <f>INDEX(SETORES!$B:$B,MATCH(A1179,SETORES!$A:$A,0))</f>
        <v>Funcionários</v>
      </c>
      <c r="H1179" s="60" t="s">
        <v>21</v>
      </c>
    </row>
    <row r="1180" spans="1:8" ht="14.25" hidden="1" customHeight="1" x14ac:dyDescent="0.3">
      <c r="A1180" s="34" t="s">
        <v>32</v>
      </c>
      <c r="B1180" s="61" t="s">
        <v>155</v>
      </c>
      <c r="C1180" s="61" t="s">
        <v>157</v>
      </c>
      <c r="D1180" s="69">
        <v>1</v>
      </c>
      <c r="E1180" s="74">
        <v>59.24</v>
      </c>
      <c r="F1180" s="80">
        <v>59.24</v>
      </c>
      <c r="G1180" s="61" t="str">
        <f>INDEX(SETORES!$B:$B,MATCH(A1180,SETORES!$A:$A,0))</f>
        <v>Funcionários</v>
      </c>
      <c r="H1180" s="61" t="s">
        <v>21</v>
      </c>
    </row>
    <row r="1181" spans="1:8" ht="14.25" hidden="1" customHeight="1" x14ac:dyDescent="0.3">
      <c r="A1181" s="34" t="s">
        <v>32</v>
      </c>
      <c r="B1181" s="61" t="s">
        <v>155</v>
      </c>
      <c r="C1181" s="61" t="s">
        <v>230</v>
      </c>
      <c r="D1181" s="69"/>
      <c r="E1181" s="74"/>
      <c r="F1181" s="80">
        <f>IFERROR(D1181*E1181,0)</f>
        <v>0</v>
      </c>
      <c r="G1181" s="61" t="str">
        <f>INDEX(SETORES!$B:$B,MATCH(A1181,SETORES!$A:$A,0))</f>
        <v>Funcionários</v>
      </c>
      <c r="H1181" s="61" t="s">
        <v>21</v>
      </c>
    </row>
    <row r="1182" spans="1:8" ht="14.25" hidden="1" customHeight="1" x14ac:dyDescent="0.3">
      <c r="A1182" s="34" t="s">
        <v>32</v>
      </c>
      <c r="B1182" s="61" t="s">
        <v>155</v>
      </c>
      <c r="C1182" s="61" t="s">
        <v>174</v>
      </c>
      <c r="D1182" s="69">
        <v>1</v>
      </c>
      <c r="E1182" s="74">
        <v>2000</v>
      </c>
      <c r="F1182" s="80">
        <f>IFERROR(D1182*E1182,0)</f>
        <v>2000</v>
      </c>
      <c r="G1182" s="61" t="str">
        <f>INDEX(SETORES!$B:$B,MATCH(A1182,SETORES!$A:$A,0))</f>
        <v>Funcionários</v>
      </c>
      <c r="H1182" s="61" t="s">
        <v>21</v>
      </c>
    </row>
    <row r="1183" spans="1:8" ht="14.25" hidden="1" customHeight="1" x14ac:dyDescent="0.3">
      <c r="A1183" s="34" t="s">
        <v>32</v>
      </c>
      <c r="B1183" s="61" t="s">
        <v>162</v>
      </c>
      <c r="C1183" s="61" t="s">
        <v>228</v>
      </c>
      <c r="D1183" s="69"/>
      <c r="E1183" s="74"/>
      <c r="F1183" s="80">
        <f>IFERROR(D1183*E1183,0)</f>
        <v>0</v>
      </c>
      <c r="G1183" s="61" t="str">
        <f>INDEX(SETORES!$B:$B,MATCH(A1183,SETORES!$A:$A,0))</f>
        <v>Funcionários</v>
      </c>
      <c r="H1183" s="61" t="s">
        <v>21</v>
      </c>
    </row>
    <row r="1184" spans="1:8" ht="14.25" hidden="1" customHeight="1" x14ac:dyDescent="0.3">
      <c r="A1184" s="34" t="s">
        <v>32</v>
      </c>
      <c r="B1184" s="61" t="s">
        <v>162</v>
      </c>
      <c r="C1184" s="61" t="s">
        <v>222</v>
      </c>
      <c r="D1184" s="69"/>
      <c r="E1184" s="74"/>
      <c r="F1184" s="80">
        <f>IFERROR(D1184*E1184,0)</f>
        <v>0</v>
      </c>
      <c r="G1184" s="61" t="str">
        <f>INDEX(SETORES!$B:$B,MATCH(A1184,SETORES!$A:$A,0))</f>
        <v>Funcionários</v>
      </c>
      <c r="H1184" s="61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175</v>
      </c>
      <c r="D1185" s="69">
        <v>1</v>
      </c>
      <c r="E1185" s="74">
        <v>2500</v>
      </c>
      <c r="F1185" s="80">
        <f>IFERROR(D1185*E1185,0)</f>
        <v>2500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176</v>
      </c>
      <c r="D1186" s="68">
        <v>1</v>
      </c>
      <c r="E1186" s="73">
        <v>2612.9</v>
      </c>
      <c r="F1186" s="79">
        <f>IFERROR(D1186*E1186,0)</f>
        <v>2612.9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34" t="s">
        <v>32</v>
      </c>
      <c r="B1187" s="61" t="s">
        <v>155</v>
      </c>
      <c r="C1187" s="61" t="s">
        <v>168</v>
      </c>
      <c r="D1187" s="69">
        <v>6</v>
      </c>
      <c r="E1187" s="74">
        <v>2.0499999999999998</v>
      </c>
      <c r="F1187" s="80">
        <f>IFERROR(D1187*E1187,0)</f>
        <v>12.299999999999999</v>
      </c>
      <c r="G1187" s="61" t="str">
        <f>INDEX(SETORES!$B:$B,MATCH(A1187,SETORES!$A:$A,0))</f>
        <v>Funcionários</v>
      </c>
      <c r="H1187" s="61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160</v>
      </c>
      <c r="D1188" s="68"/>
      <c r="E1188" s="73"/>
      <c r="F1188" s="79">
        <f>IFERROR(D1188*E1188,0)</f>
        <v>0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227</v>
      </c>
      <c r="D1189" s="68"/>
      <c r="E1189" s="73"/>
      <c r="F1189" s="79">
        <f>IFERROR(D1189*E1189,0)</f>
        <v>0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34" t="s">
        <v>44</v>
      </c>
      <c r="B1190" s="61" t="s">
        <v>155</v>
      </c>
      <c r="C1190" s="61" t="s">
        <v>159</v>
      </c>
      <c r="D1190" s="69">
        <v>9</v>
      </c>
      <c r="E1190" s="74">
        <v>3.3247</v>
      </c>
      <c r="F1190" s="80">
        <v>29.9223</v>
      </c>
      <c r="G1190" s="61" t="str">
        <f>INDEX(SETORES!$B:$B,MATCH(A1190,SETORES!$A:$A,0))</f>
        <v>Funcionários</v>
      </c>
      <c r="H1190" s="61" t="s">
        <v>21</v>
      </c>
    </row>
    <row r="1191" spans="1:8" ht="14.25" hidden="1" customHeight="1" x14ac:dyDescent="0.3">
      <c r="A1191" s="34" t="s">
        <v>44</v>
      </c>
      <c r="B1191" s="61" t="s">
        <v>155</v>
      </c>
      <c r="C1191" s="61" t="s">
        <v>212</v>
      </c>
      <c r="D1191" s="69">
        <v>4</v>
      </c>
      <c r="E1191" s="74">
        <v>30</v>
      </c>
      <c r="F1191" s="80">
        <v>120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44</v>
      </c>
      <c r="B1192" s="61" t="s">
        <v>162</v>
      </c>
      <c r="C1192" s="61" t="s">
        <v>217</v>
      </c>
      <c r="D1192" s="69">
        <v>1</v>
      </c>
      <c r="E1192" s="74">
        <v>2867.75</v>
      </c>
      <c r="F1192" s="80">
        <v>2867.75</v>
      </c>
      <c r="G1192" s="61" t="str">
        <f>INDEX(SETORES!$B:$B,MATCH(A1192,SETORES!$A:$A,0))</f>
        <v>Funcionários</v>
      </c>
      <c r="H1192" s="61" t="s">
        <v>21</v>
      </c>
    </row>
    <row r="1193" spans="1:8" ht="14.25" customHeight="1" x14ac:dyDescent="0.3">
      <c r="A1193" s="34" t="s">
        <v>44</v>
      </c>
      <c r="B1193" s="61" t="s">
        <v>155</v>
      </c>
      <c r="C1193" s="61" t="s">
        <v>171</v>
      </c>
      <c r="D1193" s="69">
        <v>9</v>
      </c>
      <c r="E1193" s="74">
        <v>43.54</v>
      </c>
      <c r="F1193" s="80">
        <f>IFERROR(D1193*E1193,0)</f>
        <v>391.86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44</v>
      </c>
      <c r="B1194" s="60" t="s">
        <v>155</v>
      </c>
      <c r="C1194" s="60" t="s">
        <v>170</v>
      </c>
      <c r="D1194" s="68">
        <v>9</v>
      </c>
      <c r="E1194" s="73">
        <v>29.74</v>
      </c>
      <c r="F1194" s="79">
        <f>IFERROR(D1194*E1194,0)</f>
        <v>267.65999999999997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2" t="s">
        <v>44</v>
      </c>
      <c r="B1195" s="60" t="s">
        <v>155</v>
      </c>
      <c r="C1195" s="60" t="s">
        <v>169</v>
      </c>
      <c r="D1195" s="68">
        <v>9</v>
      </c>
      <c r="E1195" s="73">
        <v>47.66</v>
      </c>
      <c r="F1195" s="79">
        <f>IFERROR(D1195*E1195,0)</f>
        <v>428.93999999999994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2" t="s">
        <v>44</v>
      </c>
      <c r="B1196" s="60" t="s">
        <v>155</v>
      </c>
      <c r="C1196" s="60" t="s">
        <v>158</v>
      </c>
      <c r="D1196" s="68">
        <v>9</v>
      </c>
      <c r="E1196" s="73">
        <v>21.258199999999999</v>
      </c>
      <c r="F1196" s="79">
        <v>191.32380000000001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2" t="s">
        <v>44</v>
      </c>
      <c r="B1197" s="60" t="s">
        <v>162</v>
      </c>
      <c r="C1197" s="60" t="s">
        <v>221</v>
      </c>
      <c r="D1197" s="68"/>
      <c r="E1197" s="73"/>
      <c r="F1197" s="79">
        <f>IFERROR(D1197*E1197,0)</f>
        <v>0</v>
      </c>
      <c r="G1197" s="60" t="str">
        <f>INDEX(SETORES!$B:$B,MATCH(A1197,SETORES!$A:$A,0))</f>
        <v>Funcionários</v>
      </c>
      <c r="H1197" s="60" t="s">
        <v>21</v>
      </c>
    </row>
    <row r="1198" spans="1:8" ht="14.25" hidden="1" customHeight="1" x14ac:dyDescent="0.3">
      <c r="A1198" s="34" t="s">
        <v>44</v>
      </c>
      <c r="B1198" s="61" t="s">
        <v>162</v>
      </c>
      <c r="C1198" s="61" t="s">
        <v>165</v>
      </c>
      <c r="D1198" s="69">
        <v>1</v>
      </c>
      <c r="E1198" s="74">
        <v>35</v>
      </c>
      <c r="F1198" s="80">
        <f>IFERROR(D1198*E1198,0)</f>
        <v>35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2" t="s">
        <v>44</v>
      </c>
      <c r="B1199" s="60" t="s">
        <v>162</v>
      </c>
      <c r="C1199" s="60" t="s">
        <v>163</v>
      </c>
      <c r="D1199" s="68">
        <v>4</v>
      </c>
      <c r="E1199" s="73">
        <v>45</v>
      </c>
      <c r="F1199" s="79">
        <f>IFERROR(D1199*E1199,0)</f>
        <v>180</v>
      </c>
      <c r="G1199" s="60" t="str">
        <f>INDEX(SETORES!$B:$B,MATCH(A1199,SETORES!$A:$A,0))</f>
        <v>Funcionários</v>
      </c>
      <c r="H1199" s="60" t="s">
        <v>21</v>
      </c>
    </row>
    <row r="1200" spans="1:8" ht="14.25" hidden="1" customHeight="1" x14ac:dyDescent="0.3">
      <c r="A1200" s="34" t="s">
        <v>44</v>
      </c>
      <c r="B1200" s="61" t="s">
        <v>162</v>
      </c>
      <c r="C1200" s="61" t="s">
        <v>164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44</v>
      </c>
      <c r="B1201" s="61" t="s">
        <v>155</v>
      </c>
      <c r="C1201" s="61" t="s">
        <v>161</v>
      </c>
      <c r="D1201" s="69">
        <v>1</v>
      </c>
      <c r="E1201" s="74">
        <v>46380.08</v>
      </c>
      <c r="F1201" s="80">
        <f>IFERROR(E1201,0)</f>
        <v>46380.08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44</v>
      </c>
      <c r="B1202" s="61" t="s">
        <v>155</v>
      </c>
      <c r="C1202" s="61" t="s">
        <v>167</v>
      </c>
      <c r="D1202" s="69">
        <v>9</v>
      </c>
      <c r="E1202" s="74">
        <v>9.92</v>
      </c>
      <c r="F1202" s="80">
        <f>IFERROR(D1202*E1202,0)</f>
        <v>89.28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2" t="s">
        <v>44</v>
      </c>
      <c r="B1203" s="60" t="s">
        <v>155</v>
      </c>
      <c r="C1203" s="60" t="s">
        <v>238</v>
      </c>
      <c r="D1203" s="68">
        <v>1</v>
      </c>
      <c r="E1203" s="73">
        <v>570</v>
      </c>
      <c r="F1203" s="79">
        <f>IFERROR(D1203*E1203,0)</f>
        <v>570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2" t="s">
        <v>44</v>
      </c>
      <c r="B1204" s="60" t="s">
        <v>155</v>
      </c>
      <c r="C1204" s="60" t="s">
        <v>166</v>
      </c>
      <c r="D1204" s="68">
        <v>6</v>
      </c>
      <c r="E1204" s="73">
        <v>50</v>
      </c>
      <c r="F1204" s="79">
        <v>300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2" t="s">
        <v>44</v>
      </c>
      <c r="B1205" s="60" t="s">
        <v>155</v>
      </c>
      <c r="C1205" s="60" t="s">
        <v>156</v>
      </c>
      <c r="D1205" s="68"/>
      <c r="E1205" s="73"/>
      <c r="F1205" s="79"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34" t="s">
        <v>44</v>
      </c>
      <c r="B1206" s="61" t="s">
        <v>155</v>
      </c>
      <c r="C1206" s="61" t="s">
        <v>157</v>
      </c>
      <c r="D1206" s="69"/>
      <c r="E1206" s="74"/>
      <c r="F1206" s="80">
        <v>0</v>
      </c>
      <c r="G1206" s="61" t="str">
        <f>INDEX(SETORES!$B:$B,MATCH(A1206,SETORES!$A:$A,0))</f>
        <v>Funcionários</v>
      </c>
      <c r="H1206" s="61" t="s">
        <v>21</v>
      </c>
    </row>
    <row r="1207" spans="1:8" ht="14.25" hidden="1" customHeight="1" x14ac:dyDescent="0.3">
      <c r="A1207" s="34" t="s">
        <v>44</v>
      </c>
      <c r="B1207" s="61" t="s">
        <v>162</v>
      </c>
      <c r="C1207" s="61" t="s">
        <v>232</v>
      </c>
      <c r="D1207" s="69">
        <v>1</v>
      </c>
      <c r="E1207" s="74">
        <v>7689.5</v>
      </c>
      <c r="F1207" s="80">
        <f>IFERROR(D1207*E1207,0)</f>
        <v>7689.5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2" t="s">
        <v>44</v>
      </c>
      <c r="B1208" s="60" t="s">
        <v>162</v>
      </c>
      <c r="C1208" s="60" t="s">
        <v>209</v>
      </c>
      <c r="D1208" s="68">
        <v>9</v>
      </c>
      <c r="E1208" s="73">
        <v>76.92</v>
      </c>
      <c r="F1208" s="79">
        <f>IFERROR(D1208*E1208,0)</f>
        <v>692.28</v>
      </c>
      <c r="G1208" s="60" t="str">
        <f>INDEX(SETORES!$B:$B,MATCH(A1208,SETORES!$A:$A,0))</f>
        <v>Funcionários</v>
      </c>
      <c r="H1208" s="60" t="s">
        <v>21</v>
      </c>
    </row>
    <row r="1209" spans="1:8" ht="14.25" hidden="1" customHeight="1" x14ac:dyDescent="0.3">
      <c r="A1209" s="2" t="s">
        <v>44</v>
      </c>
      <c r="B1209" s="60" t="s">
        <v>162</v>
      </c>
      <c r="C1209" s="60" t="s">
        <v>222</v>
      </c>
      <c r="D1209" s="68">
        <v>1</v>
      </c>
      <c r="E1209" s="73">
        <v>5236.96</v>
      </c>
      <c r="F1209" s="79">
        <f>IFERROR(D1209*E1209,0)</f>
        <v>5236.96</v>
      </c>
      <c r="G1209" s="60" t="str">
        <f>INDEX(SETORES!$B:$B,MATCH(A1209,SETORES!$A:$A,0))</f>
        <v>Funcionários</v>
      </c>
      <c r="H1209" s="60" t="s">
        <v>21</v>
      </c>
    </row>
    <row r="1210" spans="1:8" ht="14.25" hidden="1" customHeight="1" x14ac:dyDescent="0.3">
      <c r="A1210" s="2" t="s">
        <v>44</v>
      </c>
      <c r="B1210" s="60" t="s">
        <v>155</v>
      </c>
      <c r="C1210" s="60" t="s">
        <v>168</v>
      </c>
      <c r="D1210" s="68">
        <v>9</v>
      </c>
      <c r="E1210" s="73">
        <v>2.0499999999999998</v>
      </c>
      <c r="F1210" s="79">
        <f>IFERROR(D1210*E1210,0)</f>
        <v>18.45</v>
      </c>
      <c r="G1210" s="60" t="str">
        <f>INDEX(SETORES!$B:$B,MATCH(A1210,SETORES!$A:$A,0))</f>
        <v>Funcionários</v>
      </c>
      <c r="H1210" s="60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160</v>
      </c>
      <c r="D1211" s="68"/>
      <c r="E1211" s="73"/>
      <c r="F1211" s="79">
        <f>IFERROR(D1211*E1211,0)</f>
        <v>0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139</v>
      </c>
      <c r="B1212" s="60" t="s">
        <v>155</v>
      </c>
      <c r="C1212" s="60" t="s">
        <v>250</v>
      </c>
      <c r="D1212" s="68">
        <v>1</v>
      </c>
      <c r="E1212" s="73">
        <v>1063.02</v>
      </c>
      <c r="F1212" s="79">
        <f>IFERROR(D1212*E1212,0)</f>
        <v>1063.02</v>
      </c>
      <c r="G1212" s="60" t="str">
        <f>INDEX(SETORES!$B:$B,MATCH(A1212,SETORES!$A:$A,0))</f>
        <v>Funcionários</v>
      </c>
      <c r="H1212" s="60" t="s">
        <v>21</v>
      </c>
    </row>
    <row r="1213" spans="1:8" ht="14.25" customHeight="1" x14ac:dyDescent="0.3">
      <c r="A1213" s="34" t="s">
        <v>139</v>
      </c>
      <c r="B1213" s="61" t="s">
        <v>155</v>
      </c>
      <c r="C1213" s="61" t="s">
        <v>171</v>
      </c>
      <c r="D1213" s="69">
        <v>6</v>
      </c>
      <c r="E1213" s="74">
        <v>43.54</v>
      </c>
      <c r="F1213" s="80">
        <f>IFERROR(D1213*E1213,0)</f>
        <v>261.24</v>
      </c>
      <c r="G1213" s="61" t="str">
        <f>INDEX(SETORES!$B:$B,MATCH(A1213,SETORES!$A:$A,0))</f>
        <v>Funcionários</v>
      </c>
      <c r="H1213" s="61" t="s">
        <v>21</v>
      </c>
    </row>
    <row r="1214" spans="1:8" ht="14.25" hidden="1" customHeight="1" x14ac:dyDescent="0.3">
      <c r="A1214" s="34" t="s">
        <v>139</v>
      </c>
      <c r="B1214" s="61" t="s">
        <v>155</v>
      </c>
      <c r="C1214" s="61" t="s">
        <v>170</v>
      </c>
      <c r="D1214" s="69">
        <v>6</v>
      </c>
      <c r="E1214" s="74">
        <v>29.74</v>
      </c>
      <c r="F1214" s="80">
        <f>IFERROR(D1214*E1214,0)</f>
        <v>178.44</v>
      </c>
      <c r="G1214" s="61" t="str">
        <f>INDEX(SETORES!$B:$B,MATCH(A1214,SETORES!$A:$A,0))</f>
        <v>Funcionários</v>
      </c>
      <c r="H1214" s="61" t="s">
        <v>21</v>
      </c>
    </row>
    <row r="1215" spans="1:8" ht="14.25" hidden="1" customHeight="1" x14ac:dyDescent="0.3">
      <c r="A1215" s="34" t="s">
        <v>139</v>
      </c>
      <c r="B1215" s="61" t="s">
        <v>155</v>
      </c>
      <c r="C1215" s="61" t="s">
        <v>169</v>
      </c>
      <c r="D1215" s="69">
        <v>6</v>
      </c>
      <c r="E1215" s="74">
        <v>47.66</v>
      </c>
      <c r="F1215" s="80">
        <f>IFERROR(D1215*E1215,0)</f>
        <v>285.95999999999998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34" t="s">
        <v>139</v>
      </c>
      <c r="B1216" s="61" t="s">
        <v>162</v>
      </c>
      <c r="C1216" s="61" t="s">
        <v>164</v>
      </c>
      <c r="D1216" s="69">
        <v>4</v>
      </c>
      <c r="E1216" s="74">
        <v>121.25</v>
      </c>
      <c r="F1216" s="80">
        <f>IFERROR(D1216*E1216,0)</f>
        <v>485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34" t="s">
        <v>139</v>
      </c>
      <c r="B1217" s="61" t="s">
        <v>155</v>
      </c>
      <c r="C1217" s="61" t="s">
        <v>161</v>
      </c>
      <c r="D1217" s="69">
        <v>1</v>
      </c>
      <c r="E1217" s="74">
        <v>22919.89</v>
      </c>
      <c r="F1217" s="80">
        <v>22919.89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2" t="s">
        <v>139</v>
      </c>
      <c r="B1218" s="60" t="s">
        <v>155</v>
      </c>
      <c r="C1218" s="60" t="s">
        <v>167</v>
      </c>
      <c r="D1218" s="68">
        <v>6</v>
      </c>
      <c r="E1218" s="73">
        <v>9.92</v>
      </c>
      <c r="F1218" s="79">
        <f>IFERROR(D1218*E1218,0)</f>
        <v>59.519999999999996</v>
      </c>
      <c r="G1218" s="60" t="str">
        <f>INDEX(SETORES!$B:$B,MATCH(A1218,SETORES!$A:$A,0))</f>
        <v>Funcionários</v>
      </c>
      <c r="H1218" s="60" t="s">
        <v>21</v>
      </c>
    </row>
    <row r="1219" spans="1:8" ht="14.25" hidden="1" customHeight="1" x14ac:dyDescent="0.3">
      <c r="A1219" s="34" t="s">
        <v>139</v>
      </c>
      <c r="B1219" s="61" t="s">
        <v>155</v>
      </c>
      <c r="C1219" s="61" t="s">
        <v>168</v>
      </c>
      <c r="D1219" s="69">
        <v>6</v>
      </c>
      <c r="E1219" s="74">
        <v>2.0499999999999998</v>
      </c>
      <c r="F1219" s="80">
        <f>IFERROR(D1219*E1219,0)</f>
        <v>12.299999999999999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34" t="s">
        <v>53</v>
      </c>
      <c r="B1220" s="61" t="s">
        <v>155</v>
      </c>
      <c r="C1220" s="61" t="s">
        <v>159</v>
      </c>
      <c r="D1220" s="69">
        <v>1</v>
      </c>
      <c r="E1220" s="74">
        <v>0.80020000000000002</v>
      </c>
      <c r="F1220" s="80">
        <v>0.80020000000000002</v>
      </c>
      <c r="G1220" s="61" t="str">
        <f>INDEX(SETORES!$B:$B,MATCH(A1220,SETORES!$A:$A,0))</f>
        <v>Clientes</v>
      </c>
      <c r="H1220" s="61" t="s">
        <v>21</v>
      </c>
    </row>
    <row r="1221" spans="1:8" ht="14.25" hidden="1" customHeight="1" x14ac:dyDescent="0.3">
      <c r="A1221" s="34" t="s">
        <v>53</v>
      </c>
      <c r="B1221" s="61" t="s">
        <v>155</v>
      </c>
      <c r="C1221" s="61" t="s">
        <v>249</v>
      </c>
      <c r="D1221" s="69">
        <v>1</v>
      </c>
      <c r="E1221" s="74">
        <v>2462.62</v>
      </c>
      <c r="F1221" s="80">
        <f>IFERROR(D1221*E1221,0)</f>
        <v>2462.62</v>
      </c>
      <c r="G1221" s="61" t="str">
        <f>INDEX(SETORES!$B:$B,MATCH(A1221,SETORES!$A:$A,0))</f>
        <v>Clientes</v>
      </c>
      <c r="H1221" s="61" t="s">
        <v>21</v>
      </c>
    </row>
    <row r="1222" spans="1:8" ht="14.25" customHeight="1" x14ac:dyDescent="0.3">
      <c r="A1222" s="34" t="s">
        <v>53</v>
      </c>
      <c r="B1222" s="61" t="s">
        <v>155</v>
      </c>
      <c r="C1222" s="61" t="s">
        <v>171</v>
      </c>
      <c r="D1222" s="69">
        <v>33</v>
      </c>
      <c r="E1222" s="74">
        <v>43.54</v>
      </c>
      <c r="F1222" s="80">
        <f>IFERROR(D1222*E1222,0)</f>
        <v>1436.82</v>
      </c>
      <c r="G1222" s="61" t="s">
        <v>98</v>
      </c>
      <c r="H1222" s="61" t="s">
        <v>21</v>
      </c>
    </row>
    <row r="1223" spans="1:8" ht="14.25" hidden="1" customHeight="1" x14ac:dyDescent="0.3">
      <c r="A1223" s="2" t="s">
        <v>53</v>
      </c>
      <c r="B1223" s="60" t="s">
        <v>155</v>
      </c>
      <c r="C1223" s="60" t="s">
        <v>170</v>
      </c>
      <c r="D1223" s="68">
        <v>33</v>
      </c>
      <c r="E1223" s="73">
        <v>29.74</v>
      </c>
      <c r="F1223" s="79">
        <f>IFERROR(D1223*E1223,0)</f>
        <v>981.42</v>
      </c>
      <c r="G1223" s="60" t="s">
        <v>98</v>
      </c>
      <c r="H1223" s="60" t="s">
        <v>21</v>
      </c>
    </row>
    <row r="1224" spans="1:8" ht="14.25" hidden="1" customHeight="1" x14ac:dyDescent="0.3">
      <c r="A1224" s="2" t="s">
        <v>53</v>
      </c>
      <c r="B1224" s="60" t="s">
        <v>155</v>
      </c>
      <c r="C1224" s="60" t="s">
        <v>169</v>
      </c>
      <c r="D1224" s="68">
        <v>33</v>
      </c>
      <c r="E1224" s="73">
        <v>47.66</v>
      </c>
      <c r="F1224" s="79">
        <f>IFERROR(D1224*E1224,0)</f>
        <v>1572.78</v>
      </c>
      <c r="G1224" s="60" t="s">
        <v>98</v>
      </c>
      <c r="H1224" s="60" t="s">
        <v>21</v>
      </c>
    </row>
    <row r="1225" spans="1:8" ht="14.25" hidden="1" customHeight="1" x14ac:dyDescent="0.3">
      <c r="A1225" s="2" t="s">
        <v>53</v>
      </c>
      <c r="B1225" s="60" t="s">
        <v>155</v>
      </c>
      <c r="C1225" s="60" t="s">
        <v>158</v>
      </c>
      <c r="D1225" s="68">
        <v>1</v>
      </c>
      <c r="E1225" s="73">
        <v>273.00900000000001</v>
      </c>
      <c r="F1225" s="79">
        <v>273.00900000000001</v>
      </c>
      <c r="G1225" s="60" t="str">
        <f>INDEX(SETORES!$B:$B,MATCH(A1225,SETORES!$A:$A,0))</f>
        <v>Clientes</v>
      </c>
      <c r="H1225" s="60" t="s">
        <v>21</v>
      </c>
    </row>
    <row r="1226" spans="1:8" ht="14.25" hidden="1" customHeight="1" x14ac:dyDescent="0.3">
      <c r="A1226" s="34" t="s">
        <v>53</v>
      </c>
      <c r="B1226" s="61" t="s">
        <v>162</v>
      </c>
      <c r="C1226" s="61" t="s">
        <v>165</v>
      </c>
      <c r="D1226" s="69">
        <v>1</v>
      </c>
      <c r="E1226" s="74">
        <v>10752.6</v>
      </c>
      <c r="F1226" s="80">
        <f>IFERROR(D1226*E1226,0)</f>
        <v>10752.6</v>
      </c>
      <c r="G1226" s="61" t="str">
        <f>INDEX(SETORES!$B:$B,MATCH(A1226,SETORES!$A:$A,0))</f>
        <v>Clientes</v>
      </c>
      <c r="H1226" s="61" t="s">
        <v>21</v>
      </c>
    </row>
    <row r="1227" spans="1:8" ht="14.25" hidden="1" customHeight="1" x14ac:dyDescent="0.3">
      <c r="A1227" s="2" t="s">
        <v>53</v>
      </c>
      <c r="B1227" s="60" t="s">
        <v>162</v>
      </c>
      <c r="C1227" s="60" t="s">
        <v>163</v>
      </c>
      <c r="D1227" s="68">
        <v>2</v>
      </c>
      <c r="E1227" s="73">
        <v>45</v>
      </c>
      <c r="F1227" s="79">
        <f>IFERROR(D1227*E1227,0)</f>
        <v>90</v>
      </c>
      <c r="G1227" s="60" t="str">
        <f>INDEX(SETORES!$B:$B,MATCH(A1227,SETORES!$A:$A,0))</f>
        <v>Clientes</v>
      </c>
      <c r="H1227" s="60" t="s">
        <v>21</v>
      </c>
    </row>
    <row r="1228" spans="1:8" ht="14.25" hidden="1" customHeight="1" x14ac:dyDescent="0.3">
      <c r="A1228" s="34" t="s">
        <v>53</v>
      </c>
      <c r="B1228" s="61" t="s">
        <v>155</v>
      </c>
      <c r="C1228" s="61" t="s">
        <v>161</v>
      </c>
      <c r="D1228" s="69">
        <v>1</v>
      </c>
      <c r="E1228" s="74">
        <v>101811.52</v>
      </c>
      <c r="F1228" s="80">
        <f>IFERROR(E1228,0)</f>
        <v>101811.52</v>
      </c>
      <c r="G1228" s="61" t="str">
        <f>INDEX(SETORES!$B:$B,MATCH(A1228,SETORES!$A:$A,0))</f>
        <v>Clientes</v>
      </c>
      <c r="H1228" s="61" t="s">
        <v>21</v>
      </c>
    </row>
    <row r="1229" spans="1:8" ht="14.25" hidden="1" customHeight="1" x14ac:dyDescent="0.3">
      <c r="A1229" s="34" t="s">
        <v>53</v>
      </c>
      <c r="B1229" s="61" t="s">
        <v>155</v>
      </c>
      <c r="C1229" s="61" t="s">
        <v>167</v>
      </c>
      <c r="D1229" s="69">
        <v>33</v>
      </c>
      <c r="E1229" s="74">
        <v>9.92</v>
      </c>
      <c r="F1229" s="80">
        <f>IFERROR(D1229*E1229,0)</f>
        <v>327.36</v>
      </c>
      <c r="G1229" s="61" t="str">
        <f>INDEX(SETORES!$B:$B,MATCH(A1229,SETORES!$A:$A,0))</f>
        <v>Clientes</v>
      </c>
      <c r="H1229" s="61" t="s">
        <v>21</v>
      </c>
    </row>
    <row r="1230" spans="1:8" ht="14.25" hidden="1" customHeight="1" x14ac:dyDescent="0.3">
      <c r="A1230" s="2" t="s">
        <v>53</v>
      </c>
      <c r="B1230" s="60" t="s">
        <v>155</v>
      </c>
      <c r="C1230" s="60" t="s">
        <v>240</v>
      </c>
      <c r="D1230" s="68">
        <v>1</v>
      </c>
      <c r="E1230" s="73">
        <v>6.924588</v>
      </c>
      <c r="F1230" s="79">
        <f>IFERROR(D1230*E1230,0)</f>
        <v>6.924588</v>
      </c>
      <c r="G1230" s="60" t="str">
        <f>INDEX(SETORES!$B:$B,MATCH(A1230,SETORES!$A:$A,0))</f>
        <v>Clientes</v>
      </c>
      <c r="H1230" s="60" t="s">
        <v>21</v>
      </c>
    </row>
    <row r="1231" spans="1:8" ht="14.25" hidden="1" customHeight="1" x14ac:dyDescent="0.3">
      <c r="A1231" s="2" t="s">
        <v>53</v>
      </c>
      <c r="B1231" s="60" t="s">
        <v>155</v>
      </c>
      <c r="C1231" s="60" t="s">
        <v>166</v>
      </c>
      <c r="D1231" s="68">
        <v>33</v>
      </c>
      <c r="E1231" s="73">
        <v>50</v>
      </c>
      <c r="F1231" s="79">
        <f>IFERROR(D1231*E1231,0)</f>
        <v>1650</v>
      </c>
      <c r="G1231" s="60" t="str">
        <f>INDEX(SETORES!$B:$B,MATCH(A1231,SETORES!$A:$A,0))</f>
        <v>Clientes</v>
      </c>
      <c r="H1231" s="60" t="s">
        <v>21</v>
      </c>
    </row>
    <row r="1232" spans="1:8" ht="14.25" hidden="1" customHeight="1" x14ac:dyDescent="0.3">
      <c r="A1232" s="2" t="s">
        <v>53</v>
      </c>
      <c r="B1232" s="60" t="s">
        <v>155</v>
      </c>
      <c r="C1232" s="60" t="s">
        <v>156</v>
      </c>
      <c r="D1232" s="68">
        <v>33</v>
      </c>
      <c r="E1232" s="73">
        <v>0.98509999999999998</v>
      </c>
      <c r="F1232" s="79">
        <v>32.508299999999998</v>
      </c>
      <c r="G1232" s="60" t="str">
        <f>INDEX(SETORES!$B:$B,MATCH(A1232,SETORES!$A:$A,0))</f>
        <v>Clientes</v>
      </c>
      <c r="H1232" s="60" t="s">
        <v>21</v>
      </c>
    </row>
    <row r="1233" spans="1:8" ht="14.25" hidden="1" customHeight="1" x14ac:dyDescent="0.3">
      <c r="A1233" s="34" t="s">
        <v>53</v>
      </c>
      <c r="B1233" s="61" t="s">
        <v>155</v>
      </c>
      <c r="C1233" s="61" t="s">
        <v>157</v>
      </c>
      <c r="D1233" s="69">
        <v>1</v>
      </c>
      <c r="E1233" s="74">
        <v>988.052459</v>
      </c>
      <c r="F1233" s="80">
        <v>988.052459</v>
      </c>
      <c r="G1233" s="61" t="str">
        <f>INDEX(SETORES!$B:$B,MATCH(A1233,SETORES!$A:$A,0))</f>
        <v>Clientes</v>
      </c>
      <c r="H1233" s="61" t="s">
        <v>21</v>
      </c>
    </row>
    <row r="1234" spans="1:8" ht="14.25" hidden="1" customHeight="1" x14ac:dyDescent="0.3">
      <c r="A1234" s="2" t="s">
        <v>53</v>
      </c>
      <c r="B1234" s="60" t="s">
        <v>162</v>
      </c>
      <c r="C1234" s="60" t="s">
        <v>222</v>
      </c>
      <c r="D1234" s="68">
        <v>1</v>
      </c>
      <c r="E1234" s="73">
        <v>89098.12</v>
      </c>
      <c r="F1234" s="79">
        <f>IFERROR(D1234*E1234,0)</f>
        <v>89098.12</v>
      </c>
      <c r="G1234" s="60" t="str">
        <f>INDEX(SETORES!$B:$B,MATCH(A1234,SETORES!$A:$A,0))</f>
        <v>Clientes</v>
      </c>
      <c r="H1234" s="60" t="s">
        <v>21</v>
      </c>
    </row>
    <row r="1235" spans="1:8" ht="14.25" hidden="1" customHeight="1" x14ac:dyDescent="0.3">
      <c r="A1235" s="34" t="s">
        <v>53</v>
      </c>
      <c r="B1235" s="61" t="s">
        <v>155</v>
      </c>
      <c r="C1235" s="61" t="s">
        <v>187</v>
      </c>
      <c r="D1235" s="69">
        <v>1</v>
      </c>
      <c r="E1235" s="74">
        <v>1826.3119710000001</v>
      </c>
      <c r="F1235" s="80">
        <f>IFERROR(D1235*E1235,0)</f>
        <v>1826.3119710000001</v>
      </c>
      <c r="G1235" s="61" t="str">
        <f>INDEX(SETORES!$B:$B,MATCH(A1235,SETORES!$A:$A,0))</f>
        <v>Clientes</v>
      </c>
      <c r="H1235" s="61" t="s">
        <v>21</v>
      </c>
    </row>
    <row r="1236" spans="1:8" ht="14.25" hidden="1" customHeight="1" x14ac:dyDescent="0.3">
      <c r="A1236" s="2" t="s">
        <v>53</v>
      </c>
      <c r="B1236" s="60" t="s">
        <v>155</v>
      </c>
      <c r="C1236" s="60" t="s">
        <v>168</v>
      </c>
      <c r="D1236" s="68">
        <v>33</v>
      </c>
      <c r="E1236" s="73">
        <v>2.0499999999999998</v>
      </c>
      <c r="F1236" s="79">
        <f>IFERROR(D1236*E1236,0)</f>
        <v>67.649999999999991</v>
      </c>
      <c r="G1236" s="60" t="str">
        <f>INDEX(SETORES!$B:$B,MATCH(A1236,SETORES!$A:$A,0))</f>
        <v>Clientes</v>
      </c>
      <c r="H1236" s="60" t="s">
        <v>21</v>
      </c>
    </row>
    <row r="1237" spans="1:8" ht="14.25" hidden="1" customHeight="1" x14ac:dyDescent="0.3">
      <c r="A1237" s="2" t="s">
        <v>53</v>
      </c>
      <c r="B1237" s="60" t="s">
        <v>155</v>
      </c>
      <c r="C1237" s="60" t="s">
        <v>160</v>
      </c>
      <c r="D1237" s="68"/>
      <c r="E1237" s="73"/>
      <c r="F1237" s="79">
        <f>IFERROR(D1237*E1237,0)</f>
        <v>0</v>
      </c>
      <c r="G1237" s="60" t="str">
        <f>INDEX(SETORES!$B:$B,MATCH(A1237,SETORES!$A:$A,0))</f>
        <v>Clientes</v>
      </c>
      <c r="H1237" s="60" t="s">
        <v>21</v>
      </c>
    </row>
    <row r="1238" spans="1:8" ht="14.25" hidden="1" customHeight="1" x14ac:dyDescent="0.3">
      <c r="A1238" s="2" t="s">
        <v>52</v>
      </c>
      <c r="B1238" s="60" t="s">
        <v>155</v>
      </c>
      <c r="C1238" s="60" t="s">
        <v>159</v>
      </c>
      <c r="D1238" s="68">
        <v>1</v>
      </c>
      <c r="E1238" s="73">
        <v>0.19400000000000001</v>
      </c>
      <c r="F1238" s="79">
        <v>0.19400000000000001</v>
      </c>
      <c r="G1238" s="60" t="str">
        <f>INDEX(SETORES!$B:$B,MATCH(A1238,SETORES!$A:$A,0))</f>
        <v>Clientes</v>
      </c>
      <c r="H1238" s="60" t="s">
        <v>21</v>
      </c>
    </row>
    <row r="1239" spans="1:8" ht="14.25" hidden="1" customHeight="1" x14ac:dyDescent="0.3">
      <c r="A1239" s="2" t="s">
        <v>52</v>
      </c>
      <c r="B1239" s="60" t="s">
        <v>155</v>
      </c>
      <c r="C1239" s="60" t="s">
        <v>249</v>
      </c>
      <c r="D1239" s="68">
        <v>1</v>
      </c>
      <c r="E1239" s="73">
        <v>597</v>
      </c>
      <c r="F1239" s="79">
        <f>IFERROR(D1239*E1239,0)</f>
        <v>597</v>
      </c>
      <c r="G1239" s="60" t="str">
        <f>INDEX(SETORES!$B:$B,MATCH(A1239,SETORES!$A:$A,0))</f>
        <v>Clientes</v>
      </c>
      <c r="H1239" s="60" t="s">
        <v>21</v>
      </c>
    </row>
    <row r="1240" spans="1:8" ht="14.25" customHeight="1" x14ac:dyDescent="0.3">
      <c r="A1240" s="2" t="s">
        <v>52</v>
      </c>
      <c r="B1240" s="60" t="s">
        <v>155</v>
      </c>
      <c r="C1240" s="60" t="s">
        <v>171</v>
      </c>
      <c r="D1240" s="68">
        <v>8</v>
      </c>
      <c r="E1240" s="73">
        <v>43.54</v>
      </c>
      <c r="F1240" s="79">
        <f>IFERROR(D1240*E1240,0)</f>
        <v>348.32</v>
      </c>
      <c r="G1240" s="60" t="s">
        <v>98</v>
      </c>
      <c r="H1240" s="60" t="s">
        <v>21</v>
      </c>
    </row>
    <row r="1241" spans="1:8" ht="14.25" hidden="1" customHeight="1" x14ac:dyDescent="0.3">
      <c r="A1241" s="34" t="s">
        <v>52</v>
      </c>
      <c r="B1241" s="61" t="s">
        <v>155</v>
      </c>
      <c r="C1241" s="61" t="s">
        <v>170</v>
      </c>
      <c r="D1241" s="69">
        <v>8</v>
      </c>
      <c r="E1241" s="74">
        <v>29.74</v>
      </c>
      <c r="F1241" s="80">
        <f>IFERROR(D1241*E1241,0)</f>
        <v>237.92</v>
      </c>
      <c r="G1241" s="60" t="s">
        <v>98</v>
      </c>
      <c r="H1241" s="61" t="s">
        <v>21</v>
      </c>
    </row>
    <row r="1242" spans="1:8" ht="14.25" hidden="1" customHeight="1" x14ac:dyDescent="0.3">
      <c r="A1242" s="34" t="s">
        <v>52</v>
      </c>
      <c r="B1242" s="61" t="s">
        <v>155</v>
      </c>
      <c r="C1242" s="61" t="s">
        <v>169</v>
      </c>
      <c r="D1242" s="69">
        <v>8</v>
      </c>
      <c r="E1242" s="74">
        <v>47.66</v>
      </c>
      <c r="F1242" s="80">
        <f>IFERROR(D1242*E1242,0)</f>
        <v>381.28</v>
      </c>
      <c r="G1242" s="61" t="s">
        <v>98</v>
      </c>
      <c r="H1242" s="61" t="s">
        <v>21</v>
      </c>
    </row>
    <row r="1243" spans="1:8" ht="14.25" hidden="1" customHeight="1" x14ac:dyDescent="0.3">
      <c r="A1243" s="34" t="s">
        <v>52</v>
      </c>
      <c r="B1243" s="61" t="s">
        <v>155</v>
      </c>
      <c r="C1243" s="61" t="s">
        <v>158</v>
      </c>
      <c r="D1243" s="69">
        <v>1</v>
      </c>
      <c r="E1243" s="74">
        <v>66.183999999999997</v>
      </c>
      <c r="F1243" s="80">
        <v>66.183999999999997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34" t="s">
        <v>52</v>
      </c>
      <c r="B1244" s="61" t="s">
        <v>162</v>
      </c>
      <c r="C1244" s="61" t="s">
        <v>164</v>
      </c>
      <c r="D1244" s="69">
        <v>1</v>
      </c>
      <c r="E1244" s="74">
        <v>68</v>
      </c>
      <c r="F1244" s="80">
        <f>IFERROR(D1244*E1244,0)</f>
        <v>68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2" t="s">
        <v>52</v>
      </c>
      <c r="B1245" s="60" t="s">
        <v>155</v>
      </c>
      <c r="C1245" s="60" t="s">
        <v>161</v>
      </c>
      <c r="D1245" s="68">
        <v>1</v>
      </c>
      <c r="E1245" s="73">
        <v>26304.95</v>
      </c>
      <c r="F1245" s="79">
        <f>IFERROR(E1245,0)</f>
        <v>26304.95</v>
      </c>
      <c r="G1245" s="60" t="str">
        <f>INDEX(SETORES!$B:$B,MATCH(A1245,SETORES!$A:$A,0))</f>
        <v>Clientes</v>
      </c>
      <c r="H1245" s="60" t="s">
        <v>21</v>
      </c>
    </row>
    <row r="1246" spans="1:8" ht="14.25" hidden="1" customHeight="1" x14ac:dyDescent="0.3">
      <c r="A1246" s="2" t="s">
        <v>52</v>
      </c>
      <c r="B1246" s="60" t="s">
        <v>155</v>
      </c>
      <c r="C1246" s="60" t="s">
        <v>167</v>
      </c>
      <c r="D1246" s="68">
        <v>8</v>
      </c>
      <c r="E1246" s="73">
        <v>9.92</v>
      </c>
      <c r="F1246" s="79">
        <f>IFERROR(D1246*E1246,0)</f>
        <v>79.36</v>
      </c>
      <c r="G1246" s="60" t="str">
        <f>INDEX(SETORES!$B:$B,MATCH(A1246,SETORES!$A:$A,0))</f>
        <v>Clientes</v>
      </c>
      <c r="H1246" s="60" t="s">
        <v>21</v>
      </c>
    </row>
    <row r="1247" spans="1:8" ht="14.25" hidden="1" customHeight="1" x14ac:dyDescent="0.3">
      <c r="A1247" s="34" t="s">
        <v>52</v>
      </c>
      <c r="B1247" s="61" t="s">
        <v>155</v>
      </c>
      <c r="C1247" s="61" t="s">
        <v>240</v>
      </c>
      <c r="D1247" s="69">
        <v>1</v>
      </c>
      <c r="E1247" s="74">
        <v>1.678688</v>
      </c>
      <c r="F1247" s="80">
        <f>IFERROR(D1247*E1247,0)</f>
        <v>1.678688</v>
      </c>
      <c r="G1247" s="61" t="str">
        <f>INDEX(SETORES!$B:$B,MATCH(A1247,SETORES!$A:$A,0))</f>
        <v>Clientes</v>
      </c>
      <c r="H1247" s="61" t="s">
        <v>21</v>
      </c>
    </row>
    <row r="1248" spans="1:8" ht="14.25" hidden="1" customHeight="1" x14ac:dyDescent="0.3">
      <c r="A1248" s="34" t="s">
        <v>52</v>
      </c>
      <c r="B1248" s="61" t="s">
        <v>155</v>
      </c>
      <c r="C1248" s="61" t="s">
        <v>166</v>
      </c>
      <c r="D1248" s="69">
        <v>2</v>
      </c>
      <c r="E1248" s="74">
        <v>50</v>
      </c>
      <c r="F1248" s="80">
        <f>IFERROR(D1248*E1248,0)</f>
        <v>100</v>
      </c>
      <c r="G1248" s="61" t="str">
        <f>INDEX(SETORES!$B:$B,MATCH(A1248,SETORES!$A:$A,0))</f>
        <v>Clientes</v>
      </c>
      <c r="H1248" s="61" t="s">
        <v>21</v>
      </c>
    </row>
    <row r="1249" spans="1:8" ht="14.25" hidden="1" customHeight="1" x14ac:dyDescent="0.3">
      <c r="A1249" s="34" t="s">
        <v>52</v>
      </c>
      <c r="B1249" s="61" t="s">
        <v>155</v>
      </c>
      <c r="C1249" s="61" t="s">
        <v>156</v>
      </c>
      <c r="D1249" s="69">
        <v>8</v>
      </c>
      <c r="E1249" s="74">
        <v>0.98509999999999998</v>
      </c>
      <c r="F1249" s="80">
        <v>7.8807999999999998</v>
      </c>
      <c r="G1249" s="61" t="str">
        <f>INDEX(SETORES!$B:$B,MATCH(A1249,SETORES!$A:$A,0))</f>
        <v>Clientes</v>
      </c>
      <c r="H1249" s="61" t="s">
        <v>21</v>
      </c>
    </row>
    <row r="1250" spans="1:8" ht="14.25" hidden="1" customHeight="1" x14ac:dyDescent="0.3">
      <c r="A1250" s="2" t="s">
        <v>52</v>
      </c>
      <c r="B1250" s="60" t="s">
        <v>155</v>
      </c>
      <c r="C1250" s="60" t="s">
        <v>157</v>
      </c>
      <c r="D1250" s="68">
        <v>1</v>
      </c>
      <c r="E1250" s="73">
        <v>239.52786900000001</v>
      </c>
      <c r="F1250" s="79">
        <v>239.52786900000001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2" t="s">
        <v>52</v>
      </c>
      <c r="B1251" s="60" t="s">
        <v>162</v>
      </c>
      <c r="C1251" s="60" t="s">
        <v>222</v>
      </c>
      <c r="D1251" s="68"/>
      <c r="E1251" s="73"/>
      <c r="F1251" s="79">
        <f>IFERROR(D1251*E1251,0)</f>
        <v>0</v>
      </c>
      <c r="G1251" s="60" t="str">
        <f>INDEX(SETORES!$B:$B,MATCH(A1251,SETORES!$A:$A,0))</f>
        <v>Clientes</v>
      </c>
      <c r="H1251" s="60" t="s">
        <v>21</v>
      </c>
    </row>
    <row r="1252" spans="1:8" ht="14.25" hidden="1" customHeight="1" x14ac:dyDescent="0.3">
      <c r="A1252" s="2" t="s">
        <v>52</v>
      </c>
      <c r="B1252" s="60" t="s">
        <v>155</v>
      </c>
      <c r="C1252" s="60" t="s">
        <v>187</v>
      </c>
      <c r="D1252" s="68">
        <v>1</v>
      </c>
      <c r="E1252" s="73">
        <v>442.74229600000001</v>
      </c>
      <c r="F1252" s="79">
        <f>IFERROR(D1252*E1252,0)</f>
        <v>442.74229600000001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34" t="s">
        <v>52</v>
      </c>
      <c r="B1253" s="61" t="s">
        <v>155</v>
      </c>
      <c r="C1253" s="61" t="s">
        <v>168</v>
      </c>
      <c r="D1253" s="69">
        <v>8</v>
      </c>
      <c r="E1253" s="74">
        <v>2.0499999999999998</v>
      </c>
      <c r="F1253" s="80">
        <f>IFERROR(D1253*E1253,0)</f>
        <v>16.399999999999999</v>
      </c>
      <c r="G1253" s="61" t="str">
        <f>INDEX(SETORES!$B:$B,MATCH(A1253,SETORES!$A:$A,0))</f>
        <v>Clientes</v>
      </c>
      <c r="H1253" s="61" t="s">
        <v>21</v>
      </c>
    </row>
    <row r="1254" spans="1:8" ht="14.25" hidden="1" customHeight="1" x14ac:dyDescent="0.3">
      <c r="A1254" s="34" t="s">
        <v>52</v>
      </c>
      <c r="B1254" s="61" t="s">
        <v>155</v>
      </c>
      <c r="C1254" s="61" t="s">
        <v>160</v>
      </c>
      <c r="D1254" s="69"/>
      <c r="E1254" s="74"/>
      <c r="F1254" s="80">
        <f>IFERROR(D1254*E1254,0)</f>
        <v>0</v>
      </c>
      <c r="G1254" s="61" t="str">
        <f>INDEX(SETORES!$B:$B,MATCH(A1254,SETORES!$A:$A,0))</f>
        <v>Clientes</v>
      </c>
      <c r="H1254" s="61" t="s">
        <v>21</v>
      </c>
    </row>
    <row r="1255" spans="1:8" ht="14.25" hidden="1" customHeight="1" x14ac:dyDescent="0.3">
      <c r="A1255" s="2" t="s">
        <v>51</v>
      </c>
      <c r="B1255" s="60" t="s">
        <v>155</v>
      </c>
      <c r="C1255" s="60" t="s">
        <v>159</v>
      </c>
      <c r="D1255" s="68">
        <v>1</v>
      </c>
      <c r="E1255" s="73">
        <v>0.31519999999999998</v>
      </c>
      <c r="F1255" s="79">
        <v>0.31519999999999998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51</v>
      </c>
      <c r="B1256" s="60" t="s">
        <v>155</v>
      </c>
      <c r="C1256" s="60" t="s">
        <v>249</v>
      </c>
      <c r="D1256" s="68">
        <v>1</v>
      </c>
      <c r="E1256" s="73">
        <v>746.25</v>
      </c>
      <c r="F1256" s="79">
        <f>IFERROR(D1256*E1256,0)</f>
        <v>746.25</v>
      </c>
      <c r="G1256" s="60" t="str">
        <f>INDEX(SETORES!$B:$B,MATCH(A1256,SETORES!$A:$A,0))</f>
        <v>Clientes</v>
      </c>
      <c r="H1256" s="60" t="s">
        <v>21</v>
      </c>
    </row>
    <row r="1257" spans="1:8" ht="14.25" customHeight="1" x14ac:dyDescent="0.3">
      <c r="A1257" s="2" t="s">
        <v>51</v>
      </c>
      <c r="B1257" s="60" t="s">
        <v>155</v>
      </c>
      <c r="C1257" s="60" t="s">
        <v>171</v>
      </c>
      <c r="D1257" s="68">
        <v>13</v>
      </c>
      <c r="E1257" s="73">
        <v>43.54</v>
      </c>
      <c r="F1257" s="79">
        <v>566.02</v>
      </c>
      <c r="G1257" s="60" t="s">
        <v>98</v>
      </c>
      <c r="H1257" s="60" t="s">
        <v>21</v>
      </c>
    </row>
    <row r="1258" spans="1:8" ht="14.25" hidden="1" customHeight="1" x14ac:dyDescent="0.3">
      <c r="A1258" s="34" t="s">
        <v>51</v>
      </c>
      <c r="B1258" s="61" t="s">
        <v>155</v>
      </c>
      <c r="C1258" s="61" t="s">
        <v>170</v>
      </c>
      <c r="D1258" s="69">
        <v>13</v>
      </c>
      <c r="E1258" s="74">
        <v>29.74</v>
      </c>
      <c r="F1258" s="80">
        <v>386.62</v>
      </c>
      <c r="G1258" s="60" t="s">
        <v>98</v>
      </c>
      <c r="H1258" s="61" t="s">
        <v>21</v>
      </c>
    </row>
    <row r="1259" spans="1:8" ht="14.25" hidden="1" customHeight="1" x14ac:dyDescent="0.3">
      <c r="A1259" s="34" t="s">
        <v>51</v>
      </c>
      <c r="B1259" s="61" t="s">
        <v>155</v>
      </c>
      <c r="C1259" s="61" t="s">
        <v>169</v>
      </c>
      <c r="D1259" s="69">
        <v>13</v>
      </c>
      <c r="E1259" s="74">
        <v>47.66</v>
      </c>
      <c r="F1259" s="80">
        <v>619.58000000000004</v>
      </c>
      <c r="G1259" s="61" t="s">
        <v>98</v>
      </c>
      <c r="H1259" s="61" t="s">
        <v>21</v>
      </c>
    </row>
    <row r="1260" spans="1:8" ht="14.25" hidden="1" customHeight="1" x14ac:dyDescent="0.3">
      <c r="A1260" s="34" t="s">
        <v>51</v>
      </c>
      <c r="B1260" s="61" t="s">
        <v>155</v>
      </c>
      <c r="C1260" s="61" t="s">
        <v>158</v>
      </c>
      <c r="D1260" s="69">
        <v>1</v>
      </c>
      <c r="E1260" s="74">
        <v>107.54900000000001</v>
      </c>
      <c r="F1260" s="80">
        <v>107.54900000000001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2" t="s">
        <v>51</v>
      </c>
      <c r="B1261" s="60" t="s">
        <v>162</v>
      </c>
      <c r="C1261" s="60" t="s">
        <v>163</v>
      </c>
      <c r="D1261" s="68">
        <v>2</v>
      </c>
      <c r="E1261" s="73">
        <v>68</v>
      </c>
      <c r="F1261" s="79">
        <f>IFERROR(D1261*E1261,0)</f>
        <v>136</v>
      </c>
      <c r="G1261" s="60" t="str">
        <f>INDEX(SETORES!$B:$B,MATCH(A1261,SETORES!$A:$A,0))</f>
        <v>Clientes</v>
      </c>
      <c r="H1261" s="60" t="s">
        <v>21</v>
      </c>
    </row>
    <row r="1262" spans="1:8" ht="14.25" hidden="1" customHeight="1" x14ac:dyDescent="0.3">
      <c r="A1262" s="2" t="s">
        <v>51</v>
      </c>
      <c r="B1262" s="60" t="s">
        <v>155</v>
      </c>
      <c r="C1262" s="60" t="s">
        <v>161</v>
      </c>
      <c r="D1262" s="68">
        <v>1</v>
      </c>
      <c r="E1262" s="73">
        <v>130589.439786667</v>
      </c>
      <c r="F1262" s="79">
        <v>130589.439786667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2" t="s">
        <v>51</v>
      </c>
      <c r="B1263" s="60" t="s">
        <v>155</v>
      </c>
      <c r="C1263" s="60" t="s">
        <v>167</v>
      </c>
      <c r="D1263" s="68">
        <v>13</v>
      </c>
      <c r="E1263" s="73">
        <v>9.92</v>
      </c>
      <c r="F1263" s="79">
        <v>128.96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34" t="s">
        <v>51</v>
      </c>
      <c r="B1264" s="61" t="s">
        <v>155</v>
      </c>
      <c r="C1264" s="61" t="s">
        <v>240</v>
      </c>
      <c r="D1264" s="69">
        <v>1</v>
      </c>
      <c r="E1264" s="74">
        <v>2.727868</v>
      </c>
      <c r="F1264" s="80">
        <f>IFERROR(D1264*E1264,0)</f>
        <v>2.727868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51</v>
      </c>
      <c r="B1265" s="61" t="s">
        <v>155</v>
      </c>
      <c r="C1265" s="61" t="s">
        <v>166</v>
      </c>
      <c r="D1265" s="69">
        <v>14</v>
      </c>
      <c r="E1265" s="74">
        <v>50</v>
      </c>
      <c r="F1265" s="80">
        <f>IFERROR(D1265*E1265,0)</f>
        <v>700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51</v>
      </c>
      <c r="B1266" s="61" t="s">
        <v>155</v>
      </c>
      <c r="C1266" s="61" t="s">
        <v>156</v>
      </c>
      <c r="D1266" s="69">
        <v>13</v>
      </c>
      <c r="E1266" s="74">
        <v>0.98509999999999998</v>
      </c>
      <c r="F1266" s="80">
        <v>12.8063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2" t="s">
        <v>51</v>
      </c>
      <c r="B1267" s="60" t="s">
        <v>155</v>
      </c>
      <c r="C1267" s="60" t="s">
        <v>157</v>
      </c>
      <c r="D1267" s="68">
        <v>1</v>
      </c>
      <c r="E1267" s="73">
        <v>389.23278699999997</v>
      </c>
      <c r="F1267" s="79">
        <v>389.23278699999997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34" t="s">
        <v>51</v>
      </c>
      <c r="B1268" s="61" t="s">
        <v>162</v>
      </c>
      <c r="C1268" s="61" t="s">
        <v>222</v>
      </c>
      <c r="D1268" s="69">
        <v>1</v>
      </c>
      <c r="E1268" s="74">
        <v>5737.4</v>
      </c>
      <c r="F1268" s="80">
        <f>IFERROR(D1268*E1268,0)</f>
        <v>5737.4</v>
      </c>
      <c r="G1268" s="61" t="str">
        <f>INDEX(SETORES!$B:$B,MATCH(A1268,SETORES!$A:$A,0))</f>
        <v>Clientes</v>
      </c>
      <c r="H1268" s="61" t="s">
        <v>21</v>
      </c>
    </row>
    <row r="1269" spans="1:8" ht="14.25" hidden="1" customHeight="1" x14ac:dyDescent="0.3">
      <c r="A1269" s="34" t="s">
        <v>51</v>
      </c>
      <c r="B1269" s="61" t="s">
        <v>155</v>
      </c>
      <c r="C1269" s="61" t="s">
        <v>187</v>
      </c>
      <c r="D1269" s="69">
        <v>1</v>
      </c>
      <c r="E1269" s="74">
        <v>719.456231</v>
      </c>
      <c r="F1269" s="80">
        <f>IFERROR(D1269*E1269,0)</f>
        <v>719.456231</v>
      </c>
      <c r="G1269" s="61" t="str">
        <f>INDEX(SETORES!$B:$B,MATCH(A1269,SETORES!$A:$A,0))</f>
        <v>Clientes</v>
      </c>
      <c r="H1269" s="61" t="s">
        <v>21</v>
      </c>
    </row>
    <row r="1270" spans="1:8" ht="14.25" hidden="1" customHeight="1" x14ac:dyDescent="0.3">
      <c r="A1270" s="34" t="s">
        <v>51</v>
      </c>
      <c r="B1270" s="61" t="s">
        <v>155</v>
      </c>
      <c r="C1270" s="61" t="s">
        <v>168</v>
      </c>
      <c r="D1270" s="69">
        <v>13</v>
      </c>
      <c r="E1270" s="74">
        <v>2.0499999999999998</v>
      </c>
      <c r="F1270" s="80">
        <v>26.65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34" t="s">
        <v>51</v>
      </c>
      <c r="B1271" s="61" t="s">
        <v>155</v>
      </c>
      <c r="C1271" s="61" t="s">
        <v>160</v>
      </c>
      <c r="D1271" s="69"/>
      <c r="E1271" s="74"/>
      <c r="F1271" s="80">
        <f>IFERROR(D1271*E1271,0)</f>
        <v>0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34" t="s">
        <v>87</v>
      </c>
      <c r="B1272" s="61" t="s">
        <v>155</v>
      </c>
      <c r="C1272" s="61" t="s">
        <v>159</v>
      </c>
      <c r="D1272" s="69">
        <v>1</v>
      </c>
      <c r="E1272" s="74">
        <v>0.16969999999999999</v>
      </c>
      <c r="F1272" s="80">
        <v>0.16969999999999999</v>
      </c>
      <c r="G1272" s="61" t="s">
        <v>96</v>
      </c>
      <c r="H1272" s="61" t="s">
        <v>21</v>
      </c>
    </row>
    <row r="1273" spans="1:8" ht="14.25" hidden="1" customHeight="1" x14ac:dyDescent="0.3">
      <c r="A1273" s="2" t="s">
        <v>87</v>
      </c>
      <c r="B1273" s="60" t="s">
        <v>155</v>
      </c>
      <c r="C1273" s="60" t="s">
        <v>212</v>
      </c>
      <c r="D1273" s="68">
        <v>5</v>
      </c>
      <c r="E1273" s="73">
        <v>30</v>
      </c>
      <c r="F1273" s="79">
        <f>IFERROR(D1273*E1273,0)</f>
        <v>150</v>
      </c>
      <c r="G1273" s="60" t="str">
        <f>INDEX(SETORES!$B:$B,MATCH(A1273,SETORES!$A:$A,0))</f>
        <v>Clientes</v>
      </c>
      <c r="H1273" s="60" t="s">
        <v>21</v>
      </c>
    </row>
    <row r="1274" spans="1:8" ht="14.25" customHeight="1" x14ac:dyDescent="0.3">
      <c r="A1274" s="2" t="s">
        <v>87</v>
      </c>
      <c r="B1274" s="60" t="s">
        <v>155</v>
      </c>
      <c r="C1274" s="60" t="s">
        <v>171</v>
      </c>
      <c r="D1274" s="68">
        <v>7</v>
      </c>
      <c r="E1274" s="73">
        <v>43.54</v>
      </c>
      <c r="F1274" s="79">
        <f>IFERROR(D1274*E1274,0)</f>
        <v>304.77999999999997</v>
      </c>
      <c r="G1274" s="60" t="s">
        <v>98</v>
      </c>
      <c r="H1274" s="60" t="s">
        <v>21</v>
      </c>
    </row>
    <row r="1275" spans="1:8" ht="14.25" hidden="1" customHeight="1" x14ac:dyDescent="0.3">
      <c r="A1275" s="34" t="s">
        <v>87</v>
      </c>
      <c r="B1275" s="61" t="s">
        <v>155</v>
      </c>
      <c r="C1275" s="61" t="s">
        <v>170</v>
      </c>
      <c r="D1275" s="69">
        <v>7</v>
      </c>
      <c r="E1275" s="74">
        <v>29.74</v>
      </c>
      <c r="F1275" s="80">
        <f>IFERROR(D1275*E1275,0)</f>
        <v>208.17999999999998</v>
      </c>
      <c r="G1275" s="60" t="s">
        <v>98</v>
      </c>
      <c r="H1275" s="61" t="s">
        <v>21</v>
      </c>
    </row>
    <row r="1276" spans="1:8" ht="14.25" hidden="1" customHeight="1" x14ac:dyDescent="0.3">
      <c r="A1276" s="34" t="s">
        <v>87</v>
      </c>
      <c r="B1276" s="61" t="s">
        <v>155</v>
      </c>
      <c r="C1276" s="61" t="s">
        <v>169</v>
      </c>
      <c r="D1276" s="69">
        <v>7</v>
      </c>
      <c r="E1276" s="74">
        <v>47.66</v>
      </c>
      <c r="F1276" s="80">
        <f>IFERROR(D1276*E1276,0)</f>
        <v>333.62</v>
      </c>
      <c r="G1276" s="61" t="s">
        <v>98</v>
      </c>
      <c r="H1276" s="61" t="s">
        <v>21</v>
      </c>
    </row>
    <row r="1277" spans="1:8" ht="14.25" hidden="1" customHeight="1" x14ac:dyDescent="0.3">
      <c r="A1277" s="2" t="s">
        <v>87</v>
      </c>
      <c r="B1277" s="60" t="s">
        <v>155</v>
      </c>
      <c r="C1277" s="60" t="s">
        <v>158</v>
      </c>
      <c r="D1277" s="68">
        <v>1</v>
      </c>
      <c r="E1277" s="73">
        <v>57.911000000000001</v>
      </c>
      <c r="F1277" s="79">
        <v>57.911000000000001</v>
      </c>
      <c r="G1277" s="60" t="s">
        <v>96</v>
      </c>
      <c r="H1277" s="60" t="s">
        <v>21</v>
      </c>
    </row>
    <row r="1278" spans="1:8" ht="14.25" hidden="1" customHeight="1" x14ac:dyDescent="0.3">
      <c r="A1278" s="34" t="s">
        <v>87</v>
      </c>
      <c r="B1278" s="61" t="s">
        <v>162</v>
      </c>
      <c r="C1278" s="61" t="s">
        <v>163</v>
      </c>
      <c r="D1278" s="69">
        <v>4</v>
      </c>
      <c r="E1278" s="74">
        <v>45</v>
      </c>
      <c r="F1278" s="80">
        <f>IFERROR(D1278*E1278,0)</f>
        <v>180</v>
      </c>
      <c r="G1278" s="61" t="str">
        <f>INDEX(SETORES!$B:$B,MATCH(A1278,SETORES!$A:$A,0))</f>
        <v>Clientes</v>
      </c>
      <c r="H1278" s="61" t="s">
        <v>21</v>
      </c>
    </row>
    <row r="1279" spans="1:8" ht="14.25" hidden="1" customHeight="1" x14ac:dyDescent="0.3">
      <c r="A1279" s="34" t="s">
        <v>87</v>
      </c>
      <c r="B1279" s="61" t="s">
        <v>155</v>
      </c>
      <c r="C1279" s="61" t="s">
        <v>161</v>
      </c>
      <c r="D1279" s="69">
        <v>1</v>
      </c>
      <c r="E1279" s="74">
        <v>32250.43</v>
      </c>
      <c r="F1279" s="80">
        <f>IFERROR(E1279,0)</f>
        <v>32250.43</v>
      </c>
      <c r="G1279" s="61" t="str">
        <f>INDEX(SETORES!$B:$B,MATCH(A1279,SETORES!$A:$A,0))</f>
        <v>Clientes</v>
      </c>
      <c r="H1279" s="61" t="s">
        <v>21</v>
      </c>
    </row>
    <row r="1280" spans="1:8" ht="14.25" hidden="1" customHeight="1" x14ac:dyDescent="0.3">
      <c r="A1280" s="2" t="s">
        <v>87</v>
      </c>
      <c r="B1280" s="60" t="s">
        <v>155</v>
      </c>
      <c r="C1280" s="60" t="s">
        <v>167</v>
      </c>
      <c r="D1280" s="68">
        <v>7</v>
      </c>
      <c r="E1280" s="73">
        <v>9.92</v>
      </c>
      <c r="F1280" s="79">
        <f>IFERROR(D1280*E1280,0)</f>
        <v>69.44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2" t="s">
        <v>87</v>
      </c>
      <c r="B1281" s="60" t="s">
        <v>155</v>
      </c>
      <c r="C1281" s="60" t="s">
        <v>238</v>
      </c>
      <c r="D1281" s="68">
        <v>1</v>
      </c>
      <c r="E1281" s="73">
        <v>6.8627440000000002</v>
      </c>
      <c r="F1281" s="79">
        <f>IFERROR(D1281*E1281,0)</f>
        <v>6.8627440000000002</v>
      </c>
      <c r="G1281" s="60" t="str">
        <f>INDEX(SETORES!$B:$B,MATCH(A1281,SETORES!$A:$A,0))</f>
        <v>Clientes</v>
      </c>
      <c r="H1281" s="60" t="s">
        <v>21</v>
      </c>
    </row>
    <row r="1282" spans="1:8" ht="14.25" hidden="1" customHeight="1" x14ac:dyDescent="0.3">
      <c r="A1282" s="2" t="s">
        <v>87</v>
      </c>
      <c r="B1282" s="60" t="s">
        <v>155</v>
      </c>
      <c r="C1282" s="60" t="s">
        <v>166</v>
      </c>
      <c r="D1282" s="68">
        <v>12</v>
      </c>
      <c r="E1282" s="73">
        <v>66.67</v>
      </c>
      <c r="F1282" s="79">
        <f>IFERROR(D1282*E1282,0)</f>
        <v>800.04</v>
      </c>
      <c r="G1282" s="60" t="str">
        <f>INDEX(SETORES!$B:$B,MATCH(A1282,SETORES!$A:$A,0))</f>
        <v>Clientes</v>
      </c>
      <c r="H1282" s="60" t="s">
        <v>21</v>
      </c>
    </row>
    <row r="1283" spans="1:8" ht="14.25" hidden="1" customHeight="1" x14ac:dyDescent="0.3">
      <c r="A1283" s="2" t="s">
        <v>87</v>
      </c>
      <c r="B1283" s="60" t="s">
        <v>155</v>
      </c>
      <c r="C1283" s="60" t="s">
        <v>157</v>
      </c>
      <c r="D1283" s="68">
        <v>1</v>
      </c>
      <c r="E1283" s="73">
        <v>74.08</v>
      </c>
      <c r="F1283" s="79">
        <v>74.08</v>
      </c>
      <c r="G1283" s="60" t="str">
        <f>INDEX(SETORES!$B:$B,MATCH(A1283,SETORES!$A:$A,0))</f>
        <v>Clientes</v>
      </c>
      <c r="H1283" s="60" t="s">
        <v>21</v>
      </c>
    </row>
    <row r="1284" spans="1:8" ht="14.25" hidden="1" customHeight="1" x14ac:dyDescent="0.3">
      <c r="A1284" s="34" t="s">
        <v>87</v>
      </c>
      <c r="B1284" s="61" t="s">
        <v>155</v>
      </c>
      <c r="C1284" s="61" t="s">
        <v>168</v>
      </c>
      <c r="D1284" s="69">
        <v>7</v>
      </c>
      <c r="E1284" s="74">
        <v>2.0499999999999998</v>
      </c>
      <c r="F1284" s="80">
        <f>IFERROR(D1284*E1284,0)</f>
        <v>14.349999999999998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2" t="s">
        <v>55</v>
      </c>
      <c r="B1285" s="60" t="s">
        <v>155</v>
      </c>
      <c r="C1285" s="60" t="s">
        <v>236</v>
      </c>
      <c r="D1285" s="68">
        <v>1</v>
      </c>
      <c r="E1285" s="73">
        <v>21454</v>
      </c>
      <c r="F1285" s="79">
        <f>IFERROR(D1285*E1285,0)</f>
        <v>21454</v>
      </c>
      <c r="G1285" s="60" t="str">
        <f>INDEX(SETORES!$B:$B,MATCH(A1285,SETORES!$A:$A,0))</f>
        <v>Funcionários</v>
      </c>
      <c r="H1285" s="60" t="s">
        <v>11</v>
      </c>
    </row>
    <row r="1286" spans="1:8" ht="14.25" hidden="1" customHeight="1" x14ac:dyDescent="0.3">
      <c r="A1286" s="2" t="s">
        <v>55</v>
      </c>
      <c r="B1286" s="60" t="s">
        <v>155</v>
      </c>
      <c r="C1286" s="60" t="s">
        <v>185</v>
      </c>
      <c r="D1286" s="68">
        <v>1</v>
      </c>
      <c r="E1286" s="73">
        <v>99</v>
      </c>
      <c r="F1286" s="79">
        <f>IFERROR(D1286*E1286,0)</f>
        <v>99</v>
      </c>
      <c r="G1286" s="60" t="str">
        <f>INDEX(SETORES!$B:$B,MATCH(A1286,SETORES!$A:$A,0))</f>
        <v>Funcionários</v>
      </c>
      <c r="H1286" s="60" t="s">
        <v>11</v>
      </c>
    </row>
    <row r="1287" spans="1:8" ht="14.25" hidden="1" customHeight="1" x14ac:dyDescent="0.3">
      <c r="A1287" s="35" t="s">
        <v>55</v>
      </c>
      <c r="B1287" s="66" t="s">
        <v>155</v>
      </c>
      <c r="C1287" s="66" t="s">
        <v>257</v>
      </c>
      <c r="D1287" s="66">
        <v>1</v>
      </c>
      <c r="E1287" s="78">
        <v>436</v>
      </c>
      <c r="F1287" s="78">
        <f>D1287*E1287</f>
        <v>436</v>
      </c>
      <c r="G1287" s="66" t="s">
        <v>98</v>
      </c>
      <c r="H1287" s="60" t="s">
        <v>11</v>
      </c>
    </row>
    <row r="1288" spans="1:8" ht="14.25" hidden="1" customHeight="1" x14ac:dyDescent="0.3">
      <c r="A1288" s="34" t="s">
        <v>55</v>
      </c>
      <c r="B1288" s="61" t="s">
        <v>155</v>
      </c>
      <c r="C1288" s="61" t="s">
        <v>243</v>
      </c>
      <c r="D1288" s="69">
        <v>1</v>
      </c>
      <c r="E1288" s="74">
        <v>1787.15</v>
      </c>
      <c r="F1288" s="80">
        <f>IFERROR(D1288*E1288,0)</f>
        <v>1787.15</v>
      </c>
      <c r="G1288" s="61" t="str">
        <f>INDEX(SETORES!$B:$B,MATCH(A1288,SETORES!$A:$A,0))</f>
        <v>Funcionários</v>
      </c>
      <c r="H1288" s="61" t="s">
        <v>11</v>
      </c>
    </row>
    <row r="1289" spans="1:8" ht="14.25" hidden="1" customHeight="1" x14ac:dyDescent="0.3">
      <c r="A1289" s="34" t="s">
        <v>137</v>
      </c>
      <c r="B1289" s="61" t="s">
        <v>155</v>
      </c>
      <c r="C1289" s="61" t="s">
        <v>159</v>
      </c>
      <c r="D1289" s="69">
        <v>1</v>
      </c>
      <c r="E1289" s="74">
        <v>0.05</v>
      </c>
      <c r="F1289" s="80">
        <v>0.05</v>
      </c>
      <c r="G1289" s="61" t="s">
        <v>96</v>
      </c>
      <c r="H1289" s="61" t="s">
        <v>11</v>
      </c>
    </row>
    <row r="1290" spans="1:8" ht="14.25" hidden="1" customHeight="1" x14ac:dyDescent="0.3">
      <c r="A1290" s="2" t="s">
        <v>137</v>
      </c>
      <c r="B1290" s="60" t="s">
        <v>155</v>
      </c>
      <c r="C1290" s="60" t="s">
        <v>212</v>
      </c>
      <c r="D1290" s="68">
        <v>1</v>
      </c>
      <c r="E1290" s="73">
        <v>30</v>
      </c>
      <c r="F1290" s="79">
        <f>IFERROR(D1290*E1290,0)</f>
        <v>30</v>
      </c>
      <c r="G1290" s="60" t="str">
        <f>INDEX(SETORES!$B:$B,MATCH(A1290,SETORES!$A:$A,0))</f>
        <v>Clientes</v>
      </c>
      <c r="H1290" s="60" t="s">
        <v>11</v>
      </c>
    </row>
    <row r="1291" spans="1:8" ht="14.25" hidden="1" customHeight="1" x14ac:dyDescent="0.3">
      <c r="A1291" s="34" t="s">
        <v>137</v>
      </c>
      <c r="B1291" s="61" t="s">
        <v>155</v>
      </c>
      <c r="C1291" s="61" t="s">
        <v>248</v>
      </c>
      <c r="D1291" s="69">
        <v>1</v>
      </c>
      <c r="E1291" s="74">
        <v>1184.8599999999999</v>
      </c>
      <c r="F1291" s="80">
        <f>IFERROR(D1291*E1291,0)</f>
        <v>1184.8599999999999</v>
      </c>
      <c r="G1291" s="61" t="str">
        <f>INDEX(SETORES!$B:$B,MATCH(A1291,SETORES!$A:$A,0))</f>
        <v>Clientes</v>
      </c>
      <c r="H1291" s="61" t="s">
        <v>11</v>
      </c>
    </row>
    <row r="1292" spans="1:8" ht="14.25" hidden="1" customHeight="1" x14ac:dyDescent="0.3">
      <c r="A1292" s="2" t="s">
        <v>137</v>
      </c>
      <c r="B1292" s="60" t="s">
        <v>155</v>
      </c>
      <c r="C1292" s="60" t="s">
        <v>158</v>
      </c>
      <c r="D1292" s="68">
        <v>1</v>
      </c>
      <c r="E1292" s="73">
        <v>17.514399999999998</v>
      </c>
      <c r="F1292" s="79">
        <v>17.514399999999998</v>
      </c>
      <c r="G1292" s="60" t="s">
        <v>96</v>
      </c>
      <c r="H1292" s="60" t="s">
        <v>11</v>
      </c>
    </row>
    <row r="1293" spans="1:8" ht="14.25" hidden="1" customHeight="1" x14ac:dyDescent="0.3">
      <c r="A1293" s="34" t="s">
        <v>137</v>
      </c>
      <c r="B1293" s="61" t="s">
        <v>155</v>
      </c>
      <c r="C1293" s="61" t="s">
        <v>161</v>
      </c>
      <c r="D1293" s="69">
        <v>1</v>
      </c>
      <c r="E1293" s="74">
        <v>7245.47</v>
      </c>
      <c r="F1293" s="80">
        <f>IFERROR(E1293,0)</f>
        <v>7245.47</v>
      </c>
      <c r="G1293" s="61" t="str">
        <f>INDEX(SETORES!$B:$B,MATCH(A1293,SETORES!$A:$A,0))</f>
        <v>Clientes</v>
      </c>
      <c r="H1293" s="61" t="s">
        <v>11</v>
      </c>
    </row>
    <row r="1294" spans="1:8" ht="14.25" hidden="1" customHeight="1" x14ac:dyDescent="0.3">
      <c r="A1294" s="34" t="s">
        <v>137</v>
      </c>
      <c r="B1294" s="61" t="s">
        <v>155</v>
      </c>
      <c r="C1294" s="61" t="s">
        <v>167</v>
      </c>
      <c r="D1294" s="69">
        <v>2</v>
      </c>
      <c r="E1294" s="74">
        <v>9.85</v>
      </c>
      <c r="F1294" s="80">
        <f>IFERROR(D1294*E1294,0)</f>
        <v>19.7</v>
      </c>
      <c r="G1294" s="61" t="str">
        <f>INDEX(SETORES!$B:$B,MATCH(A1294,SETORES!$A:$A,0))</f>
        <v>Clientes</v>
      </c>
      <c r="H1294" s="61" t="s">
        <v>11</v>
      </c>
    </row>
    <row r="1295" spans="1:8" ht="14.25" hidden="1" customHeight="1" x14ac:dyDescent="0.3">
      <c r="A1295" s="2" t="s">
        <v>137</v>
      </c>
      <c r="B1295" s="60" t="s">
        <v>155</v>
      </c>
      <c r="C1295" s="60" t="s">
        <v>168</v>
      </c>
      <c r="D1295" s="68">
        <v>2</v>
      </c>
      <c r="E1295" s="73">
        <v>2.04</v>
      </c>
      <c r="F1295" s="79">
        <f>IFERROR(D1295*E1295,0)</f>
        <v>4.08</v>
      </c>
      <c r="G1295" s="60" t="str">
        <f>INDEX(SETORES!$B:$B,MATCH(A1295,SETORES!$A:$A,0))</f>
        <v>Clientes</v>
      </c>
      <c r="H1295" s="60" t="s">
        <v>11</v>
      </c>
    </row>
    <row r="1296" spans="1:8" ht="14.25" hidden="1" customHeight="1" x14ac:dyDescent="0.3">
      <c r="A1296" s="2" t="s">
        <v>35</v>
      </c>
      <c r="B1296" s="60" t="s">
        <v>155</v>
      </c>
      <c r="C1296" s="60" t="s">
        <v>159</v>
      </c>
      <c r="D1296" s="68">
        <v>1</v>
      </c>
      <c r="E1296" s="73">
        <v>0.1</v>
      </c>
      <c r="F1296" s="79">
        <v>0.1</v>
      </c>
      <c r="G1296" s="60" t="str">
        <f>INDEX(SETORES!$B:$B,MATCH(A1296,SETORES!$A:$A,0))</f>
        <v>Clientes</v>
      </c>
      <c r="H1296" s="60" t="s">
        <v>11</v>
      </c>
    </row>
    <row r="1297" spans="1:8" ht="14.25" hidden="1" customHeight="1" x14ac:dyDescent="0.3">
      <c r="A1297" s="34" t="s">
        <v>35</v>
      </c>
      <c r="B1297" s="61" t="s">
        <v>155</v>
      </c>
      <c r="C1297" s="61" t="s">
        <v>212</v>
      </c>
      <c r="D1297" s="69">
        <v>1</v>
      </c>
      <c r="E1297" s="74">
        <v>30</v>
      </c>
      <c r="F1297" s="80">
        <f>IFERROR(D1297*E1297,0)</f>
        <v>30</v>
      </c>
      <c r="G1297" s="61" t="str">
        <f>INDEX(SETORES!$B:$B,MATCH(A1297,SETORES!$A:$A,0))</f>
        <v>Clientes</v>
      </c>
      <c r="H1297" s="61" t="s">
        <v>11</v>
      </c>
    </row>
    <row r="1298" spans="1:8" ht="14.25" hidden="1" customHeight="1" x14ac:dyDescent="0.3">
      <c r="A1298" s="2" t="s">
        <v>35</v>
      </c>
      <c r="B1298" s="60" t="s">
        <v>155</v>
      </c>
      <c r="C1298" s="60" t="s">
        <v>248</v>
      </c>
      <c r="D1298" s="68">
        <v>1</v>
      </c>
      <c r="E1298" s="73">
        <v>2369.71</v>
      </c>
      <c r="F1298" s="79">
        <f>IFERROR(D1298*E1298,0)</f>
        <v>2369.71</v>
      </c>
      <c r="G1298" s="60" t="str">
        <f>INDEX(SETORES!$B:$B,MATCH(A1298,SETORES!$A:$A,0))</f>
        <v>Clientes</v>
      </c>
      <c r="H1298" s="60" t="s">
        <v>11</v>
      </c>
    </row>
    <row r="1299" spans="1:8" ht="14.25" customHeight="1" x14ac:dyDescent="0.3">
      <c r="A1299" s="2" t="s">
        <v>35</v>
      </c>
      <c r="B1299" s="60" t="s">
        <v>155</v>
      </c>
      <c r="C1299" s="60" t="s">
        <v>171</v>
      </c>
      <c r="D1299" s="68">
        <v>3</v>
      </c>
      <c r="E1299" s="73">
        <v>51.12</v>
      </c>
      <c r="F1299" s="79">
        <f>IFERROR(D1299*E1299,0)</f>
        <v>153.35999999999999</v>
      </c>
      <c r="G1299" s="61" t="s">
        <v>98</v>
      </c>
      <c r="H1299" s="60" t="s">
        <v>11</v>
      </c>
    </row>
    <row r="1300" spans="1:8" ht="14.25" hidden="1" customHeight="1" x14ac:dyDescent="0.3">
      <c r="A1300" s="2" t="s">
        <v>35</v>
      </c>
      <c r="B1300" s="60" t="s">
        <v>155</v>
      </c>
      <c r="C1300" s="60" t="s">
        <v>170</v>
      </c>
      <c r="D1300" s="68">
        <v>3</v>
      </c>
      <c r="E1300" s="73">
        <v>31.33</v>
      </c>
      <c r="F1300" s="79">
        <f>IFERROR(D1300*E1300,0)</f>
        <v>93.99</v>
      </c>
      <c r="G1300" s="61" t="s">
        <v>98</v>
      </c>
      <c r="H1300" s="60" t="s">
        <v>11</v>
      </c>
    </row>
    <row r="1301" spans="1:8" ht="14.25" hidden="1" customHeight="1" x14ac:dyDescent="0.3">
      <c r="A1301" s="2" t="s">
        <v>35</v>
      </c>
      <c r="B1301" s="60" t="s">
        <v>155</v>
      </c>
      <c r="C1301" s="60" t="s">
        <v>169</v>
      </c>
      <c r="D1301" s="68">
        <v>3</v>
      </c>
      <c r="E1301" s="73">
        <v>63.75</v>
      </c>
      <c r="F1301" s="79">
        <f>IFERROR(D1301*E1301,0)</f>
        <v>191.25</v>
      </c>
      <c r="G1301" s="61" t="s">
        <v>98</v>
      </c>
      <c r="H1301" s="60" t="s">
        <v>11</v>
      </c>
    </row>
    <row r="1302" spans="1:8" ht="14.25" hidden="1" customHeight="1" x14ac:dyDescent="0.3">
      <c r="A1302" s="34" t="s">
        <v>35</v>
      </c>
      <c r="B1302" s="61" t="s">
        <v>155</v>
      </c>
      <c r="C1302" s="61" t="s">
        <v>158</v>
      </c>
      <c r="D1302" s="69">
        <v>1</v>
      </c>
      <c r="E1302" s="74">
        <v>35.0289</v>
      </c>
      <c r="F1302" s="80">
        <v>35.0289</v>
      </c>
      <c r="G1302" s="61" t="str">
        <f>INDEX(SETORES!$B:$B,MATCH(A1302,SETORES!$A:$A,0))</f>
        <v>Clientes</v>
      </c>
      <c r="H1302" s="61" t="s">
        <v>11</v>
      </c>
    </row>
    <row r="1303" spans="1:8" ht="14.25" hidden="1" customHeight="1" x14ac:dyDescent="0.3">
      <c r="A1303" s="34" t="s">
        <v>35</v>
      </c>
      <c r="B1303" s="61" t="s">
        <v>162</v>
      </c>
      <c r="C1303" s="61" t="s">
        <v>165</v>
      </c>
      <c r="D1303" s="69"/>
      <c r="E1303" s="74"/>
      <c r="F1303" s="80">
        <f>IFERROR(D1303*E1303,0)</f>
        <v>0</v>
      </c>
      <c r="G1303" s="61" t="str">
        <f>INDEX(SETORES!$B:$B,MATCH(A1303,SETORES!$A:$A,0))</f>
        <v>Clientes</v>
      </c>
      <c r="H1303" s="61" t="s">
        <v>11</v>
      </c>
    </row>
    <row r="1304" spans="1:8" ht="14.25" hidden="1" customHeight="1" x14ac:dyDescent="0.3">
      <c r="A1304" s="34" t="s">
        <v>35</v>
      </c>
      <c r="B1304" s="61" t="s">
        <v>162</v>
      </c>
      <c r="C1304" s="61" t="s">
        <v>163</v>
      </c>
      <c r="D1304" s="69"/>
      <c r="E1304" s="74"/>
      <c r="F1304" s="80">
        <f>IFERROR(D1304*E1304,0)</f>
        <v>0</v>
      </c>
      <c r="G1304" s="61" t="str">
        <f>INDEX(SETORES!$B:$B,MATCH(A1304,SETORES!$A:$A,0))</f>
        <v>Clientes</v>
      </c>
      <c r="H1304" s="61" t="s">
        <v>11</v>
      </c>
    </row>
    <row r="1305" spans="1:8" ht="14.25" hidden="1" customHeight="1" x14ac:dyDescent="0.3">
      <c r="A1305" s="2" t="s">
        <v>35</v>
      </c>
      <c r="B1305" s="60" t="s">
        <v>162</v>
      </c>
      <c r="C1305" s="60" t="s">
        <v>164</v>
      </c>
      <c r="D1305" s="68">
        <v>1</v>
      </c>
      <c r="E1305" s="73">
        <v>38</v>
      </c>
      <c r="F1305" s="79">
        <f>IFERROR(D1305*E1305,0)</f>
        <v>38</v>
      </c>
      <c r="G1305" s="60" t="str">
        <f>INDEX(SETORES!$B:$B,MATCH(A1305,SETORES!$A:$A,0))</f>
        <v>Clientes</v>
      </c>
      <c r="H1305" s="60" t="s">
        <v>11</v>
      </c>
    </row>
    <row r="1306" spans="1:8" ht="14.25" hidden="1" customHeight="1" x14ac:dyDescent="0.3">
      <c r="A1306" s="2" t="s">
        <v>35</v>
      </c>
      <c r="B1306" s="60" t="s">
        <v>155</v>
      </c>
      <c r="C1306" s="60" t="s">
        <v>161</v>
      </c>
      <c r="D1306" s="68">
        <v>1</v>
      </c>
      <c r="E1306" s="73">
        <v>14018.17</v>
      </c>
      <c r="F1306" s="79">
        <f>IFERROR(E1306,0)</f>
        <v>14018.17</v>
      </c>
      <c r="G1306" s="60" t="str">
        <f>INDEX(SETORES!$B:$B,MATCH(A1306,SETORES!$A:$A,0))</f>
        <v>Clientes</v>
      </c>
      <c r="H1306" s="60" t="s">
        <v>11</v>
      </c>
    </row>
    <row r="1307" spans="1:8" ht="14.25" hidden="1" customHeight="1" x14ac:dyDescent="0.3">
      <c r="A1307" s="34" t="s">
        <v>35</v>
      </c>
      <c r="B1307" s="61" t="s">
        <v>155</v>
      </c>
      <c r="C1307" s="61" t="s">
        <v>167</v>
      </c>
      <c r="D1307" s="69">
        <v>4</v>
      </c>
      <c r="E1307" s="74">
        <v>9.85</v>
      </c>
      <c r="F1307" s="79">
        <f>IFERROR(D1307*E1307,0)</f>
        <v>39.4</v>
      </c>
      <c r="G1307" s="61" t="str">
        <f>INDEX(SETORES!$B:$B,MATCH(A1307,SETORES!$A:$A,0))</f>
        <v>Clientes</v>
      </c>
      <c r="H1307" s="61" t="s">
        <v>11</v>
      </c>
    </row>
    <row r="1308" spans="1:8" ht="14.25" hidden="1" customHeight="1" x14ac:dyDescent="0.3">
      <c r="A1308" s="2" t="s">
        <v>35</v>
      </c>
      <c r="B1308" s="60" t="s">
        <v>155</v>
      </c>
      <c r="C1308" s="60" t="s">
        <v>166</v>
      </c>
      <c r="D1308" s="68">
        <v>3</v>
      </c>
      <c r="E1308" s="73">
        <v>50</v>
      </c>
      <c r="F1308" s="79">
        <f>IFERROR(D1308*E1308,0)</f>
        <v>150</v>
      </c>
      <c r="G1308" s="60" t="str">
        <f>INDEX(SETORES!$B:$B,MATCH(A1308,SETORES!$A:$A,0))</f>
        <v>Clientes</v>
      </c>
      <c r="H1308" s="60" t="s">
        <v>11</v>
      </c>
    </row>
    <row r="1309" spans="1:8" ht="14.25" hidden="1" customHeight="1" x14ac:dyDescent="0.3">
      <c r="A1309" s="34" t="s">
        <v>35</v>
      </c>
      <c r="B1309" s="61" t="s">
        <v>155</v>
      </c>
      <c r="C1309" s="61" t="s">
        <v>156</v>
      </c>
      <c r="D1309" s="69">
        <v>4</v>
      </c>
      <c r="E1309" s="74">
        <v>4.375</v>
      </c>
      <c r="F1309" s="80">
        <v>17.5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2" t="s">
        <v>35</v>
      </c>
      <c r="B1310" s="60" t="s">
        <v>155</v>
      </c>
      <c r="C1310" s="60" t="s">
        <v>157</v>
      </c>
      <c r="D1310" s="68">
        <v>1</v>
      </c>
      <c r="E1310" s="73">
        <v>74.8</v>
      </c>
      <c r="F1310" s="79">
        <v>74.8</v>
      </c>
      <c r="G1310" s="60" t="str">
        <f>INDEX(SETORES!$B:$B,MATCH(A1310,SETORES!$A:$A,0))</f>
        <v>Clientes</v>
      </c>
      <c r="H1310" s="60" t="s">
        <v>11</v>
      </c>
    </row>
    <row r="1311" spans="1:8" ht="14.25" hidden="1" customHeight="1" x14ac:dyDescent="0.3">
      <c r="A1311" s="2" t="s">
        <v>35</v>
      </c>
      <c r="B1311" s="60" t="s">
        <v>162</v>
      </c>
      <c r="C1311" s="60" t="s">
        <v>222</v>
      </c>
      <c r="D1311" s="68"/>
      <c r="E1311" s="73"/>
      <c r="F1311" s="79">
        <f>IFERROR(D1311*E1311,0)</f>
        <v>0</v>
      </c>
      <c r="G1311" s="60" t="str">
        <f>INDEX(SETORES!$B:$B,MATCH(A1311,SETORES!$A:$A,0))</f>
        <v>Clientes</v>
      </c>
      <c r="H1311" s="60" t="s">
        <v>11</v>
      </c>
    </row>
    <row r="1312" spans="1:8" ht="14.25" hidden="1" customHeight="1" x14ac:dyDescent="0.3">
      <c r="A1312" s="2" t="s">
        <v>35</v>
      </c>
      <c r="B1312" s="60" t="s">
        <v>155</v>
      </c>
      <c r="C1312" s="60" t="s">
        <v>168</v>
      </c>
      <c r="D1312" s="68">
        <v>4</v>
      </c>
      <c r="E1312" s="73">
        <v>2.04</v>
      </c>
      <c r="F1312" s="79">
        <f>IFERROR(D1312*E1312,0)</f>
        <v>8.16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34" t="s">
        <v>35</v>
      </c>
      <c r="B1313" s="61" t="s">
        <v>155</v>
      </c>
      <c r="C1313" s="61" t="s">
        <v>160</v>
      </c>
      <c r="D1313" s="69"/>
      <c r="E1313" s="74"/>
      <c r="F1313" s="80">
        <f>IFERROR(D1313*E1313,0)</f>
        <v>0</v>
      </c>
      <c r="G1313" s="61" t="str">
        <f>INDEX(SETORES!$B:$B,MATCH(A1313,SETORES!$A:$A,0))</f>
        <v>Clientes</v>
      </c>
      <c r="H1313" s="61" t="s">
        <v>11</v>
      </c>
    </row>
    <row r="1314" spans="1:8" ht="14.25" hidden="1" customHeight="1" x14ac:dyDescent="0.3">
      <c r="A1314" s="2" t="s">
        <v>38</v>
      </c>
      <c r="B1314" s="60" t="s">
        <v>155</v>
      </c>
      <c r="C1314" s="60" t="s">
        <v>159</v>
      </c>
      <c r="D1314" s="68">
        <v>1</v>
      </c>
      <c r="E1314" s="73">
        <v>0.27500000000000002</v>
      </c>
      <c r="F1314" s="79">
        <v>0.27500000000000002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34" t="s">
        <v>38</v>
      </c>
      <c r="B1315" s="61" t="s">
        <v>155</v>
      </c>
      <c r="C1315" s="61" t="s">
        <v>249</v>
      </c>
      <c r="D1315" s="69">
        <v>1</v>
      </c>
      <c r="E1315" s="74">
        <v>766.15</v>
      </c>
      <c r="F1315" s="80">
        <f>IFERROR(D1315*E1315,0)</f>
        <v>766.15</v>
      </c>
      <c r="G1315" s="61" t="str">
        <f>INDEX(SETORES!$B:$B,MATCH(A1315,SETORES!$A:$A,0))</f>
        <v>Clientes</v>
      </c>
      <c r="H1315" s="61" t="s">
        <v>11</v>
      </c>
    </row>
    <row r="1316" spans="1:8" ht="14.25" hidden="1" customHeight="1" x14ac:dyDescent="0.3">
      <c r="A1316" s="34" t="s">
        <v>38</v>
      </c>
      <c r="B1316" s="61" t="s">
        <v>155</v>
      </c>
      <c r="C1316" s="61" t="s">
        <v>158</v>
      </c>
      <c r="D1316" s="69">
        <v>1</v>
      </c>
      <c r="E1316" s="74">
        <v>96.329400000000007</v>
      </c>
      <c r="F1316" s="80">
        <v>96.329400000000007</v>
      </c>
      <c r="G1316" s="61" t="str">
        <f>INDEX(SETORES!$B:$B,MATCH(A1316,SETORES!$A:$A,0))</f>
        <v>Clientes</v>
      </c>
      <c r="H1316" s="61" t="s">
        <v>11</v>
      </c>
    </row>
    <row r="1317" spans="1:8" ht="14.25" hidden="1" customHeight="1" x14ac:dyDescent="0.3">
      <c r="A1317" s="34" t="s">
        <v>38</v>
      </c>
      <c r="B1317" s="61" t="s">
        <v>162</v>
      </c>
      <c r="C1317" s="61" t="s">
        <v>163</v>
      </c>
      <c r="D1317" s="69">
        <v>1</v>
      </c>
      <c r="E1317" s="74">
        <v>496</v>
      </c>
      <c r="F1317" s="80">
        <f>IFERROR(D1317*E1317,0)</f>
        <v>496</v>
      </c>
      <c r="G1317" s="61" t="str">
        <f>INDEX(SETORES!$B:$B,MATCH(A1317,SETORES!$A:$A,0))</f>
        <v>Clientes</v>
      </c>
      <c r="H1317" s="61" t="s">
        <v>11</v>
      </c>
    </row>
    <row r="1318" spans="1:8" ht="14.25" hidden="1" customHeight="1" x14ac:dyDescent="0.3">
      <c r="A1318" s="2" t="s">
        <v>38</v>
      </c>
      <c r="B1318" s="60" t="s">
        <v>162</v>
      </c>
      <c r="C1318" s="60" t="s">
        <v>164</v>
      </c>
      <c r="D1318" s="68">
        <v>1</v>
      </c>
      <c r="E1318" s="73">
        <v>65.33</v>
      </c>
      <c r="F1318" s="79">
        <f>IFERROR(D1318*E1318,0)</f>
        <v>65.33</v>
      </c>
      <c r="G1318" s="60" t="str">
        <f>INDEX(SETORES!$B:$B,MATCH(A1318,SETORES!$A:$A,0))</f>
        <v>Clientes</v>
      </c>
      <c r="H1318" s="60" t="s">
        <v>11</v>
      </c>
    </row>
    <row r="1319" spans="1:8" ht="14.25" hidden="1" customHeight="1" x14ac:dyDescent="0.3">
      <c r="A1319" s="2" t="s">
        <v>38</v>
      </c>
      <c r="B1319" s="60" t="s">
        <v>155</v>
      </c>
      <c r="C1319" s="60" t="s">
        <v>161</v>
      </c>
      <c r="D1319" s="68">
        <v>1</v>
      </c>
      <c r="E1319" s="73">
        <v>35079.61</v>
      </c>
      <c r="F1319" s="79">
        <f>IFERROR(E1319,0)</f>
        <v>35079.61</v>
      </c>
      <c r="G1319" s="60" t="str">
        <f>INDEX(SETORES!$B:$B,MATCH(A1319,SETORES!$A:$A,0))</f>
        <v>Clientes</v>
      </c>
      <c r="H1319" s="60" t="s">
        <v>11</v>
      </c>
    </row>
    <row r="1320" spans="1:8" ht="14.25" hidden="1" customHeight="1" x14ac:dyDescent="0.3">
      <c r="A1320" s="34" t="s">
        <v>38</v>
      </c>
      <c r="B1320" s="61" t="s">
        <v>155</v>
      </c>
      <c r="C1320" s="61" t="s">
        <v>167</v>
      </c>
      <c r="D1320" s="69">
        <v>11</v>
      </c>
      <c r="E1320" s="74">
        <v>9.85</v>
      </c>
      <c r="F1320" s="80">
        <f>IFERROR(D1320*E1320,0)</f>
        <v>108.35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2" t="s">
        <v>38</v>
      </c>
      <c r="B1321" s="60" t="s">
        <v>155</v>
      </c>
      <c r="C1321" s="60" t="s">
        <v>240</v>
      </c>
      <c r="D1321" s="68">
        <v>1</v>
      </c>
      <c r="E1321" s="73">
        <v>2.3081960000000001</v>
      </c>
      <c r="F1321" s="79">
        <f>IFERROR(D1321*E1321,0)</f>
        <v>2.3081960000000001</v>
      </c>
      <c r="G1321" s="60" t="str">
        <f>INDEX(SETORES!$B:$B,MATCH(A1321,SETORES!$A:$A,0))</f>
        <v>Clientes</v>
      </c>
      <c r="H1321" s="60" t="s">
        <v>11</v>
      </c>
    </row>
    <row r="1322" spans="1:8" ht="14.25" hidden="1" customHeight="1" x14ac:dyDescent="0.3">
      <c r="A1322" s="2" t="s">
        <v>38</v>
      </c>
      <c r="B1322" s="60" t="s">
        <v>155</v>
      </c>
      <c r="C1322" s="60" t="s">
        <v>166</v>
      </c>
      <c r="D1322" s="68">
        <v>13</v>
      </c>
      <c r="E1322" s="73">
        <v>50</v>
      </c>
      <c r="F1322" s="79">
        <f>IFERROR(D1322*E1322,0)</f>
        <v>650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34" t="s">
        <v>38</v>
      </c>
      <c r="B1323" s="61" t="s">
        <v>155</v>
      </c>
      <c r="C1323" s="61" t="s">
        <v>156</v>
      </c>
      <c r="D1323" s="69">
        <v>11</v>
      </c>
      <c r="E1323" s="74">
        <v>0.2641</v>
      </c>
      <c r="F1323" s="80">
        <v>2.9051</v>
      </c>
      <c r="G1323" s="61" t="str">
        <f>INDEX(SETORES!$B:$B,MATCH(A1323,SETORES!$A:$A,0))</f>
        <v>Clientes</v>
      </c>
      <c r="H1323" s="61" t="s">
        <v>11</v>
      </c>
    </row>
    <row r="1324" spans="1:8" ht="14.25" hidden="1" customHeight="1" x14ac:dyDescent="0.3">
      <c r="A1324" s="2" t="s">
        <v>38</v>
      </c>
      <c r="B1324" s="60" t="s">
        <v>155</v>
      </c>
      <c r="C1324" s="60" t="s">
        <v>157</v>
      </c>
      <c r="D1324" s="68">
        <v>1</v>
      </c>
      <c r="E1324" s="73">
        <v>677.23393399999998</v>
      </c>
      <c r="F1324" s="79">
        <v>677.23393399999998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38</v>
      </c>
      <c r="B1325" s="61" t="s">
        <v>162</v>
      </c>
      <c r="C1325" s="61" t="s">
        <v>222</v>
      </c>
      <c r="D1325" s="69">
        <v>1</v>
      </c>
      <c r="E1325" s="74">
        <v>2340.7600000000002</v>
      </c>
      <c r="F1325" s="80">
        <f>IFERROR(D1325*E1325,0)</f>
        <v>2340.7600000000002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38</v>
      </c>
      <c r="B1326" s="60" t="s">
        <v>155</v>
      </c>
      <c r="C1326" s="60" t="s">
        <v>189</v>
      </c>
      <c r="D1326" s="68">
        <v>1</v>
      </c>
      <c r="E1326" s="73">
        <v>1262.2950780000001</v>
      </c>
      <c r="F1326" s="79">
        <f>IFERROR(D1326*E1326,0)</f>
        <v>1262.2950780000001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2" t="s">
        <v>38</v>
      </c>
      <c r="B1327" s="60" t="s">
        <v>155</v>
      </c>
      <c r="C1327" s="60" t="s">
        <v>191</v>
      </c>
      <c r="D1327" s="68">
        <v>1</v>
      </c>
      <c r="E1327" s="73">
        <v>499.77868599999999</v>
      </c>
      <c r="F1327" s="79">
        <f>IFERROR(D1327*E1327,0)</f>
        <v>499.77868599999999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34" t="s">
        <v>38</v>
      </c>
      <c r="B1328" s="61" t="s">
        <v>155</v>
      </c>
      <c r="C1328" s="61" t="s">
        <v>187</v>
      </c>
      <c r="D1328" s="69">
        <v>1</v>
      </c>
      <c r="E1328" s="74">
        <v>608.77065700000003</v>
      </c>
      <c r="F1328" s="80">
        <f>IFERROR(D1328*E1328,0)</f>
        <v>608.77065700000003</v>
      </c>
      <c r="G1328" s="61" t="str">
        <f>INDEX(SETORES!$B:$B,MATCH(A1328,SETORES!$A:$A,0))</f>
        <v>Clientes</v>
      </c>
      <c r="H1328" s="61" t="s">
        <v>11</v>
      </c>
    </row>
    <row r="1329" spans="1:8" ht="14.25" hidden="1" customHeight="1" x14ac:dyDescent="0.3">
      <c r="A1329" s="2" t="s">
        <v>38</v>
      </c>
      <c r="B1329" s="60" t="s">
        <v>155</v>
      </c>
      <c r="C1329" s="60" t="s">
        <v>168</v>
      </c>
      <c r="D1329" s="68">
        <v>11</v>
      </c>
      <c r="E1329" s="73">
        <v>2.04</v>
      </c>
      <c r="F1329" s="79">
        <f>IFERROR(D1329*E1329,0)</f>
        <v>22.44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34" t="s">
        <v>38</v>
      </c>
      <c r="B1330" s="61" t="s">
        <v>155</v>
      </c>
      <c r="C1330" s="61" t="s">
        <v>160</v>
      </c>
      <c r="D1330" s="69"/>
      <c r="E1330" s="74"/>
      <c r="F1330" s="80">
        <f>IFERROR(D1330*E1330,0)</f>
        <v>0</v>
      </c>
      <c r="G1330" s="61" t="str">
        <f>INDEX(SETORES!$B:$B,MATCH(A1330,SETORES!$A:$A,0))</f>
        <v>Clientes</v>
      </c>
      <c r="H1330" s="61" t="s">
        <v>11</v>
      </c>
    </row>
    <row r="1331" spans="1:8" ht="14.25" hidden="1" customHeight="1" x14ac:dyDescent="0.3">
      <c r="A1331" s="34" t="s">
        <v>78</v>
      </c>
      <c r="B1331" s="61" t="s">
        <v>155</v>
      </c>
      <c r="C1331" s="61" t="s">
        <v>159</v>
      </c>
      <c r="D1331" s="69">
        <v>15</v>
      </c>
      <c r="E1331" s="74">
        <v>0.31240000000000001</v>
      </c>
      <c r="F1331" s="80">
        <v>4.6859999999999999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2" t="s">
        <v>78</v>
      </c>
      <c r="B1332" s="60" t="s">
        <v>155</v>
      </c>
      <c r="C1332" s="60" t="s">
        <v>212</v>
      </c>
      <c r="D1332" s="68">
        <v>13</v>
      </c>
      <c r="E1332" s="73">
        <v>30</v>
      </c>
      <c r="F1332" s="79">
        <f>IFERROR(D1332*E1332,0)</f>
        <v>390</v>
      </c>
      <c r="G1332" s="60" t="str">
        <f>INDEX(SETORES!$B:$B,MATCH(A1332,SETORES!$A:$A,0))</f>
        <v>Clientes</v>
      </c>
      <c r="H1332" s="60" t="s">
        <v>11</v>
      </c>
    </row>
    <row r="1333" spans="1:8" ht="14.25" customHeight="1" x14ac:dyDescent="0.3">
      <c r="A1333" s="34" t="s">
        <v>78</v>
      </c>
      <c r="B1333" s="61" t="s">
        <v>155</v>
      </c>
      <c r="C1333" s="61" t="s">
        <v>171</v>
      </c>
      <c r="D1333" s="69">
        <v>15</v>
      </c>
      <c r="E1333" s="73">
        <v>51.12</v>
      </c>
      <c r="F1333" s="80">
        <f>IFERROR(D1333*E1333,0)</f>
        <v>766.8</v>
      </c>
      <c r="G1333" s="61" t="s">
        <v>98</v>
      </c>
      <c r="H1333" s="61" t="s">
        <v>11</v>
      </c>
    </row>
    <row r="1334" spans="1:8" ht="14.25" hidden="1" customHeight="1" x14ac:dyDescent="0.3">
      <c r="A1334" s="2" t="s">
        <v>78</v>
      </c>
      <c r="B1334" s="60" t="s">
        <v>155</v>
      </c>
      <c r="C1334" s="60" t="s">
        <v>170</v>
      </c>
      <c r="D1334" s="68">
        <v>15</v>
      </c>
      <c r="E1334" s="73">
        <v>31.33</v>
      </c>
      <c r="F1334" s="79">
        <f>IFERROR(D1334*E1334,0)</f>
        <v>469.95</v>
      </c>
      <c r="G1334" s="61" t="s">
        <v>98</v>
      </c>
      <c r="H1334" s="60" t="s">
        <v>11</v>
      </c>
    </row>
    <row r="1335" spans="1:8" ht="14.25" hidden="1" customHeight="1" x14ac:dyDescent="0.3">
      <c r="A1335" s="2" t="s">
        <v>78</v>
      </c>
      <c r="B1335" s="60" t="s">
        <v>155</v>
      </c>
      <c r="C1335" s="60" t="s">
        <v>169</v>
      </c>
      <c r="D1335" s="68">
        <v>15</v>
      </c>
      <c r="E1335" s="73">
        <v>63.75</v>
      </c>
      <c r="F1335" s="79">
        <f>IFERROR(D1335*E1335,0)</f>
        <v>956.25</v>
      </c>
      <c r="G1335" s="61" t="s">
        <v>98</v>
      </c>
      <c r="H1335" s="60" t="s">
        <v>11</v>
      </c>
    </row>
    <row r="1336" spans="1:8" ht="14.25" hidden="1" customHeight="1" x14ac:dyDescent="0.3">
      <c r="A1336" s="2" t="s">
        <v>78</v>
      </c>
      <c r="B1336" s="60" t="s">
        <v>155</v>
      </c>
      <c r="C1336" s="60" t="s">
        <v>158</v>
      </c>
      <c r="D1336" s="68">
        <v>15</v>
      </c>
      <c r="E1336" s="73">
        <v>23.6877</v>
      </c>
      <c r="F1336" s="79">
        <v>355.31549999999999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34" t="s">
        <v>78</v>
      </c>
      <c r="B1337" s="61" t="s">
        <v>155</v>
      </c>
      <c r="C1337" s="61" t="s">
        <v>161</v>
      </c>
      <c r="D1337" s="69">
        <v>1</v>
      </c>
      <c r="E1337" s="74">
        <v>89682.63</v>
      </c>
      <c r="F1337" s="80">
        <f>IFERROR(E1337,0)</f>
        <v>89682.63</v>
      </c>
      <c r="G1337" s="61" t="str">
        <f>INDEX(SETORES!$B:$B,MATCH(A1337,SETORES!$A:$A,0))</f>
        <v>Clientes</v>
      </c>
      <c r="H1337" s="61" t="s">
        <v>11</v>
      </c>
    </row>
    <row r="1338" spans="1:8" ht="14.25" hidden="1" customHeight="1" x14ac:dyDescent="0.3">
      <c r="A1338" s="34" t="s">
        <v>78</v>
      </c>
      <c r="B1338" s="61" t="s">
        <v>155</v>
      </c>
      <c r="C1338" s="61" t="s">
        <v>167</v>
      </c>
      <c r="D1338" s="69">
        <v>15</v>
      </c>
      <c r="E1338" s="74">
        <v>9.85</v>
      </c>
      <c r="F1338" s="80">
        <f>IFERROR(D1338*E1338,0)</f>
        <v>147.75</v>
      </c>
      <c r="G1338" s="61" t="str">
        <f>INDEX(SETORES!$B:$B,MATCH(A1338,SETORES!$A:$A,0))</f>
        <v>Clientes</v>
      </c>
      <c r="H1338" s="61" t="s">
        <v>11</v>
      </c>
    </row>
    <row r="1339" spans="1:8" ht="14.25" hidden="1" customHeight="1" x14ac:dyDescent="0.3">
      <c r="A1339" s="34" t="s">
        <v>78</v>
      </c>
      <c r="B1339" s="61" t="s">
        <v>155</v>
      </c>
      <c r="C1339" s="61" t="s">
        <v>166</v>
      </c>
      <c r="D1339" s="69">
        <v>15</v>
      </c>
      <c r="E1339" s="74">
        <v>50</v>
      </c>
      <c r="F1339" s="80">
        <f>IFERROR(D1339*E1339,0)</f>
        <v>750</v>
      </c>
      <c r="G1339" s="61" t="str">
        <f>INDEX(SETORES!$B:$B,MATCH(A1339,SETORES!$A:$A,0))</f>
        <v>Clientes</v>
      </c>
      <c r="H1339" s="61" t="s">
        <v>11</v>
      </c>
    </row>
    <row r="1340" spans="1:8" ht="14.25" hidden="1" customHeight="1" x14ac:dyDescent="0.3">
      <c r="A1340" s="2" t="s">
        <v>78</v>
      </c>
      <c r="B1340" s="60" t="s">
        <v>162</v>
      </c>
      <c r="C1340" s="60" t="s">
        <v>209</v>
      </c>
      <c r="D1340" s="68">
        <v>15</v>
      </c>
      <c r="E1340" s="73">
        <v>85.71</v>
      </c>
      <c r="F1340" s="79">
        <f>IFERROR(D1340*E1340,0)</f>
        <v>1285.6499999999999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2" t="s">
        <v>78</v>
      </c>
      <c r="B1341" s="60" t="s">
        <v>162</v>
      </c>
      <c r="C1341" s="60" t="s">
        <v>222</v>
      </c>
      <c r="D1341" s="68"/>
      <c r="E1341" s="73"/>
      <c r="F1341" s="79">
        <f>IFERROR(D1341*E1341,0)</f>
        <v>0</v>
      </c>
      <c r="G1341" s="60" t="str">
        <f>INDEX(SETORES!$B:$B,MATCH(A1341,SETORES!$A:$A,0))</f>
        <v>Clientes</v>
      </c>
      <c r="H1341" s="60" t="s">
        <v>11</v>
      </c>
    </row>
    <row r="1342" spans="1:8" ht="14.25" hidden="1" customHeight="1" x14ac:dyDescent="0.3">
      <c r="A1342" s="2" t="s">
        <v>78</v>
      </c>
      <c r="B1342" s="60" t="s">
        <v>155</v>
      </c>
      <c r="C1342" s="60" t="s">
        <v>168</v>
      </c>
      <c r="D1342" s="68">
        <v>15</v>
      </c>
      <c r="E1342" s="73">
        <v>2.04</v>
      </c>
      <c r="F1342" s="79">
        <f>IFERROR(D1342*E1342,0)</f>
        <v>30.6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2" t="s">
        <v>54</v>
      </c>
      <c r="B1343" s="60" t="s">
        <v>155</v>
      </c>
      <c r="C1343" s="60" t="s">
        <v>206</v>
      </c>
      <c r="D1343" s="68">
        <v>1</v>
      </c>
      <c r="E1343" s="73">
        <v>545.99</v>
      </c>
      <c r="F1343" s="79">
        <f>IFERROR(D1343*E1343,0)</f>
        <v>545.99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34" t="s">
        <v>54</v>
      </c>
      <c r="B1344" s="61" t="s">
        <v>155</v>
      </c>
      <c r="C1344" s="61" t="s">
        <v>159</v>
      </c>
      <c r="D1344" s="69">
        <v>1</v>
      </c>
      <c r="E1344" s="74">
        <v>0.27500000000000002</v>
      </c>
      <c r="F1344" s="80">
        <v>0.27500000000000002</v>
      </c>
      <c r="G1344" s="61" t="s">
        <v>96</v>
      </c>
      <c r="H1344" s="61" t="s">
        <v>11</v>
      </c>
    </row>
    <row r="1345" spans="1:8" ht="14.25" hidden="1" customHeight="1" x14ac:dyDescent="0.3">
      <c r="A1345" s="34" t="s">
        <v>54</v>
      </c>
      <c r="B1345" s="61" t="s">
        <v>162</v>
      </c>
      <c r="C1345" s="61" t="s">
        <v>217</v>
      </c>
      <c r="D1345" s="69"/>
      <c r="E1345" s="74"/>
      <c r="F1345" s="80">
        <f>IFERROR(D1345*E1345,0)</f>
        <v>0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34" t="s">
        <v>54</v>
      </c>
      <c r="B1346" s="61" t="s">
        <v>162</v>
      </c>
      <c r="C1346" s="61" t="s">
        <v>203</v>
      </c>
      <c r="D1346" s="69">
        <v>1</v>
      </c>
      <c r="E1346" s="74">
        <v>2950.58</v>
      </c>
      <c r="F1346" s="80">
        <f>IFERROR(D1346*E1346,0)</f>
        <v>2950.58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34" t="s">
        <v>54</v>
      </c>
      <c r="B1347" s="61" t="s">
        <v>155</v>
      </c>
      <c r="C1347" s="61" t="s">
        <v>205</v>
      </c>
      <c r="D1347" s="69">
        <v>1</v>
      </c>
      <c r="E1347" s="74">
        <v>2997</v>
      </c>
      <c r="F1347" s="80">
        <f>IFERROR(D1347*E1347,0)</f>
        <v>2997</v>
      </c>
      <c r="G1347" s="61" t="str">
        <f>INDEX(SETORES!$B:$B,MATCH(A1347,SETORES!$A:$A,0))</f>
        <v>Clientes</v>
      </c>
      <c r="H1347" s="61" t="s">
        <v>11</v>
      </c>
    </row>
    <row r="1348" spans="1:8" ht="14.25" customHeight="1" x14ac:dyDescent="0.3">
      <c r="A1348" s="34" t="s">
        <v>54</v>
      </c>
      <c r="B1348" s="61" t="s">
        <v>155</v>
      </c>
      <c r="C1348" s="61" t="s">
        <v>171</v>
      </c>
      <c r="D1348" s="69">
        <v>10</v>
      </c>
      <c r="E1348" s="73">
        <v>51.12</v>
      </c>
      <c r="F1348" s="80">
        <f>IFERROR(D1348*E1348,0)</f>
        <v>511.2</v>
      </c>
      <c r="G1348" s="61" t="s">
        <v>98</v>
      </c>
      <c r="H1348" s="61" t="s">
        <v>11</v>
      </c>
    </row>
    <row r="1349" spans="1:8" ht="14.25" hidden="1" customHeight="1" x14ac:dyDescent="0.3">
      <c r="A1349" s="2" t="s">
        <v>54</v>
      </c>
      <c r="B1349" s="60" t="s">
        <v>155</v>
      </c>
      <c r="C1349" s="60" t="s">
        <v>170</v>
      </c>
      <c r="D1349" s="68">
        <v>10</v>
      </c>
      <c r="E1349" s="73">
        <v>31.33</v>
      </c>
      <c r="F1349" s="79">
        <f>IFERROR(D1349*E1349,0)</f>
        <v>313.29999999999995</v>
      </c>
      <c r="G1349" s="61" t="s">
        <v>98</v>
      </c>
      <c r="H1349" s="60" t="s">
        <v>11</v>
      </c>
    </row>
    <row r="1350" spans="1:8" ht="14.25" hidden="1" customHeight="1" x14ac:dyDescent="0.3">
      <c r="A1350" s="2" t="s">
        <v>54</v>
      </c>
      <c r="B1350" s="60" t="s">
        <v>155</v>
      </c>
      <c r="C1350" s="60" t="s">
        <v>169</v>
      </c>
      <c r="D1350" s="68">
        <v>11</v>
      </c>
      <c r="E1350" s="73">
        <v>63.75</v>
      </c>
      <c r="F1350" s="79">
        <f>IFERROR(D1350*E1350,0)</f>
        <v>701.25</v>
      </c>
      <c r="G1350" s="61" t="s">
        <v>98</v>
      </c>
      <c r="H1350" s="60" t="s">
        <v>11</v>
      </c>
    </row>
    <row r="1351" spans="1:8" ht="14.25" hidden="1" customHeight="1" x14ac:dyDescent="0.3">
      <c r="A1351" s="34" t="s">
        <v>54</v>
      </c>
      <c r="B1351" s="61" t="s">
        <v>162</v>
      </c>
      <c r="C1351" s="61" t="s">
        <v>199</v>
      </c>
      <c r="D1351" s="69"/>
      <c r="E1351" s="74"/>
      <c r="F1351" s="79">
        <f>IFERROR(D1351*E1351,0)</f>
        <v>0</v>
      </c>
      <c r="G1351" s="61" t="s">
        <v>98</v>
      </c>
      <c r="H1351" s="61" t="s">
        <v>11</v>
      </c>
    </row>
    <row r="1352" spans="1:8" ht="14.25" hidden="1" customHeight="1" x14ac:dyDescent="0.3">
      <c r="A1352" s="34" t="s">
        <v>54</v>
      </c>
      <c r="B1352" s="61" t="s">
        <v>162</v>
      </c>
      <c r="C1352" s="61" t="s">
        <v>201</v>
      </c>
      <c r="D1352" s="69"/>
      <c r="E1352" s="74"/>
      <c r="F1352" s="80">
        <f>IFERROR(D1352*E1352,0)</f>
        <v>0</v>
      </c>
      <c r="G1352" s="61" t="str">
        <f>INDEX(SETORES!$B:$B,MATCH(A1352,SETORES!$A:$A,0))</f>
        <v>Clientes</v>
      </c>
      <c r="H1352" s="61" t="s">
        <v>11</v>
      </c>
    </row>
    <row r="1353" spans="1:8" ht="14.25" hidden="1" customHeight="1" x14ac:dyDescent="0.3">
      <c r="A1353" s="34" t="s">
        <v>54</v>
      </c>
      <c r="B1353" s="61" t="s">
        <v>155</v>
      </c>
      <c r="C1353" s="61" t="s">
        <v>207</v>
      </c>
      <c r="D1353" s="69"/>
      <c r="E1353" s="74"/>
      <c r="F1353" s="80">
        <f>IFERROR(D1353*E1353,0)</f>
        <v>0</v>
      </c>
      <c r="G1353" s="61" t="str">
        <f>INDEX(SETORES!$B:$B,MATCH(A1353,SETORES!$A:$A,0))</f>
        <v>Clientes</v>
      </c>
      <c r="H1353" s="61" t="s">
        <v>11</v>
      </c>
    </row>
    <row r="1354" spans="1:8" ht="14.25" hidden="1" customHeight="1" x14ac:dyDescent="0.3">
      <c r="A1354" s="34" t="s">
        <v>54</v>
      </c>
      <c r="B1354" s="61" t="s">
        <v>155</v>
      </c>
      <c r="C1354" s="61" t="s">
        <v>196</v>
      </c>
      <c r="D1354" s="69">
        <v>10</v>
      </c>
      <c r="E1354" s="74">
        <v>50</v>
      </c>
      <c r="F1354" s="80">
        <f>IFERROR(D1354*E1354,0)</f>
        <v>500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54</v>
      </c>
      <c r="B1355" s="61" t="s">
        <v>162</v>
      </c>
      <c r="C1355" s="61" t="s">
        <v>194</v>
      </c>
      <c r="D1355" s="69"/>
      <c r="E1355" s="74"/>
      <c r="F1355" s="80">
        <f>IFERROR(D1355*E1355,0)</f>
        <v>0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2" t="s">
        <v>54</v>
      </c>
      <c r="B1356" s="60" t="s">
        <v>155</v>
      </c>
      <c r="C1356" s="60" t="s">
        <v>158</v>
      </c>
      <c r="D1356" s="68">
        <v>1</v>
      </c>
      <c r="E1356" s="73">
        <v>96.329400000000007</v>
      </c>
      <c r="F1356" s="79">
        <v>96.329400000000007</v>
      </c>
      <c r="G1356" s="60" t="s">
        <v>96</v>
      </c>
      <c r="H1356" s="60" t="s">
        <v>11</v>
      </c>
    </row>
    <row r="1357" spans="1:8" ht="14.25" hidden="1" customHeight="1" x14ac:dyDescent="0.3">
      <c r="A1357" s="2" t="s">
        <v>54</v>
      </c>
      <c r="B1357" s="60" t="s">
        <v>155</v>
      </c>
      <c r="C1357" s="60" t="s">
        <v>197</v>
      </c>
      <c r="D1357" s="68">
        <v>10</v>
      </c>
      <c r="E1357" s="73">
        <v>128551.32</v>
      </c>
      <c r="F1357" s="79">
        <f>IFERROR(E1357,0)</f>
        <v>128551.32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54</v>
      </c>
      <c r="B1358" s="60" t="s">
        <v>155</v>
      </c>
      <c r="C1358" s="60" t="s">
        <v>167</v>
      </c>
      <c r="D1358" s="68">
        <v>10</v>
      </c>
      <c r="E1358" s="73">
        <v>9.85</v>
      </c>
      <c r="F1358" s="79">
        <f>IFERROR(D1358*E1358,0)</f>
        <v>98.5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54</v>
      </c>
      <c r="B1359" s="60" t="s">
        <v>155</v>
      </c>
      <c r="C1359" s="60" t="s">
        <v>238</v>
      </c>
      <c r="D1359" s="68">
        <v>1</v>
      </c>
      <c r="E1359" s="73">
        <v>11.36364</v>
      </c>
      <c r="F1359" s="79">
        <f>IFERROR(D1359*E1359,0)</f>
        <v>11.36364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34" t="s">
        <v>54</v>
      </c>
      <c r="B1360" s="61" t="s">
        <v>155</v>
      </c>
      <c r="C1360" s="61" t="s">
        <v>198</v>
      </c>
      <c r="D1360" s="69">
        <v>7</v>
      </c>
      <c r="E1360" s="74">
        <v>30</v>
      </c>
      <c r="F1360" s="80">
        <f>IFERROR(D1360*E1360,0)</f>
        <v>210</v>
      </c>
      <c r="G1360" s="61" t="str">
        <f>INDEX(SETORES!$B:$B,MATCH(A1360,SETORES!$A:$A,0))</f>
        <v>Clientes</v>
      </c>
      <c r="H1360" s="61" t="s">
        <v>11</v>
      </c>
    </row>
    <row r="1361" spans="1:8" ht="14.25" hidden="1" customHeight="1" x14ac:dyDescent="0.3">
      <c r="A1361" s="2" t="s">
        <v>54</v>
      </c>
      <c r="B1361" s="60" t="s">
        <v>162</v>
      </c>
      <c r="C1361" s="60" t="s">
        <v>195</v>
      </c>
      <c r="D1361" s="68"/>
      <c r="E1361" s="73"/>
      <c r="F1361" s="79">
        <f>IFERROR(D1361*E1361,0)</f>
        <v>0</v>
      </c>
      <c r="G1361" s="60" t="str">
        <f>INDEX(SETORES!$B:$B,MATCH(A1361,SETORES!$A:$A,0))</f>
        <v>Clientes</v>
      </c>
      <c r="H1361" s="60" t="s">
        <v>11</v>
      </c>
    </row>
    <row r="1362" spans="1:8" ht="14.25" hidden="1" customHeight="1" x14ac:dyDescent="0.3">
      <c r="A1362" s="34" t="s">
        <v>54</v>
      </c>
      <c r="B1362" s="61" t="s">
        <v>155</v>
      </c>
      <c r="C1362" s="61" t="s">
        <v>157</v>
      </c>
      <c r="D1362" s="69">
        <v>1</v>
      </c>
      <c r="E1362" s="74">
        <v>97.45</v>
      </c>
      <c r="F1362" s="80">
        <v>97.45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2" t="s">
        <v>54</v>
      </c>
      <c r="B1363" s="60" t="s">
        <v>162</v>
      </c>
      <c r="C1363" s="60" t="s">
        <v>200</v>
      </c>
      <c r="D1363" s="68"/>
      <c r="E1363" s="73"/>
      <c r="F1363" s="79">
        <f>IFERROR(D1363*E1363,0)</f>
        <v>0</v>
      </c>
      <c r="G1363" s="60" t="str">
        <f>INDEX(SETORES!$B:$B,MATCH(A1363,SETORES!$A:$A,0))</f>
        <v>Clientes</v>
      </c>
      <c r="H1363" s="60" t="s">
        <v>11</v>
      </c>
    </row>
    <row r="1364" spans="1:8" ht="14.25" hidden="1" customHeight="1" x14ac:dyDescent="0.3">
      <c r="A1364" s="34" t="s">
        <v>54</v>
      </c>
      <c r="B1364" s="61" t="s">
        <v>162</v>
      </c>
      <c r="C1364" s="61" t="s">
        <v>222</v>
      </c>
      <c r="D1364" s="69"/>
      <c r="E1364" s="74"/>
      <c r="F1364" s="80">
        <f>IFERROR(D1364*E1364,0)</f>
        <v>0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2" t="s">
        <v>54</v>
      </c>
      <c r="B1365" s="60" t="s">
        <v>162</v>
      </c>
      <c r="C1365" s="60" t="s">
        <v>204</v>
      </c>
      <c r="D1365" s="68">
        <v>1</v>
      </c>
      <c r="E1365" s="73">
        <v>3022.47</v>
      </c>
      <c r="F1365" s="79">
        <f>IFERROR(D1365*E1365,0)</f>
        <v>3022.47</v>
      </c>
      <c r="G1365" s="60" t="str">
        <f>INDEX(SETORES!$B:$B,MATCH(A1365,SETORES!$A:$A,0))</f>
        <v>Clientes</v>
      </c>
      <c r="H1365" s="60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208</v>
      </c>
      <c r="D1366" s="68">
        <v>1</v>
      </c>
      <c r="E1366" s="73">
        <v>3042.34</v>
      </c>
      <c r="F1366" s="79">
        <f>IFERROR(D1366*E1366,0)</f>
        <v>3042.34</v>
      </c>
      <c r="G1366" s="60" t="str">
        <f>INDEX(SETORES!$B:$B,MATCH(A1366,SETORES!$A:$A,0))</f>
        <v>Clientes</v>
      </c>
      <c r="H1366" s="60" t="s">
        <v>11</v>
      </c>
    </row>
    <row r="1367" spans="1:8" ht="14.25" hidden="1" customHeight="1" x14ac:dyDescent="0.3">
      <c r="A1367" s="34" t="s">
        <v>54</v>
      </c>
      <c r="B1367" s="61" t="s">
        <v>155</v>
      </c>
      <c r="C1367" s="61" t="s">
        <v>168</v>
      </c>
      <c r="D1367" s="69">
        <v>10</v>
      </c>
      <c r="E1367" s="74">
        <v>2.04</v>
      </c>
      <c r="F1367" s="80">
        <f>IFERROR(D1367*E1367,0)</f>
        <v>20.399999999999999</v>
      </c>
      <c r="G1367" s="61" t="str">
        <f>INDEX(SETORES!$B:$B,MATCH(A1367,SETORES!$A:$A,0))</f>
        <v>Clientes</v>
      </c>
      <c r="H1367" s="61" t="s">
        <v>11</v>
      </c>
    </row>
    <row r="1368" spans="1:8" ht="14.25" hidden="1" customHeight="1" x14ac:dyDescent="0.3">
      <c r="A1368" s="2" t="s">
        <v>54</v>
      </c>
      <c r="B1368" s="60" t="s">
        <v>162</v>
      </c>
      <c r="C1368" s="60" t="s">
        <v>202</v>
      </c>
      <c r="D1368" s="68"/>
      <c r="E1368" s="73"/>
      <c r="F1368" s="79">
        <f>IFERROR(D1368*E1368,0)</f>
        <v>0</v>
      </c>
      <c r="G1368" s="60" t="str">
        <f>INDEX(SETORES!$B:$B,MATCH(A1368,SETORES!$A:$A,0))</f>
        <v>Clientes</v>
      </c>
      <c r="H1368" s="60" t="s">
        <v>11</v>
      </c>
    </row>
    <row r="1369" spans="1:8" ht="14.25" hidden="1" customHeight="1" x14ac:dyDescent="0.3">
      <c r="A1369" s="2" t="s">
        <v>43</v>
      </c>
      <c r="B1369" s="60" t="s">
        <v>155</v>
      </c>
      <c r="C1369" s="60" t="s">
        <v>159</v>
      </c>
      <c r="D1369" s="68">
        <v>4</v>
      </c>
      <c r="E1369" s="73">
        <v>0.31240000000000001</v>
      </c>
      <c r="F1369" s="79">
        <v>1.2496</v>
      </c>
      <c r="G1369" s="60" t="str">
        <f>INDEX(SETORES!$B:$B,MATCH(A1369,SETORES!$A:$A,0))</f>
        <v>Clientes</v>
      </c>
      <c r="H1369" s="60" t="s">
        <v>11</v>
      </c>
    </row>
    <row r="1370" spans="1:8" ht="14.25" hidden="1" customHeight="1" x14ac:dyDescent="0.3">
      <c r="A1370" s="34" t="s">
        <v>43</v>
      </c>
      <c r="B1370" s="61" t="s">
        <v>155</v>
      </c>
      <c r="C1370" s="61" t="s">
        <v>212</v>
      </c>
      <c r="D1370" s="69">
        <v>2</v>
      </c>
      <c r="E1370" s="74">
        <v>30</v>
      </c>
      <c r="F1370" s="80">
        <f>IFERROR(D1370*E1370,0)</f>
        <v>60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43</v>
      </c>
      <c r="B1371" s="61" t="s">
        <v>155</v>
      </c>
      <c r="C1371" s="61" t="s">
        <v>158</v>
      </c>
      <c r="D1371" s="69">
        <v>4</v>
      </c>
      <c r="E1371" s="74">
        <v>23.6877</v>
      </c>
      <c r="F1371" s="80">
        <v>94.750799999999998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2" t="s">
        <v>43</v>
      </c>
      <c r="B1372" s="60" t="s">
        <v>155</v>
      </c>
      <c r="C1372" s="60" t="s">
        <v>161</v>
      </c>
      <c r="D1372" s="68">
        <v>1</v>
      </c>
      <c r="E1372" s="73">
        <v>23138.39</v>
      </c>
      <c r="F1372" s="79">
        <f>IFERROR(E1372,0)</f>
        <v>23138.39</v>
      </c>
      <c r="G1372" s="60" t="str">
        <f>INDEX(SETORES!$B:$B,MATCH(A1372,SETORES!$A:$A,0))</f>
        <v>Clientes</v>
      </c>
      <c r="H1372" s="60" t="s">
        <v>11</v>
      </c>
    </row>
    <row r="1373" spans="1:8" ht="14.25" hidden="1" customHeight="1" x14ac:dyDescent="0.3">
      <c r="A1373" s="2" t="s">
        <v>43</v>
      </c>
      <c r="B1373" s="60" t="s">
        <v>155</v>
      </c>
      <c r="C1373" s="60" t="s">
        <v>167</v>
      </c>
      <c r="D1373" s="68">
        <v>4</v>
      </c>
      <c r="E1373" s="73">
        <v>9.85</v>
      </c>
      <c r="F1373" s="79">
        <f>IFERROR(D1373*E1373,0)</f>
        <v>39.4</v>
      </c>
      <c r="G1373" s="60" t="str">
        <f>INDEX(SETORES!$B:$B,MATCH(A1373,SETORES!$A:$A,0))</f>
        <v>Clientes</v>
      </c>
      <c r="H1373" s="60" t="s">
        <v>11</v>
      </c>
    </row>
    <row r="1374" spans="1:8" ht="14.25" hidden="1" customHeight="1" x14ac:dyDescent="0.3">
      <c r="A1374" s="34" t="s">
        <v>43</v>
      </c>
      <c r="B1374" s="61" t="s">
        <v>155</v>
      </c>
      <c r="C1374" s="61" t="s">
        <v>238</v>
      </c>
      <c r="D1374" s="69">
        <v>1</v>
      </c>
      <c r="E1374" s="74">
        <v>25.6</v>
      </c>
      <c r="F1374" s="80">
        <f>IFERROR(D1374*E1374,0)</f>
        <v>25.6</v>
      </c>
      <c r="G1374" s="61" t="str">
        <f>INDEX(SETORES!$B:$B,MATCH(A1374,SETORES!$A:$A,0))</f>
        <v>Clientes</v>
      </c>
      <c r="H1374" s="61" t="s">
        <v>11</v>
      </c>
    </row>
    <row r="1375" spans="1:8" ht="14.25" hidden="1" customHeight="1" x14ac:dyDescent="0.3">
      <c r="A1375" s="2" t="s">
        <v>43</v>
      </c>
      <c r="B1375" s="60" t="s">
        <v>155</v>
      </c>
      <c r="C1375" s="60" t="s">
        <v>166</v>
      </c>
      <c r="D1375" s="68">
        <v>4</v>
      </c>
      <c r="E1375" s="73">
        <v>50</v>
      </c>
      <c r="F1375" s="79">
        <f>IFERROR(D1375*E1375,0)</f>
        <v>200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34" t="s">
        <v>43</v>
      </c>
      <c r="B1376" s="61" t="s">
        <v>155</v>
      </c>
      <c r="C1376" s="61" t="s">
        <v>156</v>
      </c>
      <c r="D1376" s="69"/>
      <c r="E1376" s="74"/>
      <c r="F1376" s="80">
        <v>0</v>
      </c>
      <c r="G1376" s="61" t="str">
        <f>INDEX(SETORES!$B:$B,MATCH(A1376,SETORES!$A:$A,0))</f>
        <v>Clientes</v>
      </c>
      <c r="H1376" s="61" t="s">
        <v>11</v>
      </c>
    </row>
    <row r="1377" spans="1:8" ht="14.25" hidden="1" customHeight="1" x14ac:dyDescent="0.3">
      <c r="A1377" s="2" t="s">
        <v>43</v>
      </c>
      <c r="B1377" s="60" t="s">
        <v>155</v>
      </c>
      <c r="C1377" s="60" t="s">
        <v>157</v>
      </c>
      <c r="D1377" s="68"/>
      <c r="E1377" s="73"/>
      <c r="F1377" s="79">
        <v>0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43</v>
      </c>
      <c r="B1378" s="61" t="s">
        <v>162</v>
      </c>
      <c r="C1378" s="61" t="s">
        <v>209</v>
      </c>
      <c r="D1378" s="69">
        <v>4</v>
      </c>
      <c r="E1378" s="74">
        <v>85.71</v>
      </c>
      <c r="F1378" s="80">
        <f>IFERROR(D1378*E1378,0)</f>
        <v>342.84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34" t="s">
        <v>43</v>
      </c>
      <c r="B1379" s="61" t="s">
        <v>162</v>
      </c>
      <c r="C1379" s="61" t="s">
        <v>222</v>
      </c>
      <c r="D1379" s="69"/>
      <c r="E1379" s="74"/>
      <c r="F1379" s="80">
        <f>IFERROR(D1379*E1379,0)</f>
        <v>0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34" t="s">
        <v>43</v>
      </c>
      <c r="B1380" s="61" t="s">
        <v>155</v>
      </c>
      <c r="C1380" s="61" t="s">
        <v>168</v>
      </c>
      <c r="D1380" s="69">
        <v>4</v>
      </c>
      <c r="E1380" s="74">
        <v>2.04</v>
      </c>
      <c r="F1380" s="80">
        <f>IFERROR(D1380*E1380,0)</f>
        <v>8.16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34" t="s">
        <v>43</v>
      </c>
      <c r="B1381" s="61" t="s">
        <v>155</v>
      </c>
      <c r="C1381" s="61" t="s">
        <v>160</v>
      </c>
      <c r="D1381" s="69"/>
      <c r="E1381" s="74"/>
      <c r="F1381" s="80">
        <f>IFERROR(D1381*E1381,0)</f>
        <v>0</v>
      </c>
      <c r="G1381" s="61" t="str">
        <f>INDEX(SETORES!$B:$B,MATCH(A1381,SETORES!$A:$A,0))</f>
        <v>Clientes</v>
      </c>
      <c r="H1381" s="61" t="s">
        <v>11</v>
      </c>
    </row>
    <row r="1382" spans="1:8" ht="14.25" hidden="1" customHeight="1" x14ac:dyDescent="0.3">
      <c r="A1382" s="35" t="s">
        <v>143</v>
      </c>
      <c r="B1382" s="66" t="s">
        <v>155</v>
      </c>
      <c r="C1382" s="66" t="s">
        <v>161</v>
      </c>
      <c r="D1382" s="66">
        <v>1</v>
      </c>
      <c r="E1382" s="78">
        <v>45450.81</v>
      </c>
      <c r="F1382" s="78">
        <f>D1382*E1382</f>
        <v>45450.81</v>
      </c>
      <c r="G1382" s="66" t="s">
        <v>96</v>
      </c>
      <c r="H1382" s="60" t="s">
        <v>11</v>
      </c>
    </row>
    <row r="1383" spans="1:8" ht="14.25" hidden="1" customHeight="1" x14ac:dyDescent="0.3">
      <c r="A1383" s="2" t="s">
        <v>40</v>
      </c>
      <c r="B1383" s="60" t="s">
        <v>155</v>
      </c>
      <c r="C1383" s="60" t="s">
        <v>159</v>
      </c>
      <c r="D1383" s="68">
        <v>1</v>
      </c>
      <c r="E1383" s="73">
        <v>0.1</v>
      </c>
      <c r="F1383" s="79">
        <v>0.1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40</v>
      </c>
      <c r="B1384" s="61" t="s">
        <v>162</v>
      </c>
      <c r="C1384" s="61" t="s">
        <v>241</v>
      </c>
      <c r="D1384" s="69">
        <v>1</v>
      </c>
      <c r="E1384" s="74">
        <v>6000</v>
      </c>
      <c r="F1384" s="80">
        <f>IFERROR(D1384*E1384,0)</f>
        <v>6000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40</v>
      </c>
      <c r="B1385" s="60" t="s">
        <v>155</v>
      </c>
      <c r="C1385" s="60" t="s">
        <v>212</v>
      </c>
      <c r="D1385" s="68">
        <v>2</v>
      </c>
      <c r="E1385" s="73">
        <v>30</v>
      </c>
      <c r="F1385" s="79">
        <f>IFERROR(D1385*E1385,0)</f>
        <v>60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2" t="s">
        <v>40</v>
      </c>
      <c r="B1386" s="60" t="s">
        <v>162</v>
      </c>
      <c r="C1386" s="60" t="s">
        <v>211</v>
      </c>
      <c r="D1386" s="68">
        <v>1</v>
      </c>
      <c r="E1386" s="73">
        <v>12000</v>
      </c>
      <c r="F1386" s="79">
        <f>IFERROR(D1386*E1386,0)</f>
        <v>12000</v>
      </c>
      <c r="G1386" s="60" t="str">
        <f>INDEX(SETORES!$B:$B,MATCH(A1386,SETORES!$A:$A,0))</f>
        <v>Clientes</v>
      </c>
      <c r="H1386" s="60" t="s">
        <v>11</v>
      </c>
    </row>
    <row r="1387" spans="1:8" ht="14.25" customHeight="1" x14ac:dyDescent="0.3">
      <c r="A1387" s="2" t="s">
        <v>40</v>
      </c>
      <c r="B1387" s="60" t="s">
        <v>155</v>
      </c>
      <c r="C1387" s="60" t="s">
        <v>171</v>
      </c>
      <c r="D1387" s="68">
        <v>4</v>
      </c>
      <c r="E1387" s="73">
        <v>51.12</v>
      </c>
      <c r="F1387" s="79">
        <v>0.1</v>
      </c>
      <c r="G1387" s="61" t="s">
        <v>98</v>
      </c>
      <c r="H1387" s="60" t="s">
        <v>11</v>
      </c>
    </row>
    <row r="1388" spans="1:8" ht="14.25" hidden="1" customHeight="1" x14ac:dyDescent="0.3">
      <c r="A1388" s="2" t="s">
        <v>40</v>
      </c>
      <c r="B1388" s="60" t="s">
        <v>155</v>
      </c>
      <c r="C1388" s="60" t="s">
        <v>170</v>
      </c>
      <c r="D1388" s="68">
        <v>4</v>
      </c>
      <c r="E1388" s="73">
        <v>31.33</v>
      </c>
      <c r="F1388" s="79">
        <f>IFERROR(D1388*E1388,0)</f>
        <v>125.32</v>
      </c>
      <c r="G1388" s="61" t="s">
        <v>98</v>
      </c>
      <c r="H1388" s="60" t="s">
        <v>11</v>
      </c>
    </row>
    <row r="1389" spans="1:8" ht="14.25" hidden="1" customHeight="1" x14ac:dyDescent="0.3">
      <c r="A1389" s="2" t="s">
        <v>40</v>
      </c>
      <c r="B1389" s="60" t="s">
        <v>155</v>
      </c>
      <c r="C1389" s="60" t="s">
        <v>169</v>
      </c>
      <c r="D1389" s="68">
        <v>4</v>
      </c>
      <c r="E1389" s="73">
        <v>63.75</v>
      </c>
      <c r="F1389" s="79">
        <f>IFERROR(D1389*E1389,0)</f>
        <v>255</v>
      </c>
      <c r="G1389" s="61" t="s">
        <v>98</v>
      </c>
      <c r="H1389" s="60" t="s">
        <v>11</v>
      </c>
    </row>
    <row r="1390" spans="1:8" ht="14.25" hidden="1" customHeight="1" x14ac:dyDescent="0.3">
      <c r="A1390" s="34" t="s">
        <v>40</v>
      </c>
      <c r="B1390" s="61" t="s">
        <v>155</v>
      </c>
      <c r="C1390" s="61" t="s">
        <v>158</v>
      </c>
      <c r="D1390" s="69">
        <v>1</v>
      </c>
      <c r="E1390" s="74">
        <v>35.0289</v>
      </c>
      <c r="F1390" s="80">
        <v>35.0289</v>
      </c>
      <c r="G1390" s="61" t="str">
        <f>INDEX(SETORES!$B:$B,MATCH(A1390,SETORES!$A:$A,0))</f>
        <v>Clientes</v>
      </c>
      <c r="H1390" s="61" t="s">
        <v>11</v>
      </c>
    </row>
    <row r="1391" spans="1:8" ht="14.25" hidden="1" customHeight="1" x14ac:dyDescent="0.3">
      <c r="A1391" s="2" t="s">
        <v>40</v>
      </c>
      <c r="B1391" s="60" t="s">
        <v>162</v>
      </c>
      <c r="C1391" s="60" t="s">
        <v>163</v>
      </c>
      <c r="D1391" s="68">
        <v>1</v>
      </c>
      <c r="E1391" s="73">
        <v>136</v>
      </c>
      <c r="F1391" s="79">
        <f>IFERROR(D1391*E1391,0)</f>
        <v>136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40</v>
      </c>
      <c r="B1392" s="61" t="s">
        <v>162</v>
      </c>
      <c r="C1392" s="61" t="s">
        <v>164</v>
      </c>
      <c r="D1392" s="69">
        <v>1</v>
      </c>
      <c r="E1392" s="74">
        <v>68</v>
      </c>
      <c r="F1392" s="80">
        <f>IFERROR(D1392*E1392,0)</f>
        <v>68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40</v>
      </c>
      <c r="B1393" s="60" t="s">
        <v>155</v>
      </c>
      <c r="C1393" s="60" t="s">
        <v>161</v>
      </c>
      <c r="D1393" s="68">
        <v>1</v>
      </c>
      <c r="E1393" s="73">
        <v>13442.74</v>
      </c>
      <c r="F1393" s="79">
        <f>IFERROR(E1393,0)</f>
        <v>13442.74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2" t="s">
        <v>40</v>
      </c>
      <c r="B1394" s="60" t="s">
        <v>155</v>
      </c>
      <c r="C1394" s="60" t="s">
        <v>167</v>
      </c>
      <c r="D1394" s="68">
        <v>4</v>
      </c>
      <c r="E1394" s="73">
        <v>9.85</v>
      </c>
      <c r="F1394" s="79">
        <f>IFERROR(D1394*E1394,0)</f>
        <v>39.4</v>
      </c>
      <c r="G1394" s="60" t="str">
        <f>INDEX(SETORES!$B:$B,MATCH(A1394,SETORES!$A:$A,0))</f>
        <v>Clientes</v>
      </c>
      <c r="H1394" s="60" t="s">
        <v>11</v>
      </c>
    </row>
    <row r="1395" spans="1:8" ht="14.25" hidden="1" customHeight="1" x14ac:dyDescent="0.3">
      <c r="A1395" s="34" t="s">
        <v>40</v>
      </c>
      <c r="B1395" s="61" t="s">
        <v>155</v>
      </c>
      <c r="C1395" s="61" t="s">
        <v>238</v>
      </c>
      <c r="D1395" s="69">
        <v>1</v>
      </c>
      <c r="E1395" s="74">
        <v>4.5454559999999997</v>
      </c>
      <c r="F1395" s="80">
        <f>IFERROR(D1395*E1395,0)</f>
        <v>4.5454559999999997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40</v>
      </c>
      <c r="B1396" s="61" t="s">
        <v>155</v>
      </c>
      <c r="C1396" s="61" t="s">
        <v>166</v>
      </c>
      <c r="D1396" s="69">
        <v>4</v>
      </c>
      <c r="E1396" s="74">
        <v>50</v>
      </c>
      <c r="F1396" s="80">
        <f>IFERROR(D1396*E1396,0)</f>
        <v>200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40</v>
      </c>
      <c r="B1397" s="61" t="s">
        <v>155</v>
      </c>
      <c r="C1397" s="61" t="s">
        <v>181</v>
      </c>
      <c r="D1397" s="69">
        <v>1</v>
      </c>
      <c r="E1397" s="74">
        <v>2559.4499999999998</v>
      </c>
      <c r="F1397" s="80">
        <f>IFERROR(D1397*E1397,0)</f>
        <v>2559.4499999999998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40</v>
      </c>
      <c r="B1398" s="61" t="s">
        <v>155</v>
      </c>
      <c r="C1398" s="61" t="s">
        <v>156</v>
      </c>
      <c r="D1398" s="69"/>
      <c r="E1398" s="74"/>
      <c r="F1398" s="80">
        <v>0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2" t="s">
        <v>40</v>
      </c>
      <c r="B1399" s="60" t="s">
        <v>155</v>
      </c>
      <c r="C1399" s="60" t="s">
        <v>157</v>
      </c>
      <c r="D1399" s="68">
        <v>1</v>
      </c>
      <c r="E1399" s="73">
        <v>63.95</v>
      </c>
      <c r="F1399" s="79">
        <v>63.95</v>
      </c>
      <c r="G1399" s="60" t="str">
        <f>INDEX(SETORES!$B:$B,MATCH(A1399,SETORES!$A:$A,0))</f>
        <v>Clientes</v>
      </c>
      <c r="H1399" s="60" t="s">
        <v>11</v>
      </c>
    </row>
    <row r="1400" spans="1:8" ht="14.25" hidden="1" customHeight="1" x14ac:dyDescent="0.3">
      <c r="A1400" s="2" t="s">
        <v>40</v>
      </c>
      <c r="B1400" s="60" t="s">
        <v>162</v>
      </c>
      <c r="C1400" s="60" t="s">
        <v>222</v>
      </c>
      <c r="D1400" s="68">
        <v>1</v>
      </c>
      <c r="E1400" s="73">
        <v>3112.37</v>
      </c>
      <c r="F1400" s="79">
        <f>IFERROR(D1400*E1400,0)</f>
        <v>3112.37</v>
      </c>
      <c r="G1400" s="60" t="str">
        <f>INDEX(SETORES!$B:$B,MATCH(A1400,SETORES!$A:$A,0))</f>
        <v>Clientes</v>
      </c>
      <c r="H1400" s="60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182</v>
      </c>
      <c r="D1401" s="68"/>
      <c r="E1401" s="73"/>
      <c r="F1401" s="79">
        <f>IFERROR(D1401*E1401,0)</f>
        <v>0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34" t="s">
        <v>40</v>
      </c>
      <c r="B1402" s="61" t="s">
        <v>155</v>
      </c>
      <c r="C1402" s="61" t="s">
        <v>168</v>
      </c>
      <c r="D1402" s="69">
        <v>4</v>
      </c>
      <c r="E1402" s="74">
        <v>2.04</v>
      </c>
      <c r="F1402" s="80">
        <f>IFERROR(D1402*E1402,0)</f>
        <v>8.16</v>
      </c>
      <c r="G1402" s="61" t="str">
        <f>INDEX(SETORES!$B:$B,MATCH(A1402,SETORES!$A:$A,0))</f>
        <v>Clientes</v>
      </c>
      <c r="H1402" s="61" t="s">
        <v>11</v>
      </c>
    </row>
    <row r="1403" spans="1:8" ht="14.25" hidden="1" customHeight="1" x14ac:dyDescent="0.3">
      <c r="A1403" s="2" t="s">
        <v>41</v>
      </c>
      <c r="B1403" s="60" t="s">
        <v>155</v>
      </c>
      <c r="C1403" s="60" t="s">
        <v>159</v>
      </c>
      <c r="D1403" s="68">
        <v>1</v>
      </c>
      <c r="E1403" s="73">
        <v>2.5000000000000001E-2</v>
      </c>
      <c r="F1403" s="79">
        <v>2.5000000000000001E-2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34" t="s">
        <v>41</v>
      </c>
      <c r="B1404" s="61" t="s">
        <v>155</v>
      </c>
      <c r="C1404" s="61" t="s">
        <v>212</v>
      </c>
      <c r="D1404" s="69">
        <v>1</v>
      </c>
      <c r="E1404" s="74">
        <v>30</v>
      </c>
      <c r="F1404" s="80">
        <f>IFERROR(D1404*E1404,0)</f>
        <v>30</v>
      </c>
      <c r="G1404" s="61" t="str">
        <f>INDEX(SETORES!$B:$B,MATCH(A1404,SETORES!$A:$A,0))</f>
        <v>Clientes</v>
      </c>
      <c r="H1404" s="61" t="s">
        <v>11</v>
      </c>
    </row>
    <row r="1405" spans="1:8" ht="14.25" customHeight="1" x14ac:dyDescent="0.3">
      <c r="A1405" s="34" t="s">
        <v>41</v>
      </c>
      <c r="B1405" s="61" t="s">
        <v>155</v>
      </c>
      <c r="C1405" s="61" t="s">
        <v>171</v>
      </c>
      <c r="D1405" s="69">
        <v>1</v>
      </c>
      <c r="E1405" s="73">
        <v>51.12</v>
      </c>
      <c r="F1405" s="80">
        <f>IFERROR(D1405*E1405,0)</f>
        <v>51.12</v>
      </c>
      <c r="G1405" s="61" t="s">
        <v>98</v>
      </c>
      <c r="H1405" s="61" t="s">
        <v>11</v>
      </c>
    </row>
    <row r="1406" spans="1:8" ht="14.25" hidden="1" customHeight="1" x14ac:dyDescent="0.3">
      <c r="A1406" s="34" t="s">
        <v>41</v>
      </c>
      <c r="B1406" s="61" t="s">
        <v>155</v>
      </c>
      <c r="C1406" s="61" t="s">
        <v>170</v>
      </c>
      <c r="D1406" s="69">
        <v>1</v>
      </c>
      <c r="E1406" s="73">
        <v>31.33</v>
      </c>
      <c r="F1406" s="79">
        <f>IFERROR(D1406*E1406,0)</f>
        <v>31.33</v>
      </c>
      <c r="G1406" s="61" t="s">
        <v>98</v>
      </c>
      <c r="H1406" s="61" t="s">
        <v>11</v>
      </c>
    </row>
    <row r="1407" spans="1:8" ht="14.25" hidden="1" customHeight="1" x14ac:dyDescent="0.3">
      <c r="A1407" s="34" t="s">
        <v>41</v>
      </c>
      <c r="B1407" s="61" t="s">
        <v>155</v>
      </c>
      <c r="C1407" s="61" t="s">
        <v>169</v>
      </c>
      <c r="D1407" s="69">
        <v>1</v>
      </c>
      <c r="E1407" s="73">
        <v>63.75</v>
      </c>
      <c r="F1407" s="79">
        <f>IFERROR(D1407*E1407,0)</f>
        <v>63.75</v>
      </c>
      <c r="G1407" s="61" t="s">
        <v>98</v>
      </c>
      <c r="H1407" s="61" t="s">
        <v>11</v>
      </c>
    </row>
    <row r="1408" spans="1:8" ht="14.25" hidden="1" customHeight="1" x14ac:dyDescent="0.3">
      <c r="A1408" s="34" t="s">
        <v>41</v>
      </c>
      <c r="B1408" s="61" t="s">
        <v>155</v>
      </c>
      <c r="C1408" s="61" t="s">
        <v>158</v>
      </c>
      <c r="D1408" s="69">
        <v>1</v>
      </c>
      <c r="E1408" s="74">
        <v>8.7571999999999992</v>
      </c>
      <c r="F1408" s="80">
        <v>8.7571999999999992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41</v>
      </c>
      <c r="B1409" s="60" t="s">
        <v>155</v>
      </c>
      <c r="C1409" s="60" t="s">
        <v>161</v>
      </c>
      <c r="D1409" s="68">
        <v>1</v>
      </c>
      <c r="E1409" s="73">
        <v>18000</v>
      </c>
      <c r="F1409" s="79">
        <f>IFERROR(E1409,0)</f>
        <v>18000</v>
      </c>
      <c r="G1409" s="60" t="str">
        <f>INDEX(SETORES!$B:$B,MATCH(A1409,SETORES!$A:$A,0))</f>
        <v>Clientes</v>
      </c>
      <c r="H1409" s="61" t="s">
        <v>11</v>
      </c>
    </row>
    <row r="1410" spans="1:8" ht="14.25" hidden="1" customHeight="1" x14ac:dyDescent="0.3">
      <c r="A1410" s="34" t="s">
        <v>41</v>
      </c>
      <c r="B1410" s="61" t="s">
        <v>155</v>
      </c>
      <c r="C1410" s="61" t="s">
        <v>167</v>
      </c>
      <c r="D1410" s="69">
        <v>1</v>
      </c>
      <c r="E1410" s="74">
        <v>9.85</v>
      </c>
      <c r="F1410" s="80">
        <f>IFERROR(D1410*E1410,0)</f>
        <v>9.85</v>
      </c>
      <c r="G1410" s="61" t="str">
        <f>INDEX(SETORES!$B:$B,MATCH(A1410,SETORES!$A:$A,0))</f>
        <v>Clientes</v>
      </c>
      <c r="H1410" s="61" t="s">
        <v>11</v>
      </c>
    </row>
    <row r="1411" spans="1:8" ht="14.25" hidden="1" customHeight="1" x14ac:dyDescent="0.3">
      <c r="A1411" s="2" t="s">
        <v>41</v>
      </c>
      <c r="B1411" s="60" t="s">
        <v>155</v>
      </c>
      <c r="C1411" s="60" t="s">
        <v>238</v>
      </c>
      <c r="D1411" s="68">
        <v>1</v>
      </c>
      <c r="E1411" s="73">
        <v>1.1363639999999999</v>
      </c>
      <c r="F1411" s="79">
        <f>IFERROR(D1411*E1411,0)</f>
        <v>1.1363639999999999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41</v>
      </c>
      <c r="B1412" s="61" t="s">
        <v>155</v>
      </c>
      <c r="C1412" s="61" t="s">
        <v>156</v>
      </c>
      <c r="D1412" s="69"/>
      <c r="E1412" s="74"/>
      <c r="F1412" s="80">
        <v>0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2" t="s">
        <v>41</v>
      </c>
      <c r="B1413" s="60" t="s">
        <v>155</v>
      </c>
      <c r="C1413" s="60" t="s">
        <v>157</v>
      </c>
      <c r="D1413" s="68"/>
      <c r="E1413" s="73"/>
      <c r="F1413" s="79">
        <v>0</v>
      </c>
      <c r="G1413" s="60" t="str">
        <f>INDEX(SETORES!$B:$B,MATCH(A1413,SETORES!$A:$A,0))</f>
        <v>Clientes</v>
      </c>
      <c r="H1413" s="60" t="s">
        <v>11</v>
      </c>
    </row>
    <row r="1414" spans="1:8" ht="14.25" hidden="1" customHeight="1" x14ac:dyDescent="0.3">
      <c r="A1414" s="2" t="s">
        <v>41</v>
      </c>
      <c r="B1414" s="60" t="s">
        <v>162</v>
      </c>
      <c r="C1414" s="60" t="s">
        <v>222</v>
      </c>
      <c r="D1414" s="68"/>
      <c r="E1414" s="73"/>
      <c r="F1414" s="79">
        <f>IFERROR(D1414*E1414,0)</f>
        <v>0</v>
      </c>
      <c r="G1414" s="60" t="str">
        <f>INDEX(SETORES!$B:$B,MATCH(A1414,SETORES!$A:$A,0))</f>
        <v>Clientes</v>
      </c>
      <c r="H1414" s="60" t="s">
        <v>11</v>
      </c>
    </row>
    <row r="1415" spans="1:8" ht="14.25" hidden="1" customHeight="1" x14ac:dyDescent="0.3">
      <c r="A1415" s="2" t="s">
        <v>41</v>
      </c>
      <c r="B1415" s="60" t="s">
        <v>155</v>
      </c>
      <c r="C1415" s="60" t="s">
        <v>168</v>
      </c>
      <c r="D1415" s="68">
        <v>1</v>
      </c>
      <c r="E1415" s="73">
        <v>2.04</v>
      </c>
      <c r="F1415" s="79">
        <f>IFERROR(D1415*E1415,0)</f>
        <v>2.04</v>
      </c>
      <c r="G1415" s="60" t="str">
        <f>INDEX(SETORES!$B:$B,MATCH(A1415,SETORES!$A:$A,0))</f>
        <v>Clientes</v>
      </c>
      <c r="H1415" s="60" t="s">
        <v>11</v>
      </c>
    </row>
    <row r="1416" spans="1:8" ht="14.25" hidden="1" customHeight="1" x14ac:dyDescent="0.3">
      <c r="A1416" s="34" t="s">
        <v>79</v>
      </c>
      <c r="B1416" s="61" t="s">
        <v>155</v>
      </c>
      <c r="C1416" s="61" t="s">
        <v>159</v>
      </c>
      <c r="D1416" s="69">
        <v>7</v>
      </c>
      <c r="E1416" s="74">
        <v>0.31240000000000001</v>
      </c>
      <c r="F1416" s="80">
        <v>2.1867999999999999</v>
      </c>
      <c r="G1416" s="61" t="str">
        <f>INDEX(SETORES!$B:$B,MATCH(A1416,SETORES!$A:$A,0))</f>
        <v>Funcionários</v>
      </c>
      <c r="H1416" s="61" t="s">
        <v>11</v>
      </c>
    </row>
    <row r="1417" spans="1:8" ht="14.25" hidden="1" customHeight="1" x14ac:dyDescent="0.3">
      <c r="A1417" s="34" t="s">
        <v>79</v>
      </c>
      <c r="B1417" s="61" t="s">
        <v>155</v>
      </c>
      <c r="C1417" s="61" t="s">
        <v>250</v>
      </c>
      <c r="D1417" s="69">
        <v>1</v>
      </c>
      <c r="E1417" s="74">
        <v>1254.6099999999999</v>
      </c>
      <c r="F1417" s="80">
        <f>IFERROR(D1417*E1417,0)</f>
        <v>1254.6099999999999</v>
      </c>
      <c r="G1417" s="61" t="s">
        <v>98</v>
      </c>
      <c r="H1417" s="61" t="s">
        <v>11</v>
      </c>
    </row>
    <row r="1418" spans="1:8" ht="14.25" customHeight="1" x14ac:dyDescent="0.3">
      <c r="A1418" s="34" t="s">
        <v>79</v>
      </c>
      <c r="B1418" s="61" t="s">
        <v>155</v>
      </c>
      <c r="C1418" s="61" t="s">
        <v>171</v>
      </c>
      <c r="D1418" s="68">
        <v>7</v>
      </c>
      <c r="E1418" s="73">
        <v>51.12</v>
      </c>
      <c r="F1418" s="79">
        <f>IFERROR(D1418*E1418,0)</f>
        <v>357.84</v>
      </c>
      <c r="G1418" s="61" t="s">
        <v>98</v>
      </c>
      <c r="H1418" s="60" t="s">
        <v>11</v>
      </c>
    </row>
    <row r="1419" spans="1:8" ht="14.25" hidden="1" customHeight="1" x14ac:dyDescent="0.3">
      <c r="A1419" s="2" t="s">
        <v>79</v>
      </c>
      <c r="B1419" s="60" t="s">
        <v>155</v>
      </c>
      <c r="C1419" s="60" t="s">
        <v>170</v>
      </c>
      <c r="D1419" s="68">
        <v>7</v>
      </c>
      <c r="E1419" s="73">
        <v>31.33</v>
      </c>
      <c r="F1419" s="79">
        <f>IFERROR(D1419*E1419,0)</f>
        <v>219.31</v>
      </c>
      <c r="G1419" s="61" t="s">
        <v>98</v>
      </c>
      <c r="H1419" s="60" t="s">
        <v>11</v>
      </c>
    </row>
    <row r="1420" spans="1:8" ht="14.25" hidden="1" customHeight="1" x14ac:dyDescent="0.3">
      <c r="A1420" s="2" t="s">
        <v>79</v>
      </c>
      <c r="B1420" s="60" t="s">
        <v>155</v>
      </c>
      <c r="C1420" s="60" t="s">
        <v>169</v>
      </c>
      <c r="D1420" s="68">
        <v>7</v>
      </c>
      <c r="E1420" s="73">
        <v>63.75</v>
      </c>
      <c r="F1420" s="79">
        <f>IFERROR(D1420*E1420,0)</f>
        <v>446.25</v>
      </c>
      <c r="G1420" s="61" t="s">
        <v>98</v>
      </c>
      <c r="H1420" s="60" t="s">
        <v>11</v>
      </c>
    </row>
    <row r="1421" spans="1:8" ht="14.25" hidden="1" customHeight="1" x14ac:dyDescent="0.3">
      <c r="A1421" s="2" t="s">
        <v>79</v>
      </c>
      <c r="B1421" s="60" t="s">
        <v>155</v>
      </c>
      <c r="C1421" s="60" t="s">
        <v>158</v>
      </c>
      <c r="D1421" s="68">
        <v>7</v>
      </c>
      <c r="E1421" s="73">
        <v>23.6877</v>
      </c>
      <c r="F1421" s="79">
        <v>165.81389999999999</v>
      </c>
      <c r="G1421" s="60" t="str">
        <f>INDEX(SETORES!$B:$B,MATCH(A1421,SETORES!$A:$A,0))</f>
        <v>Funcionários</v>
      </c>
      <c r="H1421" s="60" t="s">
        <v>11</v>
      </c>
    </row>
    <row r="1422" spans="1:8" ht="14.25" hidden="1" customHeight="1" x14ac:dyDescent="0.3">
      <c r="A1422" s="34" t="s">
        <v>79</v>
      </c>
      <c r="B1422" s="61" t="s">
        <v>155</v>
      </c>
      <c r="C1422" s="61" t="s">
        <v>161</v>
      </c>
      <c r="D1422" s="69">
        <v>1</v>
      </c>
      <c r="E1422" s="74">
        <v>43834.77</v>
      </c>
      <c r="F1422" s="80">
        <v>43834.77</v>
      </c>
      <c r="G1422" s="61" t="str">
        <f>INDEX(SETORES!$B:$B,MATCH(A1422,SETORES!$A:$A,0))</f>
        <v>Funcionários</v>
      </c>
      <c r="H1422" s="61" t="s">
        <v>11</v>
      </c>
    </row>
    <row r="1423" spans="1:8" ht="14.25" hidden="1" customHeight="1" x14ac:dyDescent="0.3">
      <c r="A1423" s="34" t="s">
        <v>79</v>
      </c>
      <c r="B1423" s="61" t="s">
        <v>155</v>
      </c>
      <c r="C1423" s="61" t="s">
        <v>167</v>
      </c>
      <c r="D1423" s="69">
        <v>7</v>
      </c>
      <c r="E1423" s="74">
        <v>9.85</v>
      </c>
      <c r="F1423" s="80">
        <f>IFERROR(D1423*E1423,0)</f>
        <v>68.95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79</v>
      </c>
      <c r="B1424" s="61" t="s">
        <v>155</v>
      </c>
      <c r="C1424" s="61" t="s">
        <v>166</v>
      </c>
      <c r="D1424" s="69">
        <v>2</v>
      </c>
      <c r="E1424" s="73">
        <v>50</v>
      </c>
      <c r="F1424" s="80">
        <f>IFERROR(D1424*E1424,0)</f>
        <v>100</v>
      </c>
      <c r="G1424" s="61" t="str">
        <f>INDEX(SETORES!$B:$B,MATCH(A1424,SETORES!$A:$A,0))</f>
        <v>Funcionários</v>
      </c>
      <c r="H1424" s="61" t="s">
        <v>11</v>
      </c>
    </row>
    <row r="1425" spans="1:8" ht="14.25" hidden="1" customHeight="1" x14ac:dyDescent="0.3">
      <c r="A1425" s="34" t="s">
        <v>79</v>
      </c>
      <c r="B1425" s="61" t="s">
        <v>162</v>
      </c>
      <c r="C1425" s="61" t="s">
        <v>209</v>
      </c>
      <c r="D1425" s="69">
        <v>7</v>
      </c>
      <c r="E1425" s="74">
        <v>85.71</v>
      </c>
      <c r="F1425" s="80">
        <f>IFERROR(D1425*E1425,0)</f>
        <v>599.96999999999991</v>
      </c>
      <c r="G1425" s="61" t="str">
        <f>INDEX(SETORES!$B:$B,MATCH(A1425,SETORES!$A:$A,0))</f>
        <v>Funcionários</v>
      </c>
      <c r="H1425" s="61" t="s">
        <v>11</v>
      </c>
    </row>
    <row r="1426" spans="1:8" ht="14.25" hidden="1" customHeight="1" x14ac:dyDescent="0.3">
      <c r="A1426" s="34" t="s">
        <v>79</v>
      </c>
      <c r="B1426" s="61" t="s">
        <v>162</v>
      </c>
      <c r="C1426" s="61" t="s">
        <v>222</v>
      </c>
      <c r="D1426" s="69"/>
      <c r="E1426" s="74"/>
      <c r="F1426" s="80">
        <f>IFERROR(D1426*E1426,0)</f>
        <v>0</v>
      </c>
      <c r="G1426" s="61" t="str">
        <f>INDEX(SETORES!$B:$B,MATCH(A1426,SETORES!$A:$A,0))</f>
        <v>Funcionários</v>
      </c>
      <c r="H1426" s="61" t="s">
        <v>11</v>
      </c>
    </row>
    <row r="1427" spans="1:8" ht="14.25" hidden="1" customHeight="1" x14ac:dyDescent="0.3">
      <c r="A1427" s="2" t="s">
        <v>79</v>
      </c>
      <c r="B1427" s="60" t="s">
        <v>155</v>
      </c>
      <c r="C1427" s="60" t="s">
        <v>168</v>
      </c>
      <c r="D1427" s="68">
        <v>7</v>
      </c>
      <c r="E1427" s="73">
        <v>2.04</v>
      </c>
      <c r="F1427" s="79">
        <f>IFERROR(D1427*E1427,0)</f>
        <v>14.280000000000001</v>
      </c>
      <c r="G1427" s="60" t="s">
        <v>98</v>
      </c>
      <c r="H1427" s="60" t="s">
        <v>11</v>
      </c>
    </row>
    <row r="1428" spans="1:8" ht="14.25" hidden="1" customHeight="1" x14ac:dyDescent="0.3">
      <c r="A1428" s="34" t="s">
        <v>141</v>
      </c>
      <c r="B1428" s="61" t="s">
        <v>155</v>
      </c>
      <c r="C1428" s="61" t="s">
        <v>161</v>
      </c>
      <c r="D1428" s="69">
        <v>1</v>
      </c>
      <c r="E1428" s="74">
        <v>20632.939999999999</v>
      </c>
      <c r="F1428" s="80">
        <f>D1428*E1428</f>
        <v>20632.939999999999</v>
      </c>
      <c r="G1428" s="61"/>
      <c r="H1428" s="60" t="s">
        <v>11</v>
      </c>
    </row>
    <row r="1429" spans="1:8" ht="14.25" hidden="1" customHeight="1" x14ac:dyDescent="0.3">
      <c r="A1429" s="34" t="s">
        <v>80</v>
      </c>
      <c r="B1429" s="61" t="s">
        <v>155</v>
      </c>
      <c r="C1429" s="61" t="s">
        <v>159</v>
      </c>
      <c r="D1429" s="69">
        <v>1</v>
      </c>
      <c r="E1429" s="74">
        <v>7.4999999999999997E-2</v>
      </c>
      <c r="F1429" s="80">
        <v>7.4999999999999997E-2</v>
      </c>
      <c r="G1429" s="61" t="s">
        <v>96</v>
      </c>
      <c r="H1429" s="61" t="s">
        <v>11</v>
      </c>
    </row>
    <row r="1430" spans="1:8" ht="14.25" customHeight="1" x14ac:dyDescent="0.3">
      <c r="A1430" s="34" t="s">
        <v>80</v>
      </c>
      <c r="B1430" s="61" t="s">
        <v>155</v>
      </c>
      <c r="C1430" s="61" t="s">
        <v>171</v>
      </c>
      <c r="D1430" s="69">
        <v>3</v>
      </c>
      <c r="E1430" s="73">
        <v>51.12</v>
      </c>
      <c r="F1430" s="80">
        <f>IFERROR(D1430*E1430,0)</f>
        <v>153.35999999999999</v>
      </c>
      <c r="G1430" s="61" t="s">
        <v>98</v>
      </c>
      <c r="H1430" s="61" t="s">
        <v>11</v>
      </c>
    </row>
    <row r="1431" spans="1:8" ht="14.25" hidden="1" customHeight="1" x14ac:dyDescent="0.3">
      <c r="A1431" s="2" t="s">
        <v>80</v>
      </c>
      <c r="B1431" s="60" t="s">
        <v>155</v>
      </c>
      <c r="C1431" s="60" t="s">
        <v>170</v>
      </c>
      <c r="D1431" s="68">
        <v>3</v>
      </c>
      <c r="E1431" s="73">
        <v>31.33</v>
      </c>
      <c r="F1431" s="79">
        <f>IFERROR(D1431*E1431,0)</f>
        <v>93.99</v>
      </c>
      <c r="G1431" s="61" t="s">
        <v>98</v>
      </c>
      <c r="H1431" s="60" t="s">
        <v>11</v>
      </c>
    </row>
    <row r="1432" spans="1:8" ht="14.25" hidden="1" customHeight="1" x14ac:dyDescent="0.3">
      <c r="A1432" s="2" t="s">
        <v>80</v>
      </c>
      <c r="B1432" s="60" t="s">
        <v>155</v>
      </c>
      <c r="C1432" s="60" t="s">
        <v>169</v>
      </c>
      <c r="D1432" s="68">
        <v>3</v>
      </c>
      <c r="E1432" s="73">
        <v>63.75</v>
      </c>
      <c r="F1432" s="79">
        <f>IFERROR(D1432*E1432,0)</f>
        <v>191.25</v>
      </c>
      <c r="G1432" s="61" t="s">
        <v>98</v>
      </c>
      <c r="H1432" s="60" t="s">
        <v>11</v>
      </c>
    </row>
    <row r="1433" spans="1:8" ht="14.25" hidden="1" customHeight="1" x14ac:dyDescent="0.3">
      <c r="A1433" s="2" t="s">
        <v>80</v>
      </c>
      <c r="B1433" s="60" t="s">
        <v>155</v>
      </c>
      <c r="C1433" s="60" t="s">
        <v>158</v>
      </c>
      <c r="D1433" s="68">
        <v>1</v>
      </c>
      <c r="E1433" s="73">
        <v>26.271599999999999</v>
      </c>
      <c r="F1433" s="79">
        <v>26.271599999999999</v>
      </c>
      <c r="G1433" s="60" t="s">
        <v>96</v>
      </c>
      <c r="H1433" s="60" t="s">
        <v>11</v>
      </c>
    </row>
    <row r="1434" spans="1:8" ht="14.25" hidden="1" customHeight="1" x14ac:dyDescent="0.3">
      <c r="A1434" s="34" t="s">
        <v>80</v>
      </c>
      <c r="B1434" s="61" t="s">
        <v>155</v>
      </c>
      <c r="C1434" s="61" t="s">
        <v>161</v>
      </c>
      <c r="D1434" s="69">
        <v>1</v>
      </c>
      <c r="E1434" s="74">
        <v>28674.49</v>
      </c>
      <c r="F1434" s="80">
        <f>IFERROR(E1434,0)</f>
        <v>28674.49</v>
      </c>
      <c r="G1434" s="61" t="str">
        <f>INDEX(SETORES!$B:$B,MATCH(A1434,SETORES!$A:$A,0))</f>
        <v>Clientes</v>
      </c>
      <c r="H1434" s="61" t="s">
        <v>11</v>
      </c>
    </row>
    <row r="1435" spans="1:8" ht="14.25" hidden="1" customHeight="1" x14ac:dyDescent="0.3">
      <c r="A1435" s="34" t="s">
        <v>80</v>
      </c>
      <c r="B1435" s="61" t="s">
        <v>155</v>
      </c>
      <c r="C1435" s="61" t="s">
        <v>167</v>
      </c>
      <c r="D1435" s="69">
        <v>3</v>
      </c>
      <c r="E1435" s="74">
        <v>9.85</v>
      </c>
      <c r="F1435" s="80">
        <f>IFERROR(D1435*E1435,0)</f>
        <v>29.549999999999997</v>
      </c>
      <c r="G1435" s="61" t="str">
        <f>INDEX(SETORES!$B:$B,MATCH(A1435,SETORES!$A:$A,0))</f>
        <v>Clientes</v>
      </c>
      <c r="H1435" s="61" t="s">
        <v>11</v>
      </c>
    </row>
    <row r="1436" spans="1:8" ht="14.25" hidden="1" customHeight="1" x14ac:dyDescent="0.3">
      <c r="A1436" s="34" t="s">
        <v>80</v>
      </c>
      <c r="B1436" s="61" t="s">
        <v>155</v>
      </c>
      <c r="C1436" s="61" t="s">
        <v>238</v>
      </c>
      <c r="D1436" s="69">
        <v>1</v>
      </c>
      <c r="E1436" s="74">
        <v>3.4090919999999998</v>
      </c>
      <c r="F1436" s="80">
        <f>IFERROR(D1436*E1436,0)</f>
        <v>3.4090919999999998</v>
      </c>
      <c r="G1436" s="61" t="str">
        <f>INDEX(SETORES!$B:$B,MATCH(A1436,SETORES!$A:$A,0))</f>
        <v>Clientes</v>
      </c>
      <c r="H1436" s="61" t="s">
        <v>11</v>
      </c>
    </row>
    <row r="1437" spans="1:8" ht="14.25" hidden="1" customHeight="1" x14ac:dyDescent="0.3">
      <c r="A1437" s="34" t="s">
        <v>80</v>
      </c>
      <c r="B1437" s="61" t="s">
        <v>155</v>
      </c>
      <c r="C1437" s="61" t="s">
        <v>166</v>
      </c>
      <c r="D1437" s="69">
        <v>3</v>
      </c>
      <c r="E1437" s="74">
        <v>50</v>
      </c>
      <c r="F1437" s="80">
        <f>IFERROR(D1437*E1437,0)</f>
        <v>150</v>
      </c>
      <c r="G1437" s="61" t="str">
        <f>INDEX(SETORES!$B:$B,MATCH(A1437,SETORES!$A:$A,0))</f>
        <v>Clientes</v>
      </c>
      <c r="H1437" s="61" t="s">
        <v>11</v>
      </c>
    </row>
    <row r="1438" spans="1:8" ht="14.25" hidden="1" customHeight="1" x14ac:dyDescent="0.3">
      <c r="A1438" s="2" t="s">
        <v>80</v>
      </c>
      <c r="B1438" s="60" t="s">
        <v>155</v>
      </c>
      <c r="C1438" s="60" t="s">
        <v>157</v>
      </c>
      <c r="D1438" s="68">
        <v>1</v>
      </c>
      <c r="E1438" s="73">
        <v>46.45</v>
      </c>
      <c r="F1438" s="79">
        <v>46.45</v>
      </c>
      <c r="G1438" s="60" t="str">
        <f>INDEX(SETORES!$B:$B,MATCH(A1438,SETORES!$A:$A,0))</f>
        <v>Clientes</v>
      </c>
      <c r="H1438" s="60" t="s">
        <v>11</v>
      </c>
    </row>
    <row r="1439" spans="1:8" ht="14.25" hidden="1" customHeight="1" x14ac:dyDescent="0.3">
      <c r="A1439" s="2" t="s">
        <v>80</v>
      </c>
      <c r="B1439" s="60" t="s">
        <v>162</v>
      </c>
      <c r="C1439" s="60" t="s">
        <v>222</v>
      </c>
      <c r="D1439" s="68"/>
      <c r="E1439" s="73"/>
      <c r="F1439" s="79">
        <f>IFERROR(D1439*E1439,0)</f>
        <v>0</v>
      </c>
      <c r="G1439" s="60" t="str">
        <f>INDEX(SETORES!$B:$B,MATCH(A1439,SETORES!$A:$A,0))</f>
        <v>Clientes</v>
      </c>
      <c r="H1439" s="60" t="s">
        <v>11</v>
      </c>
    </row>
    <row r="1440" spans="1:8" ht="14.25" hidden="1" customHeight="1" x14ac:dyDescent="0.3">
      <c r="A1440" s="2" t="s">
        <v>80</v>
      </c>
      <c r="B1440" s="60" t="s">
        <v>155</v>
      </c>
      <c r="C1440" s="60" t="s">
        <v>168</v>
      </c>
      <c r="D1440" s="68">
        <v>3</v>
      </c>
      <c r="E1440" s="73">
        <v>2.04</v>
      </c>
      <c r="F1440" s="79">
        <f>IFERROR(D1440*E1440,0)</f>
        <v>6.12</v>
      </c>
      <c r="G1440" s="60" t="str">
        <f>INDEX(SETORES!$B:$B,MATCH(A1440,SETORES!$A:$A,0))</f>
        <v>Clientes</v>
      </c>
      <c r="H1440" s="60" t="s">
        <v>11</v>
      </c>
    </row>
    <row r="1441" spans="1:8" ht="14.25" hidden="1" customHeight="1" x14ac:dyDescent="0.3">
      <c r="A1441" s="2" t="s">
        <v>42</v>
      </c>
      <c r="B1441" s="60" t="s">
        <v>155</v>
      </c>
      <c r="C1441" s="60" t="s">
        <v>159</v>
      </c>
      <c r="D1441" s="68">
        <v>1</v>
      </c>
      <c r="E1441" s="73">
        <v>0.05</v>
      </c>
      <c r="F1441" s="79">
        <v>0.05</v>
      </c>
      <c r="G1441" s="60" t="str">
        <f>INDEX(SETORES!$B:$B,MATCH(A1441,SETORES!$A:$A,0))</f>
        <v>Clientes</v>
      </c>
      <c r="H1441" s="60" t="s">
        <v>11</v>
      </c>
    </row>
    <row r="1442" spans="1:8" ht="14.25" hidden="1" customHeight="1" x14ac:dyDescent="0.3">
      <c r="A1442" s="34" t="s">
        <v>42</v>
      </c>
      <c r="B1442" s="61" t="s">
        <v>155</v>
      </c>
      <c r="C1442" s="61" t="s">
        <v>158</v>
      </c>
      <c r="D1442" s="69">
        <v>1</v>
      </c>
      <c r="E1442" s="74">
        <v>17.514399999999998</v>
      </c>
      <c r="F1442" s="80">
        <v>17.514399999999998</v>
      </c>
      <c r="G1442" s="61" t="str">
        <f>INDEX(SETORES!$B:$B,MATCH(A1442,SETORES!$A:$A,0))</f>
        <v>Clientes</v>
      </c>
      <c r="H1442" s="61" t="s">
        <v>11</v>
      </c>
    </row>
    <row r="1443" spans="1:8" ht="14.25" hidden="1" customHeight="1" x14ac:dyDescent="0.3">
      <c r="A1443" s="2" t="s">
        <v>42</v>
      </c>
      <c r="B1443" s="60" t="s">
        <v>162</v>
      </c>
      <c r="C1443" s="60" t="s">
        <v>163</v>
      </c>
      <c r="D1443" s="68"/>
      <c r="E1443" s="73"/>
      <c r="F1443" s="79">
        <f>IFERROR(D1443*E1443,0)</f>
        <v>0</v>
      </c>
      <c r="G1443" s="60" t="str">
        <f>INDEX(SETORES!$B:$B,MATCH(A1443,SETORES!$A:$A,0))</f>
        <v>Clientes</v>
      </c>
      <c r="H1443" s="60" t="s">
        <v>11</v>
      </c>
    </row>
    <row r="1444" spans="1:8" ht="14.25" hidden="1" customHeight="1" x14ac:dyDescent="0.3">
      <c r="A1444" s="34" t="s">
        <v>42</v>
      </c>
      <c r="B1444" s="61" t="s">
        <v>162</v>
      </c>
      <c r="C1444" s="61" t="s">
        <v>164</v>
      </c>
      <c r="D1444" s="69"/>
      <c r="E1444" s="74"/>
      <c r="F1444" s="80">
        <f>IFERROR(D1444*E1444,0)</f>
        <v>0</v>
      </c>
      <c r="G1444" s="61" t="str">
        <f>INDEX(SETORES!$B:$B,MATCH(A1444,SETORES!$A:$A,0))</f>
        <v>Clientes</v>
      </c>
      <c r="H1444" s="61" t="s">
        <v>11</v>
      </c>
    </row>
    <row r="1445" spans="1:8" ht="14.25" hidden="1" customHeight="1" x14ac:dyDescent="0.3">
      <c r="A1445" s="2" t="s">
        <v>42</v>
      </c>
      <c r="B1445" s="60" t="s">
        <v>155</v>
      </c>
      <c r="C1445" s="60" t="s">
        <v>161</v>
      </c>
      <c r="D1445" s="68">
        <v>1</v>
      </c>
      <c r="E1445" s="73">
        <v>28225.1106607408</v>
      </c>
      <c r="F1445" s="79">
        <f>IFERROR(E1445,0)</f>
        <v>28225.1106607408</v>
      </c>
      <c r="G1445" s="60" t="str">
        <f>INDEX(SETORES!$B:$B,MATCH(A1445,SETORES!$A:$A,0))</f>
        <v>Clientes</v>
      </c>
      <c r="H1445" s="60" t="s">
        <v>11</v>
      </c>
    </row>
    <row r="1446" spans="1:8" ht="14.25" hidden="1" customHeight="1" x14ac:dyDescent="0.3">
      <c r="A1446" s="34" t="s">
        <v>42</v>
      </c>
      <c r="B1446" s="61" t="s">
        <v>155</v>
      </c>
      <c r="C1446" s="61" t="s">
        <v>167</v>
      </c>
      <c r="D1446" s="69">
        <v>2</v>
      </c>
      <c r="E1446" s="74">
        <v>9.85</v>
      </c>
      <c r="F1446" s="80">
        <f>IFERROR(D1446*E1446,0)</f>
        <v>19.7</v>
      </c>
      <c r="G1446" s="61" t="str">
        <f>INDEX(SETORES!$B:$B,MATCH(A1446,SETORES!$A:$A,0))</f>
        <v>Clientes</v>
      </c>
      <c r="H1446" s="61" t="s">
        <v>11</v>
      </c>
    </row>
    <row r="1447" spans="1:8" ht="14.25" hidden="1" customHeight="1" x14ac:dyDescent="0.3">
      <c r="A1447" s="2" t="s">
        <v>42</v>
      </c>
      <c r="B1447" s="60" t="s">
        <v>155</v>
      </c>
      <c r="C1447" s="60" t="s">
        <v>238</v>
      </c>
      <c r="D1447" s="68">
        <v>1</v>
      </c>
      <c r="E1447" s="73">
        <v>2.2727279999999999</v>
      </c>
      <c r="F1447" s="79">
        <f>IFERROR(D1447*E1447,0)</f>
        <v>2.2727279999999999</v>
      </c>
      <c r="G1447" s="60" t="str">
        <f>INDEX(SETORES!$B:$B,MATCH(A1447,SETORES!$A:$A,0))</f>
        <v>Clientes</v>
      </c>
      <c r="H1447" s="60" t="s">
        <v>11</v>
      </c>
    </row>
    <row r="1448" spans="1:8" ht="14.25" hidden="1" customHeight="1" x14ac:dyDescent="0.3">
      <c r="A1448" s="2" t="s">
        <v>42</v>
      </c>
      <c r="B1448" s="60" t="s">
        <v>155</v>
      </c>
      <c r="C1448" s="60" t="s">
        <v>166</v>
      </c>
      <c r="D1448" s="68">
        <v>5</v>
      </c>
      <c r="E1448" s="73">
        <v>50</v>
      </c>
      <c r="F1448" s="79">
        <f>IFERROR(D1448*E1448,0)</f>
        <v>250</v>
      </c>
      <c r="G1448" s="60" t="str">
        <f>INDEX(SETORES!$B:$B,MATCH(A1448,SETORES!$A:$A,0))</f>
        <v>Clientes</v>
      </c>
      <c r="H1448" s="60" t="s">
        <v>11</v>
      </c>
    </row>
    <row r="1449" spans="1:8" ht="14.25" hidden="1" customHeight="1" x14ac:dyDescent="0.3">
      <c r="A1449" s="34" t="s">
        <v>42</v>
      </c>
      <c r="B1449" s="61" t="s">
        <v>155</v>
      </c>
      <c r="C1449" s="61" t="s">
        <v>156</v>
      </c>
      <c r="D1449" s="69">
        <v>2</v>
      </c>
      <c r="E1449" s="74">
        <v>5</v>
      </c>
      <c r="F1449" s="80">
        <v>10</v>
      </c>
      <c r="G1449" s="61" t="str">
        <f>INDEX(SETORES!$B:$B,MATCH(A1449,SETORES!$A:$A,0))</f>
        <v>Clientes</v>
      </c>
      <c r="H1449" s="61" t="s">
        <v>11</v>
      </c>
    </row>
    <row r="1450" spans="1:8" ht="14.25" hidden="1" customHeight="1" x14ac:dyDescent="0.3">
      <c r="A1450" s="2" t="s">
        <v>42</v>
      </c>
      <c r="B1450" s="60" t="s">
        <v>155</v>
      </c>
      <c r="C1450" s="60" t="s">
        <v>157</v>
      </c>
      <c r="D1450" s="68">
        <v>1</v>
      </c>
      <c r="E1450" s="73">
        <v>70.8</v>
      </c>
      <c r="F1450" s="79">
        <v>70.8</v>
      </c>
      <c r="G1450" s="60" t="str">
        <f>INDEX(SETORES!$B:$B,MATCH(A1450,SETORES!$A:$A,0))</f>
        <v>Clientes</v>
      </c>
      <c r="H1450" s="60" t="s">
        <v>11</v>
      </c>
    </row>
    <row r="1451" spans="1:8" ht="14.25" hidden="1" customHeight="1" x14ac:dyDescent="0.3">
      <c r="A1451" s="34" t="s">
        <v>42</v>
      </c>
      <c r="B1451" s="61" t="s">
        <v>162</v>
      </c>
      <c r="C1451" s="61" t="s">
        <v>222</v>
      </c>
      <c r="D1451" s="69"/>
      <c r="E1451" s="74"/>
      <c r="F1451" s="80">
        <f>IFERROR(D1451*E1451,0)</f>
        <v>0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2" t="s">
        <v>42</v>
      </c>
      <c r="B1452" s="60" t="s">
        <v>155</v>
      </c>
      <c r="C1452" s="60" t="s">
        <v>168</v>
      </c>
      <c r="D1452" s="68">
        <v>2</v>
      </c>
      <c r="E1452" s="73">
        <v>2.04</v>
      </c>
      <c r="F1452" s="79">
        <f>IFERROR(D1452*E1452,0)</f>
        <v>4.08</v>
      </c>
      <c r="G1452" s="60" t="str">
        <f>INDEX(SETORES!$B:$B,MATCH(A1452,SETORES!$A:$A,0))</f>
        <v>Clientes</v>
      </c>
      <c r="H1452" s="60" t="s">
        <v>11</v>
      </c>
    </row>
    <row r="1453" spans="1:8" ht="14.25" hidden="1" customHeight="1" x14ac:dyDescent="0.3">
      <c r="A1453" s="34" t="s">
        <v>42</v>
      </c>
      <c r="B1453" s="61" t="s">
        <v>155</v>
      </c>
      <c r="C1453" s="61" t="s">
        <v>160</v>
      </c>
      <c r="D1453" s="69"/>
      <c r="E1453" s="74"/>
      <c r="F1453" s="80">
        <f>IFERROR(D1453*E1453,0)</f>
        <v>0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42</v>
      </c>
      <c r="B1454" s="61" t="s">
        <v>162</v>
      </c>
      <c r="C1454" s="61" t="s">
        <v>215</v>
      </c>
      <c r="D1454" s="69"/>
      <c r="E1454" s="74"/>
      <c r="F1454" s="80">
        <f>IFERROR(D1454*E1454,0)</f>
        <v>0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33</v>
      </c>
      <c r="B1455" s="60" t="s">
        <v>155</v>
      </c>
      <c r="C1455" s="60" t="s">
        <v>159</v>
      </c>
      <c r="D1455" s="68">
        <v>1</v>
      </c>
      <c r="E1455" s="73">
        <v>0.17499999999999999</v>
      </c>
      <c r="F1455" s="79">
        <v>0.17499999999999999</v>
      </c>
      <c r="G1455" s="60" t="str">
        <f>INDEX(SETORES!$B:$B,MATCH(A1455,SETORES!$A:$A,0))</f>
        <v>Funcionários</v>
      </c>
      <c r="H1455" s="60" t="s">
        <v>11</v>
      </c>
    </row>
    <row r="1456" spans="1:8" ht="14.25" hidden="1" customHeight="1" x14ac:dyDescent="0.3">
      <c r="A1456" s="34" t="s">
        <v>33</v>
      </c>
      <c r="B1456" s="61" t="s">
        <v>155</v>
      </c>
      <c r="C1456" s="61" t="s">
        <v>212</v>
      </c>
      <c r="D1456" s="69">
        <v>2</v>
      </c>
      <c r="E1456" s="74">
        <v>30</v>
      </c>
      <c r="F1456" s="80">
        <f>IFERROR(D1456*E1456,0)</f>
        <v>60</v>
      </c>
      <c r="G1456" s="61" t="str">
        <f>INDEX(SETORES!$B:$B,MATCH(A1456,SETORES!$A:$A,0))</f>
        <v>Funcionários</v>
      </c>
      <c r="H1456" s="61" t="s">
        <v>11</v>
      </c>
    </row>
    <row r="1457" spans="1:8" ht="14.25" hidden="1" customHeight="1" x14ac:dyDescent="0.3">
      <c r="A1457" s="34" t="s">
        <v>33</v>
      </c>
      <c r="B1457" s="61" t="s">
        <v>155</v>
      </c>
      <c r="C1457" s="61" t="s">
        <v>158</v>
      </c>
      <c r="D1457" s="69">
        <v>1</v>
      </c>
      <c r="E1457" s="74">
        <v>61.3005</v>
      </c>
      <c r="F1457" s="80">
        <v>61.3005</v>
      </c>
      <c r="G1457" s="61" t="str">
        <f>INDEX(SETORES!$B:$B,MATCH(A1457,SETORES!$A:$A,0))</f>
        <v>Funcionários</v>
      </c>
      <c r="H1457" s="61" t="s">
        <v>11</v>
      </c>
    </row>
    <row r="1458" spans="1:8" ht="14.25" hidden="1" customHeight="1" x14ac:dyDescent="0.3">
      <c r="A1458" s="34" t="s">
        <v>33</v>
      </c>
      <c r="B1458" s="61" t="s">
        <v>162</v>
      </c>
      <c r="C1458" s="61" t="s">
        <v>213</v>
      </c>
      <c r="D1458" s="69"/>
      <c r="E1458" s="74"/>
      <c r="F1458" s="80">
        <f>IFERROR(D1458*E1458,0)</f>
        <v>0</v>
      </c>
      <c r="G1458" s="61" t="str">
        <f>INDEX(SETORES!$B:$B,MATCH(A1458,SETORES!$A:$A,0))</f>
        <v>Funcionários</v>
      </c>
      <c r="H1458" s="61" t="s">
        <v>11</v>
      </c>
    </row>
    <row r="1459" spans="1:8" ht="14.25" hidden="1" customHeight="1" x14ac:dyDescent="0.3">
      <c r="A1459" s="34" t="s">
        <v>33</v>
      </c>
      <c r="B1459" s="61" t="s">
        <v>162</v>
      </c>
      <c r="C1459" s="61" t="s">
        <v>163</v>
      </c>
      <c r="D1459" s="69">
        <v>1</v>
      </c>
      <c r="E1459" s="74">
        <v>272</v>
      </c>
      <c r="F1459" s="80">
        <f>IFERROR(D1459*E1459,0)</f>
        <v>272</v>
      </c>
      <c r="G1459" s="61" t="str">
        <f>INDEX(SETORES!$B:$B,MATCH(A1459,SETORES!$A:$A,0))</f>
        <v>Funcionários</v>
      </c>
      <c r="H1459" s="61" t="s">
        <v>11</v>
      </c>
    </row>
    <row r="1460" spans="1:8" ht="14.25" hidden="1" customHeight="1" x14ac:dyDescent="0.3">
      <c r="A1460" s="2" t="s">
        <v>33</v>
      </c>
      <c r="B1460" s="60" t="s">
        <v>162</v>
      </c>
      <c r="C1460" s="60" t="s">
        <v>164</v>
      </c>
      <c r="D1460" s="68"/>
      <c r="E1460" s="73"/>
      <c r="F1460" s="79">
        <f>IFERROR(D1460*E1460,0)</f>
        <v>0</v>
      </c>
      <c r="G1460" s="60" t="str">
        <f>INDEX(SETORES!$B:$B,MATCH(A1460,SETORES!$A:$A,0))</f>
        <v>Funcionários</v>
      </c>
      <c r="H1460" s="60" t="s">
        <v>11</v>
      </c>
    </row>
    <row r="1461" spans="1:8" ht="14.25" hidden="1" customHeight="1" x14ac:dyDescent="0.3">
      <c r="A1461" s="2" t="s">
        <v>33</v>
      </c>
      <c r="B1461" s="60" t="s">
        <v>155</v>
      </c>
      <c r="C1461" s="60" t="s">
        <v>161</v>
      </c>
      <c r="D1461" s="68">
        <v>1</v>
      </c>
      <c r="E1461" s="73">
        <v>41967.61</v>
      </c>
      <c r="F1461" s="79">
        <f>IFERROR(E1461,0)</f>
        <v>41967.61</v>
      </c>
      <c r="G1461" s="60" t="str">
        <f>INDEX(SETORES!$B:$B,MATCH(A1461,SETORES!$A:$A,0))</f>
        <v>Funcionários</v>
      </c>
      <c r="H1461" s="60" t="s">
        <v>11</v>
      </c>
    </row>
    <row r="1462" spans="1:8" ht="14.25" hidden="1" customHeight="1" x14ac:dyDescent="0.3">
      <c r="A1462" s="34" t="s">
        <v>33</v>
      </c>
      <c r="B1462" s="61" t="s">
        <v>155</v>
      </c>
      <c r="C1462" s="61" t="s">
        <v>167</v>
      </c>
      <c r="D1462" s="69">
        <v>7</v>
      </c>
      <c r="E1462" s="74">
        <v>9.85</v>
      </c>
      <c r="F1462" s="80">
        <f>IFERROR(D1462*E1462,0)</f>
        <v>68.95</v>
      </c>
      <c r="G1462" s="61" t="str">
        <f>INDEX(SETORES!$B:$B,MATCH(A1462,SETORES!$A:$A,0))</f>
        <v>Funcionários</v>
      </c>
      <c r="H1462" s="61" t="s">
        <v>11</v>
      </c>
    </row>
    <row r="1463" spans="1:8" ht="14.25" hidden="1" customHeight="1" x14ac:dyDescent="0.3">
      <c r="A1463" s="2" t="s">
        <v>33</v>
      </c>
      <c r="B1463" s="60" t="s">
        <v>162</v>
      </c>
      <c r="C1463" s="60" t="s">
        <v>214</v>
      </c>
      <c r="D1463" s="68"/>
      <c r="E1463" s="73"/>
      <c r="F1463" s="79">
        <f>IFERROR(D1463*E1463,0)</f>
        <v>0</v>
      </c>
      <c r="G1463" s="60" t="str">
        <f>INDEX(SETORES!$B:$B,MATCH(A1463,SETORES!$A:$A,0))</f>
        <v>Funcionários</v>
      </c>
      <c r="H1463" s="60" t="s">
        <v>11</v>
      </c>
    </row>
    <row r="1464" spans="1:8" ht="14.25" hidden="1" customHeight="1" x14ac:dyDescent="0.3">
      <c r="A1464" s="2" t="s">
        <v>33</v>
      </c>
      <c r="B1464" s="60" t="s">
        <v>155</v>
      </c>
      <c r="C1464" s="60" t="s">
        <v>238</v>
      </c>
      <c r="D1464" s="68">
        <v>1</v>
      </c>
      <c r="E1464" s="73">
        <v>153.58000000000001</v>
      </c>
      <c r="F1464" s="79">
        <f>IFERROR(D1464*E1464,0)</f>
        <v>153.58000000000001</v>
      </c>
      <c r="G1464" s="60" t="str">
        <f>INDEX(SETORES!$B:$B,MATCH(A1464,SETORES!$A:$A,0))</f>
        <v>Funcionários</v>
      </c>
      <c r="H1464" s="60" t="s">
        <v>11</v>
      </c>
    </row>
    <row r="1465" spans="1:8" ht="14.25" hidden="1" customHeight="1" x14ac:dyDescent="0.3">
      <c r="A1465" s="34" t="s">
        <v>33</v>
      </c>
      <c r="B1465" s="61" t="s">
        <v>155</v>
      </c>
      <c r="C1465" s="61" t="s">
        <v>166</v>
      </c>
      <c r="D1465" s="69">
        <v>7</v>
      </c>
      <c r="E1465" s="74">
        <v>50</v>
      </c>
      <c r="F1465" s="80">
        <f>IFERROR(D1465*E1465,0)</f>
        <v>350</v>
      </c>
      <c r="G1465" s="61" t="str">
        <f>INDEX(SETORES!$B:$B,MATCH(A1465,SETORES!$A:$A,0))</f>
        <v>Funcionários</v>
      </c>
      <c r="H1465" s="61" t="s">
        <v>11</v>
      </c>
    </row>
    <row r="1466" spans="1:8" ht="14.25" customHeight="1" x14ac:dyDescent="0.3">
      <c r="A1466" s="2" t="s">
        <v>33</v>
      </c>
      <c r="B1466" s="60" t="s">
        <v>155</v>
      </c>
      <c r="C1466" s="60" t="s">
        <v>177</v>
      </c>
      <c r="D1466" s="68">
        <v>1</v>
      </c>
      <c r="E1466" s="73">
        <v>2559.44</v>
      </c>
      <c r="F1466" s="79">
        <f>IFERROR(D1466*E1466,0)</f>
        <v>2559.44</v>
      </c>
      <c r="G1466" s="61" t="s">
        <v>98</v>
      </c>
      <c r="H1466" s="60" t="s">
        <v>11</v>
      </c>
    </row>
    <row r="1467" spans="1:8" ht="14.25" hidden="1" customHeight="1" x14ac:dyDescent="0.3">
      <c r="A1467" s="34" t="s">
        <v>33</v>
      </c>
      <c r="B1467" s="61" t="s">
        <v>155</v>
      </c>
      <c r="C1467" s="61" t="s">
        <v>156</v>
      </c>
      <c r="D1467" s="69">
        <v>7</v>
      </c>
      <c r="E1467" s="74">
        <v>1</v>
      </c>
      <c r="F1467" s="80">
        <v>7</v>
      </c>
      <c r="G1467" s="61" t="str">
        <f>INDEX(SETORES!$B:$B,MATCH(A1467,SETORES!$A:$A,0))</f>
        <v>Funcionários</v>
      </c>
      <c r="H1467" s="61" t="s">
        <v>11</v>
      </c>
    </row>
    <row r="1468" spans="1:8" ht="14.25" hidden="1" customHeight="1" x14ac:dyDescent="0.3">
      <c r="A1468" s="2" t="s">
        <v>33</v>
      </c>
      <c r="B1468" s="60" t="s">
        <v>155</v>
      </c>
      <c r="C1468" s="60" t="s">
        <v>157</v>
      </c>
      <c r="D1468" s="68">
        <v>1</v>
      </c>
      <c r="E1468" s="73">
        <v>60.8</v>
      </c>
      <c r="F1468" s="79">
        <v>60.8</v>
      </c>
      <c r="G1468" s="60" t="str">
        <f>INDEX(SETORES!$B:$B,MATCH(A1468,SETORES!$A:$A,0))</f>
        <v>Funcionários</v>
      </c>
      <c r="H1468" s="60" t="s">
        <v>11</v>
      </c>
    </row>
    <row r="1469" spans="1:8" ht="14.25" customHeight="1" x14ac:dyDescent="0.3">
      <c r="A1469" s="34" t="s">
        <v>33</v>
      </c>
      <c r="B1469" s="61" t="s">
        <v>155</v>
      </c>
      <c r="C1469" s="61" t="s">
        <v>239</v>
      </c>
      <c r="D1469" s="69">
        <v>1</v>
      </c>
      <c r="E1469" s="74">
        <v>4226.8</v>
      </c>
      <c r="F1469" s="80">
        <f>IFERROR(D1469*E1469,0)</f>
        <v>4226.8</v>
      </c>
      <c r="G1469" s="61" t="s">
        <v>98</v>
      </c>
      <c r="H1469" s="61" t="s">
        <v>11</v>
      </c>
    </row>
    <row r="1470" spans="1:8" ht="14.25" customHeight="1" x14ac:dyDescent="0.3">
      <c r="A1470" s="2" t="s">
        <v>33</v>
      </c>
      <c r="B1470" s="60" t="s">
        <v>155</v>
      </c>
      <c r="C1470" s="60" t="s">
        <v>180</v>
      </c>
      <c r="D1470" s="68">
        <v>1</v>
      </c>
      <c r="E1470" s="73">
        <v>3714.01</v>
      </c>
      <c r="F1470" s="79">
        <f>IFERROR(D1470*E1470,0)</f>
        <v>3714.01</v>
      </c>
      <c r="G1470" s="61" t="s">
        <v>98</v>
      </c>
      <c r="H1470" s="60" t="s">
        <v>11</v>
      </c>
    </row>
    <row r="1471" spans="1:8" ht="14.25" customHeight="1" x14ac:dyDescent="0.3">
      <c r="A1471" s="34" t="s">
        <v>33</v>
      </c>
      <c r="B1471" s="61" t="s">
        <v>155</v>
      </c>
      <c r="C1471" s="61" t="s">
        <v>179</v>
      </c>
      <c r="D1471" s="69">
        <v>1</v>
      </c>
      <c r="E1471" s="74">
        <v>1099.93</v>
      </c>
      <c r="F1471" s="80">
        <f>IFERROR(D1471*E1471,0)</f>
        <v>1099.93</v>
      </c>
      <c r="G1471" s="61" t="s">
        <v>98</v>
      </c>
      <c r="H1471" s="61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168</v>
      </c>
      <c r="D1472" s="68">
        <v>7</v>
      </c>
      <c r="E1472" s="73">
        <v>2.04</v>
      </c>
      <c r="F1472" s="79">
        <f>IFERROR(D1472*E1472,0)</f>
        <v>14.280000000000001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160</v>
      </c>
      <c r="D1473" s="69"/>
      <c r="E1473" s="74"/>
      <c r="F1473" s="80">
        <f>IFERROR(D1473*E1473,0)</f>
        <v>0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2" t="s">
        <v>45</v>
      </c>
      <c r="B1474" s="60" t="s">
        <v>155</v>
      </c>
      <c r="C1474" s="60" t="s">
        <v>159</v>
      </c>
      <c r="D1474" s="68">
        <v>7</v>
      </c>
      <c r="E1474" s="73">
        <v>0.31240000000000001</v>
      </c>
      <c r="F1474" s="79">
        <v>2.1867999999999999</v>
      </c>
      <c r="G1474" s="60" t="str">
        <f>INDEX(SETORES!$B:$B,MATCH(A1474,SETORES!$A:$A,0))</f>
        <v>Clientes</v>
      </c>
      <c r="H1474" s="60" t="s">
        <v>11</v>
      </c>
    </row>
    <row r="1475" spans="1:8" ht="14.25" hidden="1" customHeight="1" x14ac:dyDescent="0.3">
      <c r="A1475" s="2" t="s">
        <v>45</v>
      </c>
      <c r="B1475" s="60" t="s">
        <v>155</v>
      </c>
      <c r="C1475" s="60" t="s">
        <v>212</v>
      </c>
      <c r="D1475" s="68">
        <v>8</v>
      </c>
      <c r="E1475" s="73">
        <v>30</v>
      </c>
      <c r="F1475" s="79">
        <f>IFERROR(D1475*E1475,0)</f>
        <v>240</v>
      </c>
      <c r="G1475" s="60" t="str">
        <f>INDEX(SETORES!$B:$B,MATCH(A1475,SETORES!$A:$A,0))</f>
        <v>Clientes</v>
      </c>
      <c r="H1475" s="60" t="s">
        <v>11</v>
      </c>
    </row>
    <row r="1476" spans="1:8" ht="14.25" hidden="1" customHeight="1" x14ac:dyDescent="0.3">
      <c r="A1476" s="34" t="s">
        <v>45</v>
      </c>
      <c r="B1476" s="61" t="s">
        <v>162</v>
      </c>
      <c r="C1476" s="61" t="s">
        <v>217</v>
      </c>
      <c r="D1476" s="69">
        <v>1</v>
      </c>
      <c r="E1476" s="74">
        <v>5735.95</v>
      </c>
      <c r="F1476" s="80">
        <f>IFERROR(D1476*E1476,0)</f>
        <v>5735.95</v>
      </c>
      <c r="G1476" s="61" t="str">
        <f>INDEX(SETORES!$B:$B,MATCH(A1476,SETORES!$A:$A,0))</f>
        <v>Clientes</v>
      </c>
      <c r="H1476" s="61" t="s">
        <v>11</v>
      </c>
    </row>
    <row r="1477" spans="1:8" ht="14.25" hidden="1" customHeight="1" x14ac:dyDescent="0.3">
      <c r="A1477" s="2" t="s">
        <v>45</v>
      </c>
      <c r="B1477" s="60" t="s">
        <v>155</v>
      </c>
      <c r="C1477" s="60" t="s">
        <v>250</v>
      </c>
      <c r="D1477" s="68">
        <v>1</v>
      </c>
      <c r="E1477" s="73">
        <v>1254.6099999999999</v>
      </c>
      <c r="F1477" s="79">
        <f>IFERROR(D1477*E1477,0)</f>
        <v>1254.6099999999999</v>
      </c>
      <c r="G1477" s="60" t="str">
        <f>INDEX(SETORES!$B:$B,MATCH(A1477,SETORES!$A:$A,0))</f>
        <v>Clientes</v>
      </c>
      <c r="H1477" s="60" t="s">
        <v>11</v>
      </c>
    </row>
    <row r="1478" spans="1:8" ht="14.25" hidden="1" customHeight="1" x14ac:dyDescent="0.3">
      <c r="A1478" s="34" t="s">
        <v>45</v>
      </c>
      <c r="B1478" s="61" t="s">
        <v>162</v>
      </c>
      <c r="C1478" s="61" t="s">
        <v>194</v>
      </c>
      <c r="D1478" s="69">
        <v>1</v>
      </c>
      <c r="E1478" s="74">
        <v>700</v>
      </c>
      <c r="F1478" s="80">
        <f>IFERROR(D1478*E1478,0)</f>
        <v>700</v>
      </c>
      <c r="G1478" s="61" t="str">
        <f>INDEX(SETORES!$B:$B,MATCH(A1478,SETORES!$A:$A,0))</f>
        <v>Clientes</v>
      </c>
      <c r="H1478" s="61" t="s">
        <v>11</v>
      </c>
    </row>
    <row r="1479" spans="1:8" ht="14.25" hidden="1" customHeight="1" x14ac:dyDescent="0.3">
      <c r="A1479" s="2" t="s">
        <v>45</v>
      </c>
      <c r="B1479" s="60" t="s">
        <v>155</v>
      </c>
      <c r="C1479" s="60" t="s">
        <v>158</v>
      </c>
      <c r="D1479" s="68">
        <v>7</v>
      </c>
      <c r="E1479" s="73">
        <v>23.6877</v>
      </c>
      <c r="F1479" s="79">
        <v>165.81389999999999</v>
      </c>
      <c r="G1479" s="60" t="str">
        <f>INDEX(SETORES!$B:$B,MATCH(A1479,SETORES!$A:$A,0))</f>
        <v>Clientes</v>
      </c>
      <c r="H1479" s="60" t="s">
        <v>11</v>
      </c>
    </row>
    <row r="1480" spans="1:8" ht="14.25" hidden="1" customHeight="1" x14ac:dyDescent="0.3">
      <c r="A1480" s="2" t="s">
        <v>45</v>
      </c>
      <c r="B1480" s="60" t="s">
        <v>162</v>
      </c>
      <c r="C1480" s="60" t="s">
        <v>163</v>
      </c>
      <c r="D1480" s="68"/>
      <c r="E1480" s="73"/>
      <c r="F1480" s="79">
        <f>IFERROR(D1480*E1480,0)</f>
        <v>0</v>
      </c>
      <c r="G1480" s="60" t="str">
        <f>INDEX(SETORES!$B:$B,MATCH(A1480,SETORES!$A:$A,0))</f>
        <v>Clientes</v>
      </c>
      <c r="H1480" s="60" t="s">
        <v>11</v>
      </c>
    </row>
    <row r="1481" spans="1:8" ht="14.25" hidden="1" customHeight="1" x14ac:dyDescent="0.3">
      <c r="A1481" s="34" t="s">
        <v>45</v>
      </c>
      <c r="B1481" s="61" t="s">
        <v>162</v>
      </c>
      <c r="C1481" s="61" t="s">
        <v>164</v>
      </c>
      <c r="D1481" s="69"/>
      <c r="E1481" s="74"/>
      <c r="F1481" s="80">
        <f>IFERROR(D1481*E1481,0)</f>
        <v>0</v>
      </c>
      <c r="G1481" s="61" t="str">
        <f>INDEX(SETORES!$B:$B,MATCH(A1481,SETORES!$A:$A,0))</f>
        <v>Clientes</v>
      </c>
      <c r="H1481" s="61" t="s">
        <v>11</v>
      </c>
    </row>
    <row r="1482" spans="1:8" ht="14.25" hidden="1" customHeight="1" x14ac:dyDescent="0.3">
      <c r="A1482" s="34" t="s">
        <v>45</v>
      </c>
      <c r="B1482" s="61" t="s">
        <v>155</v>
      </c>
      <c r="C1482" s="61" t="s">
        <v>161</v>
      </c>
      <c r="D1482" s="69">
        <v>1</v>
      </c>
      <c r="E1482" s="74">
        <v>60198.19</v>
      </c>
      <c r="F1482" s="80">
        <f>IFERROR(E1482,0)</f>
        <v>60198.19</v>
      </c>
      <c r="G1482" s="61" t="str">
        <f>INDEX(SETORES!$B:$B,MATCH(A1482,SETORES!$A:$A,0))</f>
        <v>Clientes</v>
      </c>
      <c r="H1482" s="61" t="s">
        <v>11</v>
      </c>
    </row>
    <row r="1483" spans="1:8" ht="14.25" hidden="1" customHeight="1" x14ac:dyDescent="0.3">
      <c r="A1483" s="34" t="s">
        <v>45</v>
      </c>
      <c r="B1483" s="61" t="s">
        <v>155</v>
      </c>
      <c r="C1483" s="61" t="s">
        <v>167</v>
      </c>
      <c r="D1483" s="69">
        <v>7</v>
      </c>
      <c r="E1483" s="74">
        <v>9.85</v>
      </c>
      <c r="F1483" s="80">
        <f>IFERROR(D1483*E1483,0)</f>
        <v>68.95</v>
      </c>
      <c r="G1483" s="61" t="str">
        <f>INDEX(SETORES!$B:$B,MATCH(A1483,SETORES!$A:$A,0))</f>
        <v>Clientes</v>
      </c>
      <c r="H1483" s="61" t="s">
        <v>11</v>
      </c>
    </row>
    <row r="1484" spans="1:8" ht="14.25" hidden="1" customHeight="1" x14ac:dyDescent="0.3">
      <c r="A1484" s="2" t="s">
        <v>45</v>
      </c>
      <c r="B1484" s="60" t="s">
        <v>155</v>
      </c>
      <c r="C1484" s="60" t="s">
        <v>238</v>
      </c>
      <c r="D1484" s="68">
        <v>1</v>
      </c>
      <c r="E1484" s="73">
        <v>128.68</v>
      </c>
      <c r="F1484" s="79">
        <f>IFERROR(D1484*E1484,0)</f>
        <v>128.68</v>
      </c>
      <c r="G1484" s="60" t="str">
        <f>INDEX(SETORES!$B:$B,MATCH(A1484,SETORES!$A:$A,0))</f>
        <v>Clientes</v>
      </c>
      <c r="H1484" s="60" t="s">
        <v>11</v>
      </c>
    </row>
    <row r="1485" spans="1:8" ht="14.25" hidden="1" customHeight="1" x14ac:dyDescent="0.3">
      <c r="A1485" s="2" t="s">
        <v>45</v>
      </c>
      <c r="B1485" s="60" t="s">
        <v>155</v>
      </c>
      <c r="C1485" s="60" t="s">
        <v>166</v>
      </c>
      <c r="D1485" s="68">
        <v>10</v>
      </c>
      <c r="E1485" s="73">
        <v>50</v>
      </c>
      <c r="F1485" s="79">
        <f>IFERROR(D1485*E1485,0)</f>
        <v>500</v>
      </c>
      <c r="G1485" s="60" t="str">
        <f>INDEX(SETORES!$B:$B,MATCH(A1485,SETORES!$A:$A,0))</f>
        <v>Clientes</v>
      </c>
      <c r="H1485" s="60" t="s">
        <v>11</v>
      </c>
    </row>
    <row r="1486" spans="1:8" ht="14.25" hidden="1" customHeight="1" x14ac:dyDescent="0.3">
      <c r="A1486" s="34" t="s">
        <v>45</v>
      </c>
      <c r="B1486" s="61" t="s">
        <v>155</v>
      </c>
      <c r="C1486" s="61" t="s">
        <v>183</v>
      </c>
      <c r="D1486" s="69">
        <v>1</v>
      </c>
      <c r="E1486" s="74">
        <v>666.2</v>
      </c>
      <c r="F1486" s="80">
        <f>IFERROR(D1486*E1486,0)</f>
        <v>666.2</v>
      </c>
      <c r="G1486" s="61" t="str">
        <f>INDEX(SETORES!$B:$B,MATCH(A1486,SETORES!$A:$A,0))</f>
        <v>Clientes</v>
      </c>
      <c r="H1486" s="61" t="s">
        <v>11</v>
      </c>
    </row>
    <row r="1487" spans="1:8" ht="14.25" hidden="1" customHeight="1" x14ac:dyDescent="0.3">
      <c r="A1487" s="34" t="s">
        <v>45</v>
      </c>
      <c r="B1487" s="61" t="s">
        <v>155</v>
      </c>
      <c r="C1487" s="61" t="s">
        <v>156</v>
      </c>
      <c r="D1487" s="69">
        <v>1</v>
      </c>
      <c r="E1487" s="74">
        <v>22.5</v>
      </c>
      <c r="F1487" s="80">
        <v>45</v>
      </c>
      <c r="G1487" s="61" t="str">
        <f>INDEX(SETORES!$B:$B,MATCH(A1487,SETORES!$A:$A,0))</f>
        <v>Clientes</v>
      </c>
      <c r="H1487" s="61" t="s">
        <v>11</v>
      </c>
    </row>
    <row r="1488" spans="1:8" ht="14.25" hidden="1" customHeight="1" x14ac:dyDescent="0.3">
      <c r="A1488" s="2" t="s">
        <v>45</v>
      </c>
      <c r="B1488" s="60" t="s">
        <v>155</v>
      </c>
      <c r="C1488" s="60" t="s">
        <v>157</v>
      </c>
      <c r="D1488" s="68">
        <v>1</v>
      </c>
      <c r="E1488" s="73">
        <v>22.5</v>
      </c>
      <c r="F1488" s="79">
        <v>22.5</v>
      </c>
      <c r="G1488" s="60" t="str">
        <f>INDEX(SETORES!$B:$B,MATCH(A1488,SETORES!$A:$A,0))</f>
        <v>Clientes</v>
      </c>
      <c r="H1488" s="60" t="s">
        <v>11</v>
      </c>
    </row>
    <row r="1489" spans="1:8" ht="14.25" hidden="1" customHeight="1" x14ac:dyDescent="0.3">
      <c r="A1489" s="2" t="s">
        <v>45</v>
      </c>
      <c r="B1489" s="60" t="s">
        <v>162</v>
      </c>
      <c r="C1489" s="60" t="s">
        <v>209</v>
      </c>
      <c r="D1489" s="68">
        <v>7</v>
      </c>
      <c r="E1489" s="73">
        <v>85.71</v>
      </c>
      <c r="F1489" s="79">
        <f>IFERROR(D1489*E1489,0)</f>
        <v>599.96999999999991</v>
      </c>
      <c r="G1489" s="60" t="str">
        <f>INDEX(SETORES!$B:$B,MATCH(A1489,SETORES!$A:$A,0))</f>
        <v>Clientes</v>
      </c>
      <c r="H1489" s="60" t="s">
        <v>11</v>
      </c>
    </row>
    <row r="1490" spans="1:8" ht="14.25" hidden="1" customHeight="1" x14ac:dyDescent="0.3">
      <c r="A1490" s="34" t="s">
        <v>45</v>
      </c>
      <c r="B1490" s="61" t="s">
        <v>162</v>
      </c>
      <c r="C1490" s="61" t="s">
        <v>222</v>
      </c>
      <c r="D1490" s="69">
        <v>1</v>
      </c>
      <c r="E1490" s="74">
        <v>3121.37</v>
      </c>
      <c r="F1490" s="80">
        <f>IFERROR(D1490*E1490,0)</f>
        <v>3121.37</v>
      </c>
      <c r="G1490" s="61" t="str">
        <f>INDEX(SETORES!$B:$B,MATCH(A1490,SETORES!$A:$A,0))</f>
        <v>Clientes</v>
      </c>
      <c r="H1490" s="61" t="s">
        <v>11</v>
      </c>
    </row>
    <row r="1491" spans="1:8" ht="14.25" hidden="1" customHeight="1" x14ac:dyDescent="0.3">
      <c r="A1491" s="2" t="s">
        <v>45</v>
      </c>
      <c r="B1491" s="60" t="s">
        <v>155</v>
      </c>
      <c r="C1491" s="60" t="s">
        <v>168</v>
      </c>
      <c r="D1491" s="68">
        <v>7</v>
      </c>
      <c r="E1491" s="73">
        <v>2.04</v>
      </c>
      <c r="F1491" s="79">
        <f>IFERROR(D1491*E1491,0)</f>
        <v>14.280000000000001</v>
      </c>
      <c r="G1491" s="60" t="str">
        <f>INDEX(SETORES!$B:$B,MATCH(A1491,SETORES!$A:$A,0))</f>
        <v>Clientes</v>
      </c>
      <c r="H1491" s="60" t="s">
        <v>11</v>
      </c>
    </row>
    <row r="1492" spans="1:8" ht="14.25" hidden="1" customHeight="1" x14ac:dyDescent="0.3">
      <c r="A1492" s="2" t="s">
        <v>45</v>
      </c>
      <c r="B1492" s="60" t="s">
        <v>155</v>
      </c>
      <c r="C1492" s="60" t="s">
        <v>160</v>
      </c>
      <c r="D1492" s="68"/>
      <c r="E1492" s="73"/>
      <c r="F1492" s="79">
        <f>IFERROR(D1492*E1492,0)</f>
        <v>0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34" t="s">
        <v>50</v>
      </c>
      <c r="B1493" s="61" t="s">
        <v>155</v>
      </c>
      <c r="C1493" s="61" t="s">
        <v>159</v>
      </c>
      <c r="D1493" s="69">
        <v>12</v>
      </c>
      <c r="E1493" s="74">
        <v>0.31240000000000001</v>
      </c>
      <c r="F1493" s="80">
        <v>3.7488000000000001</v>
      </c>
      <c r="G1493" s="61" t="str">
        <f>INDEX(SETORES!$B:$B,MATCH(A1493,SETORES!$A:$A,0))</f>
        <v>Clientes</v>
      </c>
      <c r="H1493" s="61" t="s">
        <v>11</v>
      </c>
    </row>
    <row r="1494" spans="1:8" ht="14.25" hidden="1" customHeight="1" x14ac:dyDescent="0.3">
      <c r="A1494" s="2" t="s">
        <v>50</v>
      </c>
      <c r="B1494" s="60" t="s">
        <v>155</v>
      </c>
      <c r="C1494" s="60" t="s">
        <v>158</v>
      </c>
      <c r="D1494" s="68">
        <v>12</v>
      </c>
      <c r="E1494" s="73">
        <v>23.6877</v>
      </c>
      <c r="F1494" s="79">
        <v>284.25240000000002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50</v>
      </c>
      <c r="B1495" s="61" t="s">
        <v>162</v>
      </c>
      <c r="C1495" s="61" t="s">
        <v>165</v>
      </c>
      <c r="D1495" s="69">
        <v>1</v>
      </c>
      <c r="E1495" s="74">
        <v>50</v>
      </c>
      <c r="F1495" s="80">
        <f>IFERROR(D1495*E1495,0)</f>
        <v>50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34" t="s">
        <v>50</v>
      </c>
      <c r="B1496" s="61" t="s">
        <v>162</v>
      </c>
      <c r="C1496" s="61" t="s">
        <v>163</v>
      </c>
      <c r="D1496" s="69"/>
      <c r="E1496" s="74"/>
      <c r="F1496" s="80">
        <f>IFERROR(D1496*E1496,0)</f>
        <v>0</v>
      </c>
      <c r="G1496" s="61" t="str">
        <f>INDEX(SETORES!$B:$B,MATCH(A1496,SETORES!$A:$A,0))</f>
        <v>Clientes</v>
      </c>
      <c r="H1496" s="61" t="s">
        <v>11</v>
      </c>
    </row>
    <row r="1497" spans="1:8" ht="14.25" hidden="1" customHeight="1" x14ac:dyDescent="0.3">
      <c r="A1497" s="2" t="s">
        <v>50</v>
      </c>
      <c r="B1497" s="60" t="s">
        <v>162</v>
      </c>
      <c r="C1497" s="60" t="s">
        <v>164</v>
      </c>
      <c r="D1497" s="68"/>
      <c r="E1497" s="73"/>
      <c r="F1497" s="79">
        <f>IFERROR(D1497*E1497,0)</f>
        <v>0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34" t="s">
        <v>50</v>
      </c>
      <c r="B1498" s="61" t="s">
        <v>155</v>
      </c>
      <c r="C1498" s="61" t="s">
        <v>161</v>
      </c>
      <c r="D1498" s="69">
        <v>1</v>
      </c>
      <c r="E1498" s="74">
        <v>60103.48</v>
      </c>
      <c r="F1498" s="80">
        <f>IFERROR(E1498,0)</f>
        <v>60103.48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2" t="s">
        <v>50</v>
      </c>
      <c r="B1499" s="60" t="s">
        <v>155</v>
      </c>
      <c r="C1499" s="60" t="s">
        <v>167</v>
      </c>
      <c r="D1499" s="68">
        <v>12</v>
      </c>
      <c r="E1499" s="73">
        <v>9.85</v>
      </c>
      <c r="F1499" s="79">
        <f>IFERROR(D1499*E1499,0)</f>
        <v>118.19999999999999</v>
      </c>
      <c r="G1499" s="60" t="str">
        <f>INDEX(SETORES!$B:$B,MATCH(A1499,SETORES!$A:$A,0))</f>
        <v>Clientes</v>
      </c>
      <c r="H1499" s="60" t="s">
        <v>11</v>
      </c>
    </row>
    <row r="1500" spans="1:8" ht="14.25" hidden="1" customHeight="1" x14ac:dyDescent="0.3">
      <c r="A1500" s="34" t="s">
        <v>50</v>
      </c>
      <c r="B1500" s="61" t="s">
        <v>155</v>
      </c>
      <c r="C1500" s="61" t="s">
        <v>238</v>
      </c>
      <c r="D1500" s="69">
        <v>1</v>
      </c>
      <c r="E1500" s="74">
        <v>153.58000000000001</v>
      </c>
      <c r="F1500" s="80">
        <f>IFERROR(D1500*E1500,0)</f>
        <v>153.58000000000001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2" t="s">
        <v>50</v>
      </c>
      <c r="B1501" s="60" t="s">
        <v>162</v>
      </c>
      <c r="C1501" s="60" t="s">
        <v>218</v>
      </c>
      <c r="D1501" s="68"/>
      <c r="E1501" s="73"/>
      <c r="F1501" s="79">
        <f>IFERROR(D1501*E1501,0)</f>
        <v>0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2" t="s">
        <v>50</v>
      </c>
      <c r="B1502" s="60" t="s">
        <v>155</v>
      </c>
      <c r="C1502" s="60" t="s">
        <v>166</v>
      </c>
      <c r="D1502" s="68">
        <v>16</v>
      </c>
      <c r="E1502" s="73">
        <v>50</v>
      </c>
      <c r="F1502" s="79">
        <f>IFERROR(D1502*E1502,0)</f>
        <v>800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2" t="s">
        <v>50</v>
      </c>
      <c r="B1503" s="60" t="s">
        <v>155</v>
      </c>
      <c r="C1503" s="60" t="s">
        <v>156</v>
      </c>
      <c r="D1503" s="68"/>
      <c r="E1503" s="73"/>
      <c r="F1503" s="79">
        <v>0</v>
      </c>
      <c r="G1503" s="60" t="str">
        <f>INDEX(SETORES!$B:$B,MATCH(A1503,SETORES!$A:$A,0))</f>
        <v>Clientes</v>
      </c>
      <c r="H1503" s="60" t="s">
        <v>11</v>
      </c>
    </row>
    <row r="1504" spans="1:8" ht="14.25" hidden="1" customHeight="1" x14ac:dyDescent="0.3">
      <c r="A1504" s="34" t="s">
        <v>50</v>
      </c>
      <c r="B1504" s="61" t="s">
        <v>155</v>
      </c>
      <c r="C1504" s="61" t="s">
        <v>157</v>
      </c>
      <c r="D1504" s="69">
        <v>1</v>
      </c>
      <c r="E1504" s="74">
        <v>624.39</v>
      </c>
      <c r="F1504" s="80">
        <v>624.39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34" t="s">
        <v>50</v>
      </c>
      <c r="B1505" s="61" t="s">
        <v>162</v>
      </c>
      <c r="C1505" s="61" t="s">
        <v>209</v>
      </c>
      <c r="D1505" s="69">
        <v>12</v>
      </c>
      <c r="E1505" s="74">
        <v>85.71</v>
      </c>
      <c r="F1505" s="80">
        <f>IFERROR(D1505*E1505,0)</f>
        <v>1028.52</v>
      </c>
      <c r="G1505" s="61" t="str">
        <f>INDEX(SETORES!$B:$B,MATCH(A1505,SETORES!$A:$A,0))</f>
        <v>Clientes</v>
      </c>
      <c r="H1505" s="61" t="s">
        <v>11</v>
      </c>
    </row>
    <row r="1506" spans="1:8" ht="14.25" hidden="1" customHeight="1" x14ac:dyDescent="0.3">
      <c r="A1506" s="2" t="s">
        <v>50</v>
      </c>
      <c r="B1506" s="60" t="s">
        <v>162</v>
      </c>
      <c r="C1506" s="60" t="s">
        <v>222</v>
      </c>
      <c r="D1506" s="68">
        <v>1</v>
      </c>
      <c r="E1506" s="73">
        <v>3112.37</v>
      </c>
      <c r="F1506" s="79">
        <f>IFERROR(D1506*E1506,0)</f>
        <v>3112.37</v>
      </c>
      <c r="G1506" s="60" t="str">
        <f>INDEX(SETORES!$B:$B,MATCH(A1506,SETORES!$A:$A,0))</f>
        <v>Clientes</v>
      </c>
      <c r="H1506" s="60" t="s">
        <v>11</v>
      </c>
    </row>
    <row r="1507" spans="1:8" ht="14.25" hidden="1" customHeight="1" x14ac:dyDescent="0.3">
      <c r="A1507" s="34" t="s">
        <v>50</v>
      </c>
      <c r="B1507" s="61" t="s">
        <v>155</v>
      </c>
      <c r="C1507" s="61" t="s">
        <v>168</v>
      </c>
      <c r="D1507" s="69">
        <v>12</v>
      </c>
      <c r="E1507" s="74">
        <v>2.04</v>
      </c>
      <c r="F1507" s="80">
        <f>IFERROR(D1507*E1507,0)</f>
        <v>24.48</v>
      </c>
      <c r="G1507" s="61" t="str">
        <f>INDEX(SETORES!$B:$B,MATCH(A1507,SETORES!$A:$A,0))</f>
        <v>Clientes</v>
      </c>
      <c r="H1507" s="61" t="s">
        <v>11</v>
      </c>
    </row>
    <row r="1508" spans="1:8" ht="14.25" hidden="1" customHeight="1" x14ac:dyDescent="0.3">
      <c r="A1508" s="2" t="s">
        <v>50</v>
      </c>
      <c r="B1508" s="60" t="s">
        <v>155</v>
      </c>
      <c r="C1508" s="60" t="s">
        <v>160</v>
      </c>
      <c r="D1508" s="68"/>
      <c r="E1508" s="73"/>
      <c r="F1508" s="79">
        <f>IFERROR(D1508*E1508,0)</f>
        <v>0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2" t="s">
        <v>36</v>
      </c>
      <c r="B1509" s="60" t="s">
        <v>155</v>
      </c>
      <c r="C1509" s="60" t="s">
        <v>159</v>
      </c>
      <c r="D1509" s="68">
        <v>1</v>
      </c>
      <c r="E1509" s="73">
        <v>0.17499999999999999</v>
      </c>
      <c r="F1509" s="79">
        <v>0.17499999999999999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34" t="s">
        <v>36</v>
      </c>
      <c r="B1510" s="61" t="s">
        <v>155</v>
      </c>
      <c r="C1510" s="61" t="s">
        <v>212</v>
      </c>
      <c r="D1510" s="69">
        <v>2</v>
      </c>
      <c r="E1510" s="74">
        <v>30</v>
      </c>
      <c r="F1510" s="80">
        <f>IFERROR(D1510*E1510,0)</f>
        <v>60</v>
      </c>
      <c r="G1510" s="61" t="str">
        <f>INDEX(SETORES!$B:$B,MATCH(A1510,SETORES!$A:$A,0))</f>
        <v>Clientes</v>
      </c>
      <c r="H1510" s="61" t="s">
        <v>11</v>
      </c>
    </row>
    <row r="1511" spans="1:8" ht="14.25" hidden="1" customHeight="1" x14ac:dyDescent="0.3">
      <c r="A1511" s="34" t="s">
        <v>36</v>
      </c>
      <c r="B1511" s="61" t="s">
        <v>155</v>
      </c>
      <c r="C1511" s="61" t="s">
        <v>158</v>
      </c>
      <c r="D1511" s="69">
        <v>1</v>
      </c>
      <c r="E1511" s="74">
        <v>61.3005</v>
      </c>
      <c r="F1511" s="80">
        <v>61.3005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2" t="s">
        <v>36</v>
      </c>
      <c r="B1512" s="60" t="s">
        <v>162</v>
      </c>
      <c r="C1512" s="60" t="s">
        <v>163</v>
      </c>
      <c r="D1512" s="68"/>
      <c r="E1512" s="73"/>
      <c r="F1512" s="79">
        <f>IFERROR(D1512*E1512,0)</f>
        <v>0</v>
      </c>
      <c r="G1512" s="60" t="str">
        <f>INDEX(SETORES!$B:$B,MATCH(A1512,SETORES!$A:$A,0))</f>
        <v>Clientes</v>
      </c>
      <c r="H1512" s="60" t="s">
        <v>11</v>
      </c>
    </row>
    <row r="1513" spans="1:8" ht="14.25" hidden="1" customHeight="1" x14ac:dyDescent="0.3">
      <c r="A1513" s="34" t="s">
        <v>36</v>
      </c>
      <c r="B1513" s="61" t="s">
        <v>162</v>
      </c>
      <c r="C1513" s="61" t="s">
        <v>164</v>
      </c>
      <c r="D1513" s="69"/>
      <c r="E1513" s="74"/>
      <c r="F1513" s="80">
        <f>IFERROR(D1513*E1513,0)</f>
        <v>0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36</v>
      </c>
      <c r="B1514" s="60" t="s">
        <v>155</v>
      </c>
      <c r="C1514" s="60" t="s">
        <v>161</v>
      </c>
      <c r="D1514" s="68">
        <v>1</v>
      </c>
      <c r="E1514" s="73">
        <v>38865.14</v>
      </c>
      <c r="F1514" s="79">
        <f>IFERROR(E1514,0)</f>
        <v>38865.14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2" t="s">
        <v>36</v>
      </c>
      <c r="B1515" s="60" t="s">
        <v>155</v>
      </c>
      <c r="C1515" s="60" t="s">
        <v>167</v>
      </c>
      <c r="D1515" s="68">
        <v>8</v>
      </c>
      <c r="E1515" s="73">
        <v>9.85</v>
      </c>
      <c r="F1515" s="79">
        <f>IFERROR(D1515*E1515,0)</f>
        <v>78.8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36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36</v>
      </c>
      <c r="B1517" s="60" t="s">
        <v>155</v>
      </c>
      <c r="C1517" s="60" t="s">
        <v>166</v>
      </c>
      <c r="D1517" s="68">
        <v>8</v>
      </c>
      <c r="E1517" s="73">
        <v>50</v>
      </c>
      <c r="F1517" s="79">
        <f>IFERROR(D1517*E1517,0)</f>
        <v>400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34" t="s">
        <v>36</v>
      </c>
      <c r="B1518" s="61" t="s">
        <v>155</v>
      </c>
      <c r="C1518" s="61" t="s">
        <v>219</v>
      </c>
      <c r="D1518" s="69">
        <v>1</v>
      </c>
      <c r="E1518" s="74">
        <v>29185.01</v>
      </c>
      <c r="F1518" s="80">
        <f>IFERROR(D1518*E1518,0)</f>
        <v>29185.01</v>
      </c>
      <c r="G1518" s="61" t="str">
        <f>INDEX(SETORES!$B:$B,MATCH(A1518,SETORES!$A:$A,0))</f>
        <v>Clientes</v>
      </c>
      <c r="H1518" s="61" t="s">
        <v>11</v>
      </c>
    </row>
    <row r="1519" spans="1:8" ht="14.25" hidden="1" customHeight="1" x14ac:dyDescent="0.3">
      <c r="A1519" s="34" t="s">
        <v>36</v>
      </c>
      <c r="B1519" s="61" t="s">
        <v>155</v>
      </c>
      <c r="C1519" s="61" t="s">
        <v>156</v>
      </c>
      <c r="D1519" s="69">
        <v>8</v>
      </c>
      <c r="E1519" s="74">
        <v>2.75</v>
      </c>
      <c r="F1519" s="80">
        <v>22</v>
      </c>
      <c r="G1519" s="61" t="str">
        <f>INDEX(SETORES!$B:$B,MATCH(A1519,SETORES!$A:$A,0))</f>
        <v>Clientes</v>
      </c>
      <c r="H1519" s="61" t="s">
        <v>11</v>
      </c>
    </row>
    <row r="1520" spans="1:8" ht="14.25" hidden="1" customHeight="1" x14ac:dyDescent="0.3">
      <c r="A1520" s="2" t="s">
        <v>36</v>
      </c>
      <c r="B1520" s="60" t="s">
        <v>155</v>
      </c>
      <c r="C1520" s="60" t="s">
        <v>157</v>
      </c>
      <c r="D1520" s="68">
        <v>1</v>
      </c>
      <c r="E1520" s="73">
        <v>138.53</v>
      </c>
      <c r="F1520" s="79">
        <v>138.53</v>
      </c>
      <c r="G1520" s="60" t="str">
        <f>INDEX(SETORES!$B:$B,MATCH(A1520,SETORES!$A:$A,0))</f>
        <v>Clientes</v>
      </c>
      <c r="H1520" s="60" t="s">
        <v>11</v>
      </c>
    </row>
    <row r="1521" spans="1:8" ht="14.25" hidden="1" customHeight="1" x14ac:dyDescent="0.3">
      <c r="A1521" s="34" t="s">
        <v>36</v>
      </c>
      <c r="B1521" s="61" t="s">
        <v>155</v>
      </c>
      <c r="C1521" s="61" t="s">
        <v>173</v>
      </c>
      <c r="D1521" s="69">
        <v>1</v>
      </c>
      <c r="E1521" s="74">
        <v>1649.77</v>
      </c>
      <c r="F1521" s="80">
        <f>IFERROR(D1521*E1521,0)</f>
        <v>1649.77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36</v>
      </c>
      <c r="B1522" s="60" t="s">
        <v>162</v>
      </c>
      <c r="C1522" s="60" t="s">
        <v>222</v>
      </c>
      <c r="D1522" s="68"/>
      <c r="E1522" s="73"/>
      <c r="F1522" s="79">
        <f>IFERROR(D1522*E1522,0)</f>
        <v>0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36</v>
      </c>
      <c r="B1523" s="61" t="s">
        <v>155</v>
      </c>
      <c r="C1523" s="61" t="s">
        <v>168</v>
      </c>
      <c r="D1523" s="69">
        <v>8</v>
      </c>
      <c r="E1523" s="74">
        <v>2.04</v>
      </c>
      <c r="F1523" s="80">
        <f>IFERROR(D1523*E1523,0)</f>
        <v>16.32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34" t="s">
        <v>36</v>
      </c>
      <c r="B1524" s="61" t="s">
        <v>155</v>
      </c>
      <c r="C1524" s="61" t="s">
        <v>160</v>
      </c>
      <c r="D1524" s="69"/>
      <c r="E1524" s="74"/>
      <c r="F1524" s="80">
        <f>IFERROR(D1524*E1524,0)</f>
        <v>0</v>
      </c>
      <c r="G1524" s="61" t="str">
        <f>INDEX(SETORES!$B:$B,MATCH(A1524,SETORES!$A:$A,0))</f>
        <v>Clientes</v>
      </c>
      <c r="H1524" s="61" t="s">
        <v>11</v>
      </c>
    </row>
    <row r="1525" spans="1:8" ht="14.25" hidden="1" customHeight="1" x14ac:dyDescent="0.3">
      <c r="A1525" s="2" t="s">
        <v>81</v>
      </c>
      <c r="B1525" s="60" t="s">
        <v>155</v>
      </c>
      <c r="C1525" s="60" t="s">
        <v>212</v>
      </c>
      <c r="D1525" s="68">
        <v>2</v>
      </c>
      <c r="E1525" s="73">
        <v>30</v>
      </c>
      <c r="F1525" s="79">
        <f>IFERROR(D1525*E1525,0)</f>
        <v>60</v>
      </c>
      <c r="G1525" s="60" t="str">
        <f>INDEX(SETORES!$B:$B,MATCH(A1525,SETORES!$A:$A,0))</f>
        <v>Clientes</v>
      </c>
      <c r="H1525" s="60" t="s">
        <v>11</v>
      </c>
    </row>
    <row r="1526" spans="1:8" ht="14.25" customHeight="1" x14ac:dyDescent="0.3">
      <c r="A1526" s="34" t="s">
        <v>81</v>
      </c>
      <c r="B1526" s="61" t="s">
        <v>155</v>
      </c>
      <c r="C1526" s="61" t="s">
        <v>171</v>
      </c>
      <c r="D1526" s="69">
        <v>2</v>
      </c>
      <c r="E1526" s="73">
        <v>51.12</v>
      </c>
      <c r="F1526" s="80">
        <f>IFERROR(D1526*E1526,0)</f>
        <v>102.24</v>
      </c>
      <c r="G1526" s="61" t="s">
        <v>98</v>
      </c>
      <c r="H1526" s="61" t="s">
        <v>11</v>
      </c>
    </row>
    <row r="1527" spans="1:8" ht="14.25" hidden="1" customHeight="1" x14ac:dyDescent="0.3">
      <c r="A1527" s="2" t="s">
        <v>81</v>
      </c>
      <c r="B1527" s="60" t="s">
        <v>155</v>
      </c>
      <c r="C1527" s="60" t="s">
        <v>170</v>
      </c>
      <c r="D1527" s="68">
        <v>2</v>
      </c>
      <c r="E1527" s="73">
        <v>31.33</v>
      </c>
      <c r="F1527" s="79">
        <f>IFERROR(D1527*E1527,0)</f>
        <v>62.66</v>
      </c>
      <c r="G1527" s="61" t="s">
        <v>98</v>
      </c>
      <c r="H1527" s="60" t="s">
        <v>11</v>
      </c>
    </row>
    <row r="1528" spans="1:8" ht="14.25" hidden="1" customHeight="1" x14ac:dyDescent="0.3">
      <c r="A1528" s="2" t="s">
        <v>81</v>
      </c>
      <c r="B1528" s="60" t="s">
        <v>155</v>
      </c>
      <c r="C1528" s="60" t="s">
        <v>169</v>
      </c>
      <c r="D1528" s="68">
        <v>2</v>
      </c>
      <c r="E1528" s="73">
        <v>63.75</v>
      </c>
      <c r="F1528" s="79">
        <f>IFERROR(D1528*E1528,0)</f>
        <v>127.5</v>
      </c>
      <c r="G1528" s="61" t="s">
        <v>98</v>
      </c>
      <c r="H1528" s="60" t="s">
        <v>11</v>
      </c>
    </row>
    <row r="1529" spans="1:8" ht="14.25" hidden="1" customHeight="1" x14ac:dyDescent="0.3">
      <c r="A1529" s="2" t="s">
        <v>81</v>
      </c>
      <c r="B1529" s="60" t="s">
        <v>155</v>
      </c>
      <c r="C1529" s="60" t="s">
        <v>161</v>
      </c>
      <c r="D1529" s="68">
        <v>1</v>
      </c>
      <c r="E1529" s="73">
        <v>12859.26</v>
      </c>
      <c r="F1529" s="79">
        <f>IFERROR(E1529,0)</f>
        <v>12859.26</v>
      </c>
      <c r="G1529" s="60" t="str">
        <f>INDEX(SETORES!$B:$B,MATCH(A1529,SETORES!$A:$A,0))</f>
        <v>Clientes</v>
      </c>
      <c r="H1529" s="60" t="s">
        <v>11</v>
      </c>
    </row>
    <row r="1530" spans="1:8" ht="14.25" hidden="1" customHeight="1" x14ac:dyDescent="0.3">
      <c r="A1530" s="34" t="s">
        <v>81</v>
      </c>
      <c r="B1530" s="61" t="s">
        <v>155</v>
      </c>
      <c r="C1530" s="61" t="s">
        <v>167</v>
      </c>
      <c r="D1530" s="69">
        <v>2</v>
      </c>
      <c r="E1530" s="74">
        <v>9.85</v>
      </c>
      <c r="F1530" s="80">
        <f>IFERROR(D1530*E1530,0)</f>
        <v>19.7</v>
      </c>
      <c r="G1530" s="61" t="str">
        <f>INDEX(SETORES!$B:$B,MATCH(A1530,SETORES!$A:$A,0))</f>
        <v>Clientes</v>
      </c>
      <c r="H1530" s="61" t="s">
        <v>11</v>
      </c>
    </row>
    <row r="1531" spans="1:8" ht="14.25" hidden="1" customHeight="1" x14ac:dyDescent="0.3">
      <c r="A1531" s="2" t="s">
        <v>81</v>
      </c>
      <c r="B1531" s="60" t="s">
        <v>155</v>
      </c>
      <c r="C1531" s="60" t="s">
        <v>238</v>
      </c>
      <c r="D1531" s="68">
        <v>1</v>
      </c>
      <c r="E1531" s="73">
        <v>2.2727279999999999</v>
      </c>
      <c r="F1531" s="79">
        <f>IFERROR(D1531*E1531,0)</f>
        <v>2.2727279999999999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81</v>
      </c>
      <c r="B1532" s="61" t="s">
        <v>155</v>
      </c>
      <c r="C1532" s="61" t="s">
        <v>166</v>
      </c>
      <c r="D1532" s="69">
        <v>2</v>
      </c>
      <c r="E1532" s="74">
        <v>50</v>
      </c>
      <c r="F1532" s="80">
        <f>IFERROR(D1532*E1532,0)</f>
        <v>100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81</v>
      </c>
      <c r="B1533" s="60" t="s">
        <v>155</v>
      </c>
      <c r="C1533" s="60" t="s">
        <v>157</v>
      </c>
      <c r="D1533" s="68">
        <v>1</v>
      </c>
      <c r="E1533" s="73">
        <v>50.68</v>
      </c>
      <c r="F1533" s="79">
        <v>50.68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81</v>
      </c>
      <c r="B1534" s="61" t="s">
        <v>162</v>
      </c>
      <c r="C1534" s="61" t="s">
        <v>222</v>
      </c>
      <c r="D1534" s="69"/>
      <c r="E1534" s="74"/>
      <c r="F1534" s="80">
        <f>IFERROR(D1534*E1534,0)</f>
        <v>0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2" t="s">
        <v>81</v>
      </c>
      <c r="B1535" s="60" t="s">
        <v>155</v>
      </c>
      <c r="C1535" s="60" t="s">
        <v>168</v>
      </c>
      <c r="D1535" s="68">
        <v>2</v>
      </c>
      <c r="E1535" s="73">
        <v>2.04</v>
      </c>
      <c r="F1535" s="79">
        <f>IFERROR(D1535*E1535,0)</f>
        <v>4.08</v>
      </c>
      <c r="G1535" s="60" t="str">
        <f>INDEX(SETORES!$B:$B,MATCH(A1535,SETORES!$A:$A,0))</f>
        <v>Clientes</v>
      </c>
      <c r="H1535" s="60" t="s">
        <v>11</v>
      </c>
    </row>
    <row r="1536" spans="1:8" ht="14.25" hidden="1" customHeight="1" x14ac:dyDescent="0.3">
      <c r="A1536" s="34" t="s">
        <v>82</v>
      </c>
      <c r="B1536" s="61" t="s">
        <v>162</v>
      </c>
      <c r="C1536" s="61" t="s">
        <v>217</v>
      </c>
      <c r="D1536" s="69">
        <v>1</v>
      </c>
      <c r="E1536" s="74">
        <v>10705.67</v>
      </c>
      <c r="F1536" s="80">
        <f>IFERROR(D1536*E1536,0)</f>
        <v>10705.67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2" t="s">
        <v>82</v>
      </c>
      <c r="B1537" s="60" t="s">
        <v>155</v>
      </c>
      <c r="C1537" s="60" t="s">
        <v>250</v>
      </c>
      <c r="D1537" s="68">
        <v>1</v>
      </c>
      <c r="E1537" s="73">
        <v>1613.07</v>
      </c>
      <c r="F1537" s="79">
        <f>IFERROR(D1537*E1537,0)</f>
        <v>1613.07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82</v>
      </c>
      <c r="B1538" s="61" t="s">
        <v>155</v>
      </c>
      <c r="C1538" s="61" t="s">
        <v>251</v>
      </c>
      <c r="D1538" s="69">
        <v>1</v>
      </c>
      <c r="E1538" s="74">
        <v>3357.2</v>
      </c>
      <c r="F1538" s="80">
        <f>IFERROR(D1538*E1538,0)</f>
        <v>3357.2</v>
      </c>
      <c r="G1538" s="61" t="str">
        <f>INDEX(SETORES!$B:$B,MATCH(A1538,SETORES!$A:$A,0))</f>
        <v>Clientes</v>
      </c>
      <c r="H1538" s="61" t="s">
        <v>11</v>
      </c>
    </row>
    <row r="1539" spans="1:8" ht="14.25" customHeight="1" x14ac:dyDescent="0.3">
      <c r="A1539" s="34" t="s">
        <v>82</v>
      </c>
      <c r="B1539" s="61" t="s">
        <v>155</v>
      </c>
      <c r="C1539" s="61" t="s">
        <v>171</v>
      </c>
      <c r="D1539" s="69">
        <v>9</v>
      </c>
      <c r="E1539" s="73">
        <v>51.12</v>
      </c>
      <c r="F1539" s="80">
        <f>IFERROR(D1539*E1539,0)</f>
        <v>460.08</v>
      </c>
      <c r="G1539" s="61" t="s">
        <v>98</v>
      </c>
      <c r="H1539" s="61" t="s">
        <v>11</v>
      </c>
    </row>
    <row r="1540" spans="1:8" ht="14.25" hidden="1" customHeight="1" x14ac:dyDescent="0.3">
      <c r="A1540" s="2" t="s">
        <v>82</v>
      </c>
      <c r="B1540" s="60" t="s">
        <v>155</v>
      </c>
      <c r="C1540" s="60" t="s">
        <v>170</v>
      </c>
      <c r="D1540" s="68">
        <v>9</v>
      </c>
      <c r="E1540" s="73">
        <v>31.33</v>
      </c>
      <c r="F1540" s="79">
        <f>IFERROR(D1540*E1540,0)</f>
        <v>281.96999999999997</v>
      </c>
      <c r="G1540" s="61" t="s">
        <v>98</v>
      </c>
      <c r="H1540" s="60" t="s">
        <v>11</v>
      </c>
    </row>
    <row r="1541" spans="1:8" ht="14.25" hidden="1" customHeight="1" x14ac:dyDescent="0.3">
      <c r="A1541" s="2" t="s">
        <v>82</v>
      </c>
      <c r="B1541" s="60" t="s">
        <v>155</v>
      </c>
      <c r="C1541" s="60" t="s">
        <v>169</v>
      </c>
      <c r="D1541" s="68">
        <v>9</v>
      </c>
      <c r="E1541" s="73">
        <v>63.75</v>
      </c>
      <c r="F1541" s="79">
        <f>IFERROR(D1541*E1541,0)</f>
        <v>573.75</v>
      </c>
      <c r="G1541" s="61" t="s">
        <v>98</v>
      </c>
      <c r="H1541" s="60" t="s">
        <v>11</v>
      </c>
    </row>
    <row r="1542" spans="1:8" ht="14.25" hidden="1" customHeight="1" x14ac:dyDescent="0.3">
      <c r="A1542" s="2" t="s">
        <v>82</v>
      </c>
      <c r="B1542" s="60" t="s">
        <v>162</v>
      </c>
      <c r="C1542" s="60" t="s">
        <v>221</v>
      </c>
      <c r="D1542" s="68">
        <v>1</v>
      </c>
      <c r="E1542" s="73">
        <v>2848.49</v>
      </c>
      <c r="F1542" s="79">
        <f>IFERROR(D1542*E1542,0)</f>
        <v>2848.49</v>
      </c>
      <c r="G1542" s="60" t="str">
        <f>INDEX(SETORES!$B:$B,MATCH(A1542,SETORES!$A:$A,0))</f>
        <v>Clientes</v>
      </c>
      <c r="H1542" s="60" t="s">
        <v>11</v>
      </c>
    </row>
    <row r="1543" spans="1:8" ht="14.25" hidden="1" customHeight="1" x14ac:dyDescent="0.3">
      <c r="A1543" s="2" t="s">
        <v>82</v>
      </c>
      <c r="B1543" s="60" t="s">
        <v>155</v>
      </c>
      <c r="C1543" s="60" t="s">
        <v>161</v>
      </c>
      <c r="D1543" s="68">
        <v>1</v>
      </c>
      <c r="E1543" s="73">
        <v>86186.53</v>
      </c>
      <c r="F1543" s="79">
        <f>IFERROR(E1543,0)</f>
        <v>86186.53</v>
      </c>
      <c r="G1543" s="60" t="str">
        <f>INDEX(SETORES!$B:$B,MATCH(A1543,SETORES!$A:$A,0))</f>
        <v>Clientes</v>
      </c>
      <c r="H1543" s="60" t="s">
        <v>11</v>
      </c>
    </row>
    <row r="1544" spans="1:8" ht="14.25" hidden="1" customHeight="1" x14ac:dyDescent="0.3">
      <c r="A1544" s="34" t="s">
        <v>82</v>
      </c>
      <c r="B1544" s="61" t="s">
        <v>155</v>
      </c>
      <c r="C1544" s="61" t="s">
        <v>167</v>
      </c>
      <c r="D1544" s="69">
        <v>9</v>
      </c>
      <c r="E1544" s="74">
        <v>9.85</v>
      </c>
      <c r="F1544" s="80">
        <f>IFERROR(D1544*E1544,0)</f>
        <v>88.649999999999991</v>
      </c>
      <c r="G1544" s="61" t="str">
        <f>INDEX(SETORES!$B:$B,MATCH(A1544,SETORES!$A:$A,0))</f>
        <v>Clientes</v>
      </c>
      <c r="H1544" s="61" t="s">
        <v>11</v>
      </c>
    </row>
    <row r="1545" spans="1:8" ht="14.25" hidden="1" customHeight="1" x14ac:dyDescent="0.3">
      <c r="A1545" s="34" t="s">
        <v>82</v>
      </c>
      <c r="B1545" s="61" t="s">
        <v>155</v>
      </c>
      <c r="C1545" s="61" t="s">
        <v>166</v>
      </c>
      <c r="D1545" s="69">
        <v>10</v>
      </c>
      <c r="E1545" s="74">
        <v>50</v>
      </c>
      <c r="F1545" s="80">
        <f>IFERROR(D1545*E1545,0)</f>
        <v>500</v>
      </c>
      <c r="G1545" s="61" t="str">
        <f>INDEX(SETORES!$B:$B,MATCH(A1545,SETORES!$A:$A,0))</f>
        <v>Clientes</v>
      </c>
      <c r="H1545" s="61" t="s">
        <v>11</v>
      </c>
    </row>
    <row r="1546" spans="1:8" ht="14.25" hidden="1" customHeight="1" x14ac:dyDescent="0.3">
      <c r="A1546" s="2" t="s">
        <v>82</v>
      </c>
      <c r="B1546" s="60" t="s">
        <v>162</v>
      </c>
      <c r="C1546" s="60" t="s">
        <v>222</v>
      </c>
      <c r="D1546" s="68"/>
      <c r="E1546" s="73"/>
      <c r="F1546" s="79">
        <f>IFERROR(D1546*E1546,0)</f>
        <v>0</v>
      </c>
      <c r="G1546" s="60" t="str">
        <f>INDEX(SETORES!$B:$B,MATCH(A1546,SETORES!$A:$A,0))</f>
        <v>Clientes</v>
      </c>
      <c r="H1546" s="60" t="s">
        <v>11</v>
      </c>
    </row>
    <row r="1547" spans="1:8" ht="14.25" hidden="1" customHeight="1" x14ac:dyDescent="0.3">
      <c r="A1547" s="2" t="s">
        <v>82</v>
      </c>
      <c r="B1547" s="60" t="s">
        <v>155</v>
      </c>
      <c r="C1547" s="60" t="s">
        <v>168</v>
      </c>
      <c r="D1547" s="68">
        <v>9</v>
      </c>
      <c r="E1547" s="73">
        <v>2.04</v>
      </c>
      <c r="F1547" s="79">
        <f>IFERROR(D1547*E1547,0)</f>
        <v>18.36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2" t="s">
        <v>34</v>
      </c>
      <c r="B1548" s="60" t="s">
        <v>155</v>
      </c>
      <c r="C1548" s="60" t="s">
        <v>159</v>
      </c>
      <c r="D1548" s="68">
        <v>1</v>
      </c>
      <c r="E1548" s="73">
        <v>0.125</v>
      </c>
      <c r="F1548" s="79">
        <v>0.125</v>
      </c>
      <c r="G1548" s="60" t="str">
        <f>INDEX(SETORES!$B:$B,MATCH(A1548,SETORES!$A:$A,0))</f>
        <v>Clientes</v>
      </c>
      <c r="H1548" s="60" t="s">
        <v>11</v>
      </c>
    </row>
    <row r="1549" spans="1:8" ht="14.25" hidden="1" customHeight="1" x14ac:dyDescent="0.3">
      <c r="A1549" s="34" t="s">
        <v>34</v>
      </c>
      <c r="B1549" s="61" t="s">
        <v>155</v>
      </c>
      <c r="C1549" s="61" t="s">
        <v>212</v>
      </c>
      <c r="D1549" s="69">
        <v>2</v>
      </c>
      <c r="E1549" s="74">
        <v>30</v>
      </c>
      <c r="F1549" s="80">
        <f>IFERROR(D1549*E1549,0)</f>
        <v>60</v>
      </c>
      <c r="G1549" s="61" t="str">
        <f>INDEX(SETORES!$B:$B,MATCH(A1549,SETORES!$A:$A,0))</f>
        <v>Clientes</v>
      </c>
      <c r="H1549" s="61" t="s">
        <v>11</v>
      </c>
    </row>
    <row r="1550" spans="1:8" ht="14.25" hidden="1" customHeight="1" x14ac:dyDescent="0.3">
      <c r="A1550" s="34" t="s">
        <v>34</v>
      </c>
      <c r="B1550" s="61" t="s">
        <v>155</v>
      </c>
      <c r="C1550" s="61" t="s">
        <v>248</v>
      </c>
      <c r="D1550" s="69">
        <v>1</v>
      </c>
      <c r="E1550" s="74">
        <v>2962.14</v>
      </c>
      <c r="F1550" s="80">
        <f>IFERROR(D1550*E1550,0)</f>
        <v>2962.14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34" t="s">
        <v>34</v>
      </c>
      <c r="B1551" s="61" t="s">
        <v>155</v>
      </c>
      <c r="C1551" s="61" t="s">
        <v>158</v>
      </c>
      <c r="D1551" s="69">
        <v>1</v>
      </c>
      <c r="E1551" s="74">
        <v>43.786099999999998</v>
      </c>
      <c r="F1551" s="80">
        <v>43.786099999999998</v>
      </c>
      <c r="G1551" s="61" t="str">
        <f>INDEX(SETORES!$B:$B,MATCH(A1551,SETORES!$A:$A,0))</f>
        <v>Clientes</v>
      </c>
      <c r="H1551" s="61" t="s">
        <v>11</v>
      </c>
    </row>
    <row r="1552" spans="1:8" ht="14.25" hidden="1" customHeight="1" x14ac:dyDescent="0.3">
      <c r="A1552" s="34" t="s">
        <v>34</v>
      </c>
      <c r="B1552" s="61" t="s">
        <v>162</v>
      </c>
      <c r="C1552" s="61" t="s">
        <v>165</v>
      </c>
      <c r="D1552" s="69"/>
      <c r="E1552" s="74"/>
      <c r="F1552" s="80">
        <f>IFERROR(D1552*E1552,0)</f>
        <v>0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34" t="s">
        <v>34</v>
      </c>
      <c r="B1553" s="61" t="s">
        <v>162</v>
      </c>
      <c r="C1553" s="61" t="s">
        <v>163</v>
      </c>
      <c r="D1553" s="69"/>
      <c r="E1553" s="74"/>
      <c r="F1553" s="80">
        <f>IFERROR(D1553*E1553,0)</f>
        <v>0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2" t="s">
        <v>34</v>
      </c>
      <c r="B1554" s="60" t="s">
        <v>162</v>
      </c>
      <c r="C1554" s="60" t="s">
        <v>164</v>
      </c>
      <c r="D1554" s="68">
        <v>1</v>
      </c>
      <c r="E1554" s="73">
        <v>38</v>
      </c>
      <c r="F1554" s="79">
        <f>IFERROR(D1554*E1554,0)</f>
        <v>38</v>
      </c>
      <c r="G1554" s="60" t="str">
        <f>INDEX(SETORES!$B:$B,MATCH(A1554,SETORES!$A:$A,0))</f>
        <v>Clientes</v>
      </c>
      <c r="H1554" s="60" t="s">
        <v>11</v>
      </c>
    </row>
    <row r="1555" spans="1:8" ht="14.25" hidden="1" customHeight="1" x14ac:dyDescent="0.3">
      <c r="A1555" s="2" t="s">
        <v>34</v>
      </c>
      <c r="B1555" s="60" t="s">
        <v>155</v>
      </c>
      <c r="C1555" s="60" t="s">
        <v>161</v>
      </c>
      <c r="D1555" s="68">
        <v>1</v>
      </c>
      <c r="E1555" s="73">
        <v>19835.21</v>
      </c>
      <c r="F1555" s="79">
        <f>IFERROR(E1555,0)</f>
        <v>19835.21</v>
      </c>
      <c r="G1555" s="60" t="str">
        <f>INDEX(SETORES!$B:$B,MATCH(A1555,SETORES!$A:$A,0))</f>
        <v>Clientes</v>
      </c>
      <c r="H1555" s="60" t="s">
        <v>11</v>
      </c>
    </row>
    <row r="1556" spans="1:8" ht="14.25" hidden="1" customHeight="1" x14ac:dyDescent="0.3">
      <c r="A1556" s="34" t="s">
        <v>34</v>
      </c>
      <c r="B1556" s="61" t="s">
        <v>155</v>
      </c>
      <c r="C1556" s="61" t="s">
        <v>167</v>
      </c>
      <c r="D1556" s="69">
        <v>5</v>
      </c>
      <c r="E1556" s="74">
        <v>9.85</v>
      </c>
      <c r="F1556" s="80">
        <f>IFERROR(D1556*E1556,0)</f>
        <v>49.25</v>
      </c>
      <c r="G1556" s="61" t="str">
        <f>INDEX(SETORES!$B:$B,MATCH(A1556,SETORES!$A:$A,0))</f>
        <v>Clientes</v>
      </c>
      <c r="H1556" s="61" t="s">
        <v>11</v>
      </c>
    </row>
    <row r="1557" spans="1:8" ht="14.25" hidden="1" customHeight="1" x14ac:dyDescent="0.3">
      <c r="A1557" s="34" t="s">
        <v>34</v>
      </c>
      <c r="B1557" s="61" t="s">
        <v>155</v>
      </c>
      <c r="C1557" s="61" t="s">
        <v>238</v>
      </c>
      <c r="D1557" s="69">
        <v>1</v>
      </c>
      <c r="E1557" s="74">
        <v>5.6818200000000001</v>
      </c>
      <c r="F1557" s="80">
        <f>IFERROR(D1557*E1557,0)</f>
        <v>5.6818200000000001</v>
      </c>
      <c r="G1557" s="61" t="str">
        <f>INDEX(SETORES!$B:$B,MATCH(A1557,SETORES!$A:$A,0))</f>
        <v>Clientes</v>
      </c>
      <c r="H1557" s="61" t="s">
        <v>11</v>
      </c>
    </row>
    <row r="1558" spans="1:8" ht="14.25" hidden="1" customHeight="1" x14ac:dyDescent="0.3">
      <c r="A1558" s="2" t="s">
        <v>34</v>
      </c>
      <c r="B1558" s="60" t="s">
        <v>155</v>
      </c>
      <c r="C1558" s="60" t="s">
        <v>166</v>
      </c>
      <c r="D1558" s="68">
        <v>8</v>
      </c>
      <c r="E1558" s="73">
        <v>50</v>
      </c>
      <c r="F1558" s="79">
        <f>IFERROR(D1558*E1558,0)</f>
        <v>400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34" t="s">
        <v>34</v>
      </c>
      <c r="B1559" s="61" t="s">
        <v>155</v>
      </c>
      <c r="C1559" s="61" t="s">
        <v>156</v>
      </c>
      <c r="D1559" s="69">
        <v>5</v>
      </c>
      <c r="E1559" s="74">
        <v>28</v>
      </c>
      <c r="F1559" s="80">
        <v>140</v>
      </c>
      <c r="G1559" s="61" t="str">
        <f>INDEX(SETORES!$B:$B,MATCH(A1559,SETORES!$A:$A,0))</f>
        <v>Clientes</v>
      </c>
      <c r="H1559" s="61" t="s">
        <v>11</v>
      </c>
    </row>
    <row r="1560" spans="1:8" ht="14.25" hidden="1" customHeight="1" x14ac:dyDescent="0.3">
      <c r="A1560" s="2" t="s">
        <v>34</v>
      </c>
      <c r="B1560" s="60" t="s">
        <v>155</v>
      </c>
      <c r="C1560" s="60" t="s">
        <v>157</v>
      </c>
      <c r="D1560" s="68">
        <v>1</v>
      </c>
      <c r="E1560" s="73">
        <v>184.6</v>
      </c>
      <c r="F1560" s="79">
        <v>184.6</v>
      </c>
      <c r="G1560" s="60" t="str">
        <f>INDEX(SETORES!$B:$B,MATCH(A1560,SETORES!$A:$A,0))</f>
        <v>Clientes</v>
      </c>
      <c r="H1560" s="60" t="s">
        <v>11</v>
      </c>
    </row>
    <row r="1561" spans="1:8" ht="14.25" hidden="1" customHeight="1" x14ac:dyDescent="0.3">
      <c r="A1561" s="34" t="s">
        <v>34</v>
      </c>
      <c r="B1561" s="61" t="s">
        <v>162</v>
      </c>
      <c r="C1561" s="61" t="s">
        <v>222</v>
      </c>
      <c r="D1561" s="69"/>
      <c r="E1561" s="74"/>
      <c r="F1561" s="80">
        <f>IFERROR(D1561*E1561,0)</f>
        <v>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34</v>
      </c>
      <c r="B1562" s="60" t="s">
        <v>155</v>
      </c>
      <c r="C1562" s="60" t="s">
        <v>168</v>
      </c>
      <c r="D1562" s="68">
        <v>5</v>
      </c>
      <c r="E1562" s="73">
        <v>2.04</v>
      </c>
      <c r="F1562" s="79">
        <f>IFERROR(D1562*E1562,0)</f>
        <v>10.199999999999999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34" t="s">
        <v>34</v>
      </c>
      <c r="B1563" s="61" t="s">
        <v>155</v>
      </c>
      <c r="C1563" s="61" t="s">
        <v>160</v>
      </c>
      <c r="D1563" s="69"/>
      <c r="E1563" s="74"/>
      <c r="F1563" s="80">
        <f>IFERROR(D1563*E1563,0)</f>
        <v>0</v>
      </c>
      <c r="G1563" s="61" t="str">
        <f>INDEX(SETORES!$B:$B,MATCH(A1563,SETORES!$A:$A,0))</f>
        <v>Clientes</v>
      </c>
      <c r="H1563" s="61" t="s">
        <v>11</v>
      </c>
    </row>
    <row r="1564" spans="1:8" ht="14.25" hidden="1" customHeight="1" x14ac:dyDescent="0.3">
      <c r="A1564" s="2" t="s">
        <v>83</v>
      </c>
      <c r="B1564" s="60" t="s">
        <v>155</v>
      </c>
      <c r="C1564" s="60" t="s">
        <v>212</v>
      </c>
      <c r="D1564" s="68">
        <v>2</v>
      </c>
      <c r="E1564" s="73">
        <v>30</v>
      </c>
      <c r="F1564" s="79">
        <f>IFERROR(D1564*E1564,0)</f>
        <v>60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2" t="s">
        <v>83</v>
      </c>
      <c r="B1565" s="60" t="s">
        <v>162</v>
      </c>
      <c r="C1565" s="60" t="s">
        <v>217</v>
      </c>
      <c r="D1565" s="68">
        <v>1</v>
      </c>
      <c r="E1565" s="73">
        <v>1362.25</v>
      </c>
      <c r="F1565" s="79">
        <f>IFERROR(D1565*E1565,0)</f>
        <v>1362.25</v>
      </c>
      <c r="G1565" s="60" t="str">
        <f>INDEX(SETORES!$B:$B,MATCH(A1565,SETORES!$A:$A,0))</f>
        <v>Clientes</v>
      </c>
      <c r="H1565" s="60" t="s">
        <v>11</v>
      </c>
    </row>
    <row r="1566" spans="1:8" ht="14.25" hidden="1" customHeight="1" x14ac:dyDescent="0.3">
      <c r="A1566" s="2" t="s">
        <v>83</v>
      </c>
      <c r="B1566" s="60" t="s">
        <v>155</v>
      </c>
      <c r="C1566" s="60" t="s">
        <v>237</v>
      </c>
      <c r="D1566" s="68">
        <v>1</v>
      </c>
      <c r="E1566" s="73">
        <v>7500</v>
      </c>
      <c r="F1566" s="79">
        <f>IFERROR(D1566*E1566,0)</f>
        <v>7500</v>
      </c>
      <c r="G1566" s="60" t="str">
        <f>INDEX(SETORES!$B:$B,MATCH(A1566,SETORES!$A:$A,0))</f>
        <v>Clientes</v>
      </c>
      <c r="H1566" s="60" t="s">
        <v>11</v>
      </c>
    </row>
    <row r="1567" spans="1:8" ht="14.25" customHeight="1" x14ac:dyDescent="0.3">
      <c r="A1567" s="34" t="s">
        <v>83</v>
      </c>
      <c r="B1567" s="61" t="s">
        <v>155</v>
      </c>
      <c r="C1567" s="61" t="s">
        <v>171</v>
      </c>
      <c r="D1567" s="69">
        <v>2</v>
      </c>
      <c r="E1567" s="73">
        <v>51.12</v>
      </c>
      <c r="F1567" s="80">
        <f>IFERROR(D1567*E1567,0)</f>
        <v>102.24</v>
      </c>
      <c r="G1567" s="61" t="s">
        <v>98</v>
      </c>
      <c r="H1567" s="61" t="s">
        <v>11</v>
      </c>
    </row>
    <row r="1568" spans="1:8" ht="14.25" hidden="1" customHeight="1" x14ac:dyDescent="0.3">
      <c r="A1568" s="2" t="s">
        <v>83</v>
      </c>
      <c r="B1568" s="60" t="s">
        <v>155</v>
      </c>
      <c r="C1568" s="60" t="s">
        <v>170</v>
      </c>
      <c r="D1568" s="68">
        <v>2</v>
      </c>
      <c r="E1568" s="73">
        <v>31.33</v>
      </c>
      <c r="F1568" s="79">
        <f>IFERROR(D1568*E1568,0)</f>
        <v>62.66</v>
      </c>
      <c r="G1568" s="61" t="s">
        <v>98</v>
      </c>
      <c r="H1568" s="60" t="s">
        <v>11</v>
      </c>
    </row>
    <row r="1569" spans="1:8" ht="14.25" hidden="1" customHeight="1" x14ac:dyDescent="0.3">
      <c r="A1569" s="2" t="s">
        <v>83</v>
      </c>
      <c r="B1569" s="60" t="s">
        <v>155</v>
      </c>
      <c r="C1569" s="60" t="s">
        <v>169</v>
      </c>
      <c r="D1569" s="68">
        <v>2</v>
      </c>
      <c r="E1569" s="73">
        <v>63.75</v>
      </c>
      <c r="F1569" s="79">
        <f>IFERROR(D1569*E1569,0)</f>
        <v>127.5</v>
      </c>
      <c r="G1569" s="61" t="s">
        <v>98</v>
      </c>
      <c r="H1569" s="60" t="s">
        <v>11</v>
      </c>
    </row>
    <row r="1570" spans="1:8" ht="14.25" hidden="1" customHeight="1" x14ac:dyDescent="0.3">
      <c r="A1570" s="2" t="s">
        <v>83</v>
      </c>
      <c r="B1570" s="60" t="s">
        <v>155</v>
      </c>
      <c r="C1570" s="60" t="s">
        <v>161</v>
      </c>
      <c r="D1570" s="68">
        <v>1</v>
      </c>
      <c r="E1570" s="73">
        <v>6068.32</v>
      </c>
      <c r="F1570" s="79">
        <f>IFERROR(E1570,0)</f>
        <v>6068.32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34" t="s">
        <v>83</v>
      </c>
      <c r="B1571" s="61" t="s">
        <v>155</v>
      </c>
      <c r="C1571" s="61" t="s">
        <v>167</v>
      </c>
      <c r="D1571" s="69">
        <v>2</v>
      </c>
      <c r="E1571" s="74">
        <v>9.85</v>
      </c>
      <c r="F1571" s="80">
        <f>IFERROR(D1571*E1571,0)</f>
        <v>19.7</v>
      </c>
      <c r="G1571" s="61" t="str">
        <f>INDEX(SETORES!$B:$B,MATCH(A1571,SETORES!$A:$A,0))</f>
        <v>Clientes</v>
      </c>
      <c r="H1571" s="61" t="s">
        <v>11</v>
      </c>
    </row>
    <row r="1572" spans="1:8" ht="14.25" hidden="1" customHeight="1" x14ac:dyDescent="0.3">
      <c r="A1572" s="34" t="s">
        <v>83</v>
      </c>
      <c r="B1572" s="61" t="s">
        <v>155</v>
      </c>
      <c r="C1572" s="61" t="s">
        <v>166</v>
      </c>
      <c r="D1572" s="69">
        <v>2</v>
      </c>
      <c r="E1572" s="74">
        <v>50</v>
      </c>
      <c r="F1572" s="80">
        <f>IFERROR(D1572*E1572,0)</f>
        <v>100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83</v>
      </c>
      <c r="B1573" s="61" t="s">
        <v>155</v>
      </c>
      <c r="C1573" s="61" t="s">
        <v>157</v>
      </c>
      <c r="D1573" s="69">
        <v>1</v>
      </c>
      <c r="E1573" s="74">
        <v>151.19999999999999</v>
      </c>
      <c r="F1573" s="80">
        <v>151.19999999999999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83</v>
      </c>
      <c r="B1574" s="60" t="s">
        <v>162</v>
      </c>
      <c r="C1574" s="60" t="s">
        <v>222</v>
      </c>
      <c r="D1574" s="68"/>
      <c r="E1574" s="73"/>
      <c r="F1574" s="79">
        <f>IFERROR(D1574*E1574,0)</f>
        <v>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2" t="s">
        <v>83</v>
      </c>
      <c r="B1575" s="60" t="s">
        <v>155</v>
      </c>
      <c r="C1575" s="60" t="s">
        <v>168</v>
      </c>
      <c r="D1575" s="68">
        <v>2</v>
      </c>
      <c r="E1575" s="73">
        <v>2.04</v>
      </c>
      <c r="F1575" s="79">
        <f>IFERROR(D1575*E1575,0)</f>
        <v>4.08</v>
      </c>
      <c r="G1575" s="60" t="str">
        <f>INDEX(SETORES!$B:$B,MATCH(A1575,SETORES!$A:$A,0))</f>
        <v>Clientes</v>
      </c>
      <c r="H1575" s="60" t="s">
        <v>11</v>
      </c>
    </row>
    <row r="1576" spans="1:8" ht="14.25" hidden="1" customHeight="1" x14ac:dyDescent="0.3">
      <c r="A1576" s="2" t="s">
        <v>84</v>
      </c>
      <c r="B1576" s="60" t="s">
        <v>162</v>
      </c>
      <c r="C1576" s="60" t="s">
        <v>217</v>
      </c>
      <c r="D1576" s="68">
        <v>1</v>
      </c>
      <c r="E1576" s="73">
        <v>12957.78</v>
      </c>
      <c r="F1576" s="79">
        <f>IFERROR(D1576*E1576,0)</f>
        <v>12957.78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84</v>
      </c>
      <c r="B1577" s="61" t="s">
        <v>155</v>
      </c>
      <c r="C1577" s="61" t="s">
        <v>250</v>
      </c>
      <c r="D1577" s="69">
        <v>1</v>
      </c>
      <c r="E1577" s="74">
        <v>3763.83</v>
      </c>
      <c r="F1577" s="80">
        <f>IFERROR(D1577*E1577,0)</f>
        <v>3763.83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84</v>
      </c>
      <c r="B1578" s="60" t="s">
        <v>155</v>
      </c>
      <c r="C1578" s="60" t="s">
        <v>251</v>
      </c>
      <c r="D1578" s="68">
        <v>1</v>
      </c>
      <c r="E1578" s="73">
        <v>7833.47</v>
      </c>
      <c r="F1578" s="79">
        <f>IFERROR(D1578*E1578,0)</f>
        <v>7833.47</v>
      </c>
      <c r="G1578" s="60" t="str">
        <f>INDEX(SETORES!$B:$B,MATCH(A1578,SETORES!$A:$A,0))</f>
        <v>Clientes</v>
      </c>
      <c r="H1578" s="60" t="s">
        <v>11</v>
      </c>
    </row>
    <row r="1579" spans="1:8" ht="14.25" customHeight="1" x14ac:dyDescent="0.3">
      <c r="A1579" s="34" t="s">
        <v>84</v>
      </c>
      <c r="B1579" s="61" t="s">
        <v>155</v>
      </c>
      <c r="C1579" s="61" t="s">
        <v>171</v>
      </c>
      <c r="D1579" s="69">
        <v>21</v>
      </c>
      <c r="E1579" s="73">
        <v>51.12</v>
      </c>
      <c r="F1579" s="80">
        <f>IFERROR(D1579*E1579,0)</f>
        <v>1073.52</v>
      </c>
      <c r="G1579" s="61" t="s">
        <v>98</v>
      </c>
      <c r="H1579" s="61" t="s">
        <v>11</v>
      </c>
    </row>
    <row r="1580" spans="1:8" ht="14.25" hidden="1" customHeight="1" x14ac:dyDescent="0.3">
      <c r="A1580" s="2" t="s">
        <v>84</v>
      </c>
      <c r="B1580" s="60" t="s">
        <v>155</v>
      </c>
      <c r="C1580" s="60" t="s">
        <v>170</v>
      </c>
      <c r="D1580" s="68">
        <v>21</v>
      </c>
      <c r="E1580" s="73">
        <v>31.33</v>
      </c>
      <c r="F1580" s="79">
        <f>IFERROR(D1580*E1580,0)</f>
        <v>657.93</v>
      </c>
      <c r="G1580" s="61" t="s">
        <v>98</v>
      </c>
      <c r="H1580" s="60" t="s">
        <v>11</v>
      </c>
    </row>
    <row r="1581" spans="1:8" ht="14.25" hidden="1" customHeight="1" x14ac:dyDescent="0.3">
      <c r="A1581" s="2" t="s">
        <v>84</v>
      </c>
      <c r="B1581" s="60" t="s">
        <v>155</v>
      </c>
      <c r="C1581" s="60" t="s">
        <v>169</v>
      </c>
      <c r="D1581" s="68">
        <v>21</v>
      </c>
      <c r="E1581" s="73">
        <v>63.75</v>
      </c>
      <c r="F1581" s="79">
        <f>IFERROR(D1581*E1581,0)</f>
        <v>1338.75</v>
      </c>
      <c r="G1581" s="61" t="s">
        <v>98</v>
      </c>
      <c r="H1581" s="60" t="s">
        <v>11</v>
      </c>
    </row>
    <row r="1582" spans="1:8" ht="14.25" hidden="1" customHeight="1" x14ac:dyDescent="0.3">
      <c r="A1582" s="34" t="s">
        <v>84</v>
      </c>
      <c r="B1582" s="61" t="s">
        <v>162</v>
      </c>
      <c r="C1582" s="61" t="s">
        <v>221</v>
      </c>
      <c r="D1582" s="69">
        <v>1</v>
      </c>
      <c r="E1582" s="74">
        <v>2874.98</v>
      </c>
      <c r="F1582" s="80">
        <f>IFERROR(D1582*E1582,0)</f>
        <v>2874.98</v>
      </c>
      <c r="G1582" s="61" t="str">
        <f>INDEX(SETORES!$B:$B,MATCH(A1582,SETORES!$A:$A,0))</f>
        <v>Clientes</v>
      </c>
      <c r="H1582" s="61" t="s">
        <v>11</v>
      </c>
    </row>
    <row r="1583" spans="1:8" ht="14.25" hidden="1" customHeight="1" x14ac:dyDescent="0.3">
      <c r="A1583" s="34" t="s">
        <v>84</v>
      </c>
      <c r="B1583" s="61" t="s">
        <v>155</v>
      </c>
      <c r="C1583" s="61" t="s">
        <v>161</v>
      </c>
      <c r="D1583" s="69">
        <v>1</v>
      </c>
      <c r="E1583" s="74">
        <v>131034.59</v>
      </c>
      <c r="F1583" s="80">
        <f>IFERROR(E1583,0)</f>
        <v>131034.59</v>
      </c>
      <c r="G1583" s="61" t="str">
        <f>INDEX(SETORES!$B:$B,MATCH(A1583,SETORES!$A:$A,0))</f>
        <v>Clientes</v>
      </c>
      <c r="H1583" s="61" t="s">
        <v>11</v>
      </c>
    </row>
    <row r="1584" spans="1:8" ht="14.25" hidden="1" customHeight="1" x14ac:dyDescent="0.3">
      <c r="A1584" s="34" t="s">
        <v>84</v>
      </c>
      <c r="B1584" s="61" t="s">
        <v>155</v>
      </c>
      <c r="C1584" s="61" t="s">
        <v>167</v>
      </c>
      <c r="D1584" s="69">
        <v>21</v>
      </c>
      <c r="E1584" s="74">
        <v>9.85</v>
      </c>
      <c r="F1584" s="80">
        <f>IFERROR(D1584*E1584,0)</f>
        <v>206.85</v>
      </c>
      <c r="G1584" s="61" t="str">
        <f>INDEX(SETORES!$B:$B,MATCH(A1584,SETORES!$A:$A,0))</f>
        <v>Clientes</v>
      </c>
      <c r="H1584" s="61" t="s">
        <v>11</v>
      </c>
    </row>
    <row r="1585" spans="1:8" ht="14.25" hidden="1" customHeight="1" x14ac:dyDescent="0.3">
      <c r="A1585" s="34" t="s">
        <v>84</v>
      </c>
      <c r="B1585" s="61" t="s">
        <v>155</v>
      </c>
      <c r="C1585" s="61" t="s">
        <v>166</v>
      </c>
      <c r="D1585" s="69">
        <v>21</v>
      </c>
      <c r="E1585" s="74">
        <v>50</v>
      </c>
      <c r="F1585" s="80">
        <f>IFERROR(D1585*E1585,0)</f>
        <v>1050</v>
      </c>
      <c r="G1585" s="61" t="str">
        <f>INDEX(SETORES!$B:$B,MATCH(A1585,SETORES!$A:$A,0))</f>
        <v>Clientes</v>
      </c>
      <c r="H1585" s="61" t="s">
        <v>11</v>
      </c>
    </row>
    <row r="1586" spans="1:8" ht="14.25" hidden="1" customHeight="1" x14ac:dyDescent="0.3">
      <c r="A1586" s="2" t="s">
        <v>84</v>
      </c>
      <c r="B1586" s="60" t="s">
        <v>155</v>
      </c>
      <c r="C1586" s="60" t="s">
        <v>168</v>
      </c>
      <c r="D1586" s="68">
        <v>21</v>
      </c>
      <c r="E1586" s="73">
        <v>2.04</v>
      </c>
      <c r="F1586" s="79">
        <f>IFERROR(D1586*E1586,0)</f>
        <v>42.84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48</v>
      </c>
      <c r="B1587" s="61" t="s">
        <v>155</v>
      </c>
      <c r="C1587" s="61" t="s">
        <v>159</v>
      </c>
      <c r="D1587" s="69">
        <v>14</v>
      </c>
      <c r="E1587" s="74">
        <v>0.31240000000000001</v>
      </c>
      <c r="F1587" s="80">
        <v>4.3735999999999997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48</v>
      </c>
      <c r="B1588" s="61" t="s">
        <v>155</v>
      </c>
      <c r="C1588" s="61" t="s">
        <v>212</v>
      </c>
      <c r="D1588" s="69">
        <v>7</v>
      </c>
      <c r="E1588" s="74">
        <v>30</v>
      </c>
      <c r="F1588" s="80">
        <f>IFERROR(D1588*E1588,0)</f>
        <v>210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48</v>
      </c>
      <c r="B1589" s="61" t="s">
        <v>162</v>
      </c>
      <c r="C1589" s="61" t="s">
        <v>217</v>
      </c>
      <c r="D1589" s="69">
        <v>1</v>
      </c>
      <c r="E1589" s="74">
        <v>41144.769999999997</v>
      </c>
      <c r="F1589" s="80">
        <f>IFERROR(D1589*E1589,0)</f>
        <v>41144.769999999997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48</v>
      </c>
      <c r="B1590" s="60" t="s">
        <v>155</v>
      </c>
      <c r="C1590" s="60" t="s">
        <v>256</v>
      </c>
      <c r="D1590" s="68">
        <v>1</v>
      </c>
      <c r="E1590" s="73">
        <v>13318.46125</v>
      </c>
      <c r="F1590" s="79">
        <v>13318.46125</v>
      </c>
      <c r="G1590" s="60" t="s">
        <v>96</v>
      </c>
      <c r="H1590" s="60" t="s">
        <v>11</v>
      </c>
    </row>
    <row r="1591" spans="1:8" ht="14.25" hidden="1" customHeight="1" x14ac:dyDescent="0.3">
      <c r="A1591" s="2" t="s">
        <v>48</v>
      </c>
      <c r="B1591" s="60" t="s">
        <v>155</v>
      </c>
      <c r="C1591" s="60" t="s">
        <v>158</v>
      </c>
      <c r="D1591" s="68">
        <v>14</v>
      </c>
      <c r="E1591" s="73">
        <v>23.6877</v>
      </c>
      <c r="F1591" s="79">
        <v>331.62779999999998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34" t="s">
        <v>48</v>
      </c>
      <c r="B1592" s="61" t="s">
        <v>162</v>
      </c>
      <c r="C1592" s="61" t="s">
        <v>221</v>
      </c>
      <c r="D1592" s="69"/>
      <c r="E1592" s="74"/>
      <c r="F1592" s="80">
        <f>IFERROR(D1592*E1592,0)</f>
        <v>0</v>
      </c>
      <c r="G1592" s="61" t="str">
        <f>INDEX(SETORES!$B:$B,MATCH(A1592,SETORES!$A:$A,0))</f>
        <v>Clientes</v>
      </c>
      <c r="H1592" s="61" t="s">
        <v>11</v>
      </c>
    </row>
    <row r="1593" spans="1:8" ht="14.25" hidden="1" customHeight="1" x14ac:dyDescent="0.3">
      <c r="A1593" s="34" t="s">
        <v>48</v>
      </c>
      <c r="B1593" s="61" t="s">
        <v>162</v>
      </c>
      <c r="C1593" s="61" t="s">
        <v>163</v>
      </c>
      <c r="D1593" s="69">
        <v>1</v>
      </c>
      <c r="E1593" s="74">
        <v>136</v>
      </c>
      <c r="F1593" s="80">
        <f>IFERROR(D1593*E1593,0)</f>
        <v>136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48</v>
      </c>
      <c r="B1594" s="60" t="s">
        <v>162</v>
      </c>
      <c r="C1594" s="60" t="s">
        <v>164</v>
      </c>
      <c r="D1594" s="68"/>
      <c r="E1594" s="73"/>
      <c r="F1594" s="79">
        <f>IFERROR(D1594*E1594,0)</f>
        <v>0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2" t="s">
        <v>48</v>
      </c>
      <c r="B1595" s="60" t="s">
        <v>155</v>
      </c>
      <c r="C1595" s="60" t="s">
        <v>161</v>
      </c>
      <c r="D1595" s="68">
        <v>1</v>
      </c>
      <c r="E1595" s="73">
        <v>72779.044106999994</v>
      </c>
      <c r="F1595" s="79">
        <v>72779.044106999994</v>
      </c>
      <c r="G1595" s="60" t="str">
        <f>INDEX(SETORES!$B:$B,MATCH(A1595,SETORES!$A:$A,0))</f>
        <v>Clientes</v>
      </c>
      <c r="H1595" s="60" t="s">
        <v>11</v>
      </c>
    </row>
    <row r="1596" spans="1:8" ht="14.25" hidden="1" customHeight="1" x14ac:dyDescent="0.3">
      <c r="A1596" s="34" t="s">
        <v>48</v>
      </c>
      <c r="B1596" s="61" t="s">
        <v>155</v>
      </c>
      <c r="C1596" s="61" t="s">
        <v>167</v>
      </c>
      <c r="D1596" s="69">
        <v>14</v>
      </c>
      <c r="E1596" s="74">
        <v>9.85</v>
      </c>
      <c r="F1596" s="80">
        <v>137.9</v>
      </c>
      <c r="G1596" s="61" t="str">
        <f>INDEX(SETORES!$B:$B,MATCH(A1596,SETORES!$A:$A,0))</f>
        <v>Clientes</v>
      </c>
      <c r="H1596" s="61" t="s">
        <v>11</v>
      </c>
    </row>
    <row r="1597" spans="1:8" ht="14.25" hidden="1" customHeight="1" x14ac:dyDescent="0.3">
      <c r="A1597" s="2" t="s">
        <v>48</v>
      </c>
      <c r="B1597" s="60" t="s">
        <v>155</v>
      </c>
      <c r="C1597" s="60" t="s">
        <v>238</v>
      </c>
      <c r="D1597" s="68">
        <v>1</v>
      </c>
      <c r="E1597" s="73">
        <v>153.58000000000001</v>
      </c>
      <c r="F1597" s="79">
        <f>IFERROR(D1597*E1597,0)</f>
        <v>153.58000000000001</v>
      </c>
      <c r="G1597" s="60" t="str">
        <f>INDEX(SETORES!$B:$B,MATCH(A1597,SETORES!$A:$A,0))</f>
        <v>Clientes</v>
      </c>
      <c r="H1597" s="60" t="s">
        <v>11</v>
      </c>
    </row>
    <row r="1598" spans="1:8" ht="14.25" hidden="1" customHeight="1" x14ac:dyDescent="0.3">
      <c r="A1598" s="34" t="s">
        <v>48</v>
      </c>
      <c r="B1598" s="61" t="s">
        <v>155</v>
      </c>
      <c r="C1598" s="61" t="s">
        <v>166</v>
      </c>
      <c r="D1598" s="69">
        <v>19</v>
      </c>
      <c r="E1598" s="74">
        <v>50</v>
      </c>
      <c r="F1598" s="80">
        <f>IFERROR(D1598*E1598,0)</f>
        <v>950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2" t="s">
        <v>48</v>
      </c>
      <c r="B1599" s="60" t="s">
        <v>162</v>
      </c>
      <c r="C1599" s="60" t="s">
        <v>220</v>
      </c>
      <c r="D1599" s="68"/>
      <c r="E1599" s="73"/>
      <c r="F1599" s="79">
        <f>IFERROR(D1599*E1599,0)</f>
        <v>0</v>
      </c>
      <c r="G1599" s="60" t="str">
        <f>INDEX(SETORES!$B:$B,MATCH(A1599,SETORES!$A:$A,0))</f>
        <v>Clientes</v>
      </c>
      <c r="H1599" s="60" t="s">
        <v>11</v>
      </c>
    </row>
    <row r="1600" spans="1:8" ht="14.25" hidden="1" customHeight="1" x14ac:dyDescent="0.3">
      <c r="A1600" s="2" t="s">
        <v>48</v>
      </c>
      <c r="B1600" s="60" t="s">
        <v>155</v>
      </c>
      <c r="C1600" s="60" t="s">
        <v>156</v>
      </c>
      <c r="D1600" s="68"/>
      <c r="E1600" s="73"/>
      <c r="F1600" s="79">
        <v>0</v>
      </c>
      <c r="G1600" s="60" t="str">
        <f>INDEX(SETORES!$B:$B,MATCH(A1600,SETORES!$A:$A,0))</f>
        <v>Clientes</v>
      </c>
      <c r="H1600" s="60" t="s">
        <v>11</v>
      </c>
    </row>
    <row r="1601" spans="1:8" ht="14.25" hidden="1" customHeight="1" x14ac:dyDescent="0.3">
      <c r="A1601" s="34" t="s">
        <v>48</v>
      </c>
      <c r="B1601" s="61" t="s">
        <v>155</v>
      </c>
      <c r="C1601" s="61" t="s">
        <v>157</v>
      </c>
      <c r="D1601" s="69"/>
      <c r="E1601" s="74"/>
      <c r="F1601" s="80">
        <v>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48</v>
      </c>
      <c r="B1602" s="60" t="s">
        <v>162</v>
      </c>
      <c r="C1602" s="60" t="s">
        <v>209</v>
      </c>
      <c r="D1602" s="68">
        <v>14</v>
      </c>
      <c r="E1602" s="73">
        <v>85.71</v>
      </c>
      <c r="F1602" s="79">
        <v>1199.94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162</v>
      </c>
      <c r="C1603" s="61" t="s">
        <v>222</v>
      </c>
      <c r="D1603" s="69"/>
      <c r="E1603" s="74"/>
      <c r="F1603" s="80">
        <f>IFERROR(D1603*E1603,0)</f>
        <v>0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2" t="s">
        <v>48</v>
      </c>
      <c r="B1604" s="60" t="s">
        <v>155</v>
      </c>
      <c r="C1604" s="60" t="s">
        <v>186</v>
      </c>
      <c r="D1604" s="68">
        <v>1</v>
      </c>
      <c r="E1604" s="73">
        <v>2638.1</v>
      </c>
      <c r="F1604" s="79">
        <f>IFERROR(D1604*E1604,0)</f>
        <v>2638.1</v>
      </c>
      <c r="G1604" s="60" t="str">
        <f>INDEX(SETORES!$B:$B,MATCH(A1604,SETORES!$A:$A,0))</f>
        <v>Clientes</v>
      </c>
      <c r="H1604" s="60" t="s">
        <v>11</v>
      </c>
    </row>
    <row r="1605" spans="1:8" ht="14.25" hidden="1" customHeight="1" x14ac:dyDescent="0.3">
      <c r="A1605" s="2" t="s">
        <v>48</v>
      </c>
      <c r="B1605" s="60" t="s">
        <v>155</v>
      </c>
      <c r="C1605" s="60" t="s">
        <v>168</v>
      </c>
      <c r="D1605" s="68">
        <v>14</v>
      </c>
      <c r="E1605" s="73">
        <v>2.04</v>
      </c>
      <c r="F1605" s="79">
        <v>28.56</v>
      </c>
      <c r="G1605" s="60" t="str">
        <f>INDEX(SETORES!$B:$B,MATCH(A1605,SETORES!$A:$A,0))</f>
        <v>Clientes</v>
      </c>
      <c r="H1605" s="60" t="s">
        <v>11</v>
      </c>
    </row>
    <row r="1606" spans="1:8" ht="14.25" hidden="1" customHeight="1" x14ac:dyDescent="0.3">
      <c r="A1606" s="34" t="s">
        <v>48</v>
      </c>
      <c r="B1606" s="61" t="s">
        <v>155</v>
      </c>
      <c r="C1606" s="61" t="s">
        <v>160</v>
      </c>
      <c r="D1606" s="69"/>
      <c r="E1606" s="74"/>
      <c r="F1606" s="80">
        <f>IFERROR(D1606*E1606,0)</f>
        <v>0</v>
      </c>
      <c r="G1606" s="61" t="str">
        <f>INDEX(SETORES!$B:$B,MATCH(A1606,SETORES!$A:$A,0))</f>
        <v>Clientes</v>
      </c>
      <c r="H1606" s="61" t="s">
        <v>11</v>
      </c>
    </row>
    <row r="1607" spans="1:8" ht="14.25" hidden="1" customHeight="1" x14ac:dyDescent="0.3">
      <c r="A1607" s="2" t="s">
        <v>47</v>
      </c>
      <c r="B1607" s="60" t="s">
        <v>155</v>
      </c>
      <c r="C1607" s="60" t="s">
        <v>212</v>
      </c>
      <c r="D1607" s="68">
        <v>7</v>
      </c>
      <c r="E1607" s="73">
        <v>30</v>
      </c>
      <c r="F1607" s="79">
        <f>IFERROR(D1607*E1607,0)</f>
        <v>210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2" t="s">
        <v>47</v>
      </c>
      <c r="B1608" s="60" t="s">
        <v>162</v>
      </c>
      <c r="C1608" s="60" t="s">
        <v>217</v>
      </c>
      <c r="D1608" s="68">
        <v>1</v>
      </c>
      <c r="E1608" s="73">
        <v>11996.86</v>
      </c>
      <c r="F1608" s="79">
        <f>IFERROR(D1608*E1608,0)</f>
        <v>11996.86</v>
      </c>
      <c r="G1608" s="60" t="str">
        <f>INDEX(SETORES!$B:$B,MATCH(A1608,SETORES!$A:$A,0))</f>
        <v>Clientes</v>
      </c>
      <c r="H1608" s="60" t="s">
        <v>11</v>
      </c>
    </row>
    <row r="1609" spans="1:8" ht="14.25" hidden="1" customHeight="1" x14ac:dyDescent="0.3">
      <c r="A1609" s="2" t="s">
        <v>47</v>
      </c>
      <c r="B1609" s="60" t="s">
        <v>155</v>
      </c>
      <c r="C1609" s="60" t="s">
        <v>250</v>
      </c>
      <c r="D1609" s="68">
        <v>1</v>
      </c>
      <c r="E1609" s="73">
        <v>2150.7600000000002</v>
      </c>
      <c r="F1609" s="79">
        <f>IFERROR(D1609*E1609,0)</f>
        <v>2150.7600000000002</v>
      </c>
      <c r="G1609" s="60" t="str">
        <f>INDEX(SETORES!$B:$B,MATCH(A1609,SETORES!$A:$A,0))</f>
        <v>Clientes</v>
      </c>
      <c r="H1609" s="60" t="s">
        <v>11</v>
      </c>
    </row>
    <row r="1610" spans="1:8" ht="14.25" customHeight="1" x14ac:dyDescent="0.3">
      <c r="A1610" s="2" t="s">
        <v>47</v>
      </c>
      <c r="B1610" s="60" t="s">
        <v>155</v>
      </c>
      <c r="C1610" s="60" t="s">
        <v>171</v>
      </c>
      <c r="D1610" s="69">
        <v>13</v>
      </c>
      <c r="E1610" s="73">
        <v>51.12</v>
      </c>
      <c r="F1610" s="80">
        <f>IFERROR(D1610*E1610,0)</f>
        <v>664.56</v>
      </c>
      <c r="G1610" s="61" t="s">
        <v>98</v>
      </c>
      <c r="H1610" s="61" t="s">
        <v>11</v>
      </c>
    </row>
    <row r="1611" spans="1:8" ht="14.25" hidden="1" customHeight="1" x14ac:dyDescent="0.3">
      <c r="A1611" s="34" t="s">
        <v>47</v>
      </c>
      <c r="B1611" s="61" t="s">
        <v>155</v>
      </c>
      <c r="C1611" s="61" t="s">
        <v>170</v>
      </c>
      <c r="D1611" s="69">
        <v>13</v>
      </c>
      <c r="E1611" s="73">
        <v>31.33</v>
      </c>
      <c r="F1611" s="79">
        <f>IFERROR(D1611*E1611,0)</f>
        <v>407.28999999999996</v>
      </c>
      <c r="G1611" s="61" t="s">
        <v>98</v>
      </c>
      <c r="H1611" s="61" t="s">
        <v>11</v>
      </c>
    </row>
    <row r="1612" spans="1:8" ht="14.25" hidden="1" customHeight="1" x14ac:dyDescent="0.3">
      <c r="A1612" s="34" t="s">
        <v>47</v>
      </c>
      <c r="B1612" s="61" t="s">
        <v>155</v>
      </c>
      <c r="C1612" s="61" t="s">
        <v>169</v>
      </c>
      <c r="D1612" s="69">
        <v>13</v>
      </c>
      <c r="E1612" s="73">
        <v>63.75</v>
      </c>
      <c r="F1612" s="80">
        <f>IFERROR(D1612*E1612,0)</f>
        <v>828.75</v>
      </c>
      <c r="G1612" s="61" t="s">
        <v>98</v>
      </c>
      <c r="H1612" s="61" t="s">
        <v>11</v>
      </c>
    </row>
    <row r="1613" spans="1:8" ht="14.25" hidden="1" customHeight="1" x14ac:dyDescent="0.3">
      <c r="A1613" s="2" t="s">
        <v>47</v>
      </c>
      <c r="B1613" s="60" t="s">
        <v>162</v>
      </c>
      <c r="C1613" s="60" t="s">
        <v>221</v>
      </c>
      <c r="D1613" s="68">
        <v>1</v>
      </c>
      <c r="E1613" s="73">
        <v>250</v>
      </c>
      <c r="F1613" s="79">
        <f>IFERROR(D1613*E1613,0)</f>
        <v>250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2" t="s">
        <v>47</v>
      </c>
      <c r="B1614" s="60" t="s">
        <v>155</v>
      </c>
      <c r="C1614" s="60" t="s">
        <v>161</v>
      </c>
      <c r="D1614" s="68">
        <v>1</v>
      </c>
      <c r="E1614" s="73">
        <v>112868.09</v>
      </c>
      <c r="F1614" s="79">
        <f>IFERROR(E1614,0)</f>
        <v>112868.09</v>
      </c>
      <c r="G1614" s="60" t="str">
        <f>INDEX(SETORES!$B:$B,MATCH(A1614,SETORES!$A:$A,0))</f>
        <v>Clientes</v>
      </c>
      <c r="H1614" s="60" t="s">
        <v>11</v>
      </c>
    </row>
    <row r="1615" spans="1:8" ht="14.25" hidden="1" customHeight="1" x14ac:dyDescent="0.3">
      <c r="A1615" s="34" t="s">
        <v>47</v>
      </c>
      <c r="B1615" s="61" t="s">
        <v>155</v>
      </c>
      <c r="C1615" s="61" t="s">
        <v>167</v>
      </c>
      <c r="D1615" s="69">
        <v>12</v>
      </c>
      <c r="E1615" s="74">
        <v>9.85</v>
      </c>
      <c r="F1615" s="80">
        <f>IFERROR(D1615*E1615,0)</f>
        <v>118.19999999999999</v>
      </c>
      <c r="G1615" s="61" t="str">
        <f>INDEX(SETORES!$B:$B,MATCH(A1615,SETORES!$A:$A,0))</f>
        <v>Clientes</v>
      </c>
      <c r="H1615" s="61" t="s">
        <v>11</v>
      </c>
    </row>
    <row r="1616" spans="1:8" ht="14.25" hidden="1" customHeight="1" x14ac:dyDescent="0.3">
      <c r="A1616" s="34" t="s">
        <v>47</v>
      </c>
      <c r="B1616" s="61" t="s">
        <v>162</v>
      </c>
      <c r="C1616" s="61" t="s">
        <v>218</v>
      </c>
      <c r="D1616" s="69"/>
      <c r="E1616" s="74"/>
      <c r="F1616" s="80">
        <f>IFERROR(D1616*E1616,0)</f>
        <v>0</v>
      </c>
      <c r="G1616" s="61" t="str">
        <f>INDEX(SETORES!$B:$B,MATCH(A1616,SETORES!$A:$A,0))</f>
        <v>Clientes</v>
      </c>
      <c r="H1616" s="61" t="s">
        <v>11</v>
      </c>
    </row>
    <row r="1617" spans="1:8" ht="14.25" hidden="1" customHeight="1" x14ac:dyDescent="0.3">
      <c r="A1617" s="34" t="s">
        <v>47</v>
      </c>
      <c r="B1617" s="61" t="s">
        <v>155</v>
      </c>
      <c r="C1617" s="61" t="s">
        <v>166</v>
      </c>
      <c r="D1617" s="69">
        <v>1</v>
      </c>
      <c r="E1617" s="74">
        <v>50</v>
      </c>
      <c r="F1617" s="80">
        <f>IFERROR(D1617*E1617,0)</f>
        <v>50</v>
      </c>
      <c r="G1617" s="61" t="str">
        <f>INDEX(SETORES!$B:$B,MATCH(A1617,SETORES!$A:$A,0))</f>
        <v>Clientes</v>
      </c>
      <c r="H1617" s="61" t="s">
        <v>11</v>
      </c>
    </row>
    <row r="1618" spans="1:8" ht="14.25" hidden="1" customHeight="1" x14ac:dyDescent="0.3">
      <c r="A1618" s="34" t="s">
        <v>47</v>
      </c>
      <c r="B1618" s="61" t="s">
        <v>155</v>
      </c>
      <c r="C1618" s="61" t="s">
        <v>156</v>
      </c>
      <c r="D1618" s="69"/>
      <c r="E1618" s="74"/>
      <c r="F1618" s="80">
        <v>0</v>
      </c>
      <c r="G1618" s="61" t="str">
        <f>INDEX(SETORES!$B:$B,MATCH(A1618,SETORES!$A:$A,0))</f>
        <v>Clientes</v>
      </c>
      <c r="H1618" s="61" t="s">
        <v>11</v>
      </c>
    </row>
    <row r="1619" spans="1:8" ht="14.25" hidden="1" customHeight="1" x14ac:dyDescent="0.3">
      <c r="A1619" s="2" t="s">
        <v>47</v>
      </c>
      <c r="B1619" s="60" t="s">
        <v>155</v>
      </c>
      <c r="C1619" s="60" t="s">
        <v>157</v>
      </c>
      <c r="D1619" s="68"/>
      <c r="E1619" s="73"/>
      <c r="F1619" s="79">
        <v>0</v>
      </c>
      <c r="G1619" s="60" t="str">
        <f>INDEX(SETORES!$B:$B,MATCH(A1619,SETORES!$A:$A,0))</f>
        <v>Clientes</v>
      </c>
      <c r="H1619" s="60" t="s">
        <v>11</v>
      </c>
    </row>
    <row r="1620" spans="1:8" ht="14.25" hidden="1" customHeight="1" x14ac:dyDescent="0.3">
      <c r="A1620" s="2" t="s">
        <v>47</v>
      </c>
      <c r="B1620" s="60" t="s">
        <v>155</v>
      </c>
      <c r="C1620" s="60" t="s">
        <v>168</v>
      </c>
      <c r="D1620" s="68">
        <v>12</v>
      </c>
      <c r="E1620" s="73">
        <v>2.04</v>
      </c>
      <c r="F1620" s="79">
        <f>IFERROR(D1620*E1620,0)</f>
        <v>24.48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34" t="s">
        <v>47</v>
      </c>
      <c r="B1621" s="61" t="s">
        <v>155</v>
      </c>
      <c r="C1621" s="61" t="s">
        <v>160</v>
      </c>
      <c r="D1621" s="69"/>
      <c r="E1621" s="74"/>
      <c r="F1621" s="80">
        <f>IFERROR(D1621*E1621,0)</f>
        <v>0</v>
      </c>
      <c r="G1621" s="61" t="str">
        <f>INDEX(SETORES!$B:$B,MATCH(A1621,SETORES!$A:$A,0))</f>
        <v>Clientes</v>
      </c>
      <c r="H1621" s="61" t="s">
        <v>11</v>
      </c>
    </row>
    <row r="1622" spans="1:8" ht="14.25" hidden="1" customHeight="1" x14ac:dyDescent="0.3">
      <c r="A1622" s="34" t="s">
        <v>85</v>
      </c>
      <c r="B1622" s="61" t="s">
        <v>155</v>
      </c>
      <c r="C1622" s="61" t="s">
        <v>159</v>
      </c>
      <c r="D1622" s="69">
        <v>1</v>
      </c>
      <c r="E1622" s="74">
        <v>0.3</v>
      </c>
      <c r="F1622" s="80">
        <v>0.3</v>
      </c>
      <c r="G1622" s="61" t="s">
        <v>96</v>
      </c>
      <c r="H1622" s="61" t="s">
        <v>11</v>
      </c>
    </row>
    <row r="1623" spans="1:8" ht="14.25" hidden="1" customHeight="1" x14ac:dyDescent="0.3">
      <c r="A1623" s="34" t="s">
        <v>85</v>
      </c>
      <c r="B1623" s="61" t="s">
        <v>155</v>
      </c>
      <c r="C1623" s="61" t="s">
        <v>212</v>
      </c>
      <c r="D1623" s="69">
        <v>10</v>
      </c>
      <c r="E1623" s="74">
        <v>30</v>
      </c>
      <c r="F1623" s="80">
        <f>IFERROR(D1623*E1623,0)</f>
        <v>300</v>
      </c>
      <c r="G1623" s="61" t="str">
        <f>INDEX(SETORES!$B:$B,MATCH(A1623,SETORES!$A:$A,0))</f>
        <v>Clientes</v>
      </c>
      <c r="H1623" s="61" t="s">
        <v>11</v>
      </c>
    </row>
    <row r="1624" spans="1:8" ht="14.25" hidden="1" customHeight="1" x14ac:dyDescent="0.3">
      <c r="A1624" s="34" t="s">
        <v>85</v>
      </c>
      <c r="B1624" s="61" t="s">
        <v>162</v>
      </c>
      <c r="C1624" s="61" t="s">
        <v>217</v>
      </c>
      <c r="D1624" s="69">
        <v>1</v>
      </c>
      <c r="E1624" s="74">
        <v>1306.3900000000001</v>
      </c>
      <c r="F1624" s="80">
        <f>IFERROR(D1624*E1624,0)</f>
        <v>1306.3900000000001</v>
      </c>
      <c r="G1624" s="61" t="str">
        <f>INDEX(SETORES!$B:$B,MATCH(A1624,SETORES!$A:$A,0))</f>
        <v>Clientes</v>
      </c>
      <c r="H1624" s="61" t="s">
        <v>11</v>
      </c>
    </row>
    <row r="1625" spans="1:8" ht="14.25" customHeight="1" x14ac:dyDescent="0.3">
      <c r="A1625" s="34" t="s">
        <v>85</v>
      </c>
      <c r="B1625" s="61" t="s">
        <v>155</v>
      </c>
      <c r="C1625" s="61" t="s">
        <v>171</v>
      </c>
      <c r="D1625" s="69">
        <v>12</v>
      </c>
      <c r="E1625" s="73">
        <v>51.12</v>
      </c>
      <c r="F1625" s="80">
        <f>IFERROR(D1625*E1625,0)</f>
        <v>613.43999999999994</v>
      </c>
      <c r="G1625" s="61" t="s">
        <v>98</v>
      </c>
      <c r="H1625" s="61" t="s">
        <v>11</v>
      </c>
    </row>
    <row r="1626" spans="1:8" ht="14.25" hidden="1" customHeight="1" x14ac:dyDescent="0.3">
      <c r="A1626" s="2" t="s">
        <v>85</v>
      </c>
      <c r="B1626" s="60" t="s">
        <v>155</v>
      </c>
      <c r="C1626" s="60" t="s">
        <v>170</v>
      </c>
      <c r="D1626" s="68">
        <v>12</v>
      </c>
      <c r="E1626" s="73">
        <v>31.33</v>
      </c>
      <c r="F1626" s="79">
        <f>IFERROR(D1626*E1626,0)</f>
        <v>375.96</v>
      </c>
      <c r="G1626" s="61" t="s">
        <v>98</v>
      </c>
      <c r="H1626" s="60" t="s">
        <v>11</v>
      </c>
    </row>
    <row r="1627" spans="1:8" ht="14.25" hidden="1" customHeight="1" x14ac:dyDescent="0.3">
      <c r="A1627" s="2" t="s">
        <v>85</v>
      </c>
      <c r="B1627" s="60" t="s">
        <v>155</v>
      </c>
      <c r="C1627" s="60" t="s">
        <v>169</v>
      </c>
      <c r="D1627" s="68">
        <v>12</v>
      </c>
      <c r="E1627" s="73">
        <v>63.75</v>
      </c>
      <c r="F1627" s="79">
        <f>IFERROR(D1627*E1627,0)</f>
        <v>765</v>
      </c>
      <c r="G1627" s="61" t="s">
        <v>98</v>
      </c>
      <c r="H1627" s="60" t="s">
        <v>11</v>
      </c>
    </row>
    <row r="1628" spans="1:8" ht="14.25" hidden="1" customHeight="1" x14ac:dyDescent="0.3">
      <c r="A1628" s="2" t="s">
        <v>85</v>
      </c>
      <c r="B1628" s="60" t="s">
        <v>155</v>
      </c>
      <c r="C1628" s="60" t="s">
        <v>158</v>
      </c>
      <c r="D1628" s="68">
        <v>1</v>
      </c>
      <c r="E1628" s="73">
        <v>105.0866</v>
      </c>
      <c r="F1628" s="79">
        <v>105.0866</v>
      </c>
      <c r="G1628" s="60" t="s">
        <v>96</v>
      </c>
      <c r="H1628" s="60" t="s">
        <v>11</v>
      </c>
    </row>
    <row r="1629" spans="1:8" ht="14.25" hidden="1" customHeight="1" x14ac:dyDescent="0.3">
      <c r="A1629" s="34" t="s">
        <v>85</v>
      </c>
      <c r="B1629" s="61" t="s">
        <v>155</v>
      </c>
      <c r="C1629" s="61" t="s">
        <v>161</v>
      </c>
      <c r="D1629" s="69">
        <v>1</v>
      </c>
      <c r="E1629" s="74">
        <v>52829.79</v>
      </c>
      <c r="F1629" s="80">
        <f>IFERROR(E1629,0)</f>
        <v>52829.79</v>
      </c>
      <c r="G1629" s="61" t="str">
        <f>INDEX(SETORES!$B:$B,MATCH(A1629,SETORES!$A:$A,0))</f>
        <v>Clientes</v>
      </c>
      <c r="H1629" s="61" t="s">
        <v>11</v>
      </c>
    </row>
    <row r="1630" spans="1:8" ht="14.25" hidden="1" customHeight="1" x14ac:dyDescent="0.3">
      <c r="A1630" s="34" t="s">
        <v>85</v>
      </c>
      <c r="B1630" s="61" t="s">
        <v>155</v>
      </c>
      <c r="C1630" s="61" t="s">
        <v>167</v>
      </c>
      <c r="D1630" s="69">
        <v>12</v>
      </c>
      <c r="E1630" s="74">
        <v>9.85</v>
      </c>
      <c r="F1630" s="80">
        <f>IFERROR(D1630*E1630,0)</f>
        <v>118.19999999999999</v>
      </c>
      <c r="G1630" s="61" t="str">
        <f>INDEX(SETORES!$B:$B,MATCH(A1630,SETORES!$A:$A,0))</f>
        <v>Clientes</v>
      </c>
      <c r="H1630" s="61" t="s">
        <v>11</v>
      </c>
    </row>
    <row r="1631" spans="1:8" ht="14.25" hidden="1" customHeight="1" x14ac:dyDescent="0.3">
      <c r="A1631" s="34" t="s">
        <v>85</v>
      </c>
      <c r="B1631" s="61" t="s">
        <v>155</v>
      </c>
      <c r="C1631" s="61" t="s">
        <v>166</v>
      </c>
      <c r="D1631" s="69">
        <v>12</v>
      </c>
      <c r="E1631" s="74">
        <v>50</v>
      </c>
      <c r="F1631" s="80">
        <f>IFERROR(D1631*E1631,0)</f>
        <v>600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2" t="s">
        <v>85</v>
      </c>
      <c r="B1632" s="60" t="s">
        <v>155</v>
      </c>
      <c r="C1632" s="60" t="s">
        <v>157</v>
      </c>
      <c r="D1632" s="68">
        <v>1</v>
      </c>
      <c r="E1632" s="73">
        <v>136.5</v>
      </c>
      <c r="F1632" s="79">
        <v>136.5</v>
      </c>
      <c r="G1632" s="60" t="str">
        <f>INDEX(SETORES!$B:$B,MATCH(A1632,SETORES!$A:$A,0))</f>
        <v>Clientes</v>
      </c>
      <c r="H1632" s="60" t="s">
        <v>11</v>
      </c>
    </row>
    <row r="1633" spans="1:8" ht="14.25" hidden="1" customHeight="1" x14ac:dyDescent="0.3">
      <c r="A1633" s="2" t="s">
        <v>85</v>
      </c>
      <c r="B1633" s="60" t="s">
        <v>162</v>
      </c>
      <c r="C1633" s="60" t="s">
        <v>222</v>
      </c>
      <c r="D1633" s="68"/>
      <c r="E1633" s="73"/>
      <c r="F1633" s="79">
        <f>IFERROR(D1633*E1633,0)</f>
        <v>0</v>
      </c>
      <c r="G1633" s="60" t="str">
        <f>INDEX(SETORES!$B:$B,MATCH(A1633,SETORES!$A:$A,0))</f>
        <v>Clientes</v>
      </c>
      <c r="H1633" s="60" t="s">
        <v>11</v>
      </c>
    </row>
    <row r="1634" spans="1:8" ht="14.25" hidden="1" customHeight="1" x14ac:dyDescent="0.3">
      <c r="A1634" s="2" t="s">
        <v>85</v>
      </c>
      <c r="B1634" s="60" t="s">
        <v>155</v>
      </c>
      <c r="C1634" s="60" t="s">
        <v>168</v>
      </c>
      <c r="D1634" s="68">
        <v>12</v>
      </c>
      <c r="E1634" s="73">
        <v>2.04</v>
      </c>
      <c r="F1634" s="79">
        <f>IFERROR(D1634*E1634,0)</f>
        <v>24.48</v>
      </c>
      <c r="G1634" s="60" t="str">
        <f>INDEX(SETORES!$B:$B,MATCH(A1634,SETORES!$A:$A,0))</f>
        <v>Clientes</v>
      </c>
      <c r="H1634" s="60" t="s">
        <v>11</v>
      </c>
    </row>
    <row r="1635" spans="1:8" ht="14.25" hidden="1" customHeight="1" x14ac:dyDescent="0.3">
      <c r="A1635" s="2" t="s">
        <v>31</v>
      </c>
      <c r="B1635" s="60" t="s">
        <v>155</v>
      </c>
      <c r="C1635" s="60" t="s">
        <v>159</v>
      </c>
      <c r="D1635" s="68">
        <v>1</v>
      </c>
      <c r="E1635" s="73">
        <v>0.125</v>
      </c>
      <c r="F1635" s="79">
        <v>0.125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31</v>
      </c>
      <c r="B1636" s="60" t="s">
        <v>155</v>
      </c>
      <c r="C1636" s="60" t="s">
        <v>212</v>
      </c>
      <c r="D1636" s="68">
        <v>3</v>
      </c>
      <c r="E1636" s="73">
        <v>30</v>
      </c>
      <c r="F1636" s="79">
        <f>IFERROR(D1636*E1636,0)</f>
        <v>90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2" t="s">
        <v>31</v>
      </c>
      <c r="B1637" s="60" t="s">
        <v>162</v>
      </c>
      <c r="C1637" s="60" t="s">
        <v>217</v>
      </c>
      <c r="D1637" s="68">
        <v>1</v>
      </c>
      <c r="E1637" s="73">
        <v>1905.53</v>
      </c>
      <c r="F1637" s="79">
        <f>IFERROR(D1637*E1637,0)</f>
        <v>1905.53</v>
      </c>
      <c r="G1637" s="60" t="str">
        <f>INDEX(SETORES!$B:$B,MATCH(A1637,SETORES!$A:$A,0))</f>
        <v>Clientes</v>
      </c>
      <c r="H1637" s="60" t="s">
        <v>11</v>
      </c>
    </row>
    <row r="1638" spans="1:8" ht="14.25" hidden="1" customHeight="1" x14ac:dyDescent="0.3">
      <c r="A1638" s="34" t="s">
        <v>31</v>
      </c>
      <c r="B1638" s="61" t="s">
        <v>155</v>
      </c>
      <c r="C1638" s="61" t="s">
        <v>158</v>
      </c>
      <c r="D1638" s="69">
        <v>1</v>
      </c>
      <c r="E1638" s="74">
        <v>43.786099999999998</v>
      </c>
      <c r="F1638" s="80">
        <v>43.786099999999998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2" t="s">
        <v>31</v>
      </c>
      <c r="B1639" s="60" t="s">
        <v>155</v>
      </c>
      <c r="C1639" s="60" t="s">
        <v>161</v>
      </c>
      <c r="D1639" s="68">
        <v>1</v>
      </c>
      <c r="E1639" s="73">
        <v>61181.18</v>
      </c>
      <c r="F1639" s="79">
        <f>IFERROR(E1639,0)</f>
        <v>61181.18</v>
      </c>
      <c r="G1639" s="60" t="str">
        <f>INDEX(SETORES!$B:$B,MATCH(A1639,SETORES!$A:$A,0))</f>
        <v>Clientes</v>
      </c>
      <c r="H1639" s="60" t="s">
        <v>11</v>
      </c>
    </row>
    <row r="1640" spans="1:8" ht="14.25" hidden="1" customHeight="1" x14ac:dyDescent="0.3">
      <c r="A1640" s="34" t="s">
        <v>31</v>
      </c>
      <c r="B1640" s="61" t="s">
        <v>155</v>
      </c>
      <c r="C1640" s="61" t="s">
        <v>167</v>
      </c>
      <c r="D1640" s="69">
        <v>5</v>
      </c>
      <c r="E1640" s="74">
        <v>9.85</v>
      </c>
      <c r="F1640" s="80">
        <f>IFERROR(D1640*E1640,0)</f>
        <v>49.25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31</v>
      </c>
      <c r="B1641" s="61" t="s">
        <v>155</v>
      </c>
      <c r="C1641" s="61" t="s">
        <v>166</v>
      </c>
      <c r="D1641" s="69">
        <v>5</v>
      </c>
      <c r="E1641" s="74">
        <v>50</v>
      </c>
      <c r="F1641" s="80">
        <f>IFERROR(D1641*E1641,0)</f>
        <v>250</v>
      </c>
      <c r="G1641" s="61" t="str">
        <f>INDEX(SETORES!$B:$B,MATCH(A1641,SETORES!$A:$A,0))</f>
        <v>Clientes</v>
      </c>
      <c r="H1641" s="61" t="s">
        <v>11</v>
      </c>
    </row>
    <row r="1642" spans="1:8" ht="14.25" hidden="1" customHeight="1" x14ac:dyDescent="0.3">
      <c r="A1642" s="34" t="s">
        <v>31</v>
      </c>
      <c r="B1642" s="61" t="s">
        <v>155</v>
      </c>
      <c r="C1642" s="61" t="s">
        <v>172</v>
      </c>
      <c r="D1642" s="69"/>
      <c r="E1642" s="74"/>
      <c r="F1642" s="80">
        <f>IFERROR(D1642*E1642,0)</f>
        <v>0</v>
      </c>
      <c r="G1642" s="61" t="str">
        <f>INDEX(SETORES!$B:$B,MATCH(A1642,SETORES!$A:$A,0))</f>
        <v>Clientes</v>
      </c>
      <c r="H1642" s="61" t="s">
        <v>11</v>
      </c>
    </row>
    <row r="1643" spans="1:8" ht="14.25" hidden="1" customHeight="1" x14ac:dyDescent="0.3">
      <c r="A1643" s="34" t="s">
        <v>31</v>
      </c>
      <c r="B1643" s="61" t="s">
        <v>155</v>
      </c>
      <c r="C1643" s="61" t="s">
        <v>156</v>
      </c>
      <c r="D1643" s="69">
        <v>1</v>
      </c>
      <c r="E1643" s="74">
        <v>14</v>
      </c>
      <c r="F1643" s="80">
        <v>14</v>
      </c>
      <c r="G1643" s="61" t="str">
        <f>INDEX(SETORES!$B:$B,MATCH(A1643,SETORES!$A:$A,0))</f>
        <v>Clientes</v>
      </c>
      <c r="H1643" s="61" t="s">
        <v>11</v>
      </c>
    </row>
    <row r="1644" spans="1:8" ht="14.25" hidden="1" customHeight="1" x14ac:dyDescent="0.3">
      <c r="A1644" s="2" t="s">
        <v>31</v>
      </c>
      <c r="B1644" s="60" t="s">
        <v>155</v>
      </c>
      <c r="C1644" s="60" t="s">
        <v>157</v>
      </c>
      <c r="D1644" s="68">
        <v>1</v>
      </c>
      <c r="E1644" s="73">
        <v>190.78</v>
      </c>
      <c r="F1644" s="79">
        <v>190.78</v>
      </c>
      <c r="G1644" s="60" t="str">
        <f>INDEX(SETORES!$B:$B,MATCH(A1644,SETORES!$A:$A,0))</f>
        <v>Clientes</v>
      </c>
      <c r="H1644" s="60" t="s">
        <v>11</v>
      </c>
    </row>
    <row r="1645" spans="1:8" ht="14.25" hidden="1" customHeight="1" x14ac:dyDescent="0.3">
      <c r="A1645" s="34" t="s">
        <v>31</v>
      </c>
      <c r="B1645" s="61" t="s">
        <v>162</v>
      </c>
      <c r="C1645" s="61" t="s">
        <v>222</v>
      </c>
      <c r="D1645" s="69">
        <v>1</v>
      </c>
      <c r="E1645" s="74">
        <v>6209</v>
      </c>
      <c r="F1645" s="80">
        <f>IFERROR(D1645*E1645,0)</f>
        <v>6209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2" t="s">
        <v>31</v>
      </c>
      <c r="B1646" s="60" t="s">
        <v>155</v>
      </c>
      <c r="C1646" s="60" t="s">
        <v>168</v>
      </c>
      <c r="D1646" s="68">
        <v>5</v>
      </c>
      <c r="E1646" s="73">
        <v>2.04</v>
      </c>
      <c r="F1646" s="79">
        <f>IFERROR(D1646*E1646,0)</f>
        <v>10.199999999999999</v>
      </c>
      <c r="G1646" s="60" t="str">
        <f>INDEX(SETORES!$B:$B,MATCH(A1646,SETORES!$A:$A,0))</f>
        <v>Clientes</v>
      </c>
      <c r="H1646" s="60" t="s">
        <v>11</v>
      </c>
    </row>
    <row r="1647" spans="1:8" ht="14.25" hidden="1" customHeight="1" x14ac:dyDescent="0.3">
      <c r="A1647" s="34" t="s">
        <v>31</v>
      </c>
      <c r="B1647" s="61" t="s">
        <v>155</v>
      </c>
      <c r="C1647" s="61" t="s">
        <v>160</v>
      </c>
      <c r="D1647" s="69"/>
      <c r="E1647" s="74"/>
      <c r="F1647" s="80">
        <f>IFERROR(D1647*E1647,0)</f>
        <v>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37</v>
      </c>
      <c r="B1648" s="60" t="s">
        <v>155</v>
      </c>
      <c r="C1648" s="60" t="s">
        <v>159</v>
      </c>
      <c r="D1648" s="68">
        <v>1</v>
      </c>
      <c r="E1648" s="73">
        <v>1.1000000000000001</v>
      </c>
      <c r="F1648" s="79">
        <v>1.1000000000000001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37</v>
      </c>
      <c r="B1649" s="60" t="s">
        <v>155</v>
      </c>
      <c r="C1649" s="60" t="s">
        <v>249</v>
      </c>
      <c r="D1649" s="68">
        <v>1</v>
      </c>
      <c r="E1649" s="73">
        <v>3064.6</v>
      </c>
      <c r="F1649" s="79">
        <f>IFERROR(D1649*E1649,0)</f>
        <v>3064.6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34" t="s">
        <v>37</v>
      </c>
      <c r="B1650" s="61" t="s">
        <v>155</v>
      </c>
      <c r="C1650" s="61" t="s">
        <v>158</v>
      </c>
      <c r="D1650" s="69">
        <v>1</v>
      </c>
      <c r="E1650" s="74">
        <v>385.3175</v>
      </c>
      <c r="F1650" s="80">
        <v>385.3175</v>
      </c>
      <c r="G1650" s="61" t="str">
        <f>INDEX(SETORES!$B:$B,MATCH(A1650,SETORES!$A:$A,0))</f>
        <v>Clientes</v>
      </c>
      <c r="H1650" s="61" t="s">
        <v>11</v>
      </c>
    </row>
    <row r="1651" spans="1:8" ht="14.25" hidden="1" customHeight="1" x14ac:dyDescent="0.3">
      <c r="A1651" s="2" t="s">
        <v>37</v>
      </c>
      <c r="B1651" s="60" t="s">
        <v>162</v>
      </c>
      <c r="C1651" s="60" t="s">
        <v>163</v>
      </c>
      <c r="D1651" s="68">
        <v>1</v>
      </c>
      <c r="E1651" s="73">
        <v>496</v>
      </c>
      <c r="F1651" s="79">
        <f>IFERROR(D1651*E1651,0)</f>
        <v>496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34" t="s">
        <v>37</v>
      </c>
      <c r="B1652" s="61" t="s">
        <v>162</v>
      </c>
      <c r="C1652" s="61" t="s">
        <v>164</v>
      </c>
      <c r="D1652" s="69">
        <v>1</v>
      </c>
      <c r="E1652" s="74">
        <v>65.33</v>
      </c>
      <c r="F1652" s="80">
        <f>IFERROR(D1652*E1652,0)</f>
        <v>65.33</v>
      </c>
      <c r="G1652" s="61" t="str">
        <f>INDEX(SETORES!$B:$B,MATCH(A1652,SETORES!$A:$A,0))</f>
        <v>Clientes</v>
      </c>
      <c r="H1652" s="61" t="s">
        <v>11</v>
      </c>
    </row>
    <row r="1653" spans="1:8" ht="14.25" hidden="1" customHeight="1" x14ac:dyDescent="0.3">
      <c r="A1653" s="2" t="s">
        <v>37</v>
      </c>
      <c r="B1653" s="60" t="s">
        <v>155</v>
      </c>
      <c r="C1653" s="60" t="s">
        <v>161</v>
      </c>
      <c r="D1653" s="68">
        <v>1</v>
      </c>
      <c r="E1653" s="73">
        <v>151070.37</v>
      </c>
      <c r="F1653" s="79">
        <f>IFERROR(E1653,0)</f>
        <v>151070.37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2" t="s">
        <v>37</v>
      </c>
      <c r="B1654" s="60" t="s">
        <v>155</v>
      </c>
      <c r="C1654" s="60" t="s">
        <v>167</v>
      </c>
      <c r="D1654" s="68">
        <v>44</v>
      </c>
      <c r="E1654" s="73">
        <v>9.85</v>
      </c>
      <c r="F1654" s="79">
        <f>IFERROR(D1654*E1654,0)</f>
        <v>433.4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37</v>
      </c>
      <c r="B1655" s="61" t="s">
        <v>155</v>
      </c>
      <c r="C1655" s="61" t="s">
        <v>240</v>
      </c>
      <c r="D1655" s="69">
        <v>1</v>
      </c>
      <c r="E1655" s="74">
        <v>9.2327840000000005</v>
      </c>
      <c r="F1655" s="80">
        <f>IFERROR(D1655*E1655,0)</f>
        <v>9.2327840000000005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34" t="s">
        <v>37</v>
      </c>
      <c r="B1656" s="61" t="s">
        <v>155</v>
      </c>
      <c r="C1656" s="61" t="s">
        <v>166</v>
      </c>
      <c r="D1656" s="69">
        <v>47</v>
      </c>
      <c r="E1656" s="74">
        <v>50</v>
      </c>
      <c r="F1656" s="80">
        <f>IFERROR(D1656*E1656,0)</f>
        <v>2350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37</v>
      </c>
      <c r="B1657" s="61" t="s">
        <v>155</v>
      </c>
      <c r="C1657" s="61" t="s">
        <v>223</v>
      </c>
      <c r="D1657" s="69"/>
      <c r="E1657" s="74"/>
      <c r="F1657" s="80">
        <f>IFERROR(D1657*E1657,0)</f>
        <v>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37</v>
      </c>
      <c r="B1658" s="61" t="s">
        <v>155</v>
      </c>
      <c r="C1658" s="61" t="s">
        <v>156</v>
      </c>
      <c r="D1658" s="69">
        <v>44</v>
      </c>
      <c r="E1658" s="74">
        <v>0.2641</v>
      </c>
      <c r="F1658" s="80">
        <v>11.6204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2" t="s">
        <v>37</v>
      </c>
      <c r="B1659" s="60" t="s">
        <v>155</v>
      </c>
      <c r="C1659" s="60" t="s">
        <v>157</v>
      </c>
      <c r="D1659" s="68">
        <v>1</v>
      </c>
      <c r="E1659" s="73">
        <v>2708.9357380000001</v>
      </c>
      <c r="F1659" s="79">
        <v>2708.9357380000001</v>
      </c>
      <c r="G1659" s="60" t="str">
        <f>INDEX(SETORES!$B:$B,MATCH(A1659,SETORES!$A:$A,0))</f>
        <v>Clientes</v>
      </c>
      <c r="H1659" s="60" t="s">
        <v>11</v>
      </c>
    </row>
    <row r="1660" spans="1:8" ht="14.25" hidden="1" customHeight="1" x14ac:dyDescent="0.3">
      <c r="A1660" s="2" t="s">
        <v>37</v>
      </c>
      <c r="B1660" s="60" t="s">
        <v>162</v>
      </c>
      <c r="C1660" s="60" t="s">
        <v>222</v>
      </c>
      <c r="D1660" s="68">
        <v>1</v>
      </c>
      <c r="E1660" s="73">
        <v>3112.37</v>
      </c>
      <c r="F1660" s="79">
        <f>IFERROR(D1660*E1660,0)</f>
        <v>3112.37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37</v>
      </c>
      <c r="B1661" s="61" t="s">
        <v>155</v>
      </c>
      <c r="C1661" s="61" t="s">
        <v>189</v>
      </c>
      <c r="D1661" s="69">
        <v>1</v>
      </c>
      <c r="E1661" s="74">
        <v>5049.1803120000004</v>
      </c>
      <c r="F1661" s="80">
        <f>IFERROR(D1661*E1661,0)</f>
        <v>5049.1803120000004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34" t="s">
        <v>37</v>
      </c>
      <c r="B1662" s="61" t="s">
        <v>155</v>
      </c>
      <c r="C1662" s="61" t="s">
        <v>191</v>
      </c>
      <c r="D1662" s="69">
        <v>1</v>
      </c>
      <c r="E1662" s="74">
        <v>1999.114744</v>
      </c>
      <c r="F1662" s="80">
        <f>IFERROR(D1662*E1662,0)</f>
        <v>1999.114744</v>
      </c>
      <c r="G1662" s="61" t="str">
        <f>INDEX(SETORES!$B:$B,MATCH(A1662,SETORES!$A:$A,0))</f>
        <v>Clientes</v>
      </c>
      <c r="H1662" s="61" t="s">
        <v>11</v>
      </c>
    </row>
    <row r="1663" spans="1:8" ht="14.25" hidden="1" customHeight="1" x14ac:dyDescent="0.3">
      <c r="A1663" s="2" t="s">
        <v>37</v>
      </c>
      <c r="B1663" s="60" t="s">
        <v>155</v>
      </c>
      <c r="C1663" s="60" t="s">
        <v>187</v>
      </c>
      <c r="D1663" s="68">
        <v>1</v>
      </c>
      <c r="E1663" s="73">
        <v>2435.0826280000001</v>
      </c>
      <c r="F1663" s="79">
        <f>IFERROR(D1663*E1663,0)</f>
        <v>2435.0826280000001</v>
      </c>
      <c r="G1663" s="60" t="str">
        <f>INDEX(SETORES!$B:$B,MATCH(A1663,SETORES!$A:$A,0))</f>
        <v>Clientes</v>
      </c>
      <c r="H1663" s="60" t="s">
        <v>11</v>
      </c>
    </row>
    <row r="1664" spans="1:8" ht="14.25" hidden="1" customHeight="1" x14ac:dyDescent="0.3">
      <c r="A1664" s="34" t="s">
        <v>37</v>
      </c>
      <c r="B1664" s="61" t="s">
        <v>155</v>
      </c>
      <c r="C1664" s="61" t="s">
        <v>168</v>
      </c>
      <c r="D1664" s="69">
        <v>44</v>
      </c>
      <c r="E1664" s="74">
        <v>2.04</v>
      </c>
      <c r="F1664" s="80">
        <f>IFERROR(D1664*E1664,0)</f>
        <v>89.76</v>
      </c>
      <c r="G1664" s="61" t="str">
        <f>INDEX(SETORES!$B:$B,MATCH(A1664,SETORES!$A:$A,0))</f>
        <v>Clientes</v>
      </c>
      <c r="H1664" s="61" t="s">
        <v>11</v>
      </c>
    </row>
    <row r="1665" spans="1:8" ht="14.25" hidden="1" customHeight="1" x14ac:dyDescent="0.3">
      <c r="A1665" s="34" t="s">
        <v>37</v>
      </c>
      <c r="B1665" s="61" t="s">
        <v>155</v>
      </c>
      <c r="C1665" s="61" t="s">
        <v>160</v>
      </c>
      <c r="D1665" s="69"/>
      <c r="E1665" s="74"/>
      <c r="F1665" s="80">
        <f>IFERROR(D1665*E1665,0)</f>
        <v>0</v>
      </c>
      <c r="G1665" s="61" t="str">
        <f>INDEX(SETORES!$B:$B,MATCH(A1665,SETORES!$A:$A,0))</f>
        <v>Clientes</v>
      </c>
      <c r="H1665" s="61" t="s">
        <v>11</v>
      </c>
    </row>
    <row r="1666" spans="1:8" ht="14.25" hidden="1" customHeight="1" x14ac:dyDescent="0.3">
      <c r="A1666" s="34" t="s">
        <v>46</v>
      </c>
      <c r="B1666" s="61" t="s">
        <v>155</v>
      </c>
      <c r="C1666" s="61" t="s">
        <v>212</v>
      </c>
      <c r="D1666" s="69">
        <v>5</v>
      </c>
      <c r="E1666" s="74">
        <v>30</v>
      </c>
      <c r="F1666" s="80">
        <f>IFERROR(D1666*E1666,0)</f>
        <v>150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46</v>
      </c>
      <c r="B1667" s="60" t="s">
        <v>162</v>
      </c>
      <c r="C1667" s="60" t="s">
        <v>217</v>
      </c>
      <c r="D1667" s="68">
        <v>1</v>
      </c>
      <c r="E1667" s="73">
        <v>10448.85</v>
      </c>
      <c r="F1667" s="79">
        <f>IFERROR(D1667*E1667,0)</f>
        <v>10448.85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46</v>
      </c>
      <c r="B1668" s="61" t="s">
        <v>155</v>
      </c>
      <c r="C1668" s="61" t="s">
        <v>250</v>
      </c>
      <c r="D1668" s="69">
        <v>1</v>
      </c>
      <c r="E1668" s="74">
        <v>4301.51</v>
      </c>
      <c r="F1668" s="80">
        <f>IFERROR(D1668*E1668,0)</f>
        <v>4301.51</v>
      </c>
      <c r="G1668" s="61" t="str">
        <f>INDEX(SETORES!$B:$B,MATCH(A1668,SETORES!$A:$A,0))</f>
        <v>Clientes</v>
      </c>
      <c r="H1668" s="61" t="s">
        <v>11</v>
      </c>
    </row>
    <row r="1669" spans="1:8" ht="14.25" customHeight="1" x14ac:dyDescent="0.3">
      <c r="A1669" s="34" t="s">
        <v>46</v>
      </c>
      <c r="B1669" s="61" t="s">
        <v>155</v>
      </c>
      <c r="C1669" s="61" t="s">
        <v>171</v>
      </c>
      <c r="D1669" s="69">
        <v>23</v>
      </c>
      <c r="E1669" s="73">
        <v>51.12</v>
      </c>
      <c r="F1669" s="80">
        <f>IFERROR(D1669*E1669,0)</f>
        <v>1175.76</v>
      </c>
      <c r="G1669" s="61" t="s">
        <v>98</v>
      </c>
      <c r="H1669" s="61" t="s">
        <v>11</v>
      </c>
    </row>
    <row r="1670" spans="1:8" ht="14.25" hidden="1" customHeight="1" x14ac:dyDescent="0.3">
      <c r="A1670" s="2" t="s">
        <v>46</v>
      </c>
      <c r="B1670" s="60" t="s">
        <v>155</v>
      </c>
      <c r="C1670" s="60" t="s">
        <v>170</v>
      </c>
      <c r="D1670" s="69">
        <v>23</v>
      </c>
      <c r="E1670" s="73">
        <v>31.33</v>
      </c>
      <c r="F1670" s="79">
        <f>IFERROR(D1670*E1670,0)</f>
        <v>720.58999999999992</v>
      </c>
      <c r="G1670" s="61" t="s">
        <v>98</v>
      </c>
      <c r="H1670" s="61" t="s">
        <v>11</v>
      </c>
    </row>
    <row r="1671" spans="1:8" ht="14.25" hidden="1" customHeight="1" x14ac:dyDescent="0.3">
      <c r="A1671" s="2" t="s">
        <v>46</v>
      </c>
      <c r="B1671" s="60" t="s">
        <v>155</v>
      </c>
      <c r="C1671" s="60" t="s">
        <v>169</v>
      </c>
      <c r="D1671" s="69">
        <v>23</v>
      </c>
      <c r="E1671" s="73">
        <v>63.75</v>
      </c>
      <c r="F1671" s="80">
        <f>IFERROR(D1671*E1671,0)</f>
        <v>1466.25</v>
      </c>
      <c r="G1671" s="61" t="s">
        <v>98</v>
      </c>
      <c r="H1671" s="61" t="s">
        <v>11</v>
      </c>
    </row>
    <row r="1672" spans="1:8" ht="14.25" hidden="1" customHeight="1" x14ac:dyDescent="0.3">
      <c r="A1672" s="34" t="s">
        <v>46</v>
      </c>
      <c r="B1672" s="61" t="s">
        <v>162</v>
      </c>
      <c r="C1672" s="61" t="s">
        <v>221</v>
      </c>
      <c r="D1672" s="69">
        <v>1</v>
      </c>
      <c r="E1672" s="74">
        <v>160</v>
      </c>
      <c r="F1672" s="80">
        <f>IFERROR(D1672*E1672,0)</f>
        <v>160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46</v>
      </c>
      <c r="B1673" s="61" t="s">
        <v>155</v>
      </c>
      <c r="C1673" s="61" t="s">
        <v>161</v>
      </c>
      <c r="D1673" s="69">
        <v>1</v>
      </c>
      <c r="E1673" s="74">
        <v>162051.25</v>
      </c>
      <c r="F1673" s="80">
        <f>IFERROR(E1673,0)</f>
        <v>162051.25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46</v>
      </c>
      <c r="B1674" s="61" t="s">
        <v>155</v>
      </c>
      <c r="C1674" s="61" t="s">
        <v>167</v>
      </c>
      <c r="D1674" s="69">
        <v>24</v>
      </c>
      <c r="E1674" s="74">
        <v>9.85</v>
      </c>
      <c r="F1674" s="80">
        <f>IFERROR(D1674*E1674,0)</f>
        <v>236.39999999999998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46</v>
      </c>
      <c r="B1675" s="60" t="s">
        <v>162</v>
      </c>
      <c r="C1675" s="60" t="s">
        <v>218</v>
      </c>
      <c r="D1675" s="68"/>
      <c r="E1675" s="73"/>
      <c r="F1675" s="79">
        <f>IFERROR(D1675*E1675,0)</f>
        <v>0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34" t="s">
        <v>46</v>
      </c>
      <c r="B1676" s="61" t="s">
        <v>155</v>
      </c>
      <c r="C1676" s="61" t="s">
        <v>166</v>
      </c>
      <c r="D1676" s="69"/>
      <c r="E1676" s="74"/>
      <c r="F1676" s="80">
        <f>IFERROR(D1676*E1676,0)</f>
        <v>0</v>
      </c>
      <c r="G1676" s="61" t="str">
        <f>INDEX(SETORES!$B:$B,MATCH(A1676,SETORES!$A:$A,0))</f>
        <v>Clientes</v>
      </c>
      <c r="H1676" s="61" t="s">
        <v>11</v>
      </c>
    </row>
    <row r="1677" spans="1:8" ht="14.25" hidden="1" customHeight="1" x14ac:dyDescent="0.3">
      <c r="A1677" s="2" t="s">
        <v>46</v>
      </c>
      <c r="B1677" s="60" t="s">
        <v>155</v>
      </c>
      <c r="C1677" s="60" t="s">
        <v>156</v>
      </c>
      <c r="D1677" s="68"/>
      <c r="E1677" s="73"/>
      <c r="F1677" s="79">
        <v>0</v>
      </c>
      <c r="G1677" s="60" t="str">
        <f>INDEX(SETORES!$B:$B,MATCH(A1677,SETORES!$A:$A,0))</f>
        <v>Clientes</v>
      </c>
      <c r="H1677" s="60" t="s">
        <v>11</v>
      </c>
    </row>
    <row r="1678" spans="1:8" ht="14.25" hidden="1" customHeight="1" x14ac:dyDescent="0.3">
      <c r="A1678" s="34" t="s">
        <v>46</v>
      </c>
      <c r="B1678" s="61" t="s">
        <v>155</v>
      </c>
      <c r="C1678" s="61" t="s">
        <v>157</v>
      </c>
      <c r="D1678" s="69"/>
      <c r="E1678" s="74"/>
      <c r="F1678" s="80">
        <v>0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46</v>
      </c>
      <c r="B1679" s="60" t="s">
        <v>162</v>
      </c>
      <c r="C1679" s="60" t="s">
        <v>222</v>
      </c>
      <c r="D1679" s="68">
        <v>1</v>
      </c>
      <c r="E1679" s="73">
        <v>7468.78</v>
      </c>
      <c r="F1679" s="79">
        <f>IFERROR(D1679*E1679,0)</f>
        <v>7468.78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2" t="s">
        <v>46</v>
      </c>
      <c r="B1680" s="60" t="s">
        <v>155</v>
      </c>
      <c r="C1680" s="60" t="s">
        <v>168</v>
      </c>
      <c r="D1680" s="68">
        <v>24</v>
      </c>
      <c r="E1680" s="73">
        <v>2.04</v>
      </c>
      <c r="F1680" s="79">
        <f>IFERROR(D1680*E1680,0)</f>
        <v>48.96</v>
      </c>
      <c r="G1680" s="60" t="str">
        <f>INDEX(SETORES!$B:$B,MATCH(A1680,SETORES!$A:$A,0))</f>
        <v>Clientes</v>
      </c>
      <c r="H1680" s="60" t="s">
        <v>11</v>
      </c>
    </row>
    <row r="1681" spans="1:8" ht="14.25" hidden="1" customHeight="1" x14ac:dyDescent="0.3">
      <c r="A1681" s="2" t="s">
        <v>46</v>
      </c>
      <c r="B1681" s="60" t="s">
        <v>155</v>
      </c>
      <c r="C1681" s="60" t="s">
        <v>160</v>
      </c>
      <c r="D1681" s="68"/>
      <c r="E1681" s="73"/>
      <c r="F1681" s="79">
        <f>IFERROR(D1681*E1681,0)</f>
        <v>0</v>
      </c>
      <c r="G1681" s="60" t="str">
        <f>INDEX(SETORES!$B:$B,MATCH(A1681,SETORES!$A:$A,0))</f>
        <v>Clientes</v>
      </c>
      <c r="H1681" s="60" t="s">
        <v>11</v>
      </c>
    </row>
    <row r="1682" spans="1:8" ht="14.25" hidden="1" customHeight="1" x14ac:dyDescent="0.3">
      <c r="A1682" s="34" t="s">
        <v>49</v>
      </c>
      <c r="B1682" s="61" t="s">
        <v>155</v>
      </c>
      <c r="C1682" s="61" t="s">
        <v>159</v>
      </c>
      <c r="D1682" s="69">
        <v>4</v>
      </c>
      <c r="E1682" s="74">
        <v>0.31240000000000001</v>
      </c>
      <c r="F1682" s="80">
        <v>1.2496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34" t="s">
        <v>49</v>
      </c>
      <c r="B1683" s="61" t="s">
        <v>162</v>
      </c>
      <c r="C1683" s="61" t="s">
        <v>217</v>
      </c>
      <c r="D1683" s="69"/>
      <c r="E1683" s="74"/>
      <c r="F1683" s="80">
        <f>IFERROR(D1683*E1683,0)</f>
        <v>0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2" t="s">
        <v>49</v>
      </c>
      <c r="B1684" s="60" t="s">
        <v>155</v>
      </c>
      <c r="C1684" s="60" t="s">
        <v>256</v>
      </c>
      <c r="D1684" s="68">
        <v>1</v>
      </c>
      <c r="E1684" s="73">
        <v>3805.2746430000002</v>
      </c>
      <c r="F1684" s="79">
        <v>3805.2746430000002</v>
      </c>
      <c r="G1684" s="60" t="s">
        <v>96</v>
      </c>
      <c r="H1684" s="60" t="s">
        <v>11</v>
      </c>
    </row>
    <row r="1685" spans="1:8" ht="14.25" hidden="1" customHeight="1" x14ac:dyDescent="0.3">
      <c r="A1685" s="2" t="s">
        <v>49</v>
      </c>
      <c r="B1685" s="60" t="s">
        <v>155</v>
      </c>
      <c r="C1685" s="60" t="s">
        <v>158</v>
      </c>
      <c r="D1685" s="68">
        <v>4</v>
      </c>
      <c r="E1685" s="73">
        <v>23.6877</v>
      </c>
      <c r="F1685" s="79">
        <v>94.750799999999998</v>
      </c>
      <c r="G1685" s="60" t="str">
        <f>INDEX(SETORES!$B:$B,MATCH(A1685,SETORES!$A:$A,0))</f>
        <v>Clientes</v>
      </c>
      <c r="H1685" s="60" t="s">
        <v>11</v>
      </c>
    </row>
    <row r="1686" spans="1:8" ht="14.25" hidden="1" customHeight="1" x14ac:dyDescent="0.3">
      <c r="A1686" s="2" t="s">
        <v>49</v>
      </c>
      <c r="B1686" s="60" t="s">
        <v>155</v>
      </c>
      <c r="C1686" s="60" t="s">
        <v>161</v>
      </c>
      <c r="D1686" s="68">
        <v>1</v>
      </c>
      <c r="E1686" s="73">
        <v>26444.83</v>
      </c>
      <c r="F1686" s="79">
        <f>IFERROR(E1686,0)</f>
        <v>26444.83</v>
      </c>
      <c r="G1686" s="60" t="str">
        <f>INDEX(SETORES!$B:$B,MATCH(A1686,SETORES!$A:$A,0))</f>
        <v>Clientes</v>
      </c>
      <c r="H1686" s="60" t="s">
        <v>11</v>
      </c>
    </row>
    <row r="1687" spans="1:8" ht="14.25" hidden="1" customHeight="1" x14ac:dyDescent="0.3">
      <c r="A1687" s="2" t="s">
        <v>49</v>
      </c>
      <c r="B1687" s="60" t="s">
        <v>155</v>
      </c>
      <c r="C1687" s="60" t="s">
        <v>167</v>
      </c>
      <c r="D1687" s="68">
        <v>4</v>
      </c>
      <c r="E1687" s="73">
        <v>9.85</v>
      </c>
      <c r="F1687" s="79">
        <f>IFERROR(D1687*E1687,0)</f>
        <v>39.4</v>
      </c>
      <c r="G1687" s="60" t="str">
        <f>INDEX(SETORES!$B:$B,MATCH(A1687,SETORES!$A:$A,0))</f>
        <v>Clientes</v>
      </c>
      <c r="H1687" s="60" t="s">
        <v>11</v>
      </c>
    </row>
    <row r="1688" spans="1:8" ht="14.25" hidden="1" customHeight="1" x14ac:dyDescent="0.3">
      <c r="A1688" s="2" t="s">
        <v>49</v>
      </c>
      <c r="B1688" s="60" t="s">
        <v>162</v>
      </c>
      <c r="C1688" s="60" t="s">
        <v>220</v>
      </c>
      <c r="D1688" s="68"/>
      <c r="E1688" s="73"/>
      <c r="F1688" s="79">
        <f>IFERROR(D1688*E1688,0)</f>
        <v>0</v>
      </c>
      <c r="G1688" s="60" t="str">
        <f>INDEX(SETORES!$B:$B,MATCH(A1688,SETORES!$A:$A,0))</f>
        <v>Clientes</v>
      </c>
      <c r="H1688" s="60" t="s">
        <v>11</v>
      </c>
    </row>
    <row r="1689" spans="1:8" ht="14.25" hidden="1" customHeight="1" x14ac:dyDescent="0.3">
      <c r="A1689" s="34" t="s">
        <v>49</v>
      </c>
      <c r="B1689" s="61" t="s">
        <v>155</v>
      </c>
      <c r="C1689" s="61" t="s">
        <v>156</v>
      </c>
      <c r="D1689" s="69"/>
      <c r="E1689" s="74"/>
      <c r="F1689" s="80">
        <v>0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2" t="s">
        <v>49</v>
      </c>
      <c r="B1690" s="60" t="s">
        <v>155</v>
      </c>
      <c r="C1690" s="60" t="s">
        <v>157</v>
      </c>
      <c r="D1690" s="68">
        <v>1</v>
      </c>
      <c r="E1690" s="73">
        <v>710.95</v>
      </c>
      <c r="F1690" s="79">
        <v>710.95</v>
      </c>
      <c r="G1690" s="60" t="str">
        <f>INDEX(SETORES!$B:$B,MATCH(A1690,SETORES!$A:$A,0))</f>
        <v>Clientes</v>
      </c>
      <c r="H1690" s="60" t="s">
        <v>11</v>
      </c>
    </row>
    <row r="1691" spans="1:8" ht="14.25" hidden="1" customHeight="1" x14ac:dyDescent="0.3">
      <c r="A1691" s="34" t="s">
        <v>49</v>
      </c>
      <c r="B1691" s="61" t="s">
        <v>162</v>
      </c>
      <c r="C1691" s="61" t="s">
        <v>209</v>
      </c>
      <c r="D1691" s="69">
        <v>4</v>
      </c>
      <c r="E1691" s="74">
        <v>85.71</v>
      </c>
      <c r="F1691" s="80">
        <f>IFERROR(D1691*E1691,0)</f>
        <v>342.84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34" t="s">
        <v>49</v>
      </c>
      <c r="B1692" s="61" t="s">
        <v>162</v>
      </c>
      <c r="C1692" s="61" t="s">
        <v>222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34" t="s">
        <v>49</v>
      </c>
      <c r="B1693" s="61" t="s">
        <v>155</v>
      </c>
      <c r="C1693" s="61" t="s">
        <v>224</v>
      </c>
      <c r="D1693" s="69">
        <v>1</v>
      </c>
      <c r="E1693" s="74">
        <v>1800</v>
      </c>
      <c r="F1693" s="80">
        <f>IFERROR(D1693*E1693,0)</f>
        <v>1800</v>
      </c>
      <c r="G1693" s="61" t="str">
        <f>INDEX(SETORES!$B:$B,MATCH(A1693,SETORES!$A:$A,0))</f>
        <v>Clientes</v>
      </c>
      <c r="H1693" s="61" t="s">
        <v>11</v>
      </c>
    </row>
    <row r="1694" spans="1:8" ht="14.25" hidden="1" customHeight="1" x14ac:dyDescent="0.3">
      <c r="A1694" s="34" t="s">
        <v>49</v>
      </c>
      <c r="B1694" s="61" t="s">
        <v>155</v>
      </c>
      <c r="C1694" s="61" t="s">
        <v>168</v>
      </c>
      <c r="D1694" s="69">
        <v>4</v>
      </c>
      <c r="E1694" s="74">
        <v>2.04</v>
      </c>
      <c r="F1694" s="80">
        <f>IFERROR(D1694*E1694,0)</f>
        <v>8.16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34" t="s">
        <v>49</v>
      </c>
      <c r="B1695" s="61" t="s">
        <v>155</v>
      </c>
      <c r="C1695" s="61" t="s">
        <v>160</v>
      </c>
      <c r="D1695" s="69"/>
      <c r="E1695" s="74"/>
      <c r="F1695" s="80">
        <f>IFERROR(D1695*E1695,0)</f>
        <v>0</v>
      </c>
      <c r="G1695" s="61" t="str">
        <f>INDEX(SETORES!$B:$B,MATCH(A1695,SETORES!$A:$A,0))</f>
        <v>Clientes</v>
      </c>
      <c r="H1695" s="61" t="s">
        <v>11</v>
      </c>
    </row>
    <row r="1696" spans="1:8" ht="14.25" hidden="1" customHeight="1" x14ac:dyDescent="0.3">
      <c r="A1696" s="35" t="s">
        <v>146</v>
      </c>
      <c r="B1696" s="66" t="s">
        <v>155</v>
      </c>
      <c r="C1696" s="66" t="s">
        <v>161</v>
      </c>
      <c r="D1696" s="66">
        <v>1</v>
      </c>
      <c r="E1696" s="78">
        <v>23431.15</v>
      </c>
      <c r="F1696" s="78">
        <f>IFERROR(D1696*E1696,0)</f>
        <v>23431.15</v>
      </c>
      <c r="G1696" s="66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86</v>
      </c>
      <c r="B1697" s="60" t="s">
        <v>155</v>
      </c>
      <c r="C1697" s="60" t="s">
        <v>212</v>
      </c>
      <c r="D1697" s="68">
        <v>4</v>
      </c>
      <c r="E1697" s="73">
        <v>30</v>
      </c>
      <c r="F1697" s="79">
        <f>IFERROR(D1697*E1697,0)</f>
        <v>120</v>
      </c>
      <c r="G1697" s="60" t="str">
        <f>INDEX(SETORES!$B:$B,MATCH(A1697,SETORES!$A:$A,0))</f>
        <v>Clientes</v>
      </c>
      <c r="H1697" s="60" t="s">
        <v>11</v>
      </c>
    </row>
    <row r="1698" spans="1:8" ht="14.25" customHeight="1" x14ac:dyDescent="0.3">
      <c r="A1698" s="34" t="s">
        <v>86</v>
      </c>
      <c r="B1698" s="61" t="s">
        <v>155</v>
      </c>
      <c r="C1698" s="61" t="s">
        <v>171</v>
      </c>
      <c r="D1698" s="69">
        <v>8</v>
      </c>
      <c r="E1698" s="73">
        <v>51.12</v>
      </c>
      <c r="F1698" s="80">
        <f>IFERROR(D1698*E1698,0)</f>
        <v>408.96</v>
      </c>
      <c r="G1698" s="61" t="s">
        <v>98</v>
      </c>
      <c r="H1698" s="61" t="s">
        <v>11</v>
      </c>
    </row>
    <row r="1699" spans="1:8" ht="14.25" hidden="1" customHeight="1" x14ac:dyDescent="0.3">
      <c r="A1699" s="2" t="s">
        <v>86</v>
      </c>
      <c r="B1699" s="60" t="s">
        <v>155</v>
      </c>
      <c r="C1699" s="60" t="s">
        <v>170</v>
      </c>
      <c r="D1699" s="68">
        <v>8</v>
      </c>
      <c r="E1699" s="73">
        <v>31.33</v>
      </c>
      <c r="F1699" s="79">
        <f>IFERROR(D1699*E1699,0)</f>
        <v>250.64</v>
      </c>
      <c r="G1699" s="61" t="s">
        <v>98</v>
      </c>
      <c r="H1699" s="60" t="s">
        <v>11</v>
      </c>
    </row>
    <row r="1700" spans="1:8" ht="14.25" hidden="1" customHeight="1" x14ac:dyDescent="0.3">
      <c r="A1700" s="2" t="s">
        <v>86</v>
      </c>
      <c r="B1700" s="60" t="s">
        <v>155</v>
      </c>
      <c r="C1700" s="60" t="s">
        <v>169</v>
      </c>
      <c r="D1700" s="68">
        <v>8</v>
      </c>
      <c r="E1700" s="73">
        <v>63.75</v>
      </c>
      <c r="F1700" s="79">
        <f>IFERROR(D1700*E1700,0)</f>
        <v>510</v>
      </c>
      <c r="G1700" s="61" t="s">
        <v>98</v>
      </c>
      <c r="H1700" s="60" t="s">
        <v>11</v>
      </c>
    </row>
    <row r="1701" spans="1:8" ht="14.25" hidden="1" customHeight="1" x14ac:dyDescent="0.3">
      <c r="A1701" s="2" t="s">
        <v>86</v>
      </c>
      <c r="B1701" s="60" t="s">
        <v>155</v>
      </c>
      <c r="C1701" s="60" t="s">
        <v>161</v>
      </c>
      <c r="D1701" s="68">
        <v>1</v>
      </c>
      <c r="E1701" s="73">
        <v>33078.39</v>
      </c>
      <c r="F1701" s="79">
        <f>IFERROR(E1701,0)</f>
        <v>33078.39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34" t="s">
        <v>86</v>
      </c>
      <c r="B1702" s="61" t="s">
        <v>155</v>
      </c>
      <c r="C1702" s="61" t="s">
        <v>167</v>
      </c>
      <c r="D1702" s="69">
        <v>8</v>
      </c>
      <c r="E1702" s="74">
        <v>9.85</v>
      </c>
      <c r="F1702" s="80">
        <f>IFERROR(D1702*E1702,0)</f>
        <v>78.8</v>
      </c>
      <c r="G1702" s="61" t="str">
        <f>INDEX(SETORES!$B:$B,MATCH(A1702,SETORES!$A:$A,0))</f>
        <v>Clientes</v>
      </c>
      <c r="H1702" s="61" t="s">
        <v>11</v>
      </c>
    </row>
    <row r="1703" spans="1:8" ht="14.25" hidden="1" customHeight="1" x14ac:dyDescent="0.3">
      <c r="A1703" s="2" t="s">
        <v>86</v>
      </c>
      <c r="B1703" s="60" t="s">
        <v>155</v>
      </c>
      <c r="C1703" s="60" t="s">
        <v>238</v>
      </c>
      <c r="D1703" s="68">
        <v>1</v>
      </c>
      <c r="E1703" s="73">
        <v>9.0909119999999994</v>
      </c>
      <c r="F1703" s="79">
        <f>IFERROR(D1703*E1703,0)</f>
        <v>9.0909119999999994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34" t="s">
        <v>86</v>
      </c>
      <c r="B1704" s="61" t="s">
        <v>155</v>
      </c>
      <c r="C1704" s="61" t="s">
        <v>166</v>
      </c>
      <c r="D1704" s="69">
        <v>9</v>
      </c>
      <c r="E1704" s="74">
        <v>50</v>
      </c>
      <c r="F1704" s="80">
        <f>IFERROR(D1704*E1704,0)</f>
        <v>450</v>
      </c>
      <c r="G1704" s="61" t="str">
        <f>INDEX(SETORES!$B:$B,MATCH(A1704,SETORES!$A:$A,0))</f>
        <v>Clientes</v>
      </c>
      <c r="H1704" s="61" t="s">
        <v>11</v>
      </c>
    </row>
    <row r="1705" spans="1:8" ht="14.25" hidden="1" customHeight="1" x14ac:dyDescent="0.3">
      <c r="A1705" s="34" t="s">
        <v>86</v>
      </c>
      <c r="B1705" s="61" t="s">
        <v>155</v>
      </c>
      <c r="C1705" s="61" t="s">
        <v>157</v>
      </c>
      <c r="D1705" s="69">
        <v>1</v>
      </c>
      <c r="E1705" s="74">
        <v>114.65</v>
      </c>
      <c r="F1705" s="80">
        <v>114.65</v>
      </c>
      <c r="G1705" s="61" t="str">
        <f>INDEX(SETORES!$B:$B,MATCH(A1705,SETORES!$A:$A,0))</f>
        <v>Clientes</v>
      </c>
      <c r="H1705" s="61" t="s">
        <v>11</v>
      </c>
    </row>
    <row r="1706" spans="1:8" ht="14.25" hidden="1" customHeight="1" x14ac:dyDescent="0.3">
      <c r="A1706" s="2" t="s">
        <v>86</v>
      </c>
      <c r="B1706" s="60" t="s">
        <v>162</v>
      </c>
      <c r="C1706" s="60" t="s">
        <v>222</v>
      </c>
      <c r="D1706" s="68"/>
      <c r="E1706" s="73"/>
      <c r="F1706" s="79">
        <f>IFERROR(D1706*E1706,0)</f>
        <v>0</v>
      </c>
      <c r="G1706" s="60" t="str">
        <f>INDEX(SETORES!$B:$B,MATCH(A1706,SETORES!$A:$A,0))</f>
        <v>Clientes</v>
      </c>
      <c r="H1706" s="60" t="s">
        <v>11</v>
      </c>
    </row>
    <row r="1707" spans="1:8" ht="14.25" hidden="1" customHeight="1" x14ac:dyDescent="0.3">
      <c r="A1707" s="2" t="s">
        <v>86</v>
      </c>
      <c r="B1707" s="60" t="s">
        <v>155</v>
      </c>
      <c r="C1707" s="60" t="s">
        <v>168</v>
      </c>
      <c r="D1707" s="68">
        <v>8</v>
      </c>
      <c r="E1707" s="73">
        <v>2.04</v>
      </c>
      <c r="F1707" s="79">
        <f>IFERROR(D1707*E1707,0)</f>
        <v>16.32</v>
      </c>
      <c r="G1707" s="60" t="str">
        <f>INDEX(SETORES!$B:$B,MATCH(A1707,SETORES!$A:$A,0))</f>
        <v>Clientes</v>
      </c>
      <c r="H1707" s="60" t="s">
        <v>11</v>
      </c>
    </row>
    <row r="1708" spans="1:8" ht="14.25" hidden="1" customHeight="1" x14ac:dyDescent="0.3">
      <c r="A1708" s="34" t="s">
        <v>39</v>
      </c>
      <c r="B1708" s="61" t="s">
        <v>155</v>
      </c>
      <c r="C1708" s="61" t="s">
        <v>159</v>
      </c>
      <c r="D1708" s="69">
        <v>1</v>
      </c>
      <c r="E1708" s="74">
        <v>0.35</v>
      </c>
      <c r="F1708" s="80">
        <v>0.35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2" t="s">
        <v>39</v>
      </c>
      <c r="B1709" s="60" t="s">
        <v>155</v>
      </c>
      <c r="C1709" s="60" t="s">
        <v>249</v>
      </c>
      <c r="D1709" s="68">
        <v>1</v>
      </c>
      <c r="E1709" s="73">
        <v>975.1</v>
      </c>
      <c r="F1709" s="79">
        <f>IFERROR(D1709*E1709,0)</f>
        <v>975.1</v>
      </c>
      <c r="G1709" s="60" t="str">
        <f>INDEX(SETORES!$B:$B,MATCH(A1709,SETORES!$A:$A,0))</f>
        <v>Clientes</v>
      </c>
      <c r="H1709" s="60" t="s">
        <v>11</v>
      </c>
    </row>
    <row r="1710" spans="1:8" ht="14.25" hidden="1" customHeight="1" x14ac:dyDescent="0.3">
      <c r="A1710" s="2" t="s">
        <v>39</v>
      </c>
      <c r="B1710" s="60" t="s">
        <v>155</v>
      </c>
      <c r="C1710" s="60" t="s">
        <v>158</v>
      </c>
      <c r="D1710" s="68">
        <v>1</v>
      </c>
      <c r="E1710" s="73">
        <v>122.601</v>
      </c>
      <c r="F1710" s="79">
        <v>122.601</v>
      </c>
      <c r="G1710" s="60" t="str">
        <f>INDEX(SETORES!$B:$B,MATCH(A1710,SETORES!$A:$A,0))</f>
        <v>Clientes</v>
      </c>
      <c r="H1710" s="60" t="s">
        <v>11</v>
      </c>
    </row>
    <row r="1711" spans="1:8" ht="14.25" hidden="1" customHeight="1" x14ac:dyDescent="0.3">
      <c r="A1711" s="2" t="s">
        <v>39</v>
      </c>
      <c r="B1711" s="60" t="s">
        <v>162</v>
      </c>
      <c r="C1711" s="60" t="s">
        <v>163</v>
      </c>
      <c r="D1711" s="68">
        <v>1</v>
      </c>
      <c r="E1711" s="73">
        <v>496</v>
      </c>
      <c r="F1711" s="79">
        <f>IFERROR(D1711*E1711,0)</f>
        <v>496</v>
      </c>
      <c r="G1711" s="60" t="str">
        <f>INDEX(SETORES!$B:$B,MATCH(A1711,SETORES!$A:$A,0))</f>
        <v>Clientes</v>
      </c>
      <c r="H1711" s="60" t="s">
        <v>11</v>
      </c>
    </row>
    <row r="1712" spans="1:8" ht="14.25" hidden="1" customHeight="1" x14ac:dyDescent="0.3">
      <c r="A1712" s="34" t="s">
        <v>39</v>
      </c>
      <c r="B1712" s="61" t="s">
        <v>162</v>
      </c>
      <c r="C1712" s="61" t="s">
        <v>164</v>
      </c>
      <c r="D1712" s="69">
        <v>1</v>
      </c>
      <c r="E1712" s="74">
        <v>65.33</v>
      </c>
      <c r="F1712" s="80">
        <f>IFERROR(D1712*E1712,0)</f>
        <v>65.33</v>
      </c>
      <c r="G1712" s="61" t="str">
        <f>INDEX(SETORES!$B:$B,MATCH(A1712,SETORES!$A:$A,0))</f>
        <v>Clientes</v>
      </c>
      <c r="H1712" s="61" t="s">
        <v>11</v>
      </c>
    </row>
    <row r="1713" spans="1:8" ht="14.25" hidden="1" customHeight="1" x14ac:dyDescent="0.3">
      <c r="A1713" s="34" t="s">
        <v>39</v>
      </c>
      <c r="B1713" s="61" t="s">
        <v>155</v>
      </c>
      <c r="C1713" s="61" t="s">
        <v>161</v>
      </c>
      <c r="D1713" s="69">
        <v>1</v>
      </c>
      <c r="E1713" s="74">
        <v>44761.3</v>
      </c>
      <c r="F1713" s="80">
        <f>IFERROR(E1713,0)</f>
        <v>44761.3</v>
      </c>
      <c r="G1713" s="61" t="str">
        <f>INDEX(SETORES!$B:$B,MATCH(A1713,SETORES!$A:$A,0))</f>
        <v>Clientes</v>
      </c>
      <c r="H1713" s="61" t="s">
        <v>11</v>
      </c>
    </row>
    <row r="1714" spans="1:8" ht="14.25" hidden="1" customHeight="1" x14ac:dyDescent="0.3">
      <c r="A1714" s="2" t="s">
        <v>39</v>
      </c>
      <c r="B1714" s="60" t="s">
        <v>155</v>
      </c>
      <c r="C1714" s="60" t="s">
        <v>167</v>
      </c>
      <c r="D1714" s="68">
        <v>14</v>
      </c>
      <c r="E1714" s="73">
        <v>9.85</v>
      </c>
      <c r="F1714" s="79">
        <f>IFERROR(D1714*E1714,0)</f>
        <v>137.9</v>
      </c>
      <c r="G1714" s="60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34" t="s">
        <v>39</v>
      </c>
      <c r="B1715" s="61" t="s">
        <v>155</v>
      </c>
      <c r="C1715" s="61" t="s">
        <v>240</v>
      </c>
      <c r="D1715" s="69">
        <v>1</v>
      </c>
      <c r="E1715" s="74">
        <v>2.9377040000000001</v>
      </c>
      <c r="F1715" s="80">
        <f>IFERROR(D1715*E1715,0)</f>
        <v>2.9377040000000001</v>
      </c>
      <c r="G1715" s="61" t="str">
        <f>INDEX(SETORES!$B:$B,MATCH(A1715,SETORES!$A:$A,0))</f>
        <v>Clientes</v>
      </c>
      <c r="H1715" s="61" t="s">
        <v>11</v>
      </c>
    </row>
    <row r="1716" spans="1:8" ht="14.25" hidden="1" customHeight="1" x14ac:dyDescent="0.3">
      <c r="A1716" s="34" t="s">
        <v>39</v>
      </c>
      <c r="B1716" s="61" t="s">
        <v>155</v>
      </c>
      <c r="C1716" s="61" t="s">
        <v>166</v>
      </c>
      <c r="D1716" s="69">
        <v>11</v>
      </c>
      <c r="E1716" s="74">
        <v>50</v>
      </c>
      <c r="F1716" s="80">
        <f>IFERROR(D1716*E1716,0)</f>
        <v>550</v>
      </c>
      <c r="G1716" s="61" t="str">
        <f>INDEX(SETORES!$B:$B,MATCH(A1716,SETORES!$A:$A,0))</f>
        <v>Clientes</v>
      </c>
      <c r="H1716" s="61" t="s">
        <v>11</v>
      </c>
    </row>
    <row r="1717" spans="1:8" ht="14.25" hidden="1" customHeight="1" x14ac:dyDescent="0.3">
      <c r="A1717" s="2" t="s">
        <v>39</v>
      </c>
      <c r="B1717" s="60" t="s">
        <v>155</v>
      </c>
      <c r="C1717" s="60" t="s">
        <v>156</v>
      </c>
      <c r="D1717" s="68">
        <v>14</v>
      </c>
      <c r="E1717" s="73">
        <v>0.2641</v>
      </c>
      <c r="F1717" s="79">
        <v>3.6974</v>
      </c>
      <c r="G1717" s="60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34" t="s">
        <v>39</v>
      </c>
      <c r="B1718" s="61" t="s">
        <v>155</v>
      </c>
      <c r="C1718" s="61" t="s">
        <v>157</v>
      </c>
      <c r="D1718" s="69">
        <v>1</v>
      </c>
      <c r="E1718" s="74">
        <v>861.93409799999995</v>
      </c>
      <c r="F1718" s="80">
        <v>861.93409799999995</v>
      </c>
      <c r="G1718" s="61" t="str">
        <f>INDEX(SETORES!$B:$B,MATCH(A1718,SETORES!$A:$A,0))</f>
        <v>Clientes</v>
      </c>
      <c r="H1718" s="61" t="s">
        <v>11</v>
      </c>
    </row>
    <row r="1719" spans="1:8" ht="14.25" hidden="1" customHeight="1" x14ac:dyDescent="0.3">
      <c r="A1719" s="2" t="s">
        <v>39</v>
      </c>
      <c r="B1719" s="60" t="s">
        <v>162</v>
      </c>
      <c r="C1719" s="60" t="s">
        <v>222</v>
      </c>
      <c r="D1719" s="68"/>
      <c r="E1719" s="73"/>
      <c r="F1719" s="79">
        <f>IFERROR(D1719*E1719,0)</f>
        <v>0</v>
      </c>
      <c r="G1719" s="60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2" t="s">
        <v>39</v>
      </c>
      <c r="B1720" s="60" t="s">
        <v>155</v>
      </c>
      <c r="C1720" s="60" t="s">
        <v>189</v>
      </c>
      <c r="D1720" s="68">
        <v>1</v>
      </c>
      <c r="E1720" s="73">
        <v>1606.557372</v>
      </c>
      <c r="F1720" s="79">
        <f>IFERROR(D1720*E1720,0)</f>
        <v>1606.557372</v>
      </c>
      <c r="G1720" s="60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2" t="s">
        <v>39</v>
      </c>
      <c r="B1721" s="60" t="s">
        <v>155</v>
      </c>
      <c r="C1721" s="60" t="s">
        <v>191</v>
      </c>
      <c r="D1721" s="68">
        <v>1</v>
      </c>
      <c r="E1721" s="73">
        <v>636.08196399999997</v>
      </c>
      <c r="F1721" s="79">
        <f>IFERROR(D1721*E1721,0)</f>
        <v>636.08196399999997</v>
      </c>
      <c r="G1721" s="60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2" t="s">
        <v>39</v>
      </c>
      <c r="B1722" s="60" t="s">
        <v>155</v>
      </c>
      <c r="C1722" s="60" t="s">
        <v>187</v>
      </c>
      <c r="D1722" s="68">
        <v>1</v>
      </c>
      <c r="E1722" s="73">
        <v>774.79901800000005</v>
      </c>
      <c r="F1722" s="79">
        <f>IFERROR(D1722*E1722,0)</f>
        <v>774.79901800000005</v>
      </c>
      <c r="G1722" s="60" t="str">
        <f>INDEX(SETORES!$B:$B,MATCH(A1722,SETORES!$A:$A,0))</f>
        <v>Clientes</v>
      </c>
      <c r="H1722" s="60" t="s">
        <v>11</v>
      </c>
    </row>
    <row r="1723" spans="1:8" ht="14.25" hidden="1" customHeight="1" x14ac:dyDescent="0.3">
      <c r="A1723" s="34" t="s">
        <v>39</v>
      </c>
      <c r="B1723" s="61" t="s">
        <v>155</v>
      </c>
      <c r="C1723" s="61" t="s">
        <v>168</v>
      </c>
      <c r="D1723" s="69">
        <v>14</v>
      </c>
      <c r="E1723" s="74">
        <v>2.04</v>
      </c>
      <c r="F1723" s="80">
        <f>IFERROR(D1723*E1723,0)</f>
        <v>28.560000000000002</v>
      </c>
      <c r="G1723" s="61" t="str">
        <f>INDEX(SETORES!$B:$B,MATCH(A1723,SETORES!$A:$A,0))</f>
        <v>Clientes</v>
      </c>
      <c r="H1723" s="61" t="s">
        <v>11</v>
      </c>
    </row>
    <row r="1724" spans="1:8" ht="14.25" hidden="1" customHeight="1" x14ac:dyDescent="0.3">
      <c r="A1724" s="2" t="s">
        <v>39</v>
      </c>
      <c r="B1724" s="60" t="s">
        <v>155</v>
      </c>
      <c r="C1724" s="60" t="s">
        <v>160</v>
      </c>
      <c r="D1724" s="68"/>
      <c r="E1724" s="73"/>
      <c r="F1724" s="79">
        <f>IFERROR(D1724*E1724,0)</f>
        <v>0</v>
      </c>
      <c r="G1724" s="60" t="str">
        <f>INDEX(SETORES!$B:$B,MATCH(A1724,SETORES!$A:$A,0))</f>
        <v>Clientes</v>
      </c>
      <c r="H1724" s="60" t="s">
        <v>11</v>
      </c>
    </row>
    <row r="1725" spans="1:8" ht="14.25" hidden="1" customHeight="1" x14ac:dyDescent="0.3">
      <c r="A1725" s="2" t="s">
        <v>32</v>
      </c>
      <c r="B1725" s="60" t="s">
        <v>155</v>
      </c>
      <c r="C1725" s="60" t="s">
        <v>229</v>
      </c>
      <c r="D1725" s="68"/>
      <c r="E1725" s="73"/>
      <c r="F1725" s="79">
        <f>IFERROR(D1725*E1725,0)</f>
        <v>0</v>
      </c>
      <c r="G1725" s="60" t="str">
        <f>INDEX(SETORES!$B:$B,MATCH(A1725,SETORES!$A:$A,0))</f>
        <v>Funcionários</v>
      </c>
      <c r="H1725" s="60" t="s">
        <v>11</v>
      </c>
    </row>
    <row r="1726" spans="1:8" ht="14.25" hidden="1" customHeight="1" x14ac:dyDescent="0.3">
      <c r="A1726" s="34" t="s">
        <v>32</v>
      </c>
      <c r="B1726" s="61" t="s">
        <v>155</v>
      </c>
      <c r="C1726" s="61" t="s">
        <v>159</v>
      </c>
      <c r="D1726" s="69">
        <v>1</v>
      </c>
      <c r="E1726" s="74">
        <v>0.1</v>
      </c>
      <c r="F1726" s="80">
        <v>0.1</v>
      </c>
      <c r="G1726" s="61" t="str">
        <f>INDEX(SETORES!$B:$B,MATCH(A1726,SETORES!$A:$A,0))</f>
        <v>Funcionários</v>
      </c>
      <c r="H1726" s="61" t="s">
        <v>11</v>
      </c>
    </row>
    <row r="1727" spans="1:8" ht="14.25" hidden="1" customHeight="1" x14ac:dyDescent="0.3">
      <c r="A1727" s="34" t="s">
        <v>32</v>
      </c>
      <c r="B1727" s="61" t="s">
        <v>155</v>
      </c>
      <c r="C1727" s="61" t="s">
        <v>212</v>
      </c>
      <c r="D1727" s="69">
        <v>3</v>
      </c>
      <c r="E1727" s="74">
        <v>30</v>
      </c>
      <c r="F1727" s="80">
        <f>IFERROR(D1727*E1727,0)</f>
        <v>90</v>
      </c>
      <c r="G1727" s="61" t="str">
        <f>INDEX(SETORES!$B:$B,MATCH(A1727,SETORES!$A:$A,0))</f>
        <v>Funcionários</v>
      </c>
      <c r="H1727" s="61" t="s">
        <v>11</v>
      </c>
    </row>
    <row r="1728" spans="1:8" ht="14.25" hidden="1" customHeight="1" x14ac:dyDescent="0.3">
      <c r="A1728" s="2" t="s">
        <v>32</v>
      </c>
      <c r="B1728" s="60" t="s">
        <v>155</v>
      </c>
      <c r="C1728" s="60" t="s">
        <v>158</v>
      </c>
      <c r="D1728" s="68">
        <v>1</v>
      </c>
      <c r="E1728" s="73">
        <v>35.0289</v>
      </c>
      <c r="F1728" s="79">
        <v>35.0289</v>
      </c>
      <c r="G1728" s="60" t="str">
        <f>INDEX(SETORES!$B:$B,MATCH(A1728,SETORES!$A:$A,0))</f>
        <v>Funcionários</v>
      </c>
      <c r="H1728" s="60" t="s">
        <v>11</v>
      </c>
    </row>
    <row r="1729" spans="1:8" ht="14.25" hidden="1" customHeight="1" x14ac:dyDescent="0.3">
      <c r="A1729" s="2" t="s">
        <v>32</v>
      </c>
      <c r="B1729" s="60" t="s">
        <v>162</v>
      </c>
      <c r="C1729" s="60" t="s">
        <v>225</v>
      </c>
      <c r="D1729" s="68"/>
      <c r="E1729" s="73"/>
      <c r="F1729" s="79">
        <f>IFERROR(D1729*E1729,0)</f>
        <v>0</v>
      </c>
      <c r="G1729" s="60" t="str">
        <f>INDEX(SETORES!$B:$B,MATCH(A1729,SETORES!$A:$A,0))</f>
        <v>Funcionários</v>
      </c>
      <c r="H1729" s="60" t="s">
        <v>11</v>
      </c>
    </row>
    <row r="1730" spans="1:8" ht="14.25" hidden="1" customHeight="1" x14ac:dyDescent="0.3">
      <c r="A1730" s="34" t="s">
        <v>32</v>
      </c>
      <c r="B1730" s="61" t="s">
        <v>162</v>
      </c>
      <c r="C1730" s="61" t="s">
        <v>226</v>
      </c>
      <c r="D1730" s="69"/>
      <c r="E1730" s="74"/>
      <c r="F1730" s="80">
        <f>IFERROR(D1730*E1730,0)</f>
        <v>0</v>
      </c>
      <c r="G1730" s="61" t="str">
        <f>INDEX(SETORES!$B:$B,MATCH(A1730,SETORES!$A:$A,0))</f>
        <v>Funcionários</v>
      </c>
      <c r="H1730" s="61" t="s">
        <v>11</v>
      </c>
    </row>
    <row r="1731" spans="1:8" ht="14.25" hidden="1" customHeight="1" x14ac:dyDescent="0.3">
      <c r="A1731" s="34" t="s">
        <v>32</v>
      </c>
      <c r="B1731" s="61" t="s">
        <v>155</v>
      </c>
      <c r="C1731" s="61" t="s">
        <v>161</v>
      </c>
      <c r="D1731" s="69">
        <v>1</v>
      </c>
      <c r="E1731" s="74">
        <v>26729.08</v>
      </c>
      <c r="F1731" s="80">
        <f>IFERROR(E1731,0)</f>
        <v>26729.08</v>
      </c>
      <c r="G1731" s="61" t="str">
        <f>INDEX(SETORES!$B:$B,MATCH(A1731,SETORES!$A:$A,0))</f>
        <v>Funcionários</v>
      </c>
      <c r="H1731" s="61" t="s">
        <v>11</v>
      </c>
    </row>
    <row r="1732" spans="1:8" ht="14.25" hidden="1" customHeight="1" x14ac:dyDescent="0.3">
      <c r="A1732" s="2" t="s">
        <v>32</v>
      </c>
      <c r="B1732" s="60" t="s">
        <v>155</v>
      </c>
      <c r="C1732" s="60" t="s">
        <v>167</v>
      </c>
      <c r="D1732" s="68">
        <v>4</v>
      </c>
      <c r="E1732" s="73">
        <v>9.85</v>
      </c>
      <c r="F1732" s="79">
        <f>IFERROR(D1732*E1732,0)</f>
        <v>39.4</v>
      </c>
      <c r="G1732" s="60" t="str">
        <f>INDEX(SETORES!$B:$B,MATCH(A1732,SETORES!$A:$A,0))</f>
        <v>Funcionários</v>
      </c>
      <c r="H1732" s="60" t="s">
        <v>11</v>
      </c>
    </row>
    <row r="1733" spans="1:8" ht="14.25" hidden="1" customHeight="1" x14ac:dyDescent="0.3">
      <c r="A1733" s="34" t="s">
        <v>32</v>
      </c>
      <c r="B1733" s="61" t="s">
        <v>155</v>
      </c>
      <c r="C1733" s="61" t="s">
        <v>238</v>
      </c>
      <c r="D1733" s="69">
        <v>1</v>
      </c>
      <c r="E1733" s="74">
        <v>4.5454559999999997</v>
      </c>
      <c r="F1733" s="80">
        <f>IFERROR(D1733*E1733,0)</f>
        <v>4.5454559999999997</v>
      </c>
      <c r="G1733" s="61" t="str">
        <f>INDEX(SETORES!$B:$B,MATCH(A1733,SETORES!$A:$A,0))</f>
        <v>Funcionários</v>
      </c>
      <c r="H1733" s="61" t="s">
        <v>11</v>
      </c>
    </row>
    <row r="1734" spans="1:8" ht="14.25" hidden="1" customHeight="1" x14ac:dyDescent="0.3">
      <c r="A1734" s="2" t="s">
        <v>32</v>
      </c>
      <c r="B1734" s="60" t="s">
        <v>155</v>
      </c>
      <c r="C1734" s="60" t="s">
        <v>166</v>
      </c>
      <c r="D1734" s="68">
        <v>4</v>
      </c>
      <c r="E1734" s="73">
        <v>50</v>
      </c>
      <c r="F1734" s="79">
        <f>IFERROR(D1734*E1734,0)</f>
        <v>200</v>
      </c>
      <c r="G1734" s="60" t="str">
        <f>INDEX(SETORES!$B:$B,MATCH(A1734,SETORES!$A:$A,0))</f>
        <v>Funcionários</v>
      </c>
      <c r="H1734" s="60" t="s">
        <v>11</v>
      </c>
    </row>
    <row r="1735" spans="1:8" ht="14.25" hidden="1" customHeight="1" x14ac:dyDescent="0.3">
      <c r="A1735" s="2" t="s">
        <v>32</v>
      </c>
      <c r="B1735" s="60" t="s">
        <v>155</v>
      </c>
      <c r="C1735" s="60" t="s">
        <v>156</v>
      </c>
      <c r="D1735" s="68"/>
      <c r="E1735" s="73"/>
      <c r="F1735" s="79">
        <v>0</v>
      </c>
      <c r="G1735" s="60" t="str">
        <f>INDEX(SETORES!$B:$B,MATCH(A1735,SETORES!$A:$A,0))</f>
        <v>Funcionários</v>
      </c>
      <c r="H1735" s="60" t="s">
        <v>11</v>
      </c>
    </row>
    <row r="1736" spans="1:8" ht="14.25" hidden="1" customHeight="1" x14ac:dyDescent="0.3">
      <c r="A1736" s="34" t="s">
        <v>32</v>
      </c>
      <c r="B1736" s="61" t="s">
        <v>155</v>
      </c>
      <c r="C1736" s="61" t="s">
        <v>157</v>
      </c>
      <c r="D1736" s="69">
        <v>1</v>
      </c>
      <c r="E1736" s="74">
        <v>52.2</v>
      </c>
      <c r="F1736" s="80">
        <v>52.2</v>
      </c>
      <c r="G1736" s="61" t="str">
        <f>INDEX(SETORES!$B:$B,MATCH(A1736,SETORES!$A:$A,0))</f>
        <v>Funcionários</v>
      </c>
      <c r="H1736" s="61" t="s">
        <v>11</v>
      </c>
    </row>
    <row r="1737" spans="1:8" ht="14.25" hidden="1" customHeight="1" x14ac:dyDescent="0.3">
      <c r="A1737" s="34" t="s">
        <v>32</v>
      </c>
      <c r="B1737" s="61" t="s">
        <v>155</v>
      </c>
      <c r="C1737" s="61" t="s">
        <v>230</v>
      </c>
      <c r="D1737" s="69"/>
      <c r="E1737" s="74"/>
      <c r="F1737" s="80">
        <f>IFERROR(D1737*E1737,0)</f>
        <v>0</v>
      </c>
      <c r="G1737" s="61" t="str">
        <f>INDEX(SETORES!$B:$B,MATCH(A1737,SETORES!$A:$A,0))</f>
        <v>Funcionários</v>
      </c>
      <c r="H1737" s="61" t="s">
        <v>11</v>
      </c>
    </row>
    <row r="1738" spans="1:8" ht="14.25" hidden="1" customHeight="1" x14ac:dyDescent="0.3">
      <c r="A1738" s="2" t="s">
        <v>32</v>
      </c>
      <c r="B1738" s="60" t="s">
        <v>155</v>
      </c>
      <c r="C1738" s="60" t="s">
        <v>174</v>
      </c>
      <c r="D1738" s="68">
        <v>1</v>
      </c>
      <c r="E1738" s="73">
        <v>2000</v>
      </c>
      <c r="F1738" s="79">
        <f>IFERROR(D1738*E1738,0)</f>
        <v>2000</v>
      </c>
      <c r="G1738" s="61" t="s">
        <v>98</v>
      </c>
      <c r="H1738" s="60" t="s">
        <v>11</v>
      </c>
    </row>
    <row r="1739" spans="1:8" ht="14.25" hidden="1" customHeight="1" x14ac:dyDescent="0.3">
      <c r="A1739" s="34" t="s">
        <v>32</v>
      </c>
      <c r="B1739" s="61" t="s">
        <v>162</v>
      </c>
      <c r="C1739" s="61" t="s">
        <v>228</v>
      </c>
      <c r="D1739" s="69"/>
      <c r="E1739" s="74"/>
      <c r="F1739" s="80">
        <f>IFERROR(D1739*E1739,0)</f>
        <v>0</v>
      </c>
      <c r="G1739" s="61" t="str">
        <f>INDEX(SETORES!$B:$B,MATCH(A1739,SETORES!$A:$A,0))</f>
        <v>Funcionários</v>
      </c>
      <c r="H1739" s="61" t="s">
        <v>11</v>
      </c>
    </row>
    <row r="1740" spans="1:8" ht="14.25" hidden="1" customHeight="1" x14ac:dyDescent="0.3">
      <c r="A1740" s="34" t="s">
        <v>32</v>
      </c>
      <c r="B1740" s="61" t="s">
        <v>162</v>
      </c>
      <c r="C1740" s="61" t="s">
        <v>222</v>
      </c>
      <c r="D1740" s="69"/>
      <c r="E1740" s="74"/>
      <c r="F1740" s="80">
        <f>IFERROR(D1740*E1740,0)</f>
        <v>0</v>
      </c>
      <c r="G1740" s="61" t="str">
        <f>INDEX(SETORES!$B:$B,MATCH(A1740,SETORES!$A:$A,0))</f>
        <v>Funcionários</v>
      </c>
      <c r="H1740" s="61" t="s">
        <v>11</v>
      </c>
    </row>
    <row r="1741" spans="1:8" ht="14.25" hidden="1" customHeight="1" x14ac:dyDescent="0.3">
      <c r="A1741" s="2" t="s">
        <v>32</v>
      </c>
      <c r="B1741" s="60" t="s">
        <v>155</v>
      </c>
      <c r="C1741" s="60" t="s">
        <v>175</v>
      </c>
      <c r="D1741" s="68">
        <v>1</v>
      </c>
      <c r="E1741" s="73">
        <v>2500</v>
      </c>
      <c r="F1741" s="79">
        <f t="shared" ref="F1741:F1742" si="0">IFERROR(D1741*E1741,0)</f>
        <v>2500</v>
      </c>
      <c r="G1741" s="61" t="s">
        <v>98</v>
      </c>
      <c r="H1741" s="60" t="s">
        <v>11</v>
      </c>
    </row>
    <row r="1742" spans="1:8" ht="14.25" hidden="1" customHeight="1" x14ac:dyDescent="0.3">
      <c r="A1742" s="34" t="s">
        <v>32</v>
      </c>
      <c r="B1742" s="61" t="s">
        <v>155</v>
      </c>
      <c r="C1742" s="61" t="s">
        <v>176</v>
      </c>
      <c r="D1742" s="69">
        <v>1</v>
      </c>
      <c r="E1742" s="74">
        <v>2612.9</v>
      </c>
      <c r="F1742" s="79">
        <f t="shared" si="0"/>
        <v>2612.9</v>
      </c>
      <c r="G1742" s="61" t="s">
        <v>98</v>
      </c>
      <c r="H1742" s="61" t="s">
        <v>11</v>
      </c>
    </row>
    <row r="1743" spans="1:8" ht="14.25" hidden="1" customHeight="1" x14ac:dyDescent="0.3">
      <c r="A1743" s="34" t="s">
        <v>32</v>
      </c>
      <c r="B1743" s="61" t="s">
        <v>155</v>
      </c>
      <c r="C1743" s="61" t="s">
        <v>168</v>
      </c>
      <c r="D1743" s="69">
        <v>4</v>
      </c>
      <c r="E1743" s="74">
        <v>2.04</v>
      </c>
      <c r="F1743" s="80">
        <f>IFERROR(D1743*E1743,0)</f>
        <v>8.16</v>
      </c>
      <c r="G1743" s="61" t="str">
        <f>INDEX(SETORES!$B:$B,MATCH(A1743,SETORES!$A:$A,0))</f>
        <v>Funcionários</v>
      </c>
      <c r="H1743" s="61" t="s">
        <v>11</v>
      </c>
    </row>
    <row r="1744" spans="1:8" ht="14.25" hidden="1" customHeight="1" x14ac:dyDescent="0.3">
      <c r="A1744" s="2" t="s">
        <v>32</v>
      </c>
      <c r="B1744" s="60" t="s">
        <v>155</v>
      </c>
      <c r="C1744" s="60" t="s">
        <v>160</v>
      </c>
      <c r="D1744" s="68"/>
      <c r="E1744" s="73"/>
      <c r="F1744" s="79">
        <f>IFERROR(D1744*E1744,0)</f>
        <v>0</v>
      </c>
      <c r="G1744" s="60" t="str">
        <f>INDEX(SETORES!$B:$B,MATCH(A1744,SETORES!$A:$A,0))</f>
        <v>Funcionários</v>
      </c>
      <c r="H1744" s="60" t="s">
        <v>11</v>
      </c>
    </row>
    <row r="1745" spans="1:8" ht="14.25" hidden="1" customHeight="1" x14ac:dyDescent="0.3">
      <c r="A1745" s="2" t="s">
        <v>32</v>
      </c>
      <c r="B1745" s="60" t="s">
        <v>155</v>
      </c>
      <c r="C1745" s="60" t="s">
        <v>227</v>
      </c>
      <c r="D1745" s="68">
        <v>1</v>
      </c>
      <c r="E1745" s="73">
        <v>1776.46</v>
      </c>
      <c r="F1745" s="79">
        <f>IFERROR(D1745*E1745,0)</f>
        <v>1776.46</v>
      </c>
      <c r="G1745" s="60" t="str">
        <f>INDEX(SETORES!$B:$B,MATCH(A1745,SETORES!$A:$A,0))</f>
        <v>Funcionários</v>
      </c>
      <c r="H1745" s="60" t="s">
        <v>11</v>
      </c>
    </row>
    <row r="1746" spans="1:8" ht="14.25" hidden="1" customHeight="1" x14ac:dyDescent="0.3">
      <c r="A1746" s="2" t="s">
        <v>44</v>
      </c>
      <c r="B1746" s="60" t="s">
        <v>155</v>
      </c>
      <c r="C1746" s="60" t="s">
        <v>159</v>
      </c>
      <c r="D1746" s="68">
        <v>6</v>
      </c>
      <c r="E1746" s="73">
        <v>0.31240000000000001</v>
      </c>
      <c r="F1746" s="79">
        <v>1.8744000000000001</v>
      </c>
      <c r="G1746" s="60" t="str">
        <f>INDEX(SETORES!$B:$B,MATCH(A1746,SETORES!$A:$A,0))</f>
        <v>Funcionários</v>
      </c>
      <c r="H1746" s="60" t="s">
        <v>11</v>
      </c>
    </row>
    <row r="1747" spans="1:8" ht="14.25" hidden="1" customHeight="1" x14ac:dyDescent="0.3">
      <c r="A1747" s="2" t="s">
        <v>44</v>
      </c>
      <c r="B1747" s="60" t="s">
        <v>155</v>
      </c>
      <c r="C1747" s="60" t="s">
        <v>212</v>
      </c>
      <c r="D1747" s="68">
        <v>4</v>
      </c>
      <c r="E1747" s="73">
        <v>30</v>
      </c>
      <c r="F1747" s="79">
        <v>120</v>
      </c>
      <c r="G1747" s="60" t="str">
        <f>INDEX(SETORES!$B:$B,MATCH(A1747,SETORES!$A:$A,0))</f>
        <v>Funcionários</v>
      </c>
      <c r="H1747" s="60" t="s">
        <v>11</v>
      </c>
    </row>
    <row r="1748" spans="1:8" ht="14.25" hidden="1" customHeight="1" x14ac:dyDescent="0.3">
      <c r="A1748" s="2" t="s">
        <v>44</v>
      </c>
      <c r="B1748" s="60" t="s">
        <v>162</v>
      </c>
      <c r="C1748" s="60" t="s">
        <v>217</v>
      </c>
      <c r="D1748" s="68">
        <v>1</v>
      </c>
      <c r="E1748" s="73">
        <v>3191.63</v>
      </c>
      <c r="F1748" s="79">
        <v>3191.63</v>
      </c>
      <c r="G1748" s="60" t="str">
        <f>INDEX(SETORES!$B:$B,MATCH(A1748,SETORES!$A:$A,0))</f>
        <v>Funcionários</v>
      </c>
      <c r="H1748" s="60" t="s">
        <v>11</v>
      </c>
    </row>
    <row r="1749" spans="1:8" ht="14.25" hidden="1" customHeight="1" x14ac:dyDescent="0.3">
      <c r="A1749" s="2" t="s">
        <v>44</v>
      </c>
      <c r="B1749" s="60" t="s">
        <v>155</v>
      </c>
      <c r="C1749" s="60" t="s">
        <v>158</v>
      </c>
      <c r="D1749" s="68">
        <v>6</v>
      </c>
      <c r="E1749" s="73">
        <v>23.6877</v>
      </c>
      <c r="F1749" s="79">
        <v>142.12620000000001</v>
      </c>
      <c r="G1749" s="60" t="str">
        <f>INDEX(SETORES!$B:$B,MATCH(A1749,SETORES!$A:$A,0))</f>
        <v>Funcionários</v>
      </c>
      <c r="H1749" s="60" t="s">
        <v>11</v>
      </c>
    </row>
    <row r="1750" spans="1:8" ht="14.25" hidden="1" customHeight="1" x14ac:dyDescent="0.3">
      <c r="A1750" s="34" t="s">
        <v>44</v>
      </c>
      <c r="B1750" s="61" t="s">
        <v>162</v>
      </c>
      <c r="C1750" s="61" t="s">
        <v>221</v>
      </c>
      <c r="D1750" s="69"/>
      <c r="E1750" s="74"/>
      <c r="F1750" s="80">
        <f>IFERROR(D1750*E1750,0)</f>
        <v>0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2" t="s">
        <v>44</v>
      </c>
      <c r="B1751" s="60" t="s">
        <v>162</v>
      </c>
      <c r="C1751" s="60" t="s">
        <v>165</v>
      </c>
      <c r="D1751" s="68"/>
      <c r="E1751" s="73"/>
      <c r="F1751" s="79">
        <v>0</v>
      </c>
      <c r="G1751" s="60" t="str">
        <f>INDEX(SETORES!$B:$B,MATCH(A1751,SETORES!$A:$A,0))</f>
        <v>Funcionários</v>
      </c>
      <c r="H1751" s="60" t="s">
        <v>11</v>
      </c>
    </row>
    <row r="1752" spans="1:8" ht="14.25" hidden="1" customHeight="1" x14ac:dyDescent="0.3">
      <c r="A1752" s="34" t="s">
        <v>44</v>
      </c>
      <c r="B1752" s="61" t="s">
        <v>162</v>
      </c>
      <c r="C1752" s="61" t="s">
        <v>163</v>
      </c>
      <c r="D1752" s="69">
        <v>1</v>
      </c>
      <c r="E1752" s="74">
        <v>328</v>
      </c>
      <c r="F1752" s="80">
        <f>IFERROR(D1752*E1752,0)</f>
        <v>328</v>
      </c>
      <c r="G1752" s="61" t="str">
        <f>INDEX(SETORES!$B:$B,MATCH(A1752,SETORES!$A:$A,0))</f>
        <v>Funcionários</v>
      </c>
      <c r="H1752" s="61" t="s">
        <v>11</v>
      </c>
    </row>
    <row r="1753" spans="1:8" ht="14.25" hidden="1" customHeight="1" x14ac:dyDescent="0.3">
      <c r="A1753" s="2" t="s">
        <v>44</v>
      </c>
      <c r="B1753" s="60" t="s">
        <v>162</v>
      </c>
      <c r="C1753" s="60" t="s">
        <v>164</v>
      </c>
      <c r="D1753" s="68"/>
      <c r="E1753" s="73"/>
      <c r="F1753" s="79">
        <f>IFERROR(D1753*E1753,0)</f>
        <v>0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2" t="s">
        <v>44</v>
      </c>
      <c r="B1754" s="60" t="s">
        <v>155</v>
      </c>
      <c r="C1754" s="60" t="s">
        <v>161</v>
      </c>
      <c r="D1754" s="68">
        <v>1</v>
      </c>
      <c r="E1754" s="73">
        <v>37889.97</v>
      </c>
      <c r="F1754" s="79">
        <f>IFERROR(E1754,0)</f>
        <v>37889.97</v>
      </c>
      <c r="G1754" s="60" t="str">
        <f>INDEX(SETORES!$B:$B,MATCH(A1754,SETORES!$A:$A,0))</f>
        <v>Funcionários</v>
      </c>
      <c r="H1754" s="60" t="s">
        <v>11</v>
      </c>
    </row>
    <row r="1755" spans="1:8" ht="14.25" hidden="1" customHeight="1" x14ac:dyDescent="0.3">
      <c r="A1755" s="2" t="s">
        <v>44</v>
      </c>
      <c r="B1755" s="60" t="s">
        <v>155</v>
      </c>
      <c r="C1755" s="60" t="s">
        <v>167</v>
      </c>
      <c r="D1755" s="68">
        <v>6</v>
      </c>
      <c r="E1755" s="73">
        <v>9.85</v>
      </c>
      <c r="F1755" s="79">
        <f>IFERROR(D1755*E1755,0)</f>
        <v>59.099999999999994</v>
      </c>
      <c r="G1755" s="60" t="str">
        <f>INDEX(SETORES!$B:$B,MATCH(A1755,SETORES!$A:$A,0))</f>
        <v>Funcionários</v>
      </c>
      <c r="H1755" s="60" t="s">
        <v>11</v>
      </c>
    </row>
    <row r="1756" spans="1:8" ht="14.25" hidden="1" customHeight="1" x14ac:dyDescent="0.3">
      <c r="A1756" s="34" t="s">
        <v>44</v>
      </c>
      <c r="B1756" s="61" t="s">
        <v>155</v>
      </c>
      <c r="C1756" s="61" t="s">
        <v>238</v>
      </c>
      <c r="D1756" s="69">
        <v>1</v>
      </c>
      <c r="E1756" s="74">
        <v>76.790000000000006</v>
      </c>
      <c r="F1756" s="80">
        <f>IFERROR(D1756*E1756,0)</f>
        <v>76.790000000000006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34" t="s">
        <v>44</v>
      </c>
      <c r="B1757" s="61" t="s">
        <v>155</v>
      </c>
      <c r="C1757" s="61" t="s">
        <v>166</v>
      </c>
      <c r="D1757" s="69">
        <v>9</v>
      </c>
      <c r="E1757" s="74">
        <v>50</v>
      </c>
      <c r="F1757" s="80">
        <f>IFERROR(D1757*E1757,0)</f>
        <v>450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44</v>
      </c>
      <c r="B1758" s="60" t="s">
        <v>155</v>
      </c>
      <c r="C1758" s="60" t="s">
        <v>156</v>
      </c>
      <c r="D1758" s="68"/>
      <c r="E1758" s="73"/>
      <c r="F1758" s="79">
        <v>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34" t="s">
        <v>44</v>
      </c>
      <c r="B1759" s="61" t="s">
        <v>155</v>
      </c>
      <c r="C1759" s="61" t="s">
        <v>157</v>
      </c>
      <c r="D1759" s="69"/>
      <c r="E1759" s="74"/>
      <c r="F1759" s="80">
        <v>0</v>
      </c>
      <c r="G1759" s="61" t="str">
        <f>INDEX(SETORES!$B:$B,MATCH(A1759,SETORES!$A:$A,0))</f>
        <v>Funcionários</v>
      </c>
      <c r="H1759" s="61" t="s">
        <v>11</v>
      </c>
    </row>
    <row r="1760" spans="1:8" ht="14.25" hidden="1" customHeight="1" x14ac:dyDescent="0.3">
      <c r="A1760" s="2" t="s">
        <v>44</v>
      </c>
      <c r="B1760" s="60" t="s">
        <v>162</v>
      </c>
      <c r="C1760" s="60" t="s">
        <v>232</v>
      </c>
      <c r="D1760" s="68">
        <v>1</v>
      </c>
      <c r="E1760" s="73">
        <v>7689.5</v>
      </c>
      <c r="F1760" s="79">
        <f>IFERROR(D1760*E1760,0)</f>
        <v>7689.5</v>
      </c>
      <c r="G1760" s="60" t="str">
        <f>INDEX(SETORES!$B:$B,MATCH(A1760,SETORES!$A:$A,0))</f>
        <v>Funcionários</v>
      </c>
      <c r="H1760" s="60" t="s">
        <v>11</v>
      </c>
    </row>
    <row r="1761" spans="1:8" ht="14.25" hidden="1" customHeight="1" x14ac:dyDescent="0.3">
      <c r="A1761" s="34" t="s">
        <v>44</v>
      </c>
      <c r="B1761" s="61" t="s">
        <v>162</v>
      </c>
      <c r="C1761" s="61" t="s">
        <v>209</v>
      </c>
      <c r="D1761" s="69">
        <v>6</v>
      </c>
      <c r="E1761" s="74">
        <v>85.71</v>
      </c>
      <c r="F1761" s="80">
        <f>IFERROR(D1761*E1761,0)</f>
        <v>514.26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34" t="s">
        <v>44</v>
      </c>
      <c r="B1762" s="61" t="s">
        <v>155</v>
      </c>
      <c r="C1762" s="61" t="s">
        <v>168</v>
      </c>
      <c r="D1762" s="69">
        <v>6</v>
      </c>
      <c r="E1762" s="74">
        <v>2.04</v>
      </c>
      <c r="F1762" s="80">
        <f>IFERROR(D1762*E1762,0)</f>
        <v>12.24</v>
      </c>
      <c r="G1762" s="61" t="str">
        <f>INDEX(SETORES!$B:$B,MATCH(A1762,SETORES!$A:$A,0))</f>
        <v>Funcionários</v>
      </c>
      <c r="H1762" s="61" t="s">
        <v>11</v>
      </c>
    </row>
    <row r="1763" spans="1:8" ht="14.25" hidden="1" customHeight="1" x14ac:dyDescent="0.3">
      <c r="A1763" s="34" t="s">
        <v>44</v>
      </c>
      <c r="B1763" s="61" t="s">
        <v>155</v>
      </c>
      <c r="C1763" s="61" t="s">
        <v>160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34" t="s">
        <v>139</v>
      </c>
      <c r="B1764" s="61" t="s">
        <v>155</v>
      </c>
      <c r="C1764" s="61" t="s">
        <v>250</v>
      </c>
      <c r="D1764" s="69">
        <v>1</v>
      </c>
      <c r="E1764" s="74">
        <v>1075.3800000000001</v>
      </c>
      <c r="F1764" s="80">
        <f>IFERROR(D1764*E1764,0)</f>
        <v>1075.3800000000001</v>
      </c>
      <c r="G1764" s="61" t="str">
        <f>INDEX(SETORES!$B:$B,MATCH(A1764,SETORES!$A:$A,0))</f>
        <v>Funcionários</v>
      </c>
      <c r="H1764" s="61" t="s">
        <v>11</v>
      </c>
    </row>
    <row r="1765" spans="1:8" ht="14.25" customHeight="1" x14ac:dyDescent="0.3">
      <c r="A1765" s="34" t="s">
        <v>139</v>
      </c>
      <c r="B1765" s="61" t="s">
        <v>155</v>
      </c>
      <c r="C1765" s="61" t="s">
        <v>171</v>
      </c>
      <c r="D1765" s="69">
        <v>6</v>
      </c>
      <c r="E1765" s="73">
        <v>51.12</v>
      </c>
      <c r="F1765" s="80">
        <f>IFERROR(D1765*E1765,0)</f>
        <v>306.71999999999997</v>
      </c>
      <c r="G1765" s="61" t="s">
        <v>98</v>
      </c>
      <c r="H1765" s="60" t="s">
        <v>11</v>
      </c>
    </row>
    <row r="1766" spans="1:8" ht="14.25" hidden="1" customHeight="1" x14ac:dyDescent="0.3">
      <c r="A1766" s="34" t="s">
        <v>139</v>
      </c>
      <c r="B1766" s="61" t="s">
        <v>155</v>
      </c>
      <c r="C1766" s="61" t="s">
        <v>170</v>
      </c>
      <c r="D1766" s="69">
        <v>6</v>
      </c>
      <c r="E1766" s="74">
        <v>31.33</v>
      </c>
      <c r="F1766" s="79">
        <f>IFERROR(D1766*E1766,0)</f>
        <v>187.98</v>
      </c>
      <c r="G1766" s="61" t="s">
        <v>98</v>
      </c>
      <c r="H1766" s="60" t="s">
        <v>11</v>
      </c>
    </row>
    <row r="1767" spans="1:8" ht="14.25" hidden="1" customHeight="1" x14ac:dyDescent="0.3">
      <c r="A1767" s="34" t="s">
        <v>139</v>
      </c>
      <c r="B1767" s="61" t="s">
        <v>155</v>
      </c>
      <c r="C1767" s="61" t="s">
        <v>169</v>
      </c>
      <c r="D1767" s="69">
        <v>6</v>
      </c>
      <c r="E1767" s="73">
        <v>63.75</v>
      </c>
      <c r="F1767" s="80">
        <f>IFERROR(D1767*E1767,0)</f>
        <v>382.5</v>
      </c>
      <c r="G1767" s="61" t="s">
        <v>98</v>
      </c>
      <c r="H1767" s="60" t="s">
        <v>11</v>
      </c>
    </row>
    <row r="1768" spans="1:8" ht="14.25" hidden="1" customHeight="1" x14ac:dyDescent="0.3">
      <c r="A1768" s="2" t="s">
        <v>139</v>
      </c>
      <c r="B1768" s="60" t="s">
        <v>155</v>
      </c>
      <c r="C1768" s="60" t="s">
        <v>161</v>
      </c>
      <c r="D1768" s="68">
        <v>1</v>
      </c>
      <c r="E1768" s="73">
        <v>22017.33</v>
      </c>
      <c r="F1768" s="79">
        <v>22017.33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34" t="s">
        <v>139</v>
      </c>
      <c r="B1769" s="61" t="s">
        <v>155</v>
      </c>
      <c r="C1769" s="61" t="s">
        <v>167</v>
      </c>
      <c r="D1769" s="69">
        <v>6</v>
      </c>
      <c r="E1769" s="74">
        <v>9.85</v>
      </c>
      <c r="F1769" s="80">
        <f>IFERROR(D1769*E1769,0)</f>
        <v>59.099999999999994</v>
      </c>
      <c r="G1769" s="61" t="str">
        <f>INDEX(SETORES!$B:$B,MATCH(A1769,SETORES!$A:$A,0))</f>
        <v>Funcionários</v>
      </c>
      <c r="H1769" s="61" t="s">
        <v>11</v>
      </c>
    </row>
    <row r="1770" spans="1:8" ht="14.25" hidden="1" customHeight="1" x14ac:dyDescent="0.3">
      <c r="A1770" s="2" t="s">
        <v>139</v>
      </c>
      <c r="B1770" s="60" t="s">
        <v>155</v>
      </c>
      <c r="C1770" s="60" t="s">
        <v>168</v>
      </c>
      <c r="D1770" s="68">
        <v>6</v>
      </c>
      <c r="E1770" s="73">
        <v>2.04</v>
      </c>
      <c r="F1770" s="79">
        <f>IFERROR(D1770*E1770,0)</f>
        <v>12.24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53</v>
      </c>
      <c r="B1771" s="60" t="s">
        <v>155</v>
      </c>
      <c r="C1771" s="60" t="s">
        <v>159</v>
      </c>
      <c r="D1771" s="68">
        <v>1</v>
      </c>
      <c r="E1771" s="73">
        <v>0.8</v>
      </c>
      <c r="F1771" s="79">
        <v>0.8</v>
      </c>
      <c r="G1771" s="60" t="str">
        <f>INDEX(SETORES!$B:$B,MATCH(A1771,SETORES!$A:$A,0))</f>
        <v>Clientes</v>
      </c>
      <c r="H1771" s="60" t="s">
        <v>11</v>
      </c>
    </row>
    <row r="1772" spans="1:8" ht="14.25" hidden="1" customHeight="1" x14ac:dyDescent="0.3">
      <c r="A1772" s="34" t="s">
        <v>53</v>
      </c>
      <c r="B1772" s="61" t="s">
        <v>162</v>
      </c>
      <c r="C1772" s="61" t="s">
        <v>217</v>
      </c>
      <c r="D1772" s="69"/>
      <c r="E1772" s="74"/>
      <c r="F1772" s="80">
        <f>IFERROR(D1772*E1772,0)</f>
        <v>0</v>
      </c>
      <c r="G1772" s="61" t="str">
        <f>INDEX(SETORES!$B:$B,MATCH(A1772,SETORES!$A:$A,0))</f>
        <v>Clientes</v>
      </c>
      <c r="H1772" s="61" t="s">
        <v>11</v>
      </c>
    </row>
    <row r="1773" spans="1:8" ht="14.25" hidden="1" customHeight="1" x14ac:dyDescent="0.3">
      <c r="A1773" s="2" t="s">
        <v>53</v>
      </c>
      <c r="B1773" s="60" t="s">
        <v>155</v>
      </c>
      <c r="C1773" s="60" t="s">
        <v>249</v>
      </c>
      <c r="D1773" s="68">
        <v>1</v>
      </c>
      <c r="E1773" s="73">
        <v>2228.8000000000002</v>
      </c>
      <c r="F1773" s="79">
        <f>IFERROR(D1773*E1773,0)</f>
        <v>2228.8000000000002</v>
      </c>
      <c r="G1773" s="60" t="str">
        <f>INDEX(SETORES!$B:$B,MATCH(A1773,SETORES!$A:$A,0))</f>
        <v>Clientes</v>
      </c>
      <c r="H1773" s="60" t="s">
        <v>11</v>
      </c>
    </row>
    <row r="1774" spans="1:8" ht="14.25" hidden="1" customHeight="1" x14ac:dyDescent="0.3">
      <c r="A1774" s="58" t="s">
        <v>53</v>
      </c>
      <c r="B1774" s="62" t="s">
        <v>155</v>
      </c>
      <c r="C1774" s="62" t="s">
        <v>158</v>
      </c>
      <c r="D1774" s="70">
        <v>1</v>
      </c>
      <c r="E1774" s="75">
        <v>280.23090000000002</v>
      </c>
      <c r="F1774" s="81">
        <v>280.23090000000002</v>
      </c>
      <c r="G1774" s="62" t="str">
        <f>INDEX(SETORES!$B:$B,MATCH(A1774,SETORES!$A:$A,0))</f>
        <v>Clientes</v>
      </c>
      <c r="H1774" s="62" t="s">
        <v>11</v>
      </c>
    </row>
    <row r="1775" spans="1:8" ht="14.25" hidden="1" customHeight="1" x14ac:dyDescent="0.3">
      <c r="A1775" s="57" t="s">
        <v>53</v>
      </c>
      <c r="B1775" s="63" t="s">
        <v>162</v>
      </c>
      <c r="C1775" s="63" t="s">
        <v>165</v>
      </c>
      <c r="D1775" s="71">
        <v>1</v>
      </c>
      <c r="E1775" s="76">
        <v>6245.8</v>
      </c>
      <c r="F1775" s="82">
        <f>IFERROR(D1775*E1775,0)</f>
        <v>6245.8</v>
      </c>
      <c r="G1775" s="63" t="str">
        <f>INDEX(SETORES!$B:$B,MATCH(A1775,SETORES!$A:$A,0))</f>
        <v>Clientes</v>
      </c>
      <c r="H1775" s="60" t="s">
        <v>11</v>
      </c>
    </row>
    <row r="1776" spans="1:8" ht="14.25" hidden="1" customHeight="1" x14ac:dyDescent="0.3">
      <c r="A1776" s="57" t="s">
        <v>53</v>
      </c>
      <c r="B1776" s="63" t="s">
        <v>155</v>
      </c>
      <c r="C1776" s="63" t="s">
        <v>161</v>
      </c>
      <c r="D1776" s="71">
        <v>1</v>
      </c>
      <c r="E1776" s="76">
        <v>101577.79</v>
      </c>
      <c r="F1776" s="82">
        <f>IFERROR(E1776,0)</f>
        <v>101577.79</v>
      </c>
      <c r="G1776" s="63" t="str">
        <f>INDEX(SETORES!$B:$B,MATCH(A1776,SETORES!$A:$A,0))</f>
        <v>Clientes</v>
      </c>
      <c r="H1776" s="63" t="s">
        <v>11</v>
      </c>
    </row>
    <row r="1777" spans="1:8" ht="14.25" hidden="1" customHeight="1" x14ac:dyDescent="0.3">
      <c r="A1777" s="57" t="s">
        <v>53</v>
      </c>
      <c r="B1777" s="63" t="s">
        <v>155</v>
      </c>
      <c r="C1777" s="63" t="s">
        <v>167</v>
      </c>
      <c r="D1777" s="71">
        <v>32</v>
      </c>
      <c r="E1777" s="76">
        <v>9.85</v>
      </c>
      <c r="F1777" s="82">
        <f>IFERROR(D1777*E1777,0)</f>
        <v>315.2</v>
      </c>
      <c r="G1777" s="63" t="str">
        <f>INDEX(SETORES!$B:$B,MATCH(A1777,SETORES!$A:$A,0))</f>
        <v>Clientes</v>
      </c>
      <c r="H1777" s="63" t="s">
        <v>11</v>
      </c>
    </row>
    <row r="1778" spans="1:8" ht="14.25" hidden="1" customHeight="1" x14ac:dyDescent="0.3">
      <c r="A1778" s="58" t="s">
        <v>53</v>
      </c>
      <c r="B1778" s="62" t="s">
        <v>155</v>
      </c>
      <c r="C1778" s="62" t="s">
        <v>240</v>
      </c>
      <c r="D1778" s="70">
        <v>1</v>
      </c>
      <c r="E1778" s="75">
        <v>6.7147519999999998</v>
      </c>
      <c r="F1778" s="81">
        <f>IFERROR(D1778*E1778,0)</f>
        <v>6.7147519999999998</v>
      </c>
      <c r="G1778" s="62" t="str">
        <f>INDEX(SETORES!$B:$B,MATCH(A1778,SETORES!$A:$A,0))</f>
        <v>Clientes</v>
      </c>
      <c r="H1778" s="62" t="s">
        <v>11</v>
      </c>
    </row>
    <row r="1779" spans="1:8" ht="14.25" hidden="1" customHeight="1" x14ac:dyDescent="0.3">
      <c r="A1779" s="58" t="s">
        <v>53</v>
      </c>
      <c r="B1779" s="62" t="s">
        <v>155</v>
      </c>
      <c r="C1779" s="62" t="s">
        <v>166</v>
      </c>
      <c r="D1779" s="70">
        <v>33</v>
      </c>
      <c r="E1779" s="75">
        <v>50</v>
      </c>
      <c r="F1779" s="81">
        <f>IFERROR(D1779*E1779,0)</f>
        <v>1650</v>
      </c>
      <c r="G1779" s="62" t="str">
        <f>INDEX(SETORES!$B:$B,MATCH(A1779,SETORES!$A:$A,0))</f>
        <v>Clientes</v>
      </c>
      <c r="H1779" s="62" t="s">
        <v>11</v>
      </c>
    </row>
    <row r="1780" spans="1:8" ht="14.25" hidden="1" customHeight="1" x14ac:dyDescent="0.3">
      <c r="A1780" s="58" t="s">
        <v>53</v>
      </c>
      <c r="B1780" s="62" t="s">
        <v>155</v>
      </c>
      <c r="C1780" s="62" t="s">
        <v>156</v>
      </c>
      <c r="D1780" s="70">
        <v>32</v>
      </c>
      <c r="E1780" s="75">
        <v>0.2641</v>
      </c>
      <c r="F1780" s="81">
        <v>8.4512</v>
      </c>
      <c r="G1780" s="62" t="str">
        <f>INDEX(SETORES!$B:$B,MATCH(A1780,SETORES!$A:$A,0))</f>
        <v>Clientes</v>
      </c>
      <c r="H1780" s="62" t="s">
        <v>11</v>
      </c>
    </row>
    <row r="1781" spans="1:8" ht="14.25" hidden="1" customHeight="1" x14ac:dyDescent="0.3">
      <c r="A1781" s="57" t="s">
        <v>53</v>
      </c>
      <c r="B1781" s="63" t="s">
        <v>155</v>
      </c>
      <c r="C1781" s="63" t="s">
        <v>157</v>
      </c>
      <c r="D1781" s="71">
        <v>1</v>
      </c>
      <c r="E1781" s="76">
        <v>1970.135082</v>
      </c>
      <c r="F1781" s="82">
        <v>1970.135082</v>
      </c>
      <c r="G1781" s="63" t="str">
        <f>INDEX(SETORES!$B:$B,MATCH(A1781,SETORES!$A:$A,0))</f>
        <v>Clientes</v>
      </c>
      <c r="H1781" s="60" t="s">
        <v>11</v>
      </c>
    </row>
    <row r="1782" spans="1:8" ht="14.25" hidden="1" customHeight="1" x14ac:dyDescent="0.3">
      <c r="A1782" s="2" t="s">
        <v>53</v>
      </c>
      <c r="B1782" s="60" t="s">
        <v>162</v>
      </c>
      <c r="C1782" s="60" t="s">
        <v>222</v>
      </c>
      <c r="D1782" s="68">
        <v>1</v>
      </c>
      <c r="E1782" s="73">
        <v>5707.48</v>
      </c>
      <c r="F1782" s="79">
        <f>IFERROR(D1782*E1782,0)</f>
        <v>5707.48</v>
      </c>
      <c r="G1782" s="60" t="str">
        <f>INDEX(SETORES!$B:$B,MATCH(A1782,SETORES!$A:$A,0))</f>
        <v>Clientes</v>
      </c>
      <c r="H1782" s="60" t="s">
        <v>11</v>
      </c>
    </row>
    <row r="1783" spans="1:8" ht="14.25" hidden="1" customHeight="1" x14ac:dyDescent="0.3">
      <c r="A1783" s="2" t="s">
        <v>53</v>
      </c>
      <c r="B1783" s="60" t="s">
        <v>155</v>
      </c>
      <c r="C1783" s="60" t="s">
        <v>189</v>
      </c>
      <c r="D1783" s="68">
        <v>1</v>
      </c>
      <c r="E1783" s="73">
        <v>3672.131136</v>
      </c>
      <c r="F1783" s="79">
        <f>IFERROR(D1783*E1783,0)</f>
        <v>3672.131136</v>
      </c>
      <c r="G1783" s="60" t="str">
        <f>INDEX(SETORES!$B:$B,MATCH(A1783,SETORES!$A:$A,0))</f>
        <v>Clientes</v>
      </c>
      <c r="H1783" s="60" t="s">
        <v>11</v>
      </c>
    </row>
    <row r="1784" spans="1:8" ht="14.25" hidden="1" customHeight="1" x14ac:dyDescent="0.3">
      <c r="A1784" s="2" t="s">
        <v>53</v>
      </c>
      <c r="B1784" s="60" t="s">
        <v>155</v>
      </c>
      <c r="C1784" s="60" t="s">
        <v>191</v>
      </c>
      <c r="D1784" s="68">
        <v>1</v>
      </c>
      <c r="E1784" s="73">
        <v>1453.9016320000001</v>
      </c>
      <c r="F1784" s="79">
        <f>IFERROR(D1784*E1784,0)</f>
        <v>1453.9016320000001</v>
      </c>
      <c r="G1784" s="60" t="str">
        <f>INDEX(SETORES!$B:$B,MATCH(A1784,SETORES!$A:$A,0))</f>
        <v>Clientes</v>
      </c>
      <c r="H1784" s="60" t="s">
        <v>11</v>
      </c>
    </row>
    <row r="1785" spans="1:8" ht="14.25" hidden="1" customHeight="1" x14ac:dyDescent="0.3">
      <c r="A1785" s="2" t="s">
        <v>53</v>
      </c>
      <c r="B1785" s="60" t="s">
        <v>155</v>
      </c>
      <c r="C1785" s="60" t="s">
        <v>187</v>
      </c>
      <c r="D1785" s="68">
        <v>1</v>
      </c>
      <c r="E1785" s="73">
        <v>1770.969184</v>
      </c>
      <c r="F1785" s="79">
        <f>IFERROR(D1785*E1785,0)</f>
        <v>1770.969184</v>
      </c>
      <c r="G1785" s="60" t="str">
        <f>INDEX(SETORES!$B:$B,MATCH(A1785,SETORES!$A:$A,0))</f>
        <v>Clientes</v>
      </c>
      <c r="H1785" s="60" t="s">
        <v>11</v>
      </c>
    </row>
    <row r="1786" spans="1:8" ht="14.25" hidden="1" customHeight="1" x14ac:dyDescent="0.3">
      <c r="A1786" s="34" t="s">
        <v>53</v>
      </c>
      <c r="B1786" s="61" t="s">
        <v>155</v>
      </c>
      <c r="C1786" s="61" t="s">
        <v>168</v>
      </c>
      <c r="D1786" s="69">
        <v>32</v>
      </c>
      <c r="E1786" s="74">
        <v>2.04</v>
      </c>
      <c r="F1786" s="80">
        <f>IFERROR(D1786*E1786,0)</f>
        <v>65.28</v>
      </c>
      <c r="G1786" s="61" t="str">
        <f>INDEX(SETORES!$B:$B,MATCH(A1786,SETORES!$A:$A,0))</f>
        <v>Clientes</v>
      </c>
      <c r="H1786" s="61" t="s">
        <v>11</v>
      </c>
    </row>
    <row r="1787" spans="1:8" ht="14.25" hidden="1" customHeight="1" x14ac:dyDescent="0.3">
      <c r="A1787" s="34" t="s">
        <v>53</v>
      </c>
      <c r="B1787" s="61" t="s">
        <v>155</v>
      </c>
      <c r="C1787" s="61" t="s">
        <v>160</v>
      </c>
      <c r="D1787" s="69"/>
      <c r="E1787" s="74"/>
      <c r="F1787" s="80">
        <f>IFERROR(D1787*E1787,0)</f>
        <v>0</v>
      </c>
      <c r="G1787" s="61" t="str">
        <f>INDEX(SETORES!$B:$B,MATCH(A1787,SETORES!$A:$A,0))</f>
        <v>Clientes</v>
      </c>
      <c r="H1787" s="61" t="s">
        <v>11</v>
      </c>
    </row>
    <row r="1788" spans="1:8" ht="14.25" hidden="1" customHeight="1" x14ac:dyDescent="0.3">
      <c r="A1788" s="34" t="s">
        <v>52</v>
      </c>
      <c r="B1788" s="61" t="s">
        <v>155</v>
      </c>
      <c r="C1788" s="61" t="s">
        <v>159</v>
      </c>
      <c r="D1788" s="69">
        <v>1</v>
      </c>
      <c r="E1788" s="74">
        <v>0.2</v>
      </c>
      <c r="F1788" s="80">
        <v>0.2</v>
      </c>
      <c r="G1788" s="61" t="str">
        <f>INDEX(SETORES!$B:$B,MATCH(A1788,SETORES!$A:$A,0))</f>
        <v>Clientes</v>
      </c>
      <c r="H1788" s="61" t="s">
        <v>11</v>
      </c>
    </row>
    <row r="1789" spans="1:8" ht="14.25" hidden="1" customHeight="1" x14ac:dyDescent="0.3">
      <c r="A1789" s="34" t="s">
        <v>52</v>
      </c>
      <c r="B1789" s="61" t="s">
        <v>155</v>
      </c>
      <c r="C1789" s="61" t="s">
        <v>249</v>
      </c>
      <c r="D1789" s="69">
        <v>1</v>
      </c>
      <c r="E1789" s="74">
        <v>557.20000000000005</v>
      </c>
      <c r="F1789" s="80">
        <f>IFERROR(D1789*E1789,0)</f>
        <v>557.20000000000005</v>
      </c>
      <c r="G1789" s="61" t="str">
        <f>INDEX(SETORES!$B:$B,MATCH(A1789,SETORES!$A:$A,0))</f>
        <v>Clientes</v>
      </c>
      <c r="H1789" s="61" t="s">
        <v>11</v>
      </c>
    </row>
    <row r="1790" spans="1:8" ht="14.25" hidden="1" customHeight="1" x14ac:dyDescent="0.3">
      <c r="A1790" s="2" t="s">
        <v>52</v>
      </c>
      <c r="B1790" s="60" t="s">
        <v>155</v>
      </c>
      <c r="C1790" s="60" t="s">
        <v>158</v>
      </c>
      <c r="D1790" s="68">
        <v>1</v>
      </c>
      <c r="E1790" s="73">
        <v>70.057699999999997</v>
      </c>
      <c r="F1790" s="79">
        <v>70.057699999999997</v>
      </c>
      <c r="G1790" s="60" t="str">
        <f>INDEX(SETORES!$B:$B,MATCH(A1790,SETORES!$A:$A,0))</f>
        <v>Clientes</v>
      </c>
      <c r="H1790" s="60" t="s">
        <v>11</v>
      </c>
    </row>
    <row r="1791" spans="1:8" ht="14.25" hidden="1" customHeight="1" x14ac:dyDescent="0.3">
      <c r="A1791" s="34" t="s">
        <v>52</v>
      </c>
      <c r="B1791" s="61" t="s">
        <v>155</v>
      </c>
      <c r="C1791" s="61" t="s">
        <v>161</v>
      </c>
      <c r="D1791" s="69">
        <v>1</v>
      </c>
      <c r="E1791" s="74">
        <v>31846.16</v>
      </c>
      <c r="F1791" s="80">
        <f>IFERROR(E1791,0)</f>
        <v>31846.16</v>
      </c>
      <c r="G1791" s="61" t="str">
        <f>INDEX(SETORES!$B:$B,MATCH(A1791,SETORES!$A:$A,0))</f>
        <v>Clientes</v>
      </c>
      <c r="H1791" s="61" t="s">
        <v>11</v>
      </c>
    </row>
    <row r="1792" spans="1:8" ht="14.25" hidden="1" customHeight="1" x14ac:dyDescent="0.3">
      <c r="A1792" s="34" t="s">
        <v>52</v>
      </c>
      <c r="B1792" s="61" t="s">
        <v>155</v>
      </c>
      <c r="C1792" s="61" t="s">
        <v>167</v>
      </c>
      <c r="D1792" s="69">
        <v>8</v>
      </c>
      <c r="E1792" s="74">
        <v>9.85</v>
      </c>
      <c r="F1792" s="80">
        <f>IFERROR(D1792*E1792,0)</f>
        <v>78.8</v>
      </c>
      <c r="G1792" s="61" t="str">
        <f>INDEX(SETORES!$B:$B,MATCH(A1792,SETORES!$A:$A,0))</f>
        <v>Clientes</v>
      </c>
      <c r="H1792" s="61" t="s">
        <v>11</v>
      </c>
    </row>
    <row r="1793" spans="1:8" ht="14.25" hidden="1" customHeight="1" x14ac:dyDescent="0.3">
      <c r="A1793" s="2" t="s">
        <v>52</v>
      </c>
      <c r="B1793" s="60" t="s">
        <v>155</v>
      </c>
      <c r="C1793" s="60" t="s">
        <v>240</v>
      </c>
      <c r="D1793" s="68">
        <v>1</v>
      </c>
      <c r="E1793" s="73">
        <v>1.678688</v>
      </c>
      <c r="F1793" s="79">
        <f>IFERROR(D1793*E1793,0)</f>
        <v>1.678688</v>
      </c>
      <c r="G1793" s="60" t="str">
        <f>INDEX(SETORES!$B:$B,MATCH(A1793,SETORES!$A:$A,0))</f>
        <v>Clientes</v>
      </c>
      <c r="H1793" s="60" t="s">
        <v>11</v>
      </c>
    </row>
    <row r="1794" spans="1:8" ht="14.25" hidden="1" customHeight="1" x14ac:dyDescent="0.3">
      <c r="A1794" s="2" t="s">
        <v>52</v>
      </c>
      <c r="B1794" s="60" t="s">
        <v>155</v>
      </c>
      <c r="C1794" s="60" t="s">
        <v>166</v>
      </c>
      <c r="D1794" s="68">
        <v>8</v>
      </c>
      <c r="E1794" s="73">
        <v>50</v>
      </c>
      <c r="F1794" s="79">
        <f>IFERROR(D1794*E1794,0)</f>
        <v>400</v>
      </c>
      <c r="G1794" s="60" t="str">
        <f>INDEX(SETORES!$B:$B,MATCH(A1794,SETORES!$A:$A,0))</f>
        <v>Clientes</v>
      </c>
      <c r="H1794" s="60" t="s">
        <v>11</v>
      </c>
    </row>
    <row r="1795" spans="1:8" ht="14.25" hidden="1" customHeight="1" x14ac:dyDescent="0.3">
      <c r="A1795" s="2" t="s">
        <v>52</v>
      </c>
      <c r="B1795" s="60" t="s">
        <v>155</v>
      </c>
      <c r="C1795" s="60" t="s">
        <v>156</v>
      </c>
      <c r="D1795" s="68">
        <v>8</v>
      </c>
      <c r="E1795" s="73">
        <v>0.2641</v>
      </c>
      <c r="F1795" s="79">
        <v>2.1128</v>
      </c>
      <c r="G1795" s="60" t="str">
        <f>INDEX(SETORES!$B:$B,MATCH(A1795,SETORES!$A:$A,0))</f>
        <v>Clientes</v>
      </c>
      <c r="H1795" s="60" t="s">
        <v>11</v>
      </c>
    </row>
    <row r="1796" spans="1:8" ht="14.25" hidden="1" customHeight="1" x14ac:dyDescent="0.3">
      <c r="A1796" s="34" t="s">
        <v>52</v>
      </c>
      <c r="B1796" s="61" t="s">
        <v>155</v>
      </c>
      <c r="C1796" s="61" t="s">
        <v>157</v>
      </c>
      <c r="D1796" s="69">
        <v>1</v>
      </c>
      <c r="E1796" s="74">
        <v>492.53377</v>
      </c>
      <c r="F1796" s="80">
        <v>492.53377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34" t="s">
        <v>52</v>
      </c>
      <c r="B1797" s="61" t="s">
        <v>162</v>
      </c>
      <c r="C1797" s="61" t="s">
        <v>222</v>
      </c>
      <c r="D1797" s="69"/>
      <c r="E1797" s="74"/>
      <c r="F1797" s="80">
        <f>IFERROR(D1797*E1797,0)</f>
        <v>0</v>
      </c>
      <c r="G1797" s="61" t="str">
        <f>INDEX(SETORES!$B:$B,MATCH(A1797,SETORES!$A:$A,0))</f>
        <v>Clientes</v>
      </c>
      <c r="H1797" s="61" t="s">
        <v>11</v>
      </c>
    </row>
    <row r="1798" spans="1:8" ht="14.25" hidden="1" customHeight="1" x14ac:dyDescent="0.3">
      <c r="A1798" s="34" t="s">
        <v>52</v>
      </c>
      <c r="B1798" s="61" t="s">
        <v>155</v>
      </c>
      <c r="C1798" s="61" t="s">
        <v>189</v>
      </c>
      <c r="D1798" s="69">
        <v>1</v>
      </c>
      <c r="E1798" s="74">
        <v>918.03278399999999</v>
      </c>
      <c r="F1798" s="80">
        <f>IFERROR(D1798*E1798,0)</f>
        <v>918.03278399999999</v>
      </c>
      <c r="G1798" s="61" t="str">
        <f>INDEX(SETORES!$B:$B,MATCH(A1798,SETORES!$A:$A,0))</f>
        <v>Clientes</v>
      </c>
      <c r="H1798" s="61" t="s">
        <v>11</v>
      </c>
    </row>
    <row r="1799" spans="1:8" ht="14.25" hidden="1" customHeight="1" x14ac:dyDescent="0.3">
      <c r="A1799" s="34" t="s">
        <v>52</v>
      </c>
      <c r="B1799" s="61" t="s">
        <v>155</v>
      </c>
      <c r="C1799" s="61" t="s">
        <v>191</v>
      </c>
      <c r="D1799" s="69">
        <v>1</v>
      </c>
      <c r="E1799" s="74">
        <v>363.47540800000002</v>
      </c>
      <c r="F1799" s="80">
        <f>IFERROR(D1799*E1799,0)</f>
        <v>363.47540800000002</v>
      </c>
      <c r="G1799" s="61" t="str">
        <f>INDEX(SETORES!$B:$B,MATCH(A1799,SETORES!$A:$A,0))</f>
        <v>Clientes</v>
      </c>
      <c r="H1799" s="61" t="s">
        <v>11</v>
      </c>
    </row>
    <row r="1800" spans="1:8" ht="14.25" hidden="1" customHeight="1" x14ac:dyDescent="0.3">
      <c r="A1800" s="34" t="s">
        <v>52</v>
      </c>
      <c r="B1800" s="61" t="s">
        <v>155</v>
      </c>
      <c r="C1800" s="61" t="s">
        <v>187</v>
      </c>
      <c r="D1800" s="69">
        <v>1</v>
      </c>
      <c r="E1800" s="74">
        <v>442.74229600000001</v>
      </c>
      <c r="F1800" s="80">
        <f>IFERROR(D1800*E1800,0)</f>
        <v>442.74229600000001</v>
      </c>
      <c r="G1800" s="61" t="str">
        <f>INDEX(SETORES!$B:$B,MATCH(A1800,SETORES!$A:$A,0))</f>
        <v>Clientes</v>
      </c>
      <c r="H1800" s="61" t="s">
        <v>11</v>
      </c>
    </row>
    <row r="1801" spans="1:8" ht="14.25" hidden="1" customHeight="1" x14ac:dyDescent="0.3">
      <c r="A1801" s="2" t="s">
        <v>52</v>
      </c>
      <c r="B1801" s="60" t="s">
        <v>155</v>
      </c>
      <c r="C1801" s="60" t="s">
        <v>168</v>
      </c>
      <c r="D1801" s="68">
        <v>8</v>
      </c>
      <c r="E1801" s="73">
        <v>2.04</v>
      </c>
      <c r="F1801" s="79">
        <f>IFERROR(D1801*E1801,0)</f>
        <v>16.32</v>
      </c>
      <c r="G1801" s="60" t="str">
        <f>INDEX(SETORES!$B:$B,MATCH(A1801,SETORES!$A:$A,0))</f>
        <v>Clientes</v>
      </c>
      <c r="H1801" s="60" t="s">
        <v>11</v>
      </c>
    </row>
    <row r="1802" spans="1:8" ht="14.25" hidden="1" customHeight="1" x14ac:dyDescent="0.3">
      <c r="A1802" s="2" t="s">
        <v>52</v>
      </c>
      <c r="B1802" s="60" t="s">
        <v>155</v>
      </c>
      <c r="C1802" s="60" t="s">
        <v>160</v>
      </c>
      <c r="D1802" s="68"/>
      <c r="E1802" s="73"/>
      <c r="F1802" s="79">
        <f>IFERROR(D1802*E1802,0)</f>
        <v>0</v>
      </c>
      <c r="G1802" s="60" t="str">
        <f>INDEX(SETORES!$B:$B,MATCH(A1802,SETORES!$A:$A,0))</f>
        <v>Clientes</v>
      </c>
      <c r="H1802" s="60" t="s">
        <v>11</v>
      </c>
    </row>
    <row r="1803" spans="1:8" ht="14.25" hidden="1" customHeight="1" x14ac:dyDescent="0.3">
      <c r="A1803" s="34" t="s">
        <v>51</v>
      </c>
      <c r="B1803" s="61" t="s">
        <v>155</v>
      </c>
      <c r="C1803" s="61" t="s">
        <v>159</v>
      </c>
      <c r="D1803" s="69">
        <v>1</v>
      </c>
      <c r="E1803" s="74">
        <v>0.32500000000000001</v>
      </c>
      <c r="F1803" s="80">
        <v>0.32500000000000001</v>
      </c>
      <c r="G1803" s="61" t="str">
        <f>INDEX(SETORES!$B:$B,MATCH(A1803,SETORES!$A:$A,0))</f>
        <v>Clientes</v>
      </c>
      <c r="H1803" s="61" t="s">
        <v>11</v>
      </c>
    </row>
    <row r="1804" spans="1:8" ht="14.25" hidden="1" customHeight="1" x14ac:dyDescent="0.3">
      <c r="A1804" s="2" t="s">
        <v>51</v>
      </c>
      <c r="B1804" s="60" t="s">
        <v>162</v>
      </c>
      <c r="C1804" s="60" t="s">
        <v>217</v>
      </c>
      <c r="D1804" s="68"/>
      <c r="E1804" s="73"/>
      <c r="F1804" s="79">
        <f>IFERROR(D1804*E1804,0)</f>
        <v>0</v>
      </c>
      <c r="G1804" s="60" t="str">
        <f>INDEX(SETORES!$B:$B,MATCH(A1804,SETORES!$A:$A,0))</f>
        <v>Clientes</v>
      </c>
      <c r="H1804" s="60" t="s">
        <v>11</v>
      </c>
    </row>
    <row r="1805" spans="1:8" ht="14.25" hidden="1" customHeight="1" x14ac:dyDescent="0.3">
      <c r="A1805" s="34" t="s">
        <v>51</v>
      </c>
      <c r="B1805" s="61" t="s">
        <v>155</v>
      </c>
      <c r="C1805" s="61" t="s">
        <v>249</v>
      </c>
      <c r="D1805" s="69">
        <v>1</v>
      </c>
      <c r="E1805" s="74">
        <v>696.5</v>
      </c>
      <c r="F1805" s="80">
        <f>IFERROR(D1805*E1805,0)</f>
        <v>696.5</v>
      </c>
      <c r="G1805" s="61" t="str">
        <f>INDEX(SETORES!$B:$B,MATCH(A1805,SETORES!$A:$A,0))</f>
        <v>Clientes</v>
      </c>
      <c r="H1805" s="61" t="s">
        <v>11</v>
      </c>
    </row>
    <row r="1806" spans="1:8" ht="14.25" hidden="1" customHeight="1" x14ac:dyDescent="0.3">
      <c r="A1806" s="2" t="s">
        <v>51</v>
      </c>
      <c r="B1806" s="60" t="s">
        <v>155</v>
      </c>
      <c r="C1806" s="60" t="s">
        <v>158</v>
      </c>
      <c r="D1806" s="68">
        <v>1</v>
      </c>
      <c r="E1806" s="73">
        <v>113.8438</v>
      </c>
      <c r="F1806" s="79">
        <v>113.8438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34" t="s">
        <v>51</v>
      </c>
      <c r="B1807" s="61" t="s">
        <v>155</v>
      </c>
      <c r="C1807" s="61" t="s">
        <v>161</v>
      </c>
      <c r="D1807" s="69">
        <v>1</v>
      </c>
      <c r="E1807" s="74">
        <v>150112.883730445</v>
      </c>
      <c r="F1807" s="80">
        <v>150112.883730445</v>
      </c>
      <c r="G1807" s="61" t="str">
        <f>INDEX(SETORES!$B:$B,MATCH(A1807,SETORES!$A:$A,0))</f>
        <v>Clientes</v>
      </c>
      <c r="H1807" s="61" t="s">
        <v>11</v>
      </c>
    </row>
    <row r="1808" spans="1:8" ht="14.25" hidden="1" customHeight="1" x14ac:dyDescent="0.3">
      <c r="A1808" s="34" t="s">
        <v>51</v>
      </c>
      <c r="B1808" s="61" t="s">
        <v>155</v>
      </c>
      <c r="C1808" s="61" t="s">
        <v>167</v>
      </c>
      <c r="D1808" s="69">
        <v>13</v>
      </c>
      <c r="E1808" s="74">
        <v>9.85</v>
      </c>
      <c r="F1808" s="80">
        <v>128.05000000000001</v>
      </c>
      <c r="G1808" s="61" t="str">
        <f>INDEX(SETORES!$B:$B,MATCH(A1808,SETORES!$A:$A,0))</f>
        <v>Clientes</v>
      </c>
      <c r="H1808" s="61" t="s">
        <v>11</v>
      </c>
    </row>
    <row r="1809" spans="1:8" ht="14.25" hidden="1" customHeight="1" x14ac:dyDescent="0.3">
      <c r="A1809" s="34" t="s">
        <v>51</v>
      </c>
      <c r="B1809" s="61" t="s">
        <v>155</v>
      </c>
      <c r="C1809" s="61" t="s">
        <v>240</v>
      </c>
      <c r="D1809" s="69">
        <v>1</v>
      </c>
      <c r="E1809" s="74">
        <v>2.727868</v>
      </c>
      <c r="F1809" s="80">
        <f>IFERROR(D1809*E1809,0)</f>
        <v>2.727868</v>
      </c>
      <c r="G1809" s="61" t="str">
        <f>INDEX(SETORES!$B:$B,MATCH(A1809,SETORES!$A:$A,0))</f>
        <v>Clientes</v>
      </c>
      <c r="H1809" s="61" t="s">
        <v>11</v>
      </c>
    </row>
    <row r="1810" spans="1:8" ht="14.25" hidden="1" customHeight="1" x14ac:dyDescent="0.3">
      <c r="A1810" s="2" t="s">
        <v>51</v>
      </c>
      <c r="B1810" s="60" t="s">
        <v>155</v>
      </c>
      <c r="C1810" s="60" t="s">
        <v>166</v>
      </c>
      <c r="D1810" s="68">
        <v>14</v>
      </c>
      <c r="E1810" s="73">
        <v>50</v>
      </c>
      <c r="F1810" s="79">
        <f>IFERROR(D1810*E1810,0)</f>
        <v>700</v>
      </c>
      <c r="G1810" s="60" t="str">
        <f>INDEX(SETORES!$B:$B,MATCH(A1810,SETORES!$A:$A,0))</f>
        <v>Clientes</v>
      </c>
      <c r="H1810" s="60" t="s">
        <v>11</v>
      </c>
    </row>
    <row r="1811" spans="1:8" ht="14.25" hidden="1" customHeight="1" x14ac:dyDescent="0.3">
      <c r="A1811" s="2" t="s">
        <v>51</v>
      </c>
      <c r="B1811" s="60" t="s">
        <v>155</v>
      </c>
      <c r="C1811" s="60" t="s">
        <v>156</v>
      </c>
      <c r="D1811" s="68">
        <v>13</v>
      </c>
      <c r="E1811" s="73">
        <v>0.2641</v>
      </c>
      <c r="F1811" s="79">
        <v>3.4333</v>
      </c>
      <c r="G1811" s="60" t="str">
        <f>INDEX(SETORES!$B:$B,MATCH(A1811,SETORES!$A:$A,0))</f>
        <v>Clientes</v>
      </c>
      <c r="H1811" s="60" t="s">
        <v>11</v>
      </c>
    </row>
    <row r="1812" spans="1:8" ht="14.25" hidden="1" customHeight="1" x14ac:dyDescent="0.3">
      <c r="A1812" s="34" t="s">
        <v>51</v>
      </c>
      <c r="B1812" s="61" t="s">
        <v>155</v>
      </c>
      <c r="C1812" s="61" t="s">
        <v>157</v>
      </c>
      <c r="D1812" s="69">
        <v>1</v>
      </c>
      <c r="E1812" s="74">
        <v>800.36737700000003</v>
      </c>
      <c r="F1812" s="80">
        <v>800.36737700000003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51</v>
      </c>
      <c r="B1813" s="61" t="s">
        <v>162</v>
      </c>
      <c r="C1813" s="61" t="s">
        <v>222</v>
      </c>
      <c r="D1813" s="69"/>
      <c r="E1813" s="74"/>
      <c r="F1813" s="80">
        <f>IFERROR(D1813*E1813,0)</f>
        <v>0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34" t="s">
        <v>51</v>
      </c>
      <c r="B1814" s="61" t="s">
        <v>155</v>
      </c>
      <c r="C1814" s="61" t="s">
        <v>189</v>
      </c>
      <c r="D1814" s="69">
        <v>1</v>
      </c>
      <c r="E1814" s="74">
        <v>1491.8032740000001</v>
      </c>
      <c r="F1814" s="80">
        <f>IFERROR(D1814*E1814,0)</f>
        <v>1491.8032740000001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34" t="s">
        <v>51</v>
      </c>
      <c r="B1815" s="61" t="s">
        <v>155</v>
      </c>
      <c r="C1815" s="61" t="s">
        <v>191</v>
      </c>
      <c r="D1815" s="69">
        <v>1</v>
      </c>
      <c r="E1815" s="74">
        <v>590.64753800000005</v>
      </c>
      <c r="F1815" s="80">
        <f>IFERROR(D1815*E1815,0)</f>
        <v>590.64753800000005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2" t="s">
        <v>51</v>
      </c>
      <c r="B1816" s="60" t="s">
        <v>155</v>
      </c>
      <c r="C1816" s="60" t="s">
        <v>187</v>
      </c>
      <c r="D1816" s="68">
        <v>1</v>
      </c>
      <c r="E1816" s="73">
        <v>719.456231</v>
      </c>
      <c r="F1816" s="79">
        <f>IFERROR(D1816*E1816,0)</f>
        <v>719.456231</v>
      </c>
      <c r="G1816" s="60" t="str">
        <f>INDEX(SETORES!$B:$B,MATCH(A1816,SETORES!$A:$A,0))</f>
        <v>Clientes</v>
      </c>
      <c r="H1816" s="60" t="s">
        <v>11</v>
      </c>
    </row>
    <row r="1817" spans="1:8" ht="14.25" hidden="1" customHeight="1" x14ac:dyDescent="0.3">
      <c r="A1817" s="2" t="s">
        <v>51</v>
      </c>
      <c r="B1817" s="60" t="s">
        <v>155</v>
      </c>
      <c r="C1817" s="60" t="s">
        <v>168</v>
      </c>
      <c r="D1817" s="68">
        <v>13</v>
      </c>
      <c r="E1817" s="73">
        <v>2.04</v>
      </c>
      <c r="F1817" s="79">
        <v>26.52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51</v>
      </c>
      <c r="B1818" s="60" t="s">
        <v>155</v>
      </c>
      <c r="C1818" s="60" t="s">
        <v>160</v>
      </c>
      <c r="D1818" s="68"/>
      <c r="E1818" s="73"/>
      <c r="F1818" s="79">
        <f>IFERROR(D1818*E1818,0)</f>
        <v>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34" t="s">
        <v>87</v>
      </c>
      <c r="B1819" s="61" t="s">
        <v>155</v>
      </c>
      <c r="C1819" s="61" t="s">
        <v>159</v>
      </c>
      <c r="D1819" s="69">
        <v>1</v>
      </c>
      <c r="E1819" s="74">
        <v>0.125</v>
      </c>
      <c r="F1819" s="80">
        <v>0.125</v>
      </c>
      <c r="G1819" s="61" t="s">
        <v>96</v>
      </c>
      <c r="H1819" s="61" t="s">
        <v>11</v>
      </c>
    </row>
    <row r="1820" spans="1:8" ht="14.25" hidden="1" customHeight="1" x14ac:dyDescent="0.3">
      <c r="A1820" s="34" t="s">
        <v>87</v>
      </c>
      <c r="B1820" s="61" t="s">
        <v>155</v>
      </c>
      <c r="C1820" s="61" t="s">
        <v>212</v>
      </c>
      <c r="D1820" s="69">
        <v>5</v>
      </c>
      <c r="E1820" s="74">
        <v>30</v>
      </c>
      <c r="F1820" s="80">
        <f>IFERROR(D1820*E1820,0)</f>
        <v>150</v>
      </c>
      <c r="G1820" s="61" t="str">
        <f>INDEX(SETORES!$B:$B,MATCH(A1820,SETORES!$A:$A,0))</f>
        <v>Clientes</v>
      </c>
      <c r="H1820" s="61" t="s">
        <v>11</v>
      </c>
    </row>
    <row r="1821" spans="1:8" ht="14.25" customHeight="1" x14ac:dyDescent="0.3">
      <c r="A1821" s="34" t="s">
        <v>87</v>
      </c>
      <c r="B1821" s="61" t="s">
        <v>155</v>
      </c>
      <c r="C1821" s="61" t="s">
        <v>171</v>
      </c>
      <c r="D1821" s="69">
        <v>5</v>
      </c>
      <c r="E1821" s="73">
        <v>51.12</v>
      </c>
      <c r="F1821" s="80">
        <f>IFERROR(D1821*E1821,0)</f>
        <v>255.6</v>
      </c>
      <c r="G1821" s="61" t="s">
        <v>98</v>
      </c>
      <c r="H1821" s="61" t="s">
        <v>11</v>
      </c>
    </row>
    <row r="1822" spans="1:8" ht="14.25" hidden="1" customHeight="1" x14ac:dyDescent="0.3">
      <c r="A1822" s="2" t="s">
        <v>87</v>
      </c>
      <c r="B1822" s="60" t="s">
        <v>155</v>
      </c>
      <c r="C1822" s="60" t="s">
        <v>170</v>
      </c>
      <c r="D1822" s="68">
        <v>5</v>
      </c>
      <c r="E1822" s="73">
        <v>31.33</v>
      </c>
      <c r="F1822" s="79">
        <f>IFERROR(D1822*E1822,0)</f>
        <v>156.64999999999998</v>
      </c>
      <c r="G1822" s="61" t="s">
        <v>98</v>
      </c>
      <c r="H1822" s="60" t="s">
        <v>11</v>
      </c>
    </row>
    <row r="1823" spans="1:8" ht="14.25" hidden="1" customHeight="1" x14ac:dyDescent="0.3">
      <c r="A1823" s="2" t="s">
        <v>87</v>
      </c>
      <c r="B1823" s="60" t="s">
        <v>155</v>
      </c>
      <c r="C1823" s="60" t="s">
        <v>169</v>
      </c>
      <c r="D1823" s="68">
        <v>5</v>
      </c>
      <c r="E1823" s="73">
        <v>63.75</v>
      </c>
      <c r="F1823" s="79">
        <f>IFERROR(D1823*E1823,0)</f>
        <v>318.75</v>
      </c>
      <c r="G1823" s="61" t="s">
        <v>98</v>
      </c>
      <c r="H1823" s="60" t="s">
        <v>11</v>
      </c>
    </row>
    <row r="1824" spans="1:8" ht="14.25" hidden="1" customHeight="1" x14ac:dyDescent="0.3">
      <c r="A1824" s="2" t="s">
        <v>87</v>
      </c>
      <c r="B1824" s="60" t="s">
        <v>155</v>
      </c>
      <c r="C1824" s="60" t="s">
        <v>158</v>
      </c>
      <c r="D1824" s="68">
        <v>1</v>
      </c>
      <c r="E1824" s="73">
        <v>43.786099999999998</v>
      </c>
      <c r="F1824" s="79">
        <v>43.786099999999998</v>
      </c>
      <c r="G1824" s="60" t="s">
        <v>96</v>
      </c>
      <c r="H1824" s="60" t="s">
        <v>11</v>
      </c>
    </row>
    <row r="1825" spans="1:8" ht="14.25" hidden="1" customHeight="1" x14ac:dyDescent="0.3">
      <c r="A1825" s="2" t="s">
        <v>87</v>
      </c>
      <c r="B1825" s="60" t="s">
        <v>155</v>
      </c>
      <c r="C1825" s="60" t="s">
        <v>161</v>
      </c>
      <c r="D1825" s="68">
        <v>1</v>
      </c>
      <c r="E1825" s="73">
        <v>24319.74</v>
      </c>
      <c r="F1825" s="79">
        <f>IFERROR(E1825,0)</f>
        <v>24319.74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34" t="s">
        <v>87</v>
      </c>
      <c r="B1826" s="61" t="s">
        <v>155</v>
      </c>
      <c r="C1826" s="61" t="s">
        <v>167</v>
      </c>
      <c r="D1826" s="69">
        <v>5</v>
      </c>
      <c r="E1826" s="74">
        <v>9.85</v>
      </c>
      <c r="F1826" s="80">
        <f>IFERROR(D1826*E1826,0)</f>
        <v>49.25</v>
      </c>
      <c r="G1826" s="61" t="str">
        <f>INDEX(SETORES!$B:$B,MATCH(A1826,SETORES!$A:$A,0))</f>
        <v>Clientes</v>
      </c>
      <c r="H1826" s="61" t="s">
        <v>11</v>
      </c>
    </row>
    <row r="1827" spans="1:8" ht="14.25" hidden="1" customHeight="1" x14ac:dyDescent="0.3">
      <c r="A1827" s="34" t="s">
        <v>87</v>
      </c>
      <c r="B1827" s="61" t="s">
        <v>155</v>
      </c>
      <c r="C1827" s="61" t="s">
        <v>238</v>
      </c>
      <c r="D1827" s="69">
        <v>1</v>
      </c>
      <c r="E1827" s="74">
        <v>5.6818200000000001</v>
      </c>
      <c r="F1827" s="80">
        <f>IFERROR(D1827*E1827,0)</f>
        <v>5.6818200000000001</v>
      </c>
      <c r="G1827" s="61" t="str">
        <f>INDEX(SETORES!$B:$B,MATCH(A1827,SETORES!$A:$A,0))</f>
        <v>Clientes</v>
      </c>
      <c r="H1827" s="61" t="s">
        <v>11</v>
      </c>
    </row>
    <row r="1828" spans="1:8" ht="14.25" hidden="1" customHeight="1" x14ac:dyDescent="0.3">
      <c r="A1828" s="34" t="s">
        <v>87</v>
      </c>
      <c r="B1828" s="61" t="s">
        <v>155</v>
      </c>
      <c r="C1828" s="61" t="s">
        <v>166</v>
      </c>
      <c r="D1828" s="69">
        <v>7</v>
      </c>
      <c r="E1828" s="74">
        <v>92.857142999999994</v>
      </c>
      <c r="F1828" s="80">
        <f>IFERROR(D1828*E1828,0)</f>
        <v>650.000001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34" t="s">
        <v>87</v>
      </c>
      <c r="B1829" s="61" t="s">
        <v>155</v>
      </c>
      <c r="C1829" s="61" t="s">
        <v>157</v>
      </c>
      <c r="D1829" s="69">
        <v>1</v>
      </c>
      <c r="E1829" s="74">
        <v>106.53</v>
      </c>
      <c r="F1829" s="80">
        <v>106.53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87</v>
      </c>
      <c r="B1830" s="60" t="s">
        <v>162</v>
      </c>
      <c r="C1830" s="60" t="s">
        <v>222</v>
      </c>
      <c r="D1830" s="68">
        <v>1</v>
      </c>
      <c r="E1830" s="73">
        <v>6209</v>
      </c>
      <c r="F1830" s="79">
        <f>IFERROR(D1830*E1830,0)</f>
        <v>6209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2" t="s">
        <v>87</v>
      </c>
      <c r="B1831" s="60" t="s">
        <v>155</v>
      </c>
      <c r="C1831" s="60" t="s">
        <v>168</v>
      </c>
      <c r="D1831" s="68">
        <v>5</v>
      </c>
      <c r="E1831" s="73">
        <v>2.04</v>
      </c>
      <c r="F1831" s="79">
        <f>IFERROR(D1831*E1831,0)</f>
        <v>10.199999999999999</v>
      </c>
      <c r="G1831" s="60" t="str">
        <f>INDEX(SETORES!$B:$B,MATCH(A1831,SETORES!$A:$A,0))</f>
        <v>Clientes</v>
      </c>
      <c r="H1831" s="60" t="s">
        <v>11</v>
      </c>
    </row>
    <row r="1832" spans="1:8" ht="14.25" hidden="1" customHeight="1" x14ac:dyDescent="0.3">
      <c r="A1832" s="2" t="s">
        <v>55</v>
      </c>
      <c r="B1832" s="60" t="s">
        <v>155</v>
      </c>
      <c r="C1832" s="60" t="s">
        <v>236</v>
      </c>
      <c r="D1832" s="68">
        <v>1</v>
      </c>
      <c r="E1832" s="73">
        <v>21454</v>
      </c>
      <c r="F1832" s="79">
        <f>IFERROR(D1832*E1832,0)</f>
        <v>21454</v>
      </c>
      <c r="G1832" s="60" t="str">
        <f>INDEX(SETORES!$B:$B,MATCH(A1832,SETORES!$A:$A,0))</f>
        <v>Funcionários</v>
      </c>
      <c r="H1832" s="60" t="s">
        <v>20</v>
      </c>
    </row>
    <row r="1833" spans="1:8" ht="14.25" hidden="1" customHeight="1" x14ac:dyDescent="0.3">
      <c r="A1833" s="2" t="s">
        <v>55</v>
      </c>
      <c r="B1833" s="60" t="s">
        <v>155</v>
      </c>
      <c r="C1833" s="60" t="s">
        <v>185</v>
      </c>
      <c r="D1833" s="68">
        <v>1</v>
      </c>
      <c r="E1833" s="73">
        <v>99</v>
      </c>
      <c r="F1833" s="79">
        <f>IFERROR(D1833*E1833,0)</f>
        <v>99</v>
      </c>
      <c r="G1833" s="60" t="str">
        <f>INDEX(SETORES!$B:$B,MATCH(A1833,SETORES!$A:$A,0))</f>
        <v>Funcionários</v>
      </c>
      <c r="H1833" s="60" t="s">
        <v>20</v>
      </c>
    </row>
    <row r="1834" spans="1:8" ht="14.25" hidden="1" customHeight="1" x14ac:dyDescent="0.3">
      <c r="A1834" s="35" t="s">
        <v>55</v>
      </c>
      <c r="B1834" s="66" t="s">
        <v>155</v>
      </c>
      <c r="C1834" s="66" t="s">
        <v>257</v>
      </c>
      <c r="D1834" s="66">
        <v>1</v>
      </c>
      <c r="E1834" s="78">
        <v>436</v>
      </c>
      <c r="F1834" s="78">
        <f>D1834*E1834</f>
        <v>436</v>
      </c>
      <c r="G1834" s="66" t="s">
        <v>98</v>
      </c>
      <c r="H1834" s="66" t="s">
        <v>20</v>
      </c>
    </row>
    <row r="1835" spans="1:8" ht="14.25" hidden="1" customHeight="1" x14ac:dyDescent="0.3">
      <c r="A1835" s="2" t="s">
        <v>55</v>
      </c>
      <c r="B1835" s="60" t="s">
        <v>155</v>
      </c>
      <c r="C1835" s="60" t="s">
        <v>243</v>
      </c>
      <c r="D1835" s="68">
        <v>1</v>
      </c>
      <c r="E1835" s="73">
        <v>1787.15</v>
      </c>
      <c r="F1835" s="79">
        <f>IFERROR(D1835*E1835,0)</f>
        <v>1787.15</v>
      </c>
      <c r="G1835" s="60" t="str">
        <f>INDEX(SETORES!$B:$B,MATCH(A1835,SETORES!$A:$A,0))</f>
        <v>Funcionários</v>
      </c>
      <c r="H1835" s="60" t="s">
        <v>20</v>
      </c>
    </row>
    <row r="1836" spans="1:8" ht="14.25" hidden="1" customHeight="1" x14ac:dyDescent="0.3">
      <c r="A1836" s="34" t="s">
        <v>137</v>
      </c>
      <c r="B1836" s="61" t="s">
        <v>155</v>
      </c>
      <c r="C1836" s="61" t="s">
        <v>212</v>
      </c>
      <c r="D1836" s="69">
        <v>1</v>
      </c>
      <c r="E1836" s="74">
        <v>30</v>
      </c>
      <c r="F1836" s="80">
        <f>IFERROR(D1836*E1836,0)</f>
        <v>30</v>
      </c>
      <c r="G1836" s="61" t="str">
        <f>INDEX(SETORES!$B:$B,MATCH(A1836,SETORES!$A:$A,0))</f>
        <v>Clientes</v>
      </c>
      <c r="H1836" s="61" t="s">
        <v>20</v>
      </c>
    </row>
    <row r="1837" spans="1:8" ht="14.25" hidden="1" customHeight="1" x14ac:dyDescent="0.3">
      <c r="A1837" s="2" t="s">
        <v>137</v>
      </c>
      <c r="B1837" s="60" t="s">
        <v>155</v>
      </c>
      <c r="C1837" s="60" t="s">
        <v>248</v>
      </c>
      <c r="D1837" s="68">
        <v>1</v>
      </c>
      <c r="E1837" s="73">
        <v>1128.6400000000001</v>
      </c>
      <c r="F1837" s="79">
        <f>IFERROR(D1837*E1837,0)</f>
        <v>1128.6400000000001</v>
      </c>
      <c r="G1837" s="60" t="str">
        <f>INDEX(SETORES!$B:$B,MATCH(A1837,SETORES!$A:$A,0))</f>
        <v>Clientes</v>
      </c>
      <c r="H1837" s="60" t="s">
        <v>20</v>
      </c>
    </row>
    <row r="1838" spans="1:8" ht="14.25" customHeight="1" x14ac:dyDescent="0.3">
      <c r="A1838" s="2" t="s">
        <v>137</v>
      </c>
      <c r="B1838" s="60" t="s">
        <v>155</v>
      </c>
      <c r="C1838" s="60" t="s">
        <v>171</v>
      </c>
      <c r="D1838" s="68">
        <v>2</v>
      </c>
      <c r="E1838" s="73">
        <v>47.79</v>
      </c>
      <c r="F1838" s="79">
        <f>IFERROR(D1838*E1838,0)</f>
        <v>95.58</v>
      </c>
      <c r="G1838" s="60" t="s">
        <v>98</v>
      </c>
      <c r="H1838" s="60" t="s">
        <v>20</v>
      </c>
    </row>
    <row r="1839" spans="1:8" ht="14.25" hidden="1" customHeight="1" x14ac:dyDescent="0.3">
      <c r="A1839" s="2" t="s">
        <v>137</v>
      </c>
      <c r="B1839" s="60" t="s">
        <v>155</v>
      </c>
      <c r="C1839" s="60" t="s">
        <v>170</v>
      </c>
      <c r="D1839" s="68">
        <v>2</v>
      </c>
      <c r="E1839" s="73">
        <v>28.31</v>
      </c>
      <c r="F1839" s="79">
        <f>IFERROR(D1839*E1839,0)</f>
        <v>56.62</v>
      </c>
      <c r="G1839" s="61" t="s">
        <v>98</v>
      </c>
      <c r="H1839" s="60" t="s">
        <v>20</v>
      </c>
    </row>
    <row r="1840" spans="1:8" ht="14.25" hidden="1" customHeight="1" x14ac:dyDescent="0.3">
      <c r="A1840" s="2" t="s">
        <v>137</v>
      </c>
      <c r="B1840" s="60" t="s">
        <v>155</v>
      </c>
      <c r="C1840" s="60" t="s">
        <v>169</v>
      </c>
      <c r="D1840" s="68">
        <v>2</v>
      </c>
      <c r="E1840" s="73">
        <v>64.569999999999993</v>
      </c>
      <c r="F1840" s="79">
        <f>IFERROR(D1840*E1840,0)</f>
        <v>129.13999999999999</v>
      </c>
      <c r="G1840" s="61" t="s">
        <v>98</v>
      </c>
      <c r="H1840" s="60" t="s">
        <v>20</v>
      </c>
    </row>
    <row r="1841" spans="1:8" ht="14.25" hidden="1" customHeight="1" x14ac:dyDescent="0.3">
      <c r="A1841" s="34" t="s">
        <v>137</v>
      </c>
      <c r="B1841" s="61" t="s">
        <v>155</v>
      </c>
      <c r="C1841" s="61" t="s">
        <v>158</v>
      </c>
      <c r="D1841" s="69">
        <v>1</v>
      </c>
      <c r="E1841" s="74">
        <v>17.021599999999999</v>
      </c>
      <c r="F1841" s="80">
        <v>17.021599999999999</v>
      </c>
      <c r="G1841" s="61" t="s">
        <v>96</v>
      </c>
      <c r="H1841" s="61" t="s">
        <v>20</v>
      </c>
    </row>
    <row r="1842" spans="1:8" ht="14.25" hidden="1" customHeight="1" x14ac:dyDescent="0.3">
      <c r="A1842" s="2" t="s">
        <v>137</v>
      </c>
      <c r="B1842" s="60" t="s">
        <v>155</v>
      </c>
      <c r="C1842" s="60" t="s">
        <v>161</v>
      </c>
      <c r="D1842" s="68">
        <v>1</v>
      </c>
      <c r="E1842" s="73">
        <v>6292.45</v>
      </c>
      <c r="F1842" s="79">
        <f>IFERROR(E1842,0)</f>
        <v>6292.45</v>
      </c>
      <c r="G1842" s="60" t="str">
        <f>INDEX(SETORES!$B:$B,MATCH(A1842,SETORES!$A:$A,0))</f>
        <v>Clientes</v>
      </c>
      <c r="H1842" s="60" t="s">
        <v>20</v>
      </c>
    </row>
    <row r="1843" spans="1:8" ht="14.25" hidden="1" customHeight="1" x14ac:dyDescent="0.3">
      <c r="A1843" s="2" t="s">
        <v>137</v>
      </c>
      <c r="B1843" s="60" t="s">
        <v>155</v>
      </c>
      <c r="C1843" s="60" t="s">
        <v>167</v>
      </c>
      <c r="D1843" s="68">
        <v>2</v>
      </c>
      <c r="E1843" s="73">
        <v>10.050000000000001</v>
      </c>
      <c r="F1843" s="79">
        <f>IFERROR(D1843*E1843,0)</f>
        <v>20.100000000000001</v>
      </c>
      <c r="G1843" s="60" t="str">
        <f>INDEX(SETORES!$B:$B,MATCH(A1843,SETORES!$A:$A,0))</f>
        <v>Clientes</v>
      </c>
      <c r="H1843" s="60" t="s">
        <v>20</v>
      </c>
    </row>
    <row r="1844" spans="1:8" ht="14.25" hidden="1" customHeight="1" x14ac:dyDescent="0.3">
      <c r="A1844" s="34" t="s">
        <v>137</v>
      </c>
      <c r="B1844" s="61" t="s">
        <v>155</v>
      </c>
      <c r="C1844" s="61" t="s">
        <v>168</v>
      </c>
      <c r="D1844" s="69">
        <v>2</v>
      </c>
      <c r="E1844" s="74">
        <v>2.0699999999999998</v>
      </c>
      <c r="F1844" s="80">
        <f>IFERROR(D1844*E1844,0)</f>
        <v>4.1399999999999997</v>
      </c>
      <c r="G1844" s="61" t="str">
        <f>INDEX(SETORES!$B:$B,MATCH(A1844,SETORES!$A:$A,0))</f>
        <v>Clientes</v>
      </c>
      <c r="H1844" s="61" t="s">
        <v>20</v>
      </c>
    </row>
    <row r="1845" spans="1:8" ht="14.25" hidden="1" customHeight="1" x14ac:dyDescent="0.3">
      <c r="A1845" s="34" t="s">
        <v>35</v>
      </c>
      <c r="B1845" s="61" t="s">
        <v>155</v>
      </c>
      <c r="C1845" s="61" t="s">
        <v>159</v>
      </c>
      <c r="D1845" s="69">
        <v>1</v>
      </c>
      <c r="E1845" s="74">
        <v>0</v>
      </c>
      <c r="F1845" s="80">
        <v>0</v>
      </c>
      <c r="G1845" s="61" t="str">
        <f>INDEX(SETORES!$B:$B,MATCH(A1845,SETORES!$A:$A,0))</f>
        <v>Clientes</v>
      </c>
      <c r="H1845" s="61" t="s">
        <v>20</v>
      </c>
    </row>
    <row r="1846" spans="1:8" ht="14.25" hidden="1" customHeight="1" x14ac:dyDescent="0.3">
      <c r="A1846" s="34" t="s">
        <v>35</v>
      </c>
      <c r="B1846" s="61" t="s">
        <v>155</v>
      </c>
      <c r="C1846" s="61" t="s">
        <v>212</v>
      </c>
      <c r="D1846" s="69">
        <v>1</v>
      </c>
      <c r="E1846" s="74">
        <v>30</v>
      </c>
      <c r="F1846" s="80">
        <f>IFERROR(D1846*E1846,0)</f>
        <v>30</v>
      </c>
      <c r="G1846" s="61" t="str">
        <f>INDEX(SETORES!$B:$B,MATCH(A1846,SETORES!$A:$A,0))</f>
        <v>Clientes</v>
      </c>
      <c r="H1846" s="61" t="s">
        <v>20</v>
      </c>
    </row>
    <row r="1847" spans="1:8" ht="14.25" hidden="1" customHeight="1" x14ac:dyDescent="0.3">
      <c r="A1847" s="34" t="s">
        <v>35</v>
      </c>
      <c r="B1847" s="61" t="s">
        <v>155</v>
      </c>
      <c r="C1847" s="61" t="s">
        <v>248</v>
      </c>
      <c r="D1847" s="69">
        <v>1</v>
      </c>
      <c r="E1847" s="74">
        <v>2257.2800000000002</v>
      </c>
      <c r="F1847" s="80">
        <f>IFERROR(D1847*E1847,0)</f>
        <v>2257.2800000000002</v>
      </c>
      <c r="G1847" s="61" t="str">
        <f>INDEX(SETORES!$B:$B,MATCH(A1847,SETORES!$A:$A,0))</f>
        <v>Clientes</v>
      </c>
      <c r="H1847" s="61" t="s">
        <v>20</v>
      </c>
    </row>
    <row r="1848" spans="1:8" ht="14.25" customHeight="1" x14ac:dyDescent="0.3">
      <c r="A1848" s="2" t="s">
        <v>35</v>
      </c>
      <c r="B1848" s="60" t="s">
        <v>155</v>
      </c>
      <c r="C1848" s="60" t="s">
        <v>171</v>
      </c>
      <c r="D1848" s="68">
        <v>4</v>
      </c>
      <c r="E1848" s="73">
        <v>47.79</v>
      </c>
      <c r="F1848" s="79">
        <f>IFERROR(D1848*E1848,0)</f>
        <v>191.16</v>
      </c>
      <c r="G1848" s="60" t="s">
        <v>98</v>
      </c>
      <c r="H1848" s="60" t="s">
        <v>20</v>
      </c>
    </row>
    <row r="1849" spans="1:8" ht="14.25" hidden="1" customHeight="1" x14ac:dyDescent="0.3">
      <c r="A1849" s="34" t="s">
        <v>35</v>
      </c>
      <c r="B1849" s="61" t="s">
        <v>155</v>
      </c>
      <c r="C1849" s="61" t="s">
        <v>170</v>
      </c>
      <c r="D1849" s="69">
        <v>4</v>
      </c>
      <c r="E1849" s="74">
        <v>28.31</v>
      </c>
      <c r="F1849" s="80">
        <f>IFERROR(D1849*E1849,0)</f>
        <v>113.24</v>
      </c>
      <c r="G1849" s="61" t="s">
        <v>98</v>
      </c>
      <c r="H1849" s="61" t="s">
        <v>20</v>
      </c>
    </row>
    <row r="1850" spans="1:8" ht="14.25" hidden="1" customHeight="1" x14ac:dyDescent="0.3">
      <c r="A1850" s="2" t="s">
        <v>35</v>
      </c>
      <c r="B1850" s="60" t="s">
        <v>155</v>
      </c>
      <c r="C1850" s="60" t="s">
        <v>169</v>
      </c>
      <c r="D1850" s="68">
        <v>4</v>
      </c>
      <c r="E1850" s="73">
        <v>64.569999999999993</v>
      </c>
      <c r="F1850" s="79">
        <f>IFERROR(D1850*E1850,0)</f>
        <v>258.27999999999997</v>
      </c>
      <c r="G1850" s="61" t="s">
        <v>98</v>
      </c>
      <c r="H1850" s="60" t="s">
        <v>20</v>
      </c>
    </row>
    <row r="1851" spans="1:8" ht="14.25" hidden="1" customHeight="1" x14ac:dyDescent="0.3">
      <c r="A1851" s="2" t="s">
        <v>35</v>
      </c>
      <c r="B1851" s="60" t="s">
        <v>155</v>
      </c>
      <c r="C1851" s="60" t="s">
        <v>158</v>
      </c>
      <c r="D1851" s="68">
        <v>1</v>
      </c>
      <c r="E1851" s="73">
        <v>34.043199999999999</v>
      </c>
      <c r="F1851" s="79">
        <v>34.043199999999999</v>
      </c>
      <c r="G1851" s="60" t="str">
        <f>INDEX(SETORES!$B:$B,MATCH(A1851,SETORES!$A:$A,0))</f>
        <v>Clientes</v>
      </c>
      <c r="H1851" s="60" t="s">
        <v>20</v>
      </c>
    </row>
    <row r="1852" spans="1:8" ht="14.25" hidden="1" customHeight="1" x14ac:dyDescent="0.3">
      <c r="A1852" s="2" t="s">
        <v>35</v>
      </c>
      <c r="B1852" s="60" t="s">
        <v>162</v>
      </c>
      <c r="C1852" s="60" t="s">
        <v>165</v>
      </c>
      <c r="D1852" s="68">
        <v>1</v>
      </c>
      <c r="E1852" s="73">
        <v>950</v>
      </c>
      <c r="F1852" s="79">
        <f>IFERROR(D1852*E1852,0)</f>
        <v>950</v>
      </c>
      <c r="G1852" s="60" t="str">
        <f>INDEX(SETORES!$B:$B,MATCH(A1852,SETORES!$A:$A,0))</f>
        <v>Clientes</v>
      </c>
      <c r="H1852" s="60" t="s">
        <v>20</v>
      </c>
    </row>
    <row r="1853" spans="1:8" ht="14.25" hidden="1" customHeight="1" x14ac:dyDescent="0.3">
      <c r="A1853" s="2" t="s">
        <v>35</v>
      </c>
      <c r="B1853" s="60" t="s">
        <v>162</v>
      </c>
      <c r="C1853" s="60" t="s">
        <v>163</v>
      </c>
      <c r="D1853" s="68">
        <v>1</v>
      </c>
      <c r="E1853" s="73">
        <v>174</v>
      </c>
      <c r="F1853" s="79">
        <f>IFERROR(D1853*E1853,0)</f>
        <v>174</v>
      </c>
      <c r="G1853" s="60" t="str">
        <f>INDEX(SETORES!$B:$B,MATCH(A1853,SETORES!$A:$A,0))</f>
        <v>Clientes</v>
      </c>
      <c r="H1853" s="60" t="s">
        <v>20</v>
      </c>
    </row>
    <row r="1854" spans="1:8" ht="14.25" hidden="1" customHeight="1" x14ac:dyDescent="0.3">
      <c r="A1854" s="34" t="s">
        <v>35</v>
      </c>
      <c r="B1854" s="61" t="s">
        <v>162</v>
      </c>
      <c r="C1854" s="61" t="s">
        <v>164</v>
      </c>
      <c r="D1854" s="69">
        <v>1</v>
      </c>
      <c r="E1854" s="74">
        <v>38</v>
      </c>
      <c r="F1854" s="80">
        <f>IFERROR(D1854*E1854,0)</f>
        <v>38</v>
      </c>
      <c r="G1854" s="61" t="str">
        <f>INDEX(SETORES!$B:$B,MATCH(A1854,SETORES!$A:$A,0))</f>
        <v>Clientes</v>
      </c>
      <c r="H1854" s="61" t="s">
        <v>20</v>
      </c>
    </row>
    <row r="1855" spans="1:8" ht="14.25" hidden="1" customHeight="1" x14ac:dyDescent="0.3">
      <c r="A1855" s="34" t="s">
        <v>35</v>
      </c>
      <c r="B1855" s="61" t="s">
        <v>155</v>
      </c>
      <c r="C1855" s="61" t="s">
        <v>161</v>
      </c>
      <c r="D1855" s="69">
        <v>1</v>
      </c>
      <c r="E1855" s="74">
        <v>12057.21</v>
      </c>
      <c r="F1855" s="80">
        <f>IFERROR(E1855,0)</f>
        <v>12057.21</v>
      </c>
      <c r="G1855" s="61" t="str">
        <f>INDEX(SETORES!$B:$B,MATCH(A1855,SETORES!$A:$A,0))</f>
        <v>Clientes</v>
      </c>
      <c r="H1855" s="61" t="s">
        <v>20</v>
      </c>
    </row>
    <row r="1856" spans="1:8" ht="14.25" hidden="1" customHeight="1" x14ac:dyDescent="0.3">
      <c r="A1856" s="2" t="s">
        <v>35</v>
      </c>
      <c r="B1856" s="60" t="s">
        <v>155</v>
      </c>
      <c r="C1856" s="60" t="s">
        <v>167</v>
      </c>
      <c r="D1856" s="68">
        <v>4</v>
      </c>
      <c r="E1856" s="73">
        <v>10.050000000000001</v>
      </c>
      <c r="F1856" s="79">
        <f>IFERROR(D1856*E1856,0)</f>
        <v>40.200000000000003</v>
      </c>
      <c r="G1856" s="60" t="str">
        <f>INDEX(SETORES!$B:$B,MATCH(A1856,SETORES!$A:$A,0))</f>
        <v>Clientes</v>
      </c>
      <c r="H1856" s="60" t="s">
        <v>20</v>
      </c>
    </row>
    <row r="1857" spans="1:8" ht="14.25" hidden="1" customHeight="1" x14ac:dyDescent="0.3">
      <c r="A1857" s="34" t="s">
        <v>35</v>
      </c>
      <c r="B1857" s="61" t="s">
        <v>155</v>
      </c>
      <c r="C1857" s="61" t="s">
        <v>166</v>
      </c>
      <c r="D1857" s="69">
        <v>3</v>
      </c>
      <c r="E1857" s="74">
        <v>50</v>
      </c>
      <c r="F1857" s="80">
        <f>IFERROR(D1857*E1857,0)</f>
        <v>150</v>
      </c>
      <c r="G1857" s="61" t="str">
        <f>INDEX(SETORES!$B:$B,MATCH(A1857,SETORES!$A:$A,0))</f>
        <v>Clientes</v>
      </c>
      <c r="H1857" s="61" t="s">
        <v>20</v>
      </c>
    </row>
    <row r="1858" spans="1:8" ht="14.25" hidden="1" customHeight="1" x14ac:dyDescent="0.3">
      <c r="A1858" s="2" t="s">
        <v>35</v>
      </c>
      <c r="B1858" s="60" t="s">
        <v>155</v>
      </c>
      <c r="C1858" s="60" t="s">
        <v>156</v>
      </c>
      <c r="D1858" s="68"/>
      <c r="E1858" s="73"/>
      <c r="F1858" s="79">
        <v>0</v>
      </c>
      <c r="G1858" s="60" t="str">
        <f>INDEX(SETORES!$B:$B,MATCH(A1858,SETORES!$A:$A,0))</f>
        <v>Clientes</v>
      </c>
      <c r="H1858" s="60" t="s">
        <v>20</v>
      </c>
    </row>
    <row r="1859" spans="1:8" ht="14.25" hidden="1" customHeight="1" x14ac:dyDescent="0.3">
      <c r="A1859" s="34" t="s">
        <v>35</v>
      </c>
      <c r="B1859" s="61" t="s">
        <v>155</v>
      </c>
      <c r="C1859" s="61" t="s">
        <v>157</v>
      </c>
      <c r="D1859" s="69">
        <v>1</v>
      </c>
      <c r="E1859" s="74">
        <v>65.2</v>
      </c>
      <c r="F1859" s="80">
        <v>65.2</v>
      </c>
      <c r="G1859" s="61" t="str">
        <f>INDEX(SETORES!$B:$B,MATCH(A1859,SETORES!$A:$A,0))</f>
        <v>Clientes</v>
      </c>
      <c r="H1859" s="61" t="s">
        <v>20</v>
      </c>
    </row>
    <row r="1860" spans="1:8" ht="14.25" hidden="1" customHeight="1" x14ac:dyDescent="0.3">
      <c r="A1860" s="34" t="s">
        <v>35</v>
      </c>
      <c r="B1860" s="61" t="s">
        <v>155</v>
      </c>
      <c r="C1860" s="61" t="s">
        <v>168</v>
      </c>
      <c r="D1860" s="69">
        <v>4</v>
      </c>
      <c r="E1860" s="74">
        <v>2.0699999999999998</v>
      </c>
      <c r="F1860" s="80">
        <f>IFERROR(D1860*E1860,0)</f>
        <v>8.2799999999999994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2" t="s">
        <v>35</v>
      </c>
      <c r="B1861" s="60" t="s">
        <v>155</v>
      </c>
      <c r="C1861" s="60" t="s">
        <v>160</v>
      </c>
      <c r="D1861" s="68"/>
      <c r="E1861" s="73"/>
      <c r="F1861" s="79">
        <f>IFERROR(D1861*E1861,0)</f>
        <v>0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2" t="s">
        <v>38</v>
      </c>
      <c r="B1862" s="60" t="s">
        <v>155</v>
      </c>
      <c r="C1862" s="60" t="s">
        <v>159</v>
      </c>
      <c r="D1862" s="68">
        <v>1</v>
      </c>
      <c r="E1862" s="73">
        <v>0</v>
      </c>
      <c r="F1862" s="79">
        <v>0</v>
      </c>
      <c r="G1862" s="60" t="str">
        <f>INDEX(SETORES!$B:$B,MATCH(A1862,SETORES!$A:$A,0))</f>
        <v>Clientes</v>
      </c>
      <c r="H1862" s="60" t="s">
        <v>20</v>
      </c>
    </row>
    <row r="1863" spans="1:8" ht="14.25" hidden="1" customHeight="1" x14ac:dyDescent="0.3">
      <c r="A1863" s="2" t="s">
        <v>38</v>
      </c>
      <c r="B1863" s="60" t="s">
        <v>155</v>
      </c>
      <c r="C1863" s="60" t="s">
        <v>249</v>
      </c>
      <c r="D1863" s="68">
        <v>1</v>
      </c>
      <c r="E1863" s="73">
        <v>1459.1</v>
      </c>
      <c r="F1863" s="79">
        <f>IFERROR(D1863*E1863,0)</f>
        <v>1459.1</v>
      </c>
      <c r="G1863" s="60" t="str">
        <f>INDEX(SETORES!$B:$B,MATCH(A1863,SETORES!$A:$A,0))</f>
        <v>Clientes</v>
      </c>
      <c r="H1863" s="60" t="s">
        <v>20</v>
      </c>
    </row>
    <row r="1864" spans="1:8" ht="14.25" customHeight="1" x14ac:dyDescent="0.3">
      <c r="A1864" s="34" t="s">
        <v>38</v>
      </c>
      <c r="B1864" s="61" t="s">
        <v>155</v>
      </c>
      <c r="C1864" s="61" t="s">
        <v>171</v>
      </c>
      <c r="D1864" s="69">
        <v>12</v>
      </c>
      <c r="E1864" s="74">
        <v>47.79</v>
      </c>
      <c r="F1864" s="80">
        <f>IFERROR(D1864*E1864,0)</f>
        <v>573.48</v>
      </c>
      <c r="G1864" s="60" t="s">
        <v>98</v>
      </c>
      <c r="H1864" s="61" t="s">
        <v>20</v>
      </c>
    </row>
    <row r="1865" spans="1:8" ht="14.25" hidden="1" customHeight="1" x14ac:dyDescent="0.3">
      <c r="A1865" s="2" t="s">
        <v>38</v>
      </c>
      <c r="B1865" s="60" t="s">
        <v>155</v>
      </c>
      <c r="C1865" s="60" t="s">
        <v>170</v>
      </c>
      <c r="D1865" s="68">
        <v>12</v>
      </c>
      <c r="E1865" s="73">
        <v>28.31</v>
      </c>
      <c r="F1865" s="79">
        <f>IFERROR(D1865*E1865,0)</f>
        <v>339.71999999999997</v>
      </c>
      <c r="G1865" s="61" t="s">
        <v>98</v>
      </c>
      <c r="H1865" s="60" t="s">
        <v>20</v>
      </c>
    </row>
    <row r="1866" spans="1:8" ht="14.25" hidden="1" customHeight="1" x14ac:dyDescent="0.3">
      <c r="A1866" s="34" t="s">
        <v>38</v>
      </c>
      <c r="B1866" s="61" t="s">
        <v>155</v>
      </c>
      <c r="C1866" s="61" t="s">
        <v>169</v>
      </c>
      <c r="D1866" s="69">
        <v>12</v>
      </c>
      <c r="E1866" s="74">
        <v>64.569999999999993</v>
      </c>
      <c r="F1866" s="80">
        <f>IFERROR(D1866*E1866,0)</f>
        <v>774.83999999999992</v>
      </c>
      <c r="G1866" s="61" t="s">
        <v>98</v>
      </c>
      <c r="H1866" s="61" t="s">
        <v>20</v>
      </c>
    </row>
    <row r="1867" spans="1:8" ht="14.25" hidden="1" customHeight="1" x14ac:dyDescent="0.3">
      <c r="A1867" s="2" t="s">
        <v>38</v>
      </c>
      <c r="B1867" s="60" t="s">
        <v>162</v>
      </c>
      <c r="C1867" s="60" t="s">
        <v>192</v>
      </c>
      <c r="D1867" s="68">
        <v>1</v>
      </c>
      <c r="E1867" s="73">
        <v>242.73</v>
      </c>
      <c r="F1867" s="79">
        <f>IFERROR(D1867*E1867,0)</f>
        <v>242.73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2" t="s">
        <v>38</v>
      </c>
      <c r="B1868" s="60" t="s">
        <v>162</v>
      </c>
      <c r="C1868" s="60" t="s">
        <v>194</v>
      </c>
      <c r="D1868" s="68">
        <v>1</v>
      </c>
      <c r="E1868" s="73">
        <v>23.5</v>
      </c>
      <c r="F1868" s="79">
        <f>IFERROR(D1868*E1868,0)</f>
        <v>23.5</v>
      </c>
      <c r="G1868" s="60" t="str">
        <f>INDEX(SETORES!$B:$B,MATCH(A1868,SETORES!$A:$A,0))</f>
        <v>Clientes</v>
      </c>
      <c r="H1868" s="60" t="s">
        <v>20</v>
      </c>
    </row>
    <row r="1869" spans="1:8" ht="14.25" hidden="1" customHeight="1" x14ac:dyDescent="0.3">
      <c r="A1869" s="34" t="s">
        <v>38</v>
      </c>
      <c r="B1869" s="61" t="s">
        <v>155</v>
      </c>
      <c r="C1869" s="61" t="s">
        <v>158</v>
      </c>
      <c r="D1869" s="69">
        <v>1</v>
      </c>
      <c r="E1869" s="74">
        <v>102.12949999999999</v>
      </c>
      <c r="F1869" s="80">
        <v>102.12949999999999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38</v>
      </c>
      <c r="B1870" s="61" t="s">
        <v>162</v>
      </c>
      <c r="C1870" s="61" t="s">
        <v>165</v>
      </c>
      <c r="D1870" s="69">
        <v>1</v>
      </c>
      <c r="E1870" s="74">
        <v>316.67</v>
      </c>
      <c r="F1870" s="80">
        <f>IFERROR(D1870*E1870,0)</f>
        <v>316.67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38</v>
      </c>
      <c r="B1871" s="61" t="s">
        <v>162</v>
      </c>
      <c r="C1871" s="61" t="s">
        <v>163</v>
      </c>
      <c r="D1871" s="69">
        <v>1</v>
      </c>
      <c r="E1871" s="74">
        <v>340</v>
      </c>
      <c r="F1871" s="80">
        <f>IFERROR(D1871*E1871,0)</f>
        <v>340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38</v>
      </c>
      <c r="B1872" s="60" t="s">
        <v>162</v>
      </c>
      <c r="C1872" s="60" t="s">
        <v>164</v>
      </c>
      <c r="D1872" s="68">
        <v>1</v>
      </c>
      <c r="E1872" s="73">
        <v>181.33</v>
      </c>
      <c r="F1872" s="79">
        <f>IFERROR(D1872*E1872,0)</f>
        <v>181.33</v>
      </c>
      <c r="G1872" s="60" t="str">
        <f>INDEX(SETORES!$B:$B,MATCH(A1872,SETORES!$A:$A,0))</f>
        <v>Clientes</v>
      </c>
      <c r="H1872" s="60" t="s">
        <v>20</v>
      </c>
    </row>
    <row r="1873" spans="1:8" ht="14.25" hidden="1" customHeight="1" x14ac:dyDescent="0.3">
      <c r="A1873" s="2" t="s">
        <v>38</v>
      </c>
      <c r="B1873" s="60" t="s">
        <v>155</v>
      </c>
      <c r="C1873" s="60" t="s">
        <v>161</v>
      </c>
      <c r="D1873" s="68">
        <v>1</v>
      </c>
      <c r="E1873" s="73">
        <v>35259.81</v>
      </c>
      <c r="F1873" s="79">
        <f>IFERROR(E1873,0)</f>
        <v>35259.81</v>
      </c>
      <c r="G1873" s="60" t="str">
        <f>INDEX(SETORES!$B:$B,MATCH(A1873,SETORES!$A:$A,0))</f>
        <v>Clientes</v>
      </c>
      <c r="H1873" s="60" t="s">
        <v>20</v>
      </c>
    </row>
    <row r="1874" spans="1:8" ht="14.25" hidden="1" customHeight="1" x14ac:dyDescent="0.3">
      <c r="A1874" s="34" t="s">
        <v>38</v>
      </c>
      <c r="B1874" s="61" t="s">
        <v>155</v>
      </c>
      <c r="C1874" s="61" t="s">
        <v>167</v>
      </c>
      <c r="D1874" s="69">
        <v>12</v>
      </c>
      <c r="E1874" s="74">
        <v>10.050000000000001</v>
      </c>
      <c r="F1874" s="80">
        <f>IFERROR(D1874*E1874,0)</f>
        <v>120.60000000000001</v>
      </c>
      <c r="G1874" s="61" t="str">
        <f>INDEX(SETORES!$B:$B,MATCH(A1874,SETORES!$A:$A,0))</f>
        <v>Clientes</v>
      </c>
      <c r="H1874" s="61" t="s">
        <v>20</v>
      </c>
    </row>
    <row r="1875" spans="1:8" ht="14.25" hidden="1" customHeight="1" x14ac:dyDescent="0.3">
      <c r="A1875" s="2" t="s">
        <v>38</v>
      </c>
      <c r="B1875" s="60" t="s">
        <v>155</v>
      </c>
      <c r="C1875" s="60" t="s">
        <v>166</v>
      </c>
      <c r="D1875" s="68">
        <v>13</v>
      </c>
      <c r="E1875" s="73">
        <v>50</v>
      </c>
      <c r="F1875" s="79">
        <f>IFERROR(D1875*E1875,0)</f>
        <v>650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34" t="s">
        <v>38</v>
      </c>
      <c r="B1876" s="61" t="s">
        <v>155</v>
      </c>
      <c r="C1876" s="61" t="s">
        <v>156</v>
      </c>
      <c r="D1876" s="69">
        <v>12</v>
      </c>
      <c r="E1876" s="74">
        <v>0.36480000000000001</v>
      </c>
      <c r="F1876" s="80">
        <v>4.3776000000000002</v>
      </c>
      <c r="G1876" s="61" t="str">
        <f>INDEX(SETORES!$B:$B,MATCH(A1876,SETORES!$A:$A,0))</f>
        <v>Clientes</v>
      </c>
      <c r="H1876" s="61" t="s">
        <v>20</v>
      </c>
    </row>
    <row r="1877" spans="1:8" ht="14.25" hidden="1" customHeight="1" x14ac:dyDescent="0.3">
      <c r="A1877" s="2" t="s">
        <v>38</v>
      </c>
      <c r="B1877" s="60" t="s">
        <v>155</v>
      </c>
      <c r="C1877" s="60" t="s">
        <v>157</v>
      </c>
      <c r="D1877" s="68">
        <v>1</v>
      </c>
      <c r="E1877" s="73">
        <v>339.57724100000001</v>
      </c>
      <c r="F1877" s="79">
        <v>339.57724100000001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34" t="s">
        <v>38</v>
      </c>
      <c r="B1878" s="61" t="s">
        <v>155</v>
      </c>
      <c r="C1878" s="61" t="s">
        <v>189</v>
      </c>
      <c r="D1878" s="69">
        <v>1</v>
      </c>
      <c r="E1878" s="74">
        <v>258.62068799999997</v>
      </c>
      <c r="F1878" s="80">
        <f>IFERROR(D1878*E1878,0)</f>
        <v>258.62068799999997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2" t="s">
        <v>38</v>
      </c>
      <c r="B1879" s="60" t="s">
        <v>155</v>
      </c>
      <c r="C1879" s="60" t="s">
        <v>190</v>
      </c>
      <c r="D1879" s="68">
        <v>1</v>
      </c>
      <c r="E1879" s="73">
        <v>34.482408</v>
      </c>
      <c r="F1879" s="79">
        <f>IFERROR(D1879*E1879,0)</f>
        <v>34.482408</v>
      </c>
      <c r="G1879" s="60" t="str">
        <f>INDEX(SETORES!$B:$B,MATCH(A1879,SETORES!$A:$A,0))</f>
        <v>Clientes</v>
      </c>
      <c r="H1879" s="60" t="s">
        <v>20</v>
      </c>
    </row>
    <row r="1880" spans="1:8" ht="14.25" hidden="1" customHeight="1" x14ac:dyDescent="0.3">
      <c r="A1880" s="34" t="s">
        <v>38</v>
      </c>
      <c r="B1880" s="61" t="s">
        <v>162</v>
      </c>
      <c r="C1880" s="61" t="s">
        <v>191</v>
      </c>
      <c r="D1880" s="69">
        <v>1</v>
      </c>
      <c r="E1880" s="74">
        <v>95.568624</v>
      </c>
      <c r="F1880" s="80">
        <f>IFERROR(D1880*E1880,0)</f>
        <v>95.568624</v>
      </c>
      <c r="G1880" s="61" t="str">
        <f>INDEX(SETORES!$B:$B,MATCH(A1880,SETORES!$A:$A,0))</f>
        <v>Clientes</v>
      </c>
      <c r="H1880" s="61" t="s">
        <v>20</v>
      </c>
    </row>
    <row r="1881" spans="1:8" ht="14.25" hidden="1" customHeight="1" x14ac:dyDescent="0.3">
      <c r="A1881" s="34" t="s">
        <v>38</v>
      </c>
      <c r="B1881" s="61" t="s">
        <v>155</v>
      </c>
      <c r="C1881" s="61" t="s">
        <v>187</v>
      </c>
      <c r="D1881" s="69">
        <v>1</v>
      </c>
      <c r="E1881" s="74">
        <v>550.09551599999998</v>
      </c>
      <c r="F1881" s="80">
        <f>IFERROR(D1881*E1881,0)</f>
        <v>550.09551599999998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38</v>
      </c>
      <c r="B1882" s="60" t="s">
        <v>155</v>
      </c>
      <c r="C1882" s="60" t="s">
        <v>168</v>
      </c>
      <c r="D1882" s="68">
        <v>12</v>
      </c>
      <c r="E1882" s="73">
        <v>2.0699999999999998</v>
      </c>
      <c r="F1882" s="79">
        <f>IFERROR(D1882*E1882,0)</f>
        <v>24.839999999999996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2" t="s">
        <v>38</v>
      </c>
      <c r="B1883" s="60" t="s">
        <v>155</v>
      </c>
      <c r="C1883" s="60" t="s">
        <v>188</v>
      </c>
      <c r="D1883" s="68">
        <v>1</v>
      </c>
      <c r="E1883" s="73">
        <v>1641.85</v>
      </c>
      <c r="F1883" s="79">
        <f>IFERROR(D1883*E1883,0)</f>
        <v>1641.85</v>
      </c>
      <c r="G1883" s="60" t="str">
        <f>INDEX(SETORES!$B:$B,MATCH(A1883,SETORES!$A:$A,0))</f>
        <v>Clientes</v>
      </c>
      <c r="H1883" s="60" t="s">
        <v>20</v>
      </c>
    </row>
    <row r="1884" spans="1:8" ht="14.25" hidden="1" customHeight="1" x14ac:dyDescent="0.3">
      <c r="A1884" s="34" t="s">
        <v>38</v>
      </c>
      <c r="B1884" s="61" t="s">
        <v>155</v>
      </c>
      <c r="C1884" s="61" t="s">
        <v>160</v>
      </c>
      <c r="D1884" s="69"/>
      <c r="E1884" s="74"/>
      <c r="F1884" s="80">
        <f>IFERROR(D1884*E1884,0)</f>
        <v>0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34" t="s">
        <v>38</v>
      </c>
      <c r="B1885" s="61" t="s">
        <v>155</v>
      </c>
      <c r="C1885" s="61" t="s">
        <v>193</v>
      </c>
      <c r="D1885" s="69">
        <v>1</v>
      </c>
      <c r="E1885" s="74">
        <v>52</v>
      </c>
      <c r="F1885" s="80">
        <f>IFERROR(D1885*E1885,0)</f>
        <v>52</v>
      </c>
      <c r="G1885" s="61" t="str">
        <f>INDEX(SETORES!$B:$B,MATCH(A1885,SETORES!$A:$A,0))</f>
        <v>Clientes</v>
      </c>
      <c r="H1885" s="61" t="s">
        <v>20</v>
      </c>
    </row>
    <row r="1886" spans="1:8" ht="14.25" hidden="1" customHeight="1" x14ac:dyDescent="0.3">
      <c r="A1886" s="2" t="s">
        <v>78</v>
      </c>
      <c r="B1886" s="60" t="s">
        <v>155</v>
      </c>
      <c r="C1886" s="60" t="s">
        <v>159</v>
      </c>
      <c r="D1886" s="68">
        <v>14</v>
      </c>
      <c r="E1886" s="73">
        <v>0.63429999999999997</v>
      </c>
      <c r="F1886" s="79">
        <v>8.8802000000000003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78</v>
      </c>
      <c r="B1887" s="60" t="s">
        <v>155</v>
      </c>
      <c r="C1887" s="60" t="s">
        <v>212</v>
      </c>
      <c r="D1887" s="68">
        <v>12</v>
      </c>
      <c r="E1887" s="73">
        <v>30</v>
      </c>
      <c r="F1887" s="79">
        <f>IFERROR(D1887*E1887,0)</f>
        <v>360</v>
      </c>
      <c r="G1887" s="60" t="str">
        <f>INDEX(SETORES!$B:$B,MATCH(A1887,SETORES!$A:$A,0))</f>
        <v>Clientes</v>
      </c>
      <c r="H1887" s="60" t="s">
        <v>20</v>
      </c>
    </row>
    <row r="1888" spans="1:8" ht="14.25" customHeight="1" x14ac:dyDescent="0.3">
      <c r="A1888" s="34" t="s">
        <v>78</v>
      </c>
      <c r="B1888" s="61" t="s">
        <v>155</v>
      </c>
      <c r="C1888" s="61" t="s">
        <v>171</v>
      </c>
      <c r="D1888" s="69">
        <v>14</v>
      </c>
      <c r="E1888" s="74">
        <v>47.79</v>
      </c>
      <c r="F1888" s="80">
        <f>IFERROR(D1888*E1888,0)</f>
        <v>669.06</v>
      </c>
      <c r="G1888" s="60" t="s">
        <v>98</v>
      </c>
      <c r="H1888" s="61" t="s">
        <v>20</v>
      </c>
    </row>
    <row r="1889" spans="1:8" ht="14.25" hidden="1" customHeight="1" x14ac:dyDescent="0.3">
      <c r="A1889" s="2" t="s">
        <v>78</v>
      </c>
      <c r="B1889" s="60" t="s">
        <v>155</v>
      </c>
      <c r="C1889" s="60" t="s">
        <v>170</v>
      </c>
      <c r="D1889" s="68">
        <v>14</v>
      </c>
      <c r="E1889" s="73">
        <v>28.31</v>
      </c>
      <c r="F1889" s="79">
        <f>IFERROR(D1889*E1889,0)</f>
        <v>396.34</v>
      </c>
      <c r="G1889" s="61" t="s">
        <v>98</v>
      </c>
      <c r="H1889" s="60" t="s">
        <v>20</v>
      </c>
    </row>
    <row r="1890" spans="1:8" ht="14.25" hidden="1" customHeight="1" x14ac:dyDescent="0.3">
      <c r="A1890" s="2" t="s">
        <v>78</v>
      </c>
      <c r="B1890" s="60" t="s">
        <v>155</v>
      </c>
      <c r="C1890" s="60" t="s">
        <v>169</v>
      </c>
      <c r="D1890" s="68">
        <v>14</v>
      </c>
      <c r="E1890" s="73">
        <v>64.569999999999993</v>
      </c>
      <c r="F1890" s="79">
        <f>IFERROR(D1890*E1890,0)</f>
        <v>903.9799999999999</v>
      </c>
      <c r="G1890" s="61" t="s">
        <v>98</v>
      </c>
      <c r="H1890" s="60" t="s">
        <v>20</v>
      </c>
    </row>
    <row r="1891" spans="1:8" ht="14.25" hidden="1" customHeight="1" x14ac:dyDescent="0.3">
      <c r="A1891" s="34" t="s">
        <v>78</v>
      </c>
      <c r="B1891" s="61" t="s">
        <v>155</v>
      </c>
      <c r="C1891" s="61" t="s">
        <v>158</v>
      </c>
      <c r="D1891" s="69">
        <v>14</v>
      </c>
      <c r="E1891" s="74">
        <v>24.8613</v>
      </c>
      <c r="F1891" s="80">
        <v>348.0582</v>
      </c>
      <c r="G1891" s="61" t="str">
        <f>INDEX(SETORES!$B:$B,MATCH(A1891,SETORES!$A:$A,0))</f>
        <v>Clientes</v>
      </c>
      <c r="H1891" s="61" t="s">
        <v>20</v>
      </c>
    </row>
    <row r="1892" spans="1:8" ht="14.25" hidden="1" customHeight="1" x14ac:dyDescent="0.3">
      <c r="A1892" s="34" t="s">
        <v>78</v>
      </c>
      <c r="B1892" s="61" t="s">
        <v>155</v>
      </c>
      <c r="C1892" s="61" t="s">
        <v>161</v>
      </c>
      <c r="D1892" s="69">
        <v>1</v>
      </c>
      <c r="E1892" s="74">
        <v>78365.149999999994</v>
      </c>
      <c r="F1892" s="80">
        <f>IFERROR(E1892,0)</f>
        <v>78365.149999999994</v>
      </c>
      <c r="G1892" s="61" t="str">
        <f>INDEX(SETORES!$B:$B,MATCH(A1892,SETORES!$A:$A,0))</f>
        <v>Clientes</v>
      </c>
      <c r="H1892" s="61" t="s">
        <v>20</v>
      </c>
    </row>
    <row r="1893" spans="1:8" ht="14.25" hidden="1" customHeight="1" x14ac:dyDescent="0.3">
      <c r="A1893" s="34" t="s">
        <v>78</v>
      </c>
      <c r="B1893" s="61" t="s">
        <v>155</v>
      </c>
      <c r="C1893" s="61" t="s">
        <v>167</v>
      </c>
      <c r="D1893" s="69">
        <v>14</v>
      </c>
      <c r="E1893" s="74">
        <v>10.050000000000001</v>
      </c>
      <c r="F1893" s="80">
        <f>IFERROR(D1893*E1893,0)</f>
        <v>140.70000000000002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78</v>
      </c>
      <c r="B1894" s="61" t="s">
        <v>155</v>
      </c>
      <c r="C1894" s="61" t="s">
        <v>166</v>
      </c>
      <c r="D1894" s="69">
        <v>14</v>
      </c>
      <c r="E1894" s="74">
        <v>50</v>
      </c>
      <c r="F1894" s="80">
        <f>IFERROR(D1894*E1894,0)</f>
        <v>700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78</v>
      </c>
      <c r="B1895" s="61" t="s">
        <v>162</v>
      </c>
      <c r="C1895" s="61" t="s">
        <v>209</v>
      </c>
      <c r="D1895" s="69">
        <v>14</v>
      </c>
      <c r="E1895" s="74">
        <v>89.55</v>
      </c>
      <c r="F1895" s="80">
        <f>IFERROR(D1895*E1895,0)</f>
        <v>1253.7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34" t="s">
        <v>78</v>
      </c>
      <c r="B1896" s="61" t="s">
        <v>162</v>
      </c>
      <c r="C1896" s="61" t="s">
        <v>222</v>
      </c>
      <c r="D1896" s="69"/>
      <c r="E1896" s="74"/>
      <c r="F1896" s="80">
        <f>IFERROR(D1896*E1896,0)</f>
        <v>0</v>
      </c>
      <c r="G1896" s="61" t="str">
        <f>INDEX(SETORES!$B:$B,MATCH(A1896,SETORES!$A:$A,0))</f>
        <v>Clientes</v>
      </c>
      <c r="H1896" s="61" t="s">
        <v>20</v>
      </c>
    </row>
    <row r="1897" spans="1:8" ht="14.25" hidden="1" customHeight="1" x14ac:dyDescent="0.3">
      <c r="A1897" s="2" t="s">
        <v>78</v>
      </c>
      <c r="B1897" s="60" t="s">
        <v>155</v>
      </c>
      <c r="C1897" s="60" t="s">
        <v>168</v>
      </c>
      <c r="D1897" s="68">
        <v>14</v>
      </c>
      <c r="E1897" s="73">
        <v>2.0699999999999998</v>
      </c>
      <c r="F1897" s="79">
        <f>IFERROR(D1897*E1897,0)</f>
        <v>28.979999999999997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34" t="s">
        <v>54</v>
      </c>
      <c r="B1898" s="61" t="s">
        <v>155</v>
      </c>
      <c r="C1898" s="61" t="s">
        <v>206</v>
      </c>
      <c r="D1898" s="69">
        <v>1</v>
      </c>
      <c r="E1898" s="74">
        <v>545.99</v>
      </c>
      <c r="F1898" s="80">
        <f>IFERROR(D1898*E1898,0)</f>
        <v>545.99</v>
      </c>
      <c r="G1898" s="61" t="str">
        <f>INDEX(SETORES!$B:$B,MATCH(A1898,SETORES!$A:$A,0))</f>
        <v>Clientes</v>
      </c>
      <c r="H1898" s="61" t="s">
        <v>20</v>
      </c>
    </row>
    <row r="1899" spans="1:8" ht="14.25" hidden="1" customHeight="1" x14ac:dyDescent="0.3">
      <c r="A1899" s="2" t="s">
        <v>54</v>
      </c>
      <c r="B1899" s="60" t="s">
        <v>162</v>
      </c>
      <c r="C1899" s="60" t="s">
        <v>217</v>
      </c>
      <c r="D1899" s="68"/>
      <c r="E1899" s="73"/>
      <c r="F1899" s="79">
        <f>IFERROR(D1899*E1899,0)</f>
        <v>0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2" t="s">
        <v>54</v>
      </c>
      <c r="B1900" s="60" t="s">
        <v>162</v>
      </c>
      <c r="C1900" s="60" t="s">
        <v>203</v>
      </c>
      <c r="D1900" s="68">
        <v>1</v>
      </c>
      <c r="E1900" s="73">
        <v>3504.09</v>
      </c>
      <c r="F1900" s="79">
        <f>IFERROR(D1900*E1900,0)</f>
        <v>3504.09</v>
      </c>
      <c r="G1900" s="60" t="str">
        <f>INDEX(SETORES!$B:$B,MATCH(A1900,SETORES!$A:$A,0))</f>
        <v>Clientes</v>
      </c>
      <c r="H1900" s="60" t="s">
        <v>20</v>
      </c>
    </row>
    <row r="1901" spans="1:8" ht="14.25" hidden="1" customHeight="1" x14ac:dyDescent="0.3">
      <c r="A1901" s="2" t="s">
        <v>54</v>
      </c>
      <c r="B1901" s="60" t="s">
        <v>155</v>
      </c>
      <c r="C1901" s="60" t="s">
        <v>205</v>
      </c>
      <c r="D1901" s="68">
        <v>1</v>
      </c>
      <c r="E1901" s="73">
        <v>2997</v>
      </c>
      <c r="F1901" s="79">
        <f>IFERROR(D1901*E1901,0)</f>
        <v>2997</v>
      </c>
      <c r="G1901" s="60" t="str">
        <f>INDEX(SETORES!$B:$B,MATCH(A1901,SETORES!$A:$A,0))</f>
        <v>Clientes</v>
      </c>
      <c r="H1901" s="60" t="s">
        <v>20</v>
      </c>
    </row>
    <row r="1902" spans="1:8" ht="14.25" customHeight="1" x14ac:dyDescent="0.3">
      <c r="A1902" s="2" t="s">
        <v>54</v>
      </c>
      <c r="B1902" s="60" t="s">
        <v>155</v>
      </c>
      <c r="C1902" s="60" t="s">
        <v>171</v>
      </c>
      <c r="D1902" s="68">
        <v>10</v>
      </c>
      <c r="E1902" s="73">
        <v>47.79</v>
      </c>
      <c r="F1902" s="79">
        <f>IFERROR(D1902*E1902,0)</f>
        <v>477.9</v>
      </c>
      <c r="G1902" s="60" t="s">
        <v>98</v>
      </c>
      <c r="H1902" s="60" t="s">
        <v>20</v>
      </c>
    </row>
    <row r="1903" spans="1:8" ht="14.25" hidden="1" customHeight="1" x14ac:dyDescent="0.3">
      <c r="A1903" s="34" t="s">
        <v>54</v>
      </c>
      <c r="B1903" s="61" t="s">
        <v>155</v>
      </c>
      <c r="C1903" s="61" t="s">
        <v>170</v>
      </c>
      <c r="D1903" s="69">
        <v>10</v>
      </c>
      <c r="E1903" s="74">
        <v>28.31</v>
      </c>
      <c r="F1903" s="80">
        <f>IFERROR(D1903*E1903,0)</f>
        <v>283.09999999999997</v>
      </c>
      <c r="G1903" s="61" t="s">
        <v>98</v>
      </c>
      <c r="H1903" s="61" t="s">
        <v>20</v>
      </c>
    </row>
    <row r="1904" spans="1:8" ht="14.25" hidden="1" customHeight="1" x14ac:dyDescent="0.3">
      <c r="A1904" s="34" t="s">
        <v>54</v>
      </c>
      <c r="B1904" s="61" t="s">
        <v>155</v>
      </c>
      <c r="C1904" s="61" t="s">
        <v>169</v>
      </c>
      <c r="D1904" s="69">
        <v>9</v>
      </c>
      <c r="E1904" s="74">
        <v>64.569999999999993</v>
      </c>
      <c r="F1904" s="80">
        <f>IFERROR(D1904*E1904,0)</f>
        <v>581.12999999999988</v>
      </c>
      <c r="G1904" s="61" t="s">
        <v>98</v>
      </c>
      <c r="H1904" s="61" t="s">
        <v>20</v>
      </c>
    </row>
    <row r="1905" spans="1:8" ht="14.25" hidden="1" customHeight="1" x14ac:dyDescent="0.3">
      <c r="A1905" s="2" t="s">
        <v>54</v>
      </c>
      <c r="B1905" s="60" t="s">
        <v>162</v>
      </c>
      <c r="C1905" s="60" t="s">
        <v>199</v>
      </c>
      <c r="D1905" s="68"/>
      <c r="E1905" s="73"/>
      <c r="F1905" s="79">
        <f>IFERROR(D1905*E1905,0)</f>
        <v>0</v>
      </c>
      <c r="G1905" s="61" t="s">
        <v>98</v>
      </c>
      <c r="H1905" s="60" t="s">
        <v>20</v>
      </c>
    </row>
    <row r="1906" spans="1:8" ht="14.25" hidden="1" customHeight="1" x14ac:dyDescent="0.3">
      <c r="A1906" s="2" t="s">
        <v>54</v>
      </c>
      <c r="B1906" s="60" t="s">
        <v>162</v>
      </c>
      <c r="C1906" s="60" t="s">
        <v>201</v>
      </c>
      <c r="D1906" s="68"/>
      <c r="E1906" s="73"/>
      <c r="F1906" s="79">
        <f>IFERROR(D1906*E1906,0)</f>
        <v>0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2" t="s">
        <v>54</v>
      </c>
      <c r="B1907" s="60" t="s">
        <v>155</v>
      </c>
      <c r="C1907" s="60" t="s">
        <v>207</v>
      </c>
      <c r="D1907" s="68"/>
      <c r="E1907" s="73"/>
      <c r="F1907" s="79">
        <f>IFERROR(D1907*E1907,0)</f>
        <v>0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2" t="s">
        <v>54</v>
      </c>
      <c r="B1908" s="60" t="s">
        <v>155</v>
      </c>
      <c r="C1908" s="60" t="s">
        <v>196</v>
      </c>
      <c r="D1908" s="68">
        <v>10</v>
      </c>
      <c r="E1908" s="73">
        <v>50</v>
      </c>
      <c r="F1908" s="79">
        <f>IFERROR(D1908*E1908,0)</f>
        <v>500</v>
      </c>
      <c r="G1908" s="60" t="str">
        <f>INDEX(SETORES!$B:$B,MATCH(A1908,SETORES!$A:$A,0))</f>
        <v>Clientes</v>
      </c>
      <c r="H1908" s="60" t="s">
        <v>20</v>
      </c>
    </row>
    <row r="1909" spans="1:8" ht="14.25" hidden="1" customHeight="1" x14ac:dyDescent="0.3">
      <c r="A1909" s="2" t="s">
        <v>54</v>
      </c>
      <c r="B1909" s="60" t="s">
        <v>162</v>
      </c>
      <c r="C1909" s="60" t="s">
        <v>194</v>
      </c>
      <c r="D1909" s="68"/>
      <c r="E1909" s="73"/>
      <c r="F1909" s="79">
        <f>IFERROR(D1909*E1909,0)</f>
        <v>0</v>
      </c>
      <c r="G1909" s="60" t="str">
        <f>INDEX(SETORES!$B:$B,MATCH(A1909,SETORES!$A:$A,0))</f>
        <v>Clientes</v>
      </c>
      <c r="H1909" s="60" t="s">
        <v>20</v>
      </c>
    </row>
    <row r="1910" spans="1:8" ht="14.25" hidden="1" customHeight="1" x14ac:dyDescent="0.3">
      <c r="A1910" s="34" t="s">
        <v>54</v>
      </c>
      <c r="B1910" s="61" t="s">
        <v>155</v>
      </c>
      <c r="C1910" s="61" t="s">
        <v>158</v>
      </c>
      <c r="D1910" s="69">
        <v>1</v>
      </c>
      <c r="E1910" s="74">
        <v>93.618700000000004</v>
      </c>
      <c r="F1910" s="80">
        <v>93.618700000000004</v>
      </c>
      <c r="G1910" s="61" t="s">
        <v>96</v>
      </c>
      <c r="H1910" s="61" t="s">
        <v>20</v>
      </c>
    </row>
    <row r="1911" spans="1:8" ht="14.25" hidden="1" customHeight="1" x14ac:dyDescent="0.3">
      <c r="A1911" s="34" t="s">
        <v>54</v>
      </c>
      <c r="B1911" s="61" t="s">
        <v>155</v>
      </c>
      <c r="C1911" s="61" t="s">
        <v>197</v>
      </c>
      <c r="D1911" s="69">
        <v>10</v>
      </c>
      <c r="E1911" s="74">
        <v>102601.16</v>
      </c>
      <c r="F1911" s="80">
        <f>IFERROR(E1911,0)</f>
        <v>102601.16</v>
      </c>
      <c r="G1911" s="61" t="str">
        <f>INDEX(SETORES!$B:$B,MATCH(A1911,SETORES!$A:$A,0))</f>
        <v>Clientes</v>
      </c>
      <c r="H1911" s="61" t="s">
        <v>20</v>
      </c>
    </row>
    <row r="1912" spans="1:8" ht="14.25" hidden="1" customHeight="1" x14ac:dyDescent="0.3">
      <c r="A1912" s="34" t="s">
        <v>54</v>
      </c>
      <c r="B1912" s="61" t="s">
        <v>155</v>
      </c>
      <c r="C1912" s="61" t="s">
        <v>167</v>
      </c>
      <c r="D1912" s="69">
        <v>10</v>
      </c>
      <c r="E1912" s="74">
        <v>10.050000000000001</v>
      </c>
      <c r="F1912" s="80">
        <f>IFERROR(D1912*E1912,0)</f>
        <v>100.5</v>
      </c>
      <c r="G1912" s="61" t="str">
        <f>INDEX(SETORES!$B:$B,MATCH(A1912,SETORES!$A:$A,0))</f>
        <v>Clientes</v>
      </c>
      <c r="H1912" s="61" t="s">
        <v>20</v>
      </c>
    </row>
    <row r="1913" spans="1:8" ht="14.25" hidden="1" customHeight="1" x14ac:dyDescent="0.3">
      <c r="A1913" s="34" t="s">
        <v>54</v>
      </c>
      <c r="B1913" s="61" t="s">
        <v>155</v>
      </c>
      <c r="C1913" s="61" t="s">
        <v>238</v>
      </c>
      <c r="D1913" s="69">
        <v>1</v>
      </c>
      <c r="E1913" s="74">
        <v>11.11111</v>
      </c>
      <c r="F1913" s="80">
        <f>IFERROR(D1913*E1913,0)</f>
        <v>11.11111</v>
      </c>
      <c r="G1913" s="61" t="str">
        <f>INDEX(SETORES!$B:$B,MATCH(A1913,SETORES!$A:$A,0))</f>
        <v>Clientes</v>
      </c>
      <c r="H1913" s="61" t="s">
        <v>20</v>
      </c>
    </row>
    <row r="1914" spans="1:8" ht="14.25" hidden="1" customHeight="1" x14ac:dyDescent="0.3">
      <c r="A1914" s="2" t="s">
        <v>54</v>
      </c>
      <c r="B1914" s="60" t="s">
        <v>155</v>
      </c>
      <c r="C1914" s="60" t="s">
        <v>198</v>
      </c>
      <c r="D1914" s="68">
        <v>7</v>
      </c>
      <c r="E1914" s="73">
        <v>30</v>
      </c>
      <c r="F1914" s="79">
        <f>IFERROR(D1914*E1914,0)</f>
        <v>210</v>
      </c>
      <c r="G1914" s="60" t="str">
        <f>INDEX(SETORES!$B:$B,MATCH(A1914,SETORES!$A:$A,0))</f>
        <v>Clientes</v>
      </c>
      <c r="H1914" s="60" t="s">
        <v>20</v>
      </c>
    </row>
    <row r="1915" spans="1:8" ht="14.25" hidden="1" customHeight="1" x14ac:dyDescent="0.3">
      <c r="A1915" s="34" t="s">
        <v>54</v>
      </c>
      <c r="B1915" s="61" t="s">
        <v>162</v>
      </c>
      <c r="C1915" s="61" t="s">
        <v>195</v>
      </c>
      <c r="D1915" s="69"/>
      <c r="E1915" s="74"/>
      <c r="F1915" s="80">
        <f>IFERROR(D1915*E1915,0)</f>
        <v>0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54</v>
      </c>
      <c r="B1916" s="61" t="s">
        <v>162</v>
      </c>
      <c r="C1916" s="61" t="s">
        <v>200</v>
      </c>
      <c r="D1916" s="69">
        <v>2</v>
      </c>
      <c r="E1916" s="74">
        <v>68</v>
      </c>
      <c r="F1916" s="80">
        <f>IFERROR(D1916*E1916,0)</f>
        <v>136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54</v>
      </c>
      <c r="B1917" s="61" t="s">
        <v>162</v>
      </c>
      <c r="C1917" s="61" t="s">
        <v>204</v>
      </c>
      <c r="D1917" s="69"/>
      <c r="E1917" s="74"/>
      <c r="F1917" s="80">
        <f>IFERROR(D1917*E1917,0)</f>
        <v>0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54</v>
      </c>
      <c r="B1918" s="61" t="s">
        <v>155</v>
      </c>
      <c r="C1918" s="61" t="s">
        <v>208</v>
      </c>
      <c r="D1918" s="69">
        <v>1</v>
      </c>
      <c r="E1918" s="74">
        <v>3042.34</v>
      </c>
      <c r="F1918" s="80">
        <f>IFERROR(D1918*E1918,0)</f>
        <v>3042.34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2" t="s">
        <v>54</v>
      </c>
      <c r="B1919" s="60" t="s">
        <v>155</v>
      </c>
      <c r="C1919" s="60" t="s">
        <v>168</v>
      </c>
      <c r="D1919" s="68">
        <v>10</v>
      </c>
      <c r="E1919" s="73">
        <v>2.0699999999999998</v>
      </c>
      <c r="F1919" s="79">
        <f>IFERROR(D1919*E1919,0)</f>
        <v>20.7</v>
      </c>
      <c r="G1919" s="60" t="str">
        <f>INDEX(SETORES!$B:$B,MATCH(A1919,SETORES!$A:$A,0))</f>
        <v>Clientes</v>
      </c>
      <c r="H1919" s="60" t="s">
        <v>20</v>
      </c>
    </row>
    <row r="1920" spans="1:8" ht="14.25" hidden="1" customHeight="1" x14ac:dyDescent="0.3">
      <c r="A1920" s="34" t="s">
        <v>54</v>
      </c>
      <c r="B1920" s="61" t="s">
        <v>162</v>
      </c>
      <c r="C1920" s="61" t="s">
        <v>202</v>
      </c>
      <c r="D1920" s="69"/>
      <c r="E1920" s="74"/>
      <c r="F1920" s="80">
        <f>IFERROR(D1920*E1920,0)</f>
        <v>0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34" t="s">
        <v>43</v>
      </c>
      <c r="B1921" s="61" t="s">
        <v>155</v>
      </c>
      <c r="C1921" s="61" t="s">
        <v>159</v>
      </c>
      <c r="D1921" s="69">
        <v>4</v>
      </c>
      <c r="E1921" s="74">
        <v>0.63429999999999997</v>
      </c>
      <c r="F1921" s="80">
        <v>2.5371999999999999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34" t="s">
        <v>43</v>
      </c>
      <c r="B1922" s="61" t="s">
        <v>155</v>
      </c>
      <c r="C1922" s="61" t="s">
        <v>212</v>
      </c>
      <c r="D1922" s="69">
        <v>2</v>
      </c>
      <c r="E1922" s="74">
        <v>30</v>
      </c>
      <c r="F1922" s="80">
        <f>IFERROR(D1922*E1922,0)</f>
        <v>60</v>
      </c>
      <c r="G1922" s="61" t="str">
        <f>INDEX(SETORES!$B:$B,MATCH(A1922,SETORES!$A:$A,0))</f>
        <v>Clientes</v>
      </c>
      <c r="H1922" s="61" t="s">
        <v>20</v>
      </c>
    </row>
    <row r="1923" spans="1:8" ht="14.25" customHeight="1" x14ac:dyDescent="0.3">
      <c r="A1923" s="2" t="s">
        <v>43</v>
      </c>
      <c r="B1923" s="60" t="s">
        <v>155</v>
      </c>
      <c r="C1923" s="60" t="s">
        <v>171</v>
      </c>
      <c r="D1923" s="68">
        <v>4</v>
      </c>
      <c r="E1923" s="73">
        <v>47.79</v>
      </c>
      <c r="F1923" s="79">
        <f>IFERROR(D1923*E1923,0)</f>
        <v>191.16</v>
      </c>
      <c r="G1923" s="60" t="s">
        <v>98</v>
      </c>
      <c r="H1923" s="60" t="s">
        <v>20</v>
      </c>
    </row>
    <row r="1924" spans="1:8" ht="14.25" hidden="1" customHeight="1" x14ac:dyDescent="0.3">
      <c r="A1924" s="34" t="s">
        <v>43</v>
      </c>
      <c r="B1924" s="61" t="s">
        <v>155</v>
      </c>
      <c r="C1924" s="61" t="s">
        <v>170</v>
      </c>
      <c r="D1924" s="69">
        <v>4</v>
      </c>
      <c r="E1924" s="74">
        <v>28.31</v>
      </c>
      <c r="F1924" s="80">
        <f>IFERROR(D1924*E1924,0)</f>
        <v>113.24</v>
      </c>
      <c r="G1924" s="61" t="s">
        <v>98</v>
      </c>
      <c r="H1924" s="61" t="s">
        <v>20</v>
      </c>
    </row>
    <row r="1925" spans="1:8" ht="14.25" hidden="1" customHeight="1" x14ac:dyDescent="0.3">
      <c r="A1925" s="2" t="s">
        <v>43</v>
      </c>
      <c r="B1925" s="60" t="s">
        <v>155</v>
      </c>
      <c r="C1925" s="60" t="s">
        <v>169</v>
      </c>
      <c r="D1925" s="68">
        <v>4</v>
      </c>
      <c r="E1925" s="73">
        <v>64.569999999999993</v>
      </c>
      <c r="F1925" s="79">
        <f>IFERROR(D1925*E1925,0)</f>
        <v>258.27999999999997</v>
      </c>
      <c r="G1925" s="61" t="s">
        <v>98</v>
      </c>
      <c r="H1925" s="60" t="s">
        <v>20</v>
      </c>
    </row>
    <row r="1926" spans="1:8" ht="14.25" hidden="1" customHeight="1" x14ac:dyDescent="0.3">
      <c r="A1926" s="2" t="s">
        <v>43</v>
      </c>
      <c r="B1926" s="60" t="s">
        <v>155</v>
      </c>
      <c r="C1926" s="60" t="s">
        <v>158</v>
      </c>
      <c r="D1926" s="68">
        <v>4</v>
      </c>
      <c r="E1926" s="73">
        <v>24.8613</v>
      </c>
      <c r="F1926" s="79">
        <v>99.4452</v>
      </c>
      <c r="G1926" s="60" t="str">
        <f>INDEX(SETORES!$B:$B,MATCH(A1926,SETORES!$A:$A,0))</f>
        <v>Clientes</v>
      </c>
      <c r="H1926" s="60" t="s">
        <v>20</v>
      </c>
    </row>
    <row r="1927" spans="1:8" ht="14.25" hidden="1" customHeight="1" x14ac:dyDescent="0.3">
      <c r="A1927" s="2" t="s">
        <v>43</v>
      </c>
      <c r="B1927" s="60" t="s">
        <v>162</v>
      </c>
      <c r="C1927" s="60" t="s">
        <v>165</v>
      </c>
      <c r="D1927" s="68">
        <v>1</v>
      </c>
      <c r="E1927" s="73">
        <v>38</v>
      </c>
      <c r="F1927" s="79">
        <f>IFERROR(D1927*E1927,0)</f>
        <v>38</v>
      </c>
      <c r="G1927" s="60" t="str">
        <f>INDEX(SETORES!$B:$B,MATCH(A1927,SETORES!$A:$A,0))</f>
        <v>Clientes</v>
      </c>
      <c r="H1927" s="60" t="s">
        <v>20</v>
      </c>
    </row>
    <row r="1928" spans="1:8" ht="14.25" hidden="1" customHeight="1" x14ac:dyDescent="0.3">
      <c r="A1928" s="2" t="s">
        <v>43</v>
      </c>
      <c r="B1928" s="60" t="s">
        <v>155</v>
      </c>
      <c r="C1928" s="60" t="s">
        <v>161</v>
      </c>
      <c r="D1928" s="68">
        <v>1</v>
      </c>
      <c r="E1928" s="73">
        <v>20620.48</v>
      </c>
      <c r="F1928" s="79">
        <f>IFERROR(E1928,0)</f>
        <v>20620.48</v>
      </c>
      <c r="G1928" s="60" t="str">
        <f>INDEX(SETORES!$B:$B,MATCH(A1928,SETORES!$A:$A,0))</f>
        <v>Clientes</v>
      </c>
      <c r="H1928" s="60" t="s">
        <v>20</v>
      </c>
    </row>
    <row r="1929" spans="1:8" ht="14.25" hidden="1" customHeight="1" x14ac:dyDescent="0.3">
      <c r="A1929" s="2" t="s">
        <v>43</v>
      </c>
      <c r="B1929" s="60" t="s">
        <v>155</v>
      </c>
      <c r="C1929" s="60" t="s">
        <v>167</v>
      </c>
      <c r="D1929" s="68">
        <v>4</v>
      </c>
      <c r="E1929" s="73">
        <v>10.050000000000001</v>
      </c>
      <c r="F1929" s="79">
        <f>IFERROR(D1929*E1929,0)</f>
        <v>40.200000000000003</v>
      </c>
      <c r="G1929" s="60" t="str">
        <f>INDEX(SETORES!$B:$B,MATCH(A1929,SETORES!$A:$A,0))</f>
        <v>Clientes</v>
      </c>
      <c r="H1929" s="60" t="s">
        <v>20</v>
      </c>
    </row>
    <row r="1930" spans="1:8" ht="14.25" hidden="1" customHeight="1" x14ac:dyDescent="0.3">
      <c r="A1930" s="34" t="s">
        <v>43</v>
      </c>
      <c r="B1930" s="61" t="s">
        <v>155</v>
      </c>
      <c r="C1930" s="61" t="s">
        <v>166</v>
      </c>
      <c r="D1930" s="69">
        <v>4</v>
      </c>
      <c r="E1930" s="74">
        <v>50</v>
      </c>
      <c r="F1930" s="80">
        <f>IFERROR(D1930*E1930,0)</f>
        <v>200</v>
      </c>
      <c r="G1930" s="61" t="str">
        <f>INDEX(SETORES!$B:$B,MATCH(A1930,SETORES!$A:$A,0))</f>
        <v>Clientes</v>
      </c>
      <c r="H1930" s="61" t="s">
        <v>20</v>
      </c>
    </row>
    <row r="1931" spans="1:8" ht="14.25" hidden="1" customHeight="1" x14ac:dyDescent="0.3">
      <c r="A1931" s="2" t="s">
        <v>43</v>
      </c>
      <c r="B1931" s="60" t="s">
        <v>155</v>
      </c>
      <c r="C1931" s="60" t="s">
        <v>156</v>
      </c>
      <c r="D1931" s="68"/>
      <c r="E1931" s="73"/>
      <c r="F1931" s="79"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34" t="s">
        <v>43</v>
      </c>
      <c r="B1932" s="61" t="s">
        <v>155</v>
      </c>
      <c r="C1932" s="61" t="s">
        <v>157</v>
      </c>
      <c r="D1932" s="69"/>
      <c r="E1932" s="74"/>
      <c r="F1932" s="80">
        <v>0</v>
      </c>
      <c r="G1932" s="61" t="str">
        <f>INDEX(SETORES!$B:$B,MATCH(A1932,SETORES!$A:$A,0))</f>
        <v>Clientes</v>
      </c>
      <c r="H1932" s="61" t="s">
        <v>20</v>
      </c>
    </row>
    <row r="1933" spans="1:8" ht="14.25" hidden="1" customHeight="1" x14ac:dyDescent="0.3">
      <c r="A1933" s="34" t="s">
        <v>43</v>
      </c>
      <c r="B1933" s="61" t="s">
        <v>162</v>
      </c>
      <c r="C1933" s="61" t="s">
        <v>209</v>
      </c>
      <c r="D1933" s="69">
        <v>4</v>
      </c>
      <c r="E1933" s="74">
        <v>89.55</v>
      </c>
      <c r="F1933" s="80">
        <f>IFERROR(D1933*E1933,0)</f>
        <v>358.2</v>
      </c>
      <c r="G1933" s="61" t="str">
        <f>INDEX(SETORES!$B:$B,MATCH(A1933,SETORES!$A:$A,0))</f>
        <v>Clientes</v>
      </c>
      <c r="H1933" s="61" t="s">
        <v>20</v>
      </c>
    </row>
    <row r="1934" spans="1:8" ht="14.25" hidden="1" customHeight="1" x14ac:dyDescent="0.3">
      <c r="A1934" s="2" t="s">
        <v>43</v>
      </c>
      <c r="B1934" s="60" t="s">
        <v>162</v>
      </c>
      <c r="C1934" s="60" t="s">
        <v>222</v>
      </c>
      <c r="D1934" s="68"/>
      <c r="E1934" s="73"/>
      <c r="F1934" s="79">
        <f>IFERROR(D1934*E1934,0)</f>
        <v>0</v>
      </c>
      <c r="G1934" s="60" t="str">
        <f>INDEX(SETORES!$B:$B,MATCH(A1934,SETORES!$A:$A,0))</f>
        <v>Clientes</v>
      </c>
      <c r="H1934" s="60" t="s">
        <v>20</v>
      </c>
    </row>
    <row r="1935" spans="1:8" ht="14.25" hidden="1" customHeight="1" x14ac:dyDescent="0.3">
      <c r="A1935" s="34" t="s">
        <v>43</v>
      </c>
      <c r="B1935" s="61" t="s">
        <v>155</v>
      </c>
      <c r="C1935" s="61" t="s">
        <v>168</v>
      </c>
      <c r="D1935" s="69">
        <v>4</v>
      </c>
      <c r="E1935" s="74">
        <v>2.0699999999999998</v>
      </c>
      <c r="F1935" s="80">
        <f>IFERROR(D1935*E1935,0)</f>
        <v>8.2799999999999994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43</v>
      </c>
      <c r="B1936" s="61" t="s">
        <v>155</v>
      </c>
      <c r="C1936" s="61" t="s">
        <v>160</v>
      </c>
      <c r="D1936" s="69"/>
      <c r="E1936" s="74"/>
      <c r="F1936" s="80">
        <f>IFERROR(D1936*E1936,0)</f>
        <v>0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5" t="s">
        <v>143</v>
      </c>
      <c r="B1937" s="66" t="s">
        <v>155</v>
      </c>
      <c r="C1937" s="66" t="s">
        <v>161</v>
      </c>
      <c r="D1937" s="66">
        <v>1</v>
      </c>
      <c r="E1937" s="78">
        <v>35280.97</v>
      </c>
      <c r="F1937" s="78">
        <f>D1937*E1937</f>
        <v>35280.97</v>
      </c>
      <c r="G1937" s="66" t="s">
        <v>96</v>
      </c>
      <c r="H1937" s="66" t="s">
        <v>20</v>
      </c>
    </row>
    <row r="1938" spans="1:8" ht="14.25" hidden="1" customHeight="1" x14ac:dyDescent="0.3">
      <c r="A1938" s="2" t="s">
        <v>40</v>
      </c>
      <c r="B1938" s="60" t="s">
        <v>155</v>
      </c>
      <c r="C1938" s="60" t="s">
        <v>159</v>
      </c>
      <c r="D1938" s="68">
        <v>1</v>
      </c>
      <c r="E1938" s="73">
        <v>0</v>
      </c>
      <c r="F1938" s="79">
        <v>0</v>
      </c>
      <c r="G1938" s="60" t="str">
        <f>INDEX(SETORES!$B:$B,MATCH(A1938,SETORES!$A:$A,0))</f>
        <v>Clientes</v>
      </c>
      <c r="H1938" s="60" t="s">
        <v>20</v>
      </c>
    </row>
    <row r="1939" spans="1:8" ht="14.25" hidden="1" customHeight="1" x14ac:dyDescent="0.3">
      <c r="A1939" s="34" t="s">
        <v>40</v>
      </c>
      <c r="B1939" s="61" t="s">
        <v>162</v>
      </c>
      <c r="C1939" s="61" t="s">
        <v>210</v>
      </c>
      <c r="D1939" s="69"/>
      <c r="E1939" s="74"/>
      <c r="F1939" s="80">
        <f>IFERROR(D1939*E1939,0)</f>
        <v>0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2" t="s">
        <v>40</v>
      </c>
      <c r="B1940" s="60" t="s">
        <v>155</v>
      </c>
      <c r="C1940" s="60" t="s">
        <v>212</v>
      </c>
      <c r="D1940" s="68">
        <v>2</v>
      </c>
      <c r="E1940" s="73">
        <v>30</v>
      </c>
      <c r="F1940" s="79">
        <f>IFERROR(D1940*E1940,0)</f>
        <v>60</v>
      </c>
      <c r="G1940" s="60" t="str">
        <f>INDEX(SETORES!$B:$B,MATCH(A1940,SETORES!$A:$A,0))</f>
        <v>Clientes</v>
      </c>
      <c r="H1940" s="60" t="s">
        <v>20</v>
      </c>
    </row>
    <row r="1941" spans="1:8" ht="14.25" hidden="1" customHeight="1" x14ac:dyDescent="0.3">
      <c r="A1941" s="2" t="s">
        <v>40</v>
      </c>
      <c r="B1941" s="60" t="s">
        <v>162</v>
      </c>
      <c r="C1941" s="60" t="s">
        <v>211</v>
      </c>
      <c r="D1941" s="68">
        <v>1</v>
      </c>
      <c r="E1941" s="73">
        <v>9468</v>
      </c>
      <c r="F1941" s="79">
        <f>IFERROR(D1941*E1941,0)</f>
        <v>9468</v>
      </c>
      <c r="G1941" s="60" t="str">
        <f>INDEX(SETORES!$B:$B,MATCH(A1941,SETORES!$A:$A,0))</f>
        <v>Clientes</v>
      </c>
      <c r="H1941" s="60" t="s">
        <v>20</v>
      </c>
    </row>
    <row r="1942" spans="1:8" ht="14.25" customHeight="1" x14ac:dyDescent="0.3">
      <c r="A1942" s="34" t="s">
        <v>40</v>
      </c>
      <c r="B1942" s="61" t="s">
        <v>155</v>
      </c>
      <c r="C1942" s="61" t="s">
        <v>171</v>
      </c>
      <c r="D1942" s="69">
        <v>5</v>
      </c>
      <c r="E1942" s="74">
        <v>47.79</v>
      </c>
      <c r="F1942" s="80">
        <f>IFERROR(D1942*E1942,0)</f>
        <v>238.95</v>
      </c>
      <c r="G1942" s="60" t="s">
        <v>98</v>
      </c>
      <c r="H1942" s="61" t="s">
        <v>20</v>
      </c>
    </row>
    <row r="1943" spans="1:8" ht="14.25" hidden="1" customHeight="1" x14ac:dyDescent="0.3">
      <c r="A1943" s="2" t="s">
        <v>40</v>
      </c>
      <c r="B1943" s="60" t="s">
        <v>155</v>
      </c>
      <c r="C1943" s="60" t="s">
        <v>170</v>
      </c>
      <c r="D1943" s="68">
        <v>5</v>
      </c>
      <c r="E1943" s="73">
        <v>28.31</v>
      </c>
      <c r="F1943" s="79">
        <f>IFERROR(D1943*E1943,0)</f>
        <v>141.54999999999998</v>
      </c>
      <c r="G1943" s="61" t="s">
        <v>98</v>
      </c>
      <c r="H1943" s="60" t="s">
        <v>20</v>
      </c>
    </row>
    <row r="1944" spans="1:8" ht="14.25" hidden="1" customHeight="1" x14ac:dyDescent="0.3">
      <c r="A1944" s="34" t="s">
        <v>40</v>
      </c>
      <c r="B1944" s="61" t="s">
        <v>155</v>
      </c>
      <c r="C1944" s="61" t="s">
        <v>169</v>
      </c>
      <c r="D1944" s="69">
        <v>5</v>
      </c>
      <c r="E1944" s="74">
        <v>64.569999999999993</v>
      </c>
      <c r="F1944" s="80">
        <f>IFERROR(D1944*E1944,0)</f>
        <v>322.84999999999997</v>
      </c>
      <c r="G1944" s="61" t="s">
        <v>98</v>
      </c>
      <c r="H1944" s="61" t="s">
        <v>20</v>
      </c>
    </row>
    <row r="1945" spans="1:8" ht="14.25" hidden="1" customHeight="1" x14ac:dyDescent="0.3">
      <c r="A1945" s="34" t="s">
        <v>40</v>
      </c>
      <c r="B1945" s="61" t="s">
        <v>155</v>
      </c>
      <c r="C1945" s="61" t="s">
        <v>158</v>
      </c>
      <c r="D1945" s="69">
        <v>1</v>
      </c>
      <c r="E1945" s="74">
        <v>42.554000000000002</v>
      </c>
      <c r="F1945" s="80">
        <v>42.554000000000002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2" t="s">
        <v>40</v>
      </c>
      <c r="B1946" s="60" t="s">
        <v>162</v>
      </c>
      <c r="C1946" s="60" t="s">
        <v>163</v>
      </c>
      <c r="D1946" s="68"/>
      <c r="E1946" s="73"/>
      <c r="F1946" s="79">
        <f>IFERROR(D1946*E1946,0)</f>
        <v>0</v>
      </c>
      <c r="G1946" s="60" t="str">
        <f>INDEX(SETORES!$B:$B,MATCH(A1946,SETORES!$A:$A,0))</f>
        <v>Clientes</v>
      </c>
      <c r="H1946" s="60" t="s">
        <v>20</v>
      </c>
    </row>
    <row r="1947" spans="1:8" ht="14.25" hidden="1" customHeight="1" x14ac:dyDescent="0.3">
      <c r="A1947" s="34" t="s">
        <v>40</v>
      </c>
      <c r="B1947" s="61" t="s">
        <v>162</v>
      </c>
      <c r="C1947" s="61" t="s">
        <v>164</v>
      </c>
      <c r="D1947" s="69">
        <v>1</v>
      </c>
      <c r="E1947" s="74">
        <v>68</v>
      </c>
      <c r="F1947" s="80">
        <f>IFERROR(D1947*E1947,0)</f>
        <v>68</v>
      </c>
      <c r="G1947" s="61" t="str">
        <f>INDEX(SETORES!$B:$B,MATCH(A1947,SETORES!$A:$A,0))</f>
        <v>Clientes</v>
      </c>
      <c r="H1947" s="61" t="s">
        <v>20</v>
      </c>
    </row>
    <row r="1948" spans="1:8" ht="14.25" hidden="1" customHeight="1" x14ac:dyDescent="0.3">
      <c r="A1948" s="2" t="s">
        <v>40</v>
      </c>
      <c r="B1948" s="60" t="s">
        <v>155</v>
      </c>
      <c r="C1948" s="60" t="s">
        <v>161</v>
      </c>
      <c r="D1948" s="68">
        <v>1</v>
      </c>
      <c r="E1948" s="73">
        <v>14135.77</v>
      </c>
      <c r="F1948" s="79">
        <f>IFERROR(E1948,0)</f>
        <v>14135.77</v>
      </c>
      <c r="G1948" s="60" t="str">
        <f>INDEX(SETORES!$B:$B,MATCH(A1948,SETORES!$A:$A,0))</f>
        <v>Clientes</v>
      </c>
      <c r="H1948" s="60" t="s">
        <v>20</v>
      </c>
    </row>
    <row r="1949" spans="1:8" ht="14.25" hidden="1" customHeight="1" x14ac:dyDescent="0.3">
      <c r="A1949" s="34" t="s">
        <v>40</v>
      </c>
      <c r="B1949" s="61" t="s">
        <v>155</v>
      </c>
      <c r="C1949" s="61" t="s">
        <v>167</v>
      </c>
      <c r="D1949" s="69">
        <v>5</v>
      </c>
      <c r="E1949" s="74">
        <v>10.050000000000001</v>
      </c>
      <c r="F1949" s="80">
        <f>IFERROR(D1949*E1949,0)</f>
        <v>50.25</v>
      </c>
      <c r="G1949" s="61" t="str">
        <f>INDEX(SETORES!$B:$B,MATCH(A1949,SETORES!$A:$A,0))</f>
        <v>Clientes</v>
      </c>
      <c r="H1949" s="61" t="s">
        <v>20</v>
      </c>
    </row>
    <row r="1950" spans="1:8" ht="14.25" hidden="1" customHeight="1" x14ac:dyDescent="0.3">
      <c r="A1950" s="2" t="s">
        <v>40</v>
      </c>
      <c r="B1950" s="60" t="s">
        <v>155</v>
      </c>
      <c r="C1950" s="60" t="s">
        <v>238</v>
      </c>
      <c r="D1950" s="68">
        <v>1</v>
      </c>
      <c r="E1950" s="73">
        <v>5.555555</v>
      </c>
      <c r="F1950" s="79">
        <f>IFERROR(D1950*E1950,0)</f>
        <v>5.555555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40</v>
      </c>
      <c r="B1951" s="60" t="s">
        <v>155</v>
      </c>
      <c r="C1951" s="60" t="s">
        <v>166</v>
      </c>
      <c r="D1951" s="68">
        <v>5</v>
      </c>
      <c r="E1951" s="73">
        <v>50</v>
      </c>
      <c r="F1951" s="79">
        <f>IFERROR(D1951*E1951,0)</f>
        <v>250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40</v>
      </c>
      <c r="B1952" s="60" t="s">
        <v>155</v>
      </c>
      <c r="C1952" s="60" t="s">
        <v>181</v>
      </c>
      <c r="D1952" s="68">
        <v>1</v>
      </c>
      <c r="E1952" s="73">
        <v>2559.4499999999998</v>
      </c>
      <c r="F1952" s="79">
        <f>IFERROR(D1952*E1952,0)</f>
        <v>2559.4499999999998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34" t="s">
        <v>40</v>
      </c>
      <c r="B1953" s="61" t="s">
        <v>155</v>
      </c>
      <c r="C1953" s="61" t="s">
        <v>156</v>
      </c>
      <c r="D1953" s="69"/>
      <c r="E1953" s="74"/>
      <c r="F1953" s="80">
        <v>0</v>
      </c>
      <c r="G1953" s="61" t="str">
        <f>INDEX(SETORES!$B:$B,MATCH(A1953,SETORES!$A:$A,0))</f>
        <v>Clientes</v>
      </c>
      <c r="H1953" s="61" t="s">
        <v>20</v>
      </c>
    </row>
    <row r="1954" spans="1:8" ht="14.25" hidden="1" customHeight="1" x14ac:dyDescent="0.3">
      <c r="A1954" s="2" t="s">
        <v>40</v>
      </c>
      <c r="B1954" s="60" t="s">
        <v>155</v>
      </c>
      <c r="C1954" s="60" t="s">
        <v>157</v>
      </c>
      <c r="D1954" s="68"/>
      <c r="E1954" s="73"/>
      <c r="F1954" s="79">
        <v>0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40</v>
      </c>
      <c r="B1955" s="61" t="s">
        <v>155</v>
      </c>
      <c r="C1955" s="61" t="s">
        <v>182</v>
      </c>
      <c r="D1955" s="69"/>
      <c r="E1955" s="74"/>
      <c r="F1955" s="80">
        <f>IFERROR(D1955*E1955,0)</f>
        <v>0</v>
      </c>
      <c r="G1955" s="61" t="str">
        <f>INDEX(SETORES!$B:$B,MATCH(A1955,SETORES!$A:$A,0))</f>
        <v>Clientes</v>
      </c>
      <c r="H1955" s="61" t="s">
        <v>20</v>
      </c>
    </row>
    <row r="1956" spans="1:8" ht="14.25" hidden="1" customHeight="1" x14ac:dyDescent="0.3">
      <c r="A1956" s="2" t="s">
        <v>40</v>
      </c>
      <c r="B1956" s="60" t="s">
        <v>155</v>
      </c>
      <c r="C1956" s="60" t="s">
        <v>168</v>
      </c>
      <c r="D1956" s="68">
        <v>5</v>
      </c>
      <c r="E1956" s="73">
        <v>2.0699999999999998</v>
      </c>
      <c r="F1956" s="79">
        <f>IFERROR(D1956*E1956,0)</f>
        <v>10.35</v>
      </c>
      <c r="G1956" s="60" t="str">
        <f>INDEX(SETORES!$B:$B,MATCH(A1956,SETORES!$A:$A,0))</f>
        <v>Clientes</v>
      </c>
      <c r="H1956" s="60" t="s">
        <v>20</v>
      </c>
    </row>
    <row r="1957" spans="1:8" ht="14.25" hidden="1" customHeight="1" x14ac:dyDescent="0.3">
      <c r="A1957" s="34" t="s">
        <v>40</v>
      </c>
      <c r="B1957" s="61" t="s">
        <v>155</v>
      </c>
      <c r="C1957" s="61" t="s">
        <v>160</v>
      </c>
      <c r="D1957" s="69"/>
      <c r="E1957" s="74"/>
      <c r="F1957" s="80">
        <f>IFERROR(D1957*E1957,0)</f>
        <v>0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41</v>
      </c>
      <c r="B1958" s="60" t="s">
        <v>155</v>
      </c>
      <c r="C1958" s="60" t="s">
        <v>159</v>
      </c>
      <c r="D1958" s="68">
        <v>1</v>
      </c>
      <c r="E1958" s="73">
        <v>0</v>
      </c>
      <c r="F1958" s="79">
        <v>0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34" t="s">
        <v>41</v>
      </c>
      <c r="B1959" s="61" t="s">
        <v>155</v>
      </c>
      <c r="C1959" s="61" t="s">
        <v>212</v>
      </c>
      <c r="D1959" s="69">
        <v>1</v>
      </c>
      <c r="E1959" s="74">
        <v>30</v>
      </c>
      <c r="F1959" s="80">
        <f>IFERROR(D1959*E1959,0)</f>
        <v>30</v>
      </c>
      <c r="G1959" s="61" t="str">
        <f>INDEX(SETORES!$B:$B,MATCH(A1959,SETORES!$A:$A,0))</f>
        <v>Clientes</v>
      </c>
      <c r="H1959" s="61" t="s">
        <v>20</v>
      </c>
    </row>
    <row r="1960" spans="1:8" ht="14.25" customHeight="1" x14ac:dyDescent="0.3">
      <c r="A1960" s="34" t="s">
        <v>41</v>
      </c>
      <c r="B1960" s="61" t="s">
        <v>155</v>
      </c>
      <c r="C1960" s="61" t="s">
        <v>171</v>
      </c>
      <c r="D1960" s="69">
        <v>1</v>
      </c>
      <c r="E1960" s="74">
        <v>47.79</v>
      </c>
      <c r="F1960" s="80">
        <f>IFERROR(D1960*E1960,0)</f>
        <v>47.79</v>
      </c>
      <c r="G1960" s="60" t="s">
        <v>98</v>
      </c>
      <c r="H1960" s="61" t="s">
        <v>20</v>
      </c>
    </row>
    <row r="1961" spans="1:8" ht="14.25" hidden="1" customHeight="1" x14ac:dyDescent="0.3">
      <c r="A1961" s="2" t="s">
        <v>41</v>
      </c>
      <c r="B1961" s="60" t="s">
        <v>155</v>
      </c>
      <c r="C1961" s="60" t="s">
        <v>170</v>
      </c>
      <c r="D1961" s="68">
        <v>1</v>
      </c>
      <c r="E1961" s="73">
        <v>28.31</v>
      </c>
      <c r="F1961" s="79">
        <f>IFERROR(D1961*E1961,0)</f>
        <v>28.31</v>
      </c>
      <c r="G1961" s="61" t="s">
        <v>98</v>
      </c>
      <c r="H1961" s="60" t="s">
        <v>20</v>
      </c>
    </row>
    <row r="1962" spans="1:8" ht="14.25" hidden="1" customHeight="1" x14ac:dyDescent="0.3">
      <c r="A1962" s="34" t="s">
        <v>41</v>
      </c>
      <c r="B1962" s="61" t="s">
        <v>155</v>
      </c>
      <c r="C1962" s="61" t="s">
        <v>169</v>
      </c>
      <c r="D1962" s="69">
        <v>1</v>
      </c>
      <c r="E1962" s="74">
        <v>64.569999999999993</v>
      </c>
      <c r="F1962" s="80">
        <f>IFERROR(D1962*E1962,0)</f>
        <v>64.569999999999993</v>
      </c>
      <c r="G1962" s="61" t="s">
        <v>98</v>
      </c>
      <c r="H1962" s="61" t="s">
        <v>20</v>
      </c>
    </row>
    <row r="1963" spans="1:8" ht="14.25" hidden="1" customHeight="1" x14ac:dyDescent="0.3">
      <c r="A1963" s="34" t="s">
        <v>41</v>
      </c>
      <c r="B1963" s="61" t="s">
        <v>155</v>
      </c>
      <c r="C1963" s="61" t="s">
        <v>158</v>
      </c>
      <c r="D1963" s="69">
        <v>1</v>
      </c>
      <c r="E1963" s="74">
        <v>8.5107999999999997</v>
      </c>
      <c r="F1963" s="80">
        <v>8.5107999999999997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41</v>
      </c>
      <c r="B1964" s="60" t="s">
        <v>155</v>
      </c>
      <c r="C1964" s="60" t="s">
        <v>161</v>
      </c>
      <c r="D1964" s="68">
        <v>1</v>
      </c>
      <c r="E1964" s="73">
        <v>18000</v>
      </c>
      <c r="F1964" s="79">
        <f>IFERROR(E1964,0)</f>
        <v>18000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34" t="s">
        <v>41</v>
      </c>
      <c r="B1965" s="61" t="s">
        <v>155</v>
      </c>
      <c r="C1965" s="61" t="s">
        <v>167</v>
      </c>
      <c r="D1965" s="69">
        <f>D2735</f>
        <v>0</v>
      </c>
      <c r="E1965" s="74">
        <v>10.050000000000001</v>
      </c>
      <c r="F1965" s="80">
        <f>IFERROR(D1965*E1965,0)</f>
        <v>0</v>
      </c>
      <c r="G1965" s="61" t="str">
        <f>INDEX(SETORES!$B:$B,MATCH(A1965,SETORES!$A:$A,0))</f>
        <v>Clientes</v>
      </c>
      <c r="H1965" s="61" t="s">
        <v>20</v>
      </c>
    </row>
    <row r="1966" spans="1:8" ht="14.25" hidden="1" customHeight="1" x14ac:dyDescent="0.3">
      <c r="A1966" s="2" t="s">
        <v>41</v>
      </c>
      <c r="B1966" s="60" t="s">
        <v>155</v>
      </c>
      <c r="C1966" s="60" t="s">
        <v>238</v>
      </c>
      <c r="D1966" s="68">
        <v>1</v>
      </c>
      <c r="E1966" s="73">
        <v>1.111111</v>
      </c>
      <c r="F1966" s="79">
        <f>IFERROR(D1966*E1966,0)</f>
        <v>1.111111</v>
      </c>
      <c r="G1966" s="60" t="str">
        <f>INDEX(SETORES!$B:$B,MATCH(A1966,SETORES!$A:$A,0))</f>
        <v>Clientes</v>
      </c>
      <c r="H1966" s="60" t="s">
        <v>20</v>
      </c>
    </row>
    <row r="1967" spans="1:8" ht="14.25" hidden="1" customHeight="1" x14ac:dyDescent="0.3">
      <c r="A1967" s="34" t="s">
        <v>41</v>
      </c>
      <c r="B1967" s="61" t="s">
        <v>155</v>
      </c>
      <c r="C1967" s="61" t="s">
        <v>156</v>
      </c>
      <c r="D1967" s="69"/>
      <c r="E1967" s="74"/>
      <c r="F1967" s="80">
        <v>0</v>
      </c>
      <c r="G1967" s="61" t="str">
        <f>INDEX(SETORES!$B:$B,MATCH(A1967,SETORES!$A:$A,0))</f>
        <v>Clientes</v>
      </c>
      <c r="H1967" s="61" t="s">
        <v>20</v>
      </c>
    </row>
    <row r="1968" spans="1:8" ht="14.25" hidden="1" customHeight="1" x14ac:dyDescent="0.3">
      <c r="A1968" s="2" t="s">
        <v>41</v>
      </c>
      <c r="B1968" s="60" t="s">
        <v>155</v>
      </c>
      <c r="C1968" s="60" t="s">
        <v>157</v>
      </c>
      <c r="D1968" s="68"/>
      <c r="E1968" s="73"/>
      <c r="F1968" s="79">
        <v>0</v>
      </c>
      <c r="G1968" s="60" t="str">
        <f>INDEX(SETORES!$B:$B,MATCH(A1968,SETORES!$A:$A,0))</f>
        <v>Clientes</v>
      </c>
      <c r="H1968" s="60" t="s">
        <v>20</v>
      </c>
    </row>
    <row r="1969" spans="1:8" ht="14.25" hidden="1" customHeight="1" x14ac:dyDescent="0.3">
      <c r="A1969" s="34" t="s">
        <v>41</v>
      </c>
      <c r="B1969" s="61" t="s">
        <v>162</v>
      </c>
      <c r="C1969" s="61" t="s">
        <v>222</v>
      </c>
      <c r="D1969" s="69"/>
      <c r="E1969" s="74"/>
      <c r="F1969" s="80">
        <f>IFERROR(D1969*E1969,0)</f>
        <v>0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41</v>
      </c>
      <c r="B1970" s="60" t="s">
        <v>155</v>
      </c>
      <c r="C1970" s="60" t="s">
        <v>168</v>
      </c>
      <c r="D1970" s="68">
        <f>D2739</f>
        <v>0</v>
      </c>
      <c r="E1970" s="73">
        <v>2.0699999999999998</v>
      </c>
      <c r="F1970" s="79">
        <f>IFERROR(D1970*E1970,0)</f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2" t="s">
        <v>79</v>
      </c>
      <c r="B1971" s="60" t="s">
        <v>155</v>
      </c>
      <c r="C1971" s="60" t="s">
        <v>159</v>
      </c>
      <c r="D1971" s="68">
        <v>7</v>
      </c>
      <c r="E1971" s="73">
        <v>0.63429999999999997</v>
      </c>
      <c r="F1971" s="79">
        <v>4.4401000000000002</v>
      </c>
      <c r="G1971" s="60" t="str">
        <f>INDEX(SETORES!$B:$B,MATCH(A1971,SETORES!$A:$A,0))</f>
        <v>Funcionários</v>
      </c>
      <c r="H1971" s="60" t="s">
        <v>20</v>
      </c>
    </row>
    <row r="1972" spans="1:8" ht="14.25" hidden="1" customHeight="1" x14ac:dyDescent="0.3">
      <c r="A1972" s="2" t="s">
        <v>79</v>
      </c>
      <c r="B1972" s="60" t="s">
        <v>155</v>
      </c>
      <c r="C1972" s="60" t="s">
        <v>250</v>
      </c>
      <c r="D1972" s="68">
        <v>1</v>
      </c>
      <c r="E1972" s="73">
        <v>1269.3699999999999</v>
      </c>
      <c r="F1972" s="79">
        <f>IFERROR(D1972*E1972,0)</f>
        <v>1269.3699999999999</v>
      </c>
      <c r="G1972" s="60" t="s">
        <v>98</v>
      </c>
      <c r="H1972" s="60" t="s">
        <v>20</v>
      </c>
    </row>
    <row r="1973" spans="1:8" ht="14.25" customHeight="1" x14ac:dyDescent="0.3">
      <c r="A1973" s="2" t="s">
        <v>79</v>
      </c>
      <c r="B1973" s="60" t="s">
        <v>155</v>
      </c>
      <c r="C1973" s="60" t="s">
        <v>171</v>
      </c>
      <c r="D1973" s="68">
        <v>7</v>
      </c>
      <c r="E1973" s="73">
        <v>47.79</v>
      </c>
      <c r="F1973" s="79">
        <f>IFERROR(D1973*E1973,0)</f>
        <v>334.53</v>
      </c>
      <c r="G1973" s="60" t="s">
        <v>98</v>
      </c>
      <c r="H1973" s="60" t="s">
        <v>20</v>
      </c>
    </row>
    <row r="1974" spans="1:8" ht="14.25" hidden="1" customHeight="1" x14ac:dyDescent="0.3">
      <c r="A1974" s="34" t="s">
        <v>79</v>
      </c>
      <c r="B1974" s="61" t="s">
        <v>155</v>
      </c>
      <c r="C1974" s="61" t="s">
        <v>170</v>
      </c>
      <c r="D1974" s="69">
        <v>7</v>
      </c>
      <c r="E1974" s="74">
        <v>28.31</v>
      </c>
      <c r="F1974" s="80">
        <f>IFERROR(D1974*E1974,0)</f>
        <v>198.17</v>
      </c>
      <c r="G1974" s="61" t="s">
        <v>98</v>
      </c>
      <c r="H1974" s="61" t="s">
        <v>20</v>
      </c>
    </row>
    <row r="1975" spans="1:8" ht="14.25" hidden="1" customHeight="1" x14ac:dyDescent="0.3">
      <c r="A1975" s="34" t="s">
        <v>79</v>
      </c>
      <c r="B1975" s="61" t="s">
        <v>155</v>
      </c>
      <c r="C1975" s="61" t="s">
        <v>169</v>
      </c>
      <c r="D1975" s="69">
        <v>7</v>
      </c>
      <c r="E1975" s="74">
        <v>64.569999999999993</v>
      </c>
      <c r="F1975" s="80">
        <f>IFERROR(D1975*E1975,0)</f>
        <v>451.98999999999995</v>
      </c>
      <c r="G1975" s="61" t="s">
        <v>98</v>
      </c>
      <c r="H1975" s="61" t="s">
        <v>20</v>
      </c>
    </row>
    <row r="1976" spans="1:8" ht="14.25" hidden="1" customHeight="1" x14ac:dyDescent="0.3">
      <c r="A1976" s="34" t="s">
        <v>79</v>
      </c>
      <c r="B1976" s="61" t="s">
        <v>155</v>
      </c>
      <c r="C1976" s="61" t="s">
        <v>158</v>
      </c>
      <c r="D1976" s="69">
        <v>7</v>
      </c>
      <c r="E1976" s="74">
        <v>24.8613</v>
      </c>
      <c r="F1976" s="80">
        <v>174.0291</v>
      </c>
      <c r="G1976" s="61" t="str">
        <f>INDEX(SETORES!$B:$B,MATCH(A1976,SETORES!$A:$A,0))</f>
        <v>Funcionários</v>
      </c>
      <c r="H1976" s="61" t="s">
        <v>20</v>
      </c>
    </row>
    <row r="1977" spans="1:8" ht="14.25" hidden="1" customHeight="1" x14ac:dyDescent="0.3">
      <c r="A1977" s="2" t="s">
        <v>79</v>
      </c>
      <c r="B1977" s="60" t="s">
        <v>155</v>
      </c>
      <c r="C1977" s="60" t="s">
        <v>161</v>
      </c>
      <c r="D1977" s="68">
        <v>1</v>
      </c>
      <c r="E1977" s="73">
        <v>25113.77</v>
      </c>
      <c r="F1977" s="79">
        <v>25113.77</v>
      </c>
      <c r="G1977" s="60" t="str">
        <f>INDEX(SETORES!$B:$B,MATCH(A1977,SETORES!$A:$A,0))</f>
        <v>Funcionários</v>
      </c>
      <c r="H1977" s="60" t="s">
        <v>20</v>
      </c>
    </row>
    <row r="1978" spans="1:8" ht="14.25" hidden="1" customHeight="1" x14ac:dyDescent="0.3">
      <c r="A1978" s="34" t="s">
        <v>79</v>
      </c>
      <c r="B1978" s="61" t="s">
        <v>155</v>
      </c>
      <c r="C1978" s="61" t="s">
        <v>167</v>
      </c>
      <c r="D1978" s="69">
        <v>7</v>
      </c>
      <c r="E1978" s="74">
        <v>10.050000000000001</v>
      </c>
      <c r="F1978" s="80">
        <f>IFERROR(D1978*E1978,0)</f>
        <v>70.350000000000009</v>
      </c>
      <c r="G1978" s="61" t="s">
        <v>98</v>
      </c>
      <c r="H1978" s="61" t="s">
        <v>20</v>
      </c>
    </row>
    <row r="1979" spans="1:8" ht="14.25" hidden="1" customHeight="1" x14ac:dyDescent="0.3">
      <c r="A1979" s="34" t="s">
        <v>79</v>
      </c>
      <c r="B1979" s="61" t="s">
        <v>155</v>
      </c>
      <c r="C1979" s="61" t="s">
        <v>166</v>
      </c>
      <c r="D1979" s="69">
        <v>2</v>
      </c>
      <c r="E1979" s="73">
        <v>50</v>
      </c>
      <c r="F1979" s="80">
        <f>IFERROR(D1979*E1979,0)</f>
        <v>100</v>
      </c>
      <c r="G1979" s="61" t="str">
        <f>INDEX(SETORES!$B:$B,MATCH(A1979,SETORES!$A:$A,0))</f>
        <v>Funcionários</v>
      </c>
      <c r="H1979" s="64" t="s">
        <v>20</v>
      </c>
    </row>
    <row r="1980" spans="1:8" ht="14.25" hidden="1" customHeight="1" x14ac:dyDescent="0.3">
      <c r="A1980" s="2" t="s">
        <v>79</v>
      </c>
      <c r="B1980" s="60" t="s">
        <v>162</v>
      </c>
      <c r="C1980" s="60" t="s">
        <v>209</v>
      </c>
      <c r="D1980" s="68">
        <v>7</v>
      </c>
      <c r="E1980" s="73">
        <v>89.55</v>
      </c>
      <c r="F1980" s="79">
        <f>IFERROR(D1980*E1980,0)</f>
        <v>626.85</v>
      </c>
      <c r="G1980" s="60" t="str">
        <f>INDEX(SETORES!$B:$B,MATCH(A1980,SETORES!$A:$A,0))</f>
        <v>Funcionários</v>
      </c>
      <c r="H1980" s="60" t="s">
        <v>20</v>
      </c>
    </row>
    <row r="1981" spans="1:8" ht="14.25" hidden="1" customHeight="1" x14ac:dyDescent="0.3">
      <c r="A1981" s="2" t="s">
        <v>79</v>
      </c>
      <c r="B1981" s="60" t="s">
        <v>162</v>
      </c>
      <c r="C1981" s="60" t="s">
        <v>222</v>
      </c>
      <c r="D1981" s="68"/>
      <c r="E1981" s="73"/>
      <c r="F1981" s="79">
        <f>IFERROR(D1981*E1981,0)</f>
        <v>0</v>
      </c>
      <c r="G1981" s="60" t="str">
        <f>INDEX(SETORES!$B:$B,MATCH(A1981,SETORES!$A:$A,0))</f>
        <v>Funcionários</v>
      </c>
      <c r="H1981" s="60" t="s">
        <v>20</v>
      </c>
    </row>
    <row r="1982" spans="1:8" ht="14.25" hidden="1" customHeight="1" x14ac:dyDescent="0.3">
      <c r="A1982" s="2" t="s">
        <v>79</v>
      </c>
      <c r="B1982" s="60" t="s">
        <v>155</v>
      </c>
      <c r="C1982" s="60" t="s">
        <v>168</v>
      </c>
      <c r="D1982" s="68">
        <v>7</v>
      </c>
      <c r="E1982" s="73">
        <v>2.0699999999999998</v>
      </c>
      <c r="F1982" s="79">
        <f>IFERROR(D1982*E1982,0)</f>
        <v>14.489999999999998</v>
      </c>
      <c r="G1982" s="60" t="s">
        <v>98</v>
      </c>
      <c r="H1982" s="60" t="s">
        <v>20</v>
      </c>
    </row>
    <row r="1983" spans="1:8" ht="14.25" hidden="1" customHeight="1" x14ac:dyDescent="0.3">
      <c r="A1983" s="34" t="s">
        <v>141</v>
      </c>
      <c r="B1983" s="61" t="s">
        <v>155</v>
      </c>
      <c r="C1983" s="61" t="s">
        <v>161</v>
      </c>
      <c r="D1983" s="69">
        <v>1</v>
      </c>
      <c r="E1983" s="74">
        <v>18352.580000000002</v>
      </c>
      <c r="F1983" s="80">
        <f>D1983*E1983</f>
        <v>18352.580000000002</v>
      </c>
      <c r="G1983" s="61"/>
      <c r="H1983" s="61" t="s">
        <v>20</v>
      </c>
    </row>
    <row r="1984" spans="1:8" ht="14.25" customHeight="1" x14ac:dyDescent="0.3">
      <c r="A1984" s="34" t="s">
        <v>80</v>
      </c>
      <c r="B1984" s="61" t="s">
        <v>155</v>
      </c>
      <c r="C1984" s="61" t="s">
        <v>171</v>
      </c>
      <c r="D1984" s="69">
        <v>3</v>
      </c>
      <c r="E1984" s="74">
        <v>47.79</v>
      </c>
      <c r="F1984" s="80">
        <f>IFERROR(D1984*E1984,0)</f>
        <v>143.37</v>
      </c>
      <c r="G1984" s="60" t="s">
        <v>98</v>
      </c>
      <c r="H1984" s="61" t="s">
        <v>20</v>
      </c>
    </row>
    <row r="1985" spans="1:8" ht="14.25" hidden="1" customHeight="1" x14ac:dyDescent="0.3">
      <c r="A1985" s="2" t="s">
        <v>80</v>
      </c>
      <c r="B1985" s="60" t="s">
        <v>155</v>
      </c>
      <c r="C1985" s="60" t="s">
        <v>170</v>
      </c>
      <c r="D1985" s="68">
        <v>3</v>
      </c>
      <c r="E1985" s="73">
        <v>28.31</v>
      </c>
      <c r="F1985" s="79">
        <f>IFERROR(D1985*E1985,0)</f>
        <v>84.929999999999993</v>
      </c>
      <c r="G1985" s="61" t="s">
        <v>98</v>
      </c>
      <c r="H1985" s="60" t="s">
        <v>20</v>
      </c>
    </row>
    <row r="1986" spans="1:8" ht="14.25" hidden="1" customHeight="1" x14ac:dyDescent="0.3">
      <c r="A1986" s="2" t="s">
        <v>80</v>
      </c>
      <c r="B1986" s="60" t="s">
        <v>155</v>
      </c>
      <c r="C1986" s="60" t="s">
        <v>169</v>
      </c>
      <c r="D1986" s="68">
        <v>3</v>
      </c>
      <c r="E1986" s="73">
        <v>64.569999999999993</v>
      </c>
      <c r="F1986" s="79">
        <f>IFERROR(D1986*E1986,0)</f>
        <v>193.70999999999998</v>
      </c>
      <c r="G1986" s="61" t="s">
        <v>98</v>
      </c>
      <c r="H1986" s="60" t="s">
        <v>20</v>
      </c>
    </row>
    <row r="1987" spans="1:8" ht="14.25" hidden="1" customHeight="1" x14ac:dyDescent="0.3">
      <c r="A1987" s="34" t="s">
        <v>80</v>
      </c>
      <c r="B1987" s="61" t="s">
        <v>155</v>
      </c>
      <c r="C1987" s="61" t="s">
        <v>158</v>
      </c>
      <c r="D1987" s="69">
        <v>1</v>
      </c>
      <c r="E1987" s="74">
        <v>25.532399999999999</v>
      </c>
      <c r="F1987" s="80">
        <v>25.532399999999999</v>
      </c>
      <c r="G1987" s="61" t="s">
        <v>96</v>
      </c>
      <c r="H1987" s="61" t="s">
        <v>20</v>
      </c>
    </row>
    <row r="1988" spans="1:8" ht="14.25" hidden="1" customHeight="1" x14ac:dyDescent="0.3">
      <c r="A1988" s="2" t="s">
        <v>80</v>
      </c>
      <c r="B1988" s="60" t="s">
        <v>155</v>
      </c>
      <c r="C1988" s="60" t="s">
        <v>161</v>
      </c>
      <c r="D1988" s="68">
        <v>1</v>
      </c>
      <c r="E1988" s="73">
        <v>28931.13</v>
      </c>
      <c r="F1988" s="79">
        <f>IFERROR(E1988,0)</f>
        <v>28931.13</v>
      </c>
      <c r="G1988" s="60" t="str">
        <f>INDEX(SETORES!$B:$B,MATCH(A1988,SETORES!$A:$A,0))</f>
        <v>Clientes</v>
      </c>
      <c r="H1988" s="60" t="s">
        <v>20</v>
      </c>
    </row>
    <row r="1989" spans="1:8" ht="14.25" hidden="1" customHeight="1" x14ac:dyDescent="0.3">
      <c r="A1989" s="34" t="s">
        <v>80</v>
      </c>
      <c r="B1989" s="61" t="s">
        <v>155</v>
      </c>
      <c r="C1989" s="61" t="s">
        <v>167</v>
      </c>
      <c r="D1989" s="69">
        <v>3</v>
      </c>
      <c r="E1989" s="74">
        <v>10.050000000000001</v>
      </c>
      <c r="F1989" s="80">
        <f>IFERROR(D1989*E1989,0)</f>
        <v>30.150000000000002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34" t="s">
        <v>80</v>
      </c>
      <c r="B1990" s="61" t="s">
        <v>155</v>
      </c>
      <c r="C1990" s="61" t="s">
        <v>238</v>
      </c>
      <c r="D1990" s="69">
        <v>1</v>
      </c>
      <c r="E1990" s="74">
        <v>3.3333330000000001</v>
      </c>
      <c r="F1990" s="80">
        <f>IFERROR(D1990*E1990,0)</f>
        <v>3.3333330000000001</v>
      </c>
      <c r="G1990" s="61" t="str">
        <f>INDEX(SETORES!$B:$B,MATCH(A1990,SETORES!$A:$A,0))</f>
        <v>Clientes</v>
      </c>
      <c r="H1990" s="61" t="s">
        <v>20</v>
      </c>
    </row>
    <row r="1991" spans="1:8" ht="14.25" hidden="1" customHeight="1" x14ac:dyDescent="0.3">
      <c r="A1991" s="34" t="s">
        <v>80</v>
      </c>
      <c r="B1991" s="61" t="s">
        <v>155</v>
      </c>
      <c r="C1991" s="61" t="s">
        <v>166</v>
      </c>
      <c r="D1991" s="69">
        <v>3</v>
      </c>
      <c r="E1991" s="74">
        <v>50</v>
      </c>
      <c r="F1991" s="80">
        <f>IFERROR(D1991*E1991,0)</f>
        <v>150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34" t="s">
        <v>80</v>
      </c>
      <c r="B1992" s="61" t="s">
        <v>162</v>
      </c>
      <c r="C1992" s="61" t="s">
        <v>222</v>
      </c>
      <c r="D1992" s="69"/>
      <c r="E1992" s="74"/>
      <c r="F1992" s="80">
        <f>IFERROR(D1992*E1992,0)</f>
        <v>0</v>
      </c>
      <c r="G1992" s="61" t="str">
        <f>INDEX(SETORES!$B:$B,MATCH(A1992,SETORES!$A:$A,0))</f>
        <v>Clientes</v>
      </c>
      <c r="H1992" s="61" t="s">
        <v>20</v>
      </c>
    </row>
    <row r="1993" spans="1:8" ht="14.25" hidden="1" customHeight="1" x14ac:dyDescent="0.3">
      <c r="A1993" s="2" t="s">
        <v>80</v>
      </c>
      <c r="B1993" s="60" t="s">
        <v>155</v>
      </c>
      <c r="C1993" s="60" t="s">
        <v>168</v>
      </c>
      <c r="D1993" s="68">
        <v>3</v>
      </c>
      <c r="E1993" s="73">
        <v>2.0699999999999998</v>
      </c>
      <c r="F1993" s="79">
        <f>IFERROR(D1993*E1993,0)</f>
        <v>6.2099999999999991</v>
      </c>
      <c r="G1993" s="60" t="str">
        <f>INDEX(SETORES!$B:$B,MATCH(A1993,SETORES!$A:$A,0))</f>
        <v>Clientes</v>
      </c>
      <c r="H1993" s="60" t="s">
        <v>20</v>
      </c>
    </row>
    <row r="1994" spans="1:8" ht="14.25" hidden="1" customHeight="1" x14ac:dyDescent="0.3">
      <c r="A1994" s="34" t="s">
        <v>42</v>
      </c>
      <c r="B1994" s="61" t="s">
        <v>155</v>
      </c>
      <c r="C1994" s="61" t="s">
        <v>159</v>
      </c>
      <c r="D1994" s="69">
        <v>1</v>
      </c>
      <c r="E1994" s="74">
        <v>0</v>
      </c>
      <c r="F1994" s="80">
        <v>0</v>
      </c>
      <c r="G1994" s="61" t="str">
        <f>INDEX(SETORES!$B:$B,MATCH(A1994,SETORES!$A:$A,0))</f>
        <v>Clientes</v>
      </c>
      <c r="H1994" s="61" t="s">
        <v>20</v>
      </c>
    </row>
    <row r="1995" spans="1:8" ht="14.25" customHeight="1" x14ac:dyDescent="0.3">
      <c r="A1995" s="2" t="s">
        <v>42</v>
      </c>
      <c r="B1995" s="60" t="s">
        <v>155</v>
      </c>
      <c r="C1995" s="60" t="s">
        <v>171</v>
      </c>
      <c r="D1995" s="68">
        <v>2</v>
      </c>
      <c r="E1995" s="73">
        <v>47.79</v>
      </c>
      <c r="F1995" s="79">
        <f>IFERROR(D1995*E1995,0)</f>
        <v>95.58</v>
      </c>
      <c r="G1995" s="60" t="s">
        <v>98</v>
      </c>
      <c r="H1995" s="60" t="s">
        <v>20</v>
      </c>
    </row>
    <row r="1996" spans="1:8" ht="14.25" hidden="1" customHeight="1" x14ac:dyDescent="0.3">
      <c r="A1996" s="34" t="s">
        <v>42</v>
      </c>
      <c r="B1996" s="61" t="s">
        <v>155</v>
      </c>
      <c r="C1996" s="61" t="s">
        <v>170</v>
      </c>
      <c r="D1996" s="69">
        <v>2</v>
      </c>
      <c r="E1996" s="74">
        <v>28.31</v>
      </c>
      <c r="F1996" s="80">
        <f>IFERROR(D1996*E1996,0)</f>
        <v>56.62</v>
      </c>
      <c r="G1996" s="61" t="s">
        <v>98</v>
      </c>
      <c r="H1996" s="61" t="s">
        <v>20</v>
      </c>
    </row>
    <row r="1997" spans="1:8" ht="14.25" hidden="1" customHeight="1" x14ac:dyDescent="0.3">
      <c r="A1997" s="2" t="s">
        <v>42</v>
      </c>
      <c r="B1997" s="60" t="s">
        <v>155</v>
      </c>
      <c r="C1997" s="60" t="s">
        <v>169</v>
      </c>
      <c r="D1997" s="68">
        <v>2</v>
      </c>
      <c r="E1997" s="73">
        <v>64.569999999999993</v>
      </c>
      <c r="F1997" s="79">
        <f>IFERROR(D1997*E1997,0)</f>
        <v>129.13999999999999</v>
      </c>
      <c r="G1997" s="61" t="s">
        <v>98</v>
      </c>
      <c r="H1997" s="60" t="s">
        <v>20</v>
      </c>
    </row>
    <row r="1998" spans="1:8" ht="14.25" hidden="1" customHeight="1" x14ac:dyDescent="0.3">
      <c r="A1998" s="2" t="s">
        <v>42</v>
      </c>
      <c r="B1998" s="60" t="s">
        <v>155</v>
      </c>
      <c r="C1998" s="60" t="s">
        <v>158</v>
      </c>
      <c r="D1998" s="68">
        <v>1</v>
      </c>
      <c r="E1998" s="73">
        <v>17.021599999999999</v>
      </c>
      <c r="F1998" s="79">
        <v>17.021599999999999</v>
      </c>
      <c r="G1998" s="60" t="str">
        <f>INDEX(SETORES!$B:$B,MATCH(A1998,SETORES!$A:$A,0))</f>
        <v>Clientes</v>
      </c>
      <c r="H1998" s="60" t="s">
        <v>20</v>
      </c>
    </row>
    <row r="1999" spans="1:8" ht="14.25" hidden="1" customHeight="1" x14ac:dyDescent="0.3">
      <c r="A1999" s="34" t="s">
        <v>42</v>
      </c>
      <c r="B1999" s="61" t="s">
        <v>162</v>
      </c>
      <c r="C1999" s="61" t="s">
        <v>163</v>
      </c>
      <c r="D1999" s="69"/>
      <c r="E1999" s="74"/>
      <c r="F1999" s="80">
        <f>IFERROR(D1999*E1999,0)</f>
        <v>0</v>
      </c>
      <c r="G1999" s="61" t="str">
        <f>INDEX(SETORES!$B:$B,MATCH(A1999,SETORES!$A:$A,0))</f>
        <v>Clientes</v>
      </c>
      <c r="H1999" s="61" t="s">
        <v>20</v>
      </c>
    </row>
    <row r="2000" spans="1:8" ht="14.25" hidden="1" customHeight="1" x14ac:dyDescent="0.3">
      <c r="A2000" s="2" t="s">
        <v>42</v>
      </c>
      <c r="B2000" s="60" t="s">
        <v>162</v>
      </c>
      <c r="C2000" s="60" t="s">
        <v>164</v>
      </c>
      <c r="D2000" s="68">
        <v>1</v>
      </c>
      <c r="E2000" s="73">
        <v>144</v>
      </c>
      <c r="F2000" s="79">
        <f>IFERROR(D2000*E2000,0)</f>
        <v>144</v>
      </c>
      <c r="G2000" s="60" t="str">
        <f>INDEX(SETORES!$B:$B,MATCH(A2000,SETORES!$A:$A,0))</f>
        <v>Clientes</v>
      </c>
      <c r="H2000" s="60" t="s">
        <v>20</v>
      </c>
    </row>
    <row r="2001" spans="1:8" ht="14.25" hidden="1" customHeight="1" x14ac:dyDescent="0.3">
      <c r="A2001" s="34" t="s">
        <v>42</v>
      </c>
      <c r="B2001" s="61" t="s">
        <v>155</v>
      </c>
      <c r="C2001" s="61" t="s">
        <v>161</v>
      </c>
      <c r="D2001" s="69">
        <v>1</v>
      </c>
      <c r="E2001" s="74">
        <v>27129.8033777778</v>
      </c>
      <c r="F2001" s="80">
        <f>IFERROR(E2001,0)</f>
        <v>27129.8033777778</v>
      </c>
      <c r="G2001" s="61" t="str">
        <f>INDEX(SETORES!$B:$B,MATCH(A2001,SETORES!$A:$A,0))</f>
        <v>Clientes</v>
      </c>
      <c r="H2001" s="61" t="s">
        <v>20</v>
      </c>
    </row>
    <row r="2002" spans="1:8" ht="14.25" hidden="1" customHeight="1" x14ac:dyDescent="0.3">
      <c r="A2002" s="2" t="s">
        <v>42</v>
      </c>
      <c r="B2002" s="60" t="s">
        <v>155</v>
      </c>
      <c r="C2002" s="60" t="s">
        <v>167</v>
      </c>
      <c r="D2002" s="68">
        <v>2</v>
      </c>
      <c r="E2002" s="73">
        <v>10.050000000000001</v>
      </c>
      <c r="F2002" s="79">
        <f>IFERROR(D2002*E2002,0)</f>
        <v>20.100000000000001</v>
      </c>
      <c r="G2002" s="60" t="str">
        <f>INDEX(SETORES!$B:$B,MATCH(A2002,SETORES!$A:$A,0))</f>
        <v>Clientes</v>
      </c>
      <c r="H2002" s="60" t="s">
        <v>20</v>
      </c>
    </row>
    <row r="2003" spans="1:8" ht="14.25" hidden="1" customHeight="1" x14ac:dyDescent="0.3">
      <c r="A2003" s="2" t="s">
        <v>42</v>
      </c>
      <c r="B2003" s="60" t="s">
        <v>155</v>
      </c>
      <c r="C2003" s="60" t="s">
        <v>238</v>
      </c>
      <c r="D2003" s="68">
        <v>1</v>
      </c>
      <c r="E2003" s="73">
        <v>2.2222219999999999</v>
      </c>
      <c r="F2003" s="79">
        <f>IFERROR(D2003*E2003,0)</f>
        <v>2.2222219999999999</v>
      </c>
      <c r="G2003" s="60" t="str">
        <f>INDEX(SETORES!$B:$B,MATCH(A2003,SETORES!$A:$A,0))</f>
        <v>Clientes</v>
      </c>
      <c r="H2003" s="60" t="s">
        <v>20</v>
      </c>
    </row>
    <row r="2004" spans="1:8" ht="14.25" hidden="1" customHeight="1" x14ac:dyDescent="0.3">
      <c r="A2004" s="34" t="s">
        <v>42</v>
      </c>
      <c r="B2004" s="61" t="s">
        <v>155</v>
      </c>
      <c r="C2004" s="61" t="s">
        <v>166</v>
      </c>
      <c r="D2004" s="69">
        <v>4</v>
      </c>
      <c r="E2004" s="74">
        <v>50</v>
      </c>
      <c r="F2004" s="80">
        <f>IFERROR(D2004*E2004,0)</f>
        <v>200</v>
      </c>
      <c r="G2004" s="61" t="str">
        <f>INDEX(SETORES!$B:$B,MATCH(A2004,SETORES!$A:$A,0))</f>
        <v>Clientes</v>
      </c>
      <c r="H2004" s="61" t="s">
        <v>20</v>
      </c>
    </row>
    <row r="2005" spans="1:8" ht="14.25" hidden="1" customHeight="1" x14ac:dyDescent="0.3">
      <c r="A2005" s="2" t="s">
        <v>42</v>
      </c>
      <c r="B2005" s="60" t="s">
        <v>155</v>
      </c>
      <c r="C2005" s="60" t="s">
        <v>156</v>
      </c>
      <c r="D2005" s="68"/>
      <c r="E2005" s="73"/>
      <c r="F2005" s="79">
        <v>0</v>
      </c>
      <c r="G2005" s="60" t="str">
        <f>INDEX(SETORES!$B:$B,MATCH(A2005,SETORES!$A:$A,0))</f>
        <v>Clientes</v>
      </c>
      <c r="H2005" s="60" t="s">
        <v>20</v>
      </c>
    </row>
    <row r="2006" spans="1:8" ht="14.25" hidden="1" customHeight="1" x14ac:dyDescent="0.3">
      <c r="A2006" s="34" t="s">
        <v>42</v>
      </c>
      <c r="B2006" s="61" t="s">
        <v>155</v>
      </c>
      <c r="C2006" s="61" t="s">
        <v>157</v>
      </c>
      <c r="D2006" s="69"/>
      <c r="E2006" s="74"/>
      <c r="F2006" s="80">
        <v>0</v>
      </c>
      <c r="G2006" s="61" t="str">
        <f>INDEX(SETORES!$B:$B,MATCH(A2006,SETORES!$A:$A,0))</f>
        <v>Clientes</v>
      </c>
      <c r="H2006" s="61" t="s">
        <v>20</v>
      </c>
    </row>
    <row r="2007" spans="1:8" ht="14.25" hidden="1" customHeight="1" x14ac:dyDescent="0.3">
      <c r="A2007" s="2" t="s">
        <v>42</v>
      </c>
      <c r="B2007" s="60" t="s">
        <v>162</v>
      </c>
      <c r="C2007" s="60" t="s">
        <v>222</v>
      </c>
      <c r="D2007" s="68"/>
      <c r="E2007" s="73"/>
      <c r="F2007" s="79">
        <f>IFERROR(D2007*E2007,0)</f>
        <v>0</v>
      </c>
      <c r="G2007" s="60" t="str">
        <f>INDEX(SETORES!$B:$B,MATCH(A2007,SETORES!$A:$A,0))</f>
        <v>Clientes</v>
      </c>
      <c r="H2007" s="60" t="s">
        <v>20</v>
      </c>
    </row>
    <row r="2008" spans="1:8" ht="14.25" hidden="1" customHeight="1" x14ac:dyDescent="0.3">
      <c r="A2008" s="34" t="s">
        <v>42</v>
      </c>
      <c r="B2008" s="61" t="s">
        <v>155</v>
      </c>
      <c r="C2008" s="61" t="s">
        <v>168</v>
      </c>
      <c r="D2008" s="69">
        <v>2</v>
      </c>
      <c r="E2008" s="74">
        <v>2.0699999999999998</v>
      </c>
      <c r="F2008" s="80">
        <f>IFERROR(D2008*E2008,0)</f>
        <v>4.1399999999999997</v>
      </c>
      <c r="G2008" s="61" t="str">
        <f>INDEX(SETORES!$B:$B,MATCH(A2008,SETORES!$A:$A,0))</f>
        <v>Clientes</v>
      </c>
      <c r="H2008" s="61" t="s">
        <v>20</v>
      </c>
    </row>
    <row r="2009" spans="1:8" ht="14.25" hidden="1" customHeight="1" x14ac:dyDescent="0.3">
      <c r="A2009" s="2" t="s">
        <v>42</v>
      </c>
      <c r="B2009" s="60" t="s">
        <v>155</v>
      </c>
      <c r="C2009" s="60" t="s">
        <v>160</v>
      </c>
      <c r="D2009" s="68"/>
      <c r="E2009" s="73"/>
      <c r="F2009" s="79">
        <f>IFERROR(D2009*E2009,0)</f>
        <v>0</v>
      </c>
      <c r="G2009" s="60" t="str">
        <f>INDEX(SETORES!$B:$B,MATCH(A2009,SETORES!$A:$A,0))</f>
        <v>Clientes</v>
      </c>
      <c r="H2009" s="60" t="s">
        <v>20</v>
      </c>
    </row>
    <row r="2010" spans="1:8" ht="14.25" hidden="1" customHeight="1" x14ac:dyDescent="0.3">
      <c r="A2010" s="2" t="s">
        <v>42</v>
      </c>
      <c r="B2010" s="60" t="s">
        <v>162</v>
      </c>
      <c r="C2010" s="60" t="s">
        <v>215</v>
      </c>
      <c r="D2010" s="68"/>
      <c r="E2010" s="73"/>
      <c r="F2010" s="79">
        <f>IFERROR(D2010*E2010,0)</f>
        <v>0</v>
      </c>
      <c r="G2010" s="60" t="str">
        <f>INDEX(SETORES!$B:$B,MATCH(A2010,SETORES!$A:$A,0))</f>
        <v>Clientes</v>
      </c>
      <c r="H2010" s="60" t="s">
        <v>20</v>
      </c>
    </row>
    <row r="2011" spans="1:8" ht="14.25" hidden="1" customHeight="1" x14ac:dyDescent="0.3">
      <c r="A2011" s="34" t="s">
        <v>33</v>
      </c>
      <c r="B2011" s="61" t="s">
        <v>155</v>
      </c>
      <c r="C2011" s="61" t="s">
        <v>159</v>
      </c>
      <c r="D2011" s="69">
        <v>1</v>
      </c>
      <c r="E2011" s="74">
        <v>0</v>
      </c>
      <c r="F2011" s="80">
        <v>0</v>
      </c>
      <c r="G2011" s="61" t="str">
        <f>INDEX(SETORES!$B:$B,MATCH(A2011,SETORES!$A:$A,0))</f>
        <v>Funcionários</v>
      </c>
      <c r="H2011" s="61" t="s">
        <v>20</v>
      </c>
    </row>
    <row r="2012" spans="1:8" ht="14.25" hidden="1" customHeight="1" x14ac:dyDescent="0.3">
      <c r="A2012" s="34" t="s">
        <v>33</v>
      </c>
      <c r="B2012" s="61" t="s">
        <v>155</v>
      </c>
      <c r="C2012" s="61" t="s">
        <v>212</v>
      </c>
      <c r="D2012" s="69">
        <v>2</v>
      </c>
      <c r="E2012" s="74">
        <v>30</v>
      </c>
      <c r="F2012" s="80">
        <f>IFERROR(D2012*E2012,0)</f>
        <v>60</v>
      </c>
      <c r="G2012" s="61" t="str">
        <f>INDEX(SETORES!$B:$B,MATCH(A2012,SETORES!$A:$A,0))</f>
        <v>Funcionários</v>
      </c>
      <c r="H2012" s="61" t="s">
        <v>20</v>
      </c>
    </row>
    <row r="2013" spans="1:8" ht="14.25" customHeight="1" x14ac:dyDescent="0.3">
      <c r="A2013" s="34" t="s">
        <v>33</v>
      </c>
      <c r="B2013" s="61" t="s">
        <v>155</v>
      </c>
      <c r="C2013" s="61" t="s">
        <v>171</v>
      </c>
      <c r="D2013" s="69">
        <v>7</v>
      </c>
      <c r="E2013" s="74">
        <v>47.79</v>
      </c>
      <c r="F2013" s="80">
        <f>IFERROR(D2013*E2013,0)</f>
        <v>334.53</v>
      </c>
      <c r="G2013" s="60" t="s">
        <v>98</v>
      </c>
      <c r="H2013" s="61" t="s">
        <v>20</v>
      </c>
    </row>
    <row r="2014" spans="1:8" ht="14.25" hidden="1" customHeight="1" x14ac:dyDescent="0.3">
      <c r="A2014" s="2" t="s">
        <v>33</v>
      </c>
      <c r="B2014" s="60" t="s">
        <v>155</v>
      </c>
      <c r="C2014" s="60" t="s">
        <v>170</v>
      </c>
      <c r="D2014" s="68">
        <v>7</v>
      </c>
      <c r="E2014" s="73">
        <v>28.31</v>
      </c>
      <c r="F2014" s="79">
        <f>IFERROR(D2014*E2014,0)</f>
        <v>198.17</v>
      </c>
      <c r="G2014" s="61" t="s">
        <v>98</v>
      </c>
      <c r="H2014" s="60" t="s">
        <v>20</v>
      </c>
    </row>
    <row r="2015" spans="1:8" ht="14.25" hidden="1" customHeight="1" x14ac:dyDescent="0.3">
      <c r="A2015" s="34" t="s">
        <v>33</v>
      </c>
      <c r="B2015" s="61" t="s">
        <v>155</v>
      </c>
      <c r="C2015" s="61" t="s">
        <v>169</v>
      </c>
      <c r="D2015" s="69">
        <v>7</v>
      </c>
      <c r="E2015" s="74">
        <v>64.569999999999993</v>
      </c>
      <c r="F2015" s="80">
        <f>IFERROR(D2015*E2015,0)</f>
        <v>451.98999999999995</v>
      </c>
      <c r="G2015" s="61" t="s">
        <v>98</v>
      </c>
      <c r="H2015" s="61" t="s">
        <v>20</v>
      </c>
    </row>
    <row r="2016" spans="1:8" ht="14.25" hidden="1" customHeight="1" x14ac:dyDescent="0.3">
      <c r="A2016" s="2" t="s">
        <v>33</v>
      </c>
      <c r="B2016" s="60" t="s">
        <v>155</v>
      </c>
      <c r="C2016" s="60" t="s">
        <v>158</v>
      </c>
      <c r="D2016" s="68">
        <v>1</v>
      </c>
      <c r="E2016" s="73">
        <v>59.575600000000001</v>
      </c>
      <c r="F2016" s="79">
        <v>59.575600000000001</v>
      </c>
      <c r="G2016" s="60" t="str">
        <f>INDEX(SETORES!$B:$B,MATCH(A2016,SETORES!$A:$A,0))</f>
        <v>Funcionários</v>
      </c>
      <c r="H2016" s="60" t="s">
        <v>20</v>
      </c>
    </row>
    <row r="2017" spans="1:8" ht="14.25" hidden="1" customHeight="1" x14ac:dyDescent="0.3">
      <c r="A2017" s="2" t="s">
        <v>33</v>
      </c>
      <c r="B2017" s="60" t="s">
        <v>162</v>
      </c>
      <c r="C2017" s="60" t="s">
        <v>213</v>
      </c>
      <c r="D2017" s="68"/>
      <c r="E2017" s="73"/>
      <c r="F2017" s="79">
        <f>IFERROR(D2017*E2017,0)</f>
        <v>0</v>
      </c>
      <c r="G2017" s="60" t="str">
        <f>INDEX(SETORES!$B:$B,MATCH(A2017,SETORES!$A:$A,0))</f>
        <v>Funcionários</v>
      </c>
      <c r="H2017" s="60" t="s">
        <v>20</v>
      </c>
    </row>
    <row r="2018" spans="1:8" ht="14.25" hidden="1" customHeight="1" x14ac:dyDescent="0.3">
      <c r="A2018" s="2" t="s">
        <v>33</v>
      </c>
      <c r="B2018" s="60" t="s">
        <v>162</v>
      </c>
      <c r="C2018" s="60" t="s">
        <v>163</v>
      </c>
      <c r="D2018" s="68"/>
      <c r="E2018" s="73"/>
      <c r="F2018" s="79">
        <f>IFERROR(D2018*E2018,0)</f>
        <v>0</v>
      </c>
      <c r="G2018" s="60" t="str">
        <f>INDEX(SETORES!$B:$B,MATCH(A2018,SETORES!$A:$A,0))</f>
        <v>Funcionários</v>
      </c>
      <c r="H2018" s="60" t="s">
        <v>20</v>
      </c>
    </row>
    <row r="2019" spans="1:8" ht="14.25" hidden="1" customHeight="1" x14ac:dyDescent="0.3">
      <c r="A2019" s="34" t="s">
        <v>33</v>
      </c>
      <c r="B2019" s="61" t="s">
        <v>162</v>
      </c>
      <c r="C2019" s="61" t="s">
        <v>164</v>
      </c>
      <c r="D2019" s="69">
        <v>1</v>
      </c>
      <c r="E2019" s="74">
        <v>68</v>
      </c>
      <c r="F2019" s="80">
        <f>IFERROR(D2019*E2019,0)</f>
        <v>68</v>
      </c>
      <c r="G2019" s="61" t="str">
        <f>INDEX(SETORES!$B:$B,MATCH(A2019,SETORES!$A:$A,0))</f>
        <v>Funcionários</v>
      </c>
      <c r="H2019" s="61" t="s">
        <v>20</v>
      </c>
    </row>
    <row r="2020" spans="1:8" ht="14.25" hidden="1" customHeight="1" x14ac:dyDescent="0.3">
      <c r="A2020" s="34" t="s">
        <v>33</v>
      </c>
      <c r="B2020" s="61" t="s">
        <v>155</v>
      </c>
      <c r="C2020" s="61" t="s">
        <v>161</v>
      </c>
      <c r="D2020" s="69">
        <v>1</v>
      </c>
      <c r="E2020" s="74">
        <v>36796.53</v>
      </c>
      <c r="F2020" s="80">
        <f>IFERROR(E2020,0)</f>
        <v>36796.53</v>
      </c>
      <c r="G2020" s="61" t="str">
        <f>INDEX(SETORES!$B:$B,MATCH(A2020,SETORES!$A:$A,0))</f>
        <v>Funcionários</v>
      </c>
      <c r="H2020" s="61" t="s">
        <v>20</v>
      </c>
    </row>
    <row r="2021" spans="1:8" ht="14.25" hidden="1" customHeight="1" x14ac:dyDescent="0.3">
      <c r="A2021" s="34" t="s">
        <v>33</v>
      </c>
      <c r="B2021" s="61" t="s">
        <v>155</v>
      </c>
      <c r="C2021" s="61" t="s">
        <v>167</v>
      </c>
      <c r="D2021" s="69">
        <v>7</v>
      </c>
      <c r="E2021" s="74">
        <v>10.050000000000001</v>
      </c>
      <c r="F2021" s="80">
        <f>IFERROR(D2021*E2021,0)</f>
        <v>70.350000000000009</v>
      </c>
      <c r="G2021" s="61" t="str">
        <f>INDEX(SETORES!$B:$B,MATCH(A2021,SETORES!$A:$A,0))</f>
        <v>Funcionários</v>
      </c>
      <c r="H2021" s="61" t="s">
        <v>20</v>
      </c>
    </row>
    <row r="2022" spans="1:8" ht="14.25" hidden="1" customHeight="1" x14ac:dyDescent="0.3">
      <c r="A2022" s="34" t="s">
        <v>33</v>
      </c>
      <c r="B2022" s="61" t="s">
        <v>162</v>
      </c>
      <c r="C2022" s="61" t="s">
        <v>214</v>
      </c>
      <c r="D2022" s="69"/>
      <c r="E2022" s="74"/>
      <c r="F2022" s="80">
        <f>IFERROR(D2022*E2022,0)</f>
        <v>0</v>
      </c>
      <c r="G2022" s="61" t="str">
        <f>INDEX(SETORES!$B:$B,MATCH(A2022,SETORES!$A:$A,0))</f>
        <v>Funcionários</v>
      </c>
      <c r="H2022" s="61" t="s">
        <v>20</v>
      </c>
    </row>
    <row r="2023" spans="1:8" ht="14.25" hidden="1" customHeight="1" x14ac:dyDescent="0.3">
      <c r="A2023" s="2" t="s">
        <v>33</v>
      </c>
      <c r="B2023" s="60" t="s">
        <v>155</v>
      </c>
      <c r="C2023" s="60" t="s">
        <v>166</v>
      </c>
      <c r="D2023" s="68">
        <v>7</v>
      </c>
      <c r="E2023" s="73">
        <v>50</v>
      </c>
      <c r="F2023" s="79">
        <f>IFERROR(D2023*E2023,0)</f>
        <v>350</v>
      </c>
      <c r="G2023" s="60" t="str">
        <f>INDEX(SETORES!$B:$B,MATCH(A2023,SETORES!$A:$A,0))</f>
        <v>Funcionários</v>
      </c>
      <c r="H2023" s="60" t="s">
        <v>20</v>
      </c>
    </row>
    <row r="2024" spans="1:8" ht="14.25" customHeight="1" x14ac:dyDescent="0.3">
      <c r="A2024" s="2" t="s">
        <v>33</v>
      </c>
      <c r="B2024" s="60" t="s">
        <v>155</v>
      </c>
      <c r="C2024" s="60" t="s">
        <v>177</v>
      </c>
      <c r="D2024" s="68">
        <v>1</v>
      </c>
      <c r="E2024" s="73">
        <v>2559.44</v>
      </c>
      <c r="F2024" s="79">
        <f>IFERROR(D2024*E2024,0)</f>
        <v>2559.44</v>
      </c>
      <c r="G2024" s="60" t="s">
        <v>98</v>
      </c>
      <c r="H2024" s="60" t="s">
        <v>20</v>
      </c>
    </row>
    <row r="2025" spans="1:8" ht="14.25" hidden="1" customHeight="1" x14ac:dyDescent="0.3">
      <c r="A2025" s="2" t="s">
        <v>33</v>
      </c>
      <c r="B2025" s="60" t="s">
        <v>155</v>
      </c>
      <c r="C2025" s="60" t="s">
        <v>156</v>
      </c>
      <c r="D2025" s="68">
        <v>1</v>
      </c>
      <c r="E2025" s="73">
        <v>28.5</v>
      </c>
      <c r="F2025" s="79">
        <v>57.000300000000003</v>
      </c>
      <c r="G2025" s="60" t="str">
        <f>INDEX(SETORES!$B:$B,MATCH(A2025,SETORES!$A:$A,0))</f>
        <v>Funcionários</v>
      </c>
      <c r="H2025" s="60" t="s">
        <v>20</v>
      </c>
    </row>
    <row r="2026" spans="1:8" ht="14.25" hidden="1" customHeight="1" x14ac:dyDescent="0.3">
      <c r="A2026" s="34" t="s">
        <v>33</v>
      </c>
      <c r="B2026" s="61" t="s">
        <v>155</v>
      </c>
      <c r="C2026" s="61" t="s">
        <v>157</v>
      </c>
      <c r="D2026" s="69">
        <v>1</v>
      </c>
      <c r="E2026" s="74">
        <v>28.5</v>
      </c>
      <c r="F2026" s="80">
        <v>28.5</v>
      </c>
      <c r="G2026" s="61" t="str">
        <f>INDEX(SETORES!$B:$B,MATCH(A2026,SETORES!$A:$A,0))</f>
        <v>Funcionários</v>
      </c>
      <c r="H2026" s="61" t="s">
        <v>20</v>
      </c>
    </row>
    <row r="2027" spans="1:8" ht="14.25" customHeight="1" x14ac:dyDescent="0.3">
      <c r="A2027" s="34" t="s">
        <v>33</v>
      </c>
      <c r="B2027" s="61" t="s">
        <v>155</v>
      </c>
      <c r="C2027" s="61" t="s">
        <v>178</v>
      </c>
      <c r="D2027" s="69">
        <v>1</v>
      </c>
      <c r="E2027" s="74">
        <v>4226.8</v>
      </c>
      <c r="F2027" s="80">
        <f>IFERROR(D2027*E2027,0)</f>
        <v>4226.8</v>
      </c>
      <c r="G2027" s="60" t="s">
        <v>98</v>
      </c>
      <c r="H2027" s="61" t="s">
        <v>20</v>
      </c>
    </row>
    <row r="2028" spans="1:8" ht="14.25" customHeight="1" x14ac:dyDescent="0.3">
      <c r="A2028" s="34" t="s">
        <v>33</v>
      </c>
      <c r="B2028" s="61" t="s">
        <v>155</v>
      </c>
      <c r="C2028" s="61" t="s">
        <v>180</v>
      </c>
      <c r="D2028" s="69">
        <v>1</v>
      </c>
      <c r="E2028" s="74">
        <v>3714.01</v>
      </c>
      <c r="F2028" s="80">
        <f>IFERROR(D2028*E2028,0)</f>
        <v>3714.01</v>
      </c>
      <c r="G2028" s="60" t="s">
        <v>98</v>
      </c>
      <c r="H2028" s="61" t="s">
        <v>20</v>
      </c>
    </row>
    <row r="2029" spans="1:8" ht="14.25" customHeight="1" x14ac:dyDescent="0.3">
      <c r="A2029" s="2" t="s">
        <v>33</v>
      </c>
      <c r="B2029" s="60" t="s">
        <v>155</v>
      </c>
      <c r="C2029" s="60" t="s">
        <v>179</v>
      </c>
      <c r="D2029" s="68">
        <v>1</v>
      </c>
      <c r="E2029" s="73">
        <v>837.06</v>
      </c>
      <c r="F2029" s="79">
        <f>IFERROR(D2029*E2029,0)</f>
        <v>837.06</v>
      </c>
      <c r="G2029" s="60" t="s">
        <v>98</v>
      </c>
      <c r="H2029" s="60" t="s">
        <v>20</v>
      </c>
    </row>
    <row r="2030" spans="1:8" ht="14.25" hidden="1" customHeight="1" x14ac:dyDescent="0.3">
      <c r="A2030" s="2" t="s">
        <v>33</v>
      </c>
      <c r="B2030" s="60" t="s">
        <v>155</v>
      </c>
      <c r="C2030" s="60" t="s">
        <v>168</v>
      </c>
      <c r="D2030" s="68">
        <v>7</v>
      </c>
      <c r="E2030" s="73">
        <v>2.0699999999999998</v>
      </c>
      <c r="F2030" s="79">
        <f>IFERROR(D2030*E2030,0)</f>
        <v>14.489999999999998</v>
      </c>
      <c r="G2030" s="60" t="str">
        <f>INDEX(SETORES!$B:$B,MATCH(A2030,SETORES!$A:$A,0))</f>
        <v>Funcionários</v>
      </c>
      <c r="H2030" s="60" t="s">
        <v>20</v>
      </c>
    </row>
    <row r="2031" spans="1:8" ht="14.25" hidden="1" customHeight="1" x14ac:dyDescent="0.3">
      <c r="A2031" s="2" t="s">
        <v>33</v>
      </c>
      <c r="B2031" s="60" t="s">
        <v>155</v>
      </c>
      <c r="C2031" s="60" t="s">
        <v>160</v>
      </c>
      <c r="D2031" s="68"/>
      <c r="E2031" s="73"/>
      <c r="F2031" s="79">
        <f>IFERROR(D2031*E2031,0)</f>
        <v>0</v>
      </c>
      <c r="G2031" s="60" t="str">
        <f>INDEX(SETORES!$B:$B,MATCH(A2031,SETORES!$A:$A,0))</f>
        <v>Funcionários</v>
      </c>
      <c r="H2031" s="60" t="s">
        <v>20</v>
      </c>
    </row>
    <row r="2032" spans="1:8" ht="14.25" hidden="1" customHeight="1" x14ac:dyDescent="0.3">
      <c r="A2032" s="34" t="s">
        <v>45</v>
      </c>
      <c r="B2032" s="61" t="s">
        <v>155</v>
      </c>
      <c r="C2032" s="61" t="s">
        <v>159</v>
      </c>
      <c r="D2032" s="69">
        <v>7</v>
      </c>
      <c r="E2032" s="74">
        <v>0.63429999999999997</v>
      </c>
      <c r="F2032" s="80">
        <v>4.4401000000000002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45</v>
      </c>
      <c r="B2033" s="60" t="s">
        <v>155</v>
      </c>
      <c r="C2033" s="60" t="s">
        <v>212</v>
      </c>
      <c r="D2033" s="68">
        <v>8</v>
      </c>
      <c r="E2033" s="73">
        <v>30</v>
      </c>
      <c r="F2033" s="79">
        <f>IFERROR(D2033*E2033,0)</f>
        <v>240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2" t="s">
        <v>45</v>
      </c>
      <c r="B2034" s="60" t="s">
        <v>162</v>
      </c>
      <c r="C2034" s="60" t="s">
        <v>217</v>
      </c>
      <c r="D2034" s="68">
        <v>1</v>
      </c>
      <c r="E2034" s="73">
        <v>8424.4699999999993</v>
      </c>
      <c r="F2034" s="79">
        <f>IFERROR(D2034*E2034,0)</f>
        <v>8424.4699999999993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34" t="s">
        <v>45</v>
      </c>
      <c r="B2035" s="61" t="s">
        <v>162</v>
      </c>
      <c r="C2035" s="61" t="s">
        <v>216</v>
      </c>
      <c r="D2035" s="69"/>
      <c r="E2035" s="74"/>
      <c r="F2035" s="80">
        <f>IFERROR(D2035*E2035,0)</f>
        <v>0</v>
      </c>
      <c r="G2035" s="61" t="str">
        <f>INDEX(SETORES!$B:$B,MATCH(A2035,SETORES!$A:$A,0))</f>
        <v>Clientes</v>
      </c>
      <c r="H2035" s="61" t="s">
        <v>20</v>
      </c>
    </row>
    <row r="2036" spans="1:8" ht="14.25" hidden="1" customHeight="1" x14ac:dyDescent="0.3">
      <c r="A2036" s="34" t="s">
        <v>45</v>
      </c>
      <c r="B2036" s="61" t="s">
        <v>155</v>
      </c>
      <c r="C2036" s="61" t="s">
        <v>250</v>
      </c>
      <c r="D2036" s="69">
        <v>1</v>
      </c>
      <c r="E2036" s="74">
        <v>1269.3699999999999</v>
      </c>
      <c r="F2036" s="80">
        <f>IFERROR(D2036*E2036,0)</f>
        <v>1269.3699999999999</v>
      </c>
      <c r="G2036" s="61" t="str">
        <f>INDEX(SETORES!$B:$B,MATCH(A2036,SETORES!$A:$A,0))</f>
        <v>Clientes</v>
      </c>
      <c r="H2036" s="61" t="s">
        <v>20</v>
      </c>
    </row>
    <row r="2037" spans="1:8" ht="14.25" customHeight="1" x14ac:dyDescent="0.3">
      <c r="A2037" s="34" t="s">
        <v>45</v>
      </c>
      <c r="B2037" s="61" t="s">
        <v>155</v>
      </c>
      <c r="C2037" s="61" t="s">
        <v>171</v>
      </c>
      <c r="D2037" s="69">
        <v>7</v>
      </c>
      <c r="E2037" s="74">
        <v>47.79</v>
      </c>
      <c r="F2037" s="80">
        <f>IFERROR(D2037*E2037,0)</f>
        <v>334.53</v>
      </c>
      <c r="G2037" s="60" t="s">
        <v>98</v>
      </c>
      <c r="H2037" s="61" t="s">
        <v>20</v>
      </c>
    </row>
    <row r="2038" spans="1:8" ht="14.25" hidden="1" customHeight="1" x14ac:dyDescent="0.3">
      <c r="A2038" s="2" t="s">
        <v>45</v>
      </c>
      <c r="B2038" s="60" t="s">
        <v>155</v>
      </c>
      <c r="C2038" s="60" t="s">
        <v>170</v>
      </c>
      <c r="D2038" s="68">
        <v>7</v>
      </c>
      <c r="E2038" s="73">
        <v>28.31</v>
      </c>
      <c r="F2038" s="79">
        <f>IFERROR(D2038*E2038,0)</f>
        <v>198.17</v>
      </c>
      <c r="G2038" s="61" t="s">
        <v>98</v>
      </c>
      <c r="H2038" s="60" t="s">
        <v>20</v>
      </c>
    </row>
    <row r="2039" spans="1:8" ht="14.25" hidden="1" customHeight="1" x14ac:dyDescent="0.3">
      <c r="A2039" s="34" t="s">
        <v>45</v>
      </c>
      <c r="B2039" s="61" t="s">
        <v>155</v>
      </c>
      <c r="C2039" s="61" t="s">
        <v>169</v>
      </c>
      <c r="D2039" s="69">
        <v>7</v>
      </c>
      <c r="E2039" s="74">
        <v>64.569999999999993</v>
      </c>
      <c r="F2039" s="80">
        <f>IFERROR(D2039*E2039,0)</f>
        <v>451.98999999999995</v>
      </c>
      <c r="G2039" s="61" t="s">
        <v>98</v>
      </c>
      <c r="H2039" s="61" t="s">
        <v>20</v>
      </c>
    </row>
    <row r="2040" spans="1:8" ht="14.25" hidden="1" customHeight="1" x14ac:dyDescent="0.3">
      <c r="A2040" s="2" t="s">
        <v>45</v>
      </c>
      <c r="B2040" s="60" t="s">
        <v>155</v>
      </c>
      <c r="C2040" s="60" t="s">
        <v>158</v>
      </c>
      <c r="D2040" s="68">
        <v>7</v>
      </c>
      <c r="E2040" s="73">
        <v>24.8613</v>
      </c>
      <c r="F2040" s="79">
        <v>174.0291</v>
      </c>
      <c r="G2040" s="60" t="str">
        <f>INDEX(SETORES!$B:$B,MATCH(A2040,SETORES!$A:$A,0))</f>
        <v>Clientes</v>
      </c>
      <c r="H2040" s="60" t="s">
        <v>20</v>
      </c>
    </row>
    <row r="2041" spans="1:8" ht="14.25" hidden="1" customHeight="1" x14ac:dyDescent="0.3">
      <c r="A2041" s="2" t="s">
        <v>45</v>
      </c>
      <c r="B2041" s="60" t="s">
        <v>162</v>
      </c>
      <c r="C2041" s="60" t="s">
        <v>163</v>
      </c>
      <c r="D2041" s="68">
        <v>1</v>
      </c>
      <c r="E2041" s="73">
        <v>132</v>
      </c>
      <c r="F2041" s="79">
        <f>IFERROR(D2041*E2041,0)</f>
        <v>132</v>
      </c>
      <c r="G2041" s="60" t="str">
        <f>INDEX(SETORES!$B:$B,MATCH(A2041,SETORES!$A:$A,0))</f>
        <v>Clientes</v>
      </c>
      <c r="H2041" s="60" t="s">
        <v>20</v>
      </c>
    </row>
    <row r="2042" spans="1:8" ht="14.25" hidden="1" customHeight="1" x14ac:dyDescent="0.3">
      <c r="A2042" s="34" t="s">
        <v>45</v>
      </c>
      <c r="B2042" s="61" t="s">
        <v>162</v>
      </c>
      <c r="C2042" s="61" t="s">
        <v>164</v>
      </c>
      <c r="D2042" s="69"/>
      <c r="E2042" s="74"/>
      <c r="F2042" s="80">
        <f>IFERROR(D2042*E2042,0)</f>
        <v>0</v>
      </c>
      <c r="G2042" s="61" t="str">
        <f>INDEX(SETORES!$B:$B,MATCH(A2042,SETORES!$A:$A,0))</f>
        <v>Clientes</v>
      </c>
      <c r="H2042" s="61" t="s">
        <v>20</v>
      </c>
    </row>
    <row r="2043" spans="1:8" ht="14.25" hidden="1" customHeight="1" x14ac:dyDescent="0.3">
      <c r="A2043" s="2" t="s">
        <v>45</v>
      </c>
      <c r="B2043" s="60" t="s">
        <v>155</v>
      </c>
      <c r="C2043" s="60" t="s">
        <v>161</v>
      </c>
      <c r="D2043" s="68">
        <v>1</v>
      </c>
      <c r="E2043" s="73">
        <v>58274.98</v>
      </c>
      <c r="F2043" s="79">
        <f>IFERROR(E2043,0)</f>
        <v>58274.98</v>
      </c>
      <c r="G2043" s="60" t="str">
        <f>INDEX(SETORES!$B:$B,MATCH(A2043,SETORES!$A:$A,0))</f>
        <v>Clientes</v>
      </c>
      <c r="H2043" s="60" t="s">
        <v>20</v>
      </c>
    </row>
    <row r="2044" spans="1:8" ht="14.25" hidden="1" customHeight="1" x14ac:dyDescent="0.3">
      <c r="A2044" s="34" t="s">
        <v>45</v>
      </c>
      <c r="B2044" s="61" t="s">
        <v>155</v>
      </c>
      <c r="C2044" s="61" t="s">
        <v>167</v>
      </c>
      <c r="D2044" s="69">
        <v>7</v>
      </c>
      <c r="E2044" s="74">
        <v>10.050000000000001</v>
      </c>
      <c r="F2044" s="80">
        <f>IFERROR(D2044*E2044,0)</f>
        <v>70.350000000000009</v>
      </c>
      <c r="G2044" s="61" t="str">
        <f>INDEX(SETORES!$B:$B,MATCH(A2044,SETORES!$A:$A,0))</f>
        <v>Clientes</v>
      </c>
      <c r="H2044" s="61" t="s">
        <v>20</v>
      </c>
    </row>
    <row r="2045" spans="1:8" ht="14.25" hidden="1" customHeight="1" x14ac:dyDescent="0.3">
      <c r="A2045" s="34" t="s">
        <v>45</v>
      </c>
      <c r="B2045" s="61" t="s">
        <v>155</v>
      </c>
      <c r="C2045" s="61" t="s">
        <v>166</v>
      </c>
      <c r="D2045" s="69">
        <v>10</v>
      </c>
      <c r="E2045" s="74">
        <v>50</v>
      </c>
      <c r="F2045" s="80">
        <f>IFERROR(D2045*E2045,0)</f>
        <v>500</v>
      </c>
      <c r="G2045" s="61" t="str">
        <f>INDEX(SETORES!$B:$B,MATCH(A2045,SETORES!$A:$A,0))</f>
        <v>Clientes</v>
      </c>
      <c r="H2045" s="61" t="s">
        <v>20</v>
      </c>
    </row>
    <row r="2046" spans="1:8" ht="14.25" hidden="1" customHeight="1" x14ac:dyDescent="0.3">
      <c r="A2046" s="2" t="s">
        <v>45</v>
      </c>
      <c r="B2046" s="60" t="s">
        <v>155</v>
      </c>
      <c r="C2046" s="60" t="s">
        <v>183</v>
      </c>
      <c r="D2046" s="68">
        <v>1</v>
      </c>
      <c r="E2046" s="73">
        <v>666.2</v>
      </c>
      <c r="F2046" s="79">
        <f>IFERROR(D2046*E2046,0)</f>
        <v>666.2</v>
      </c>
      <c r="G2046" s="60" t="str">
        <f>INDEX(SETORES!$B:$B,MATCH(A2046,SETORES!$A:$A,0))</f>
        <v>Clientes</v>
      </c>
      <c r="H2046" s="60" t="s">
        <v>20</v>
      </c>
    </row>
    <row r="2047" spans="1:8" ht="14.25" hidden="1" customHeight="1" x14ac:dyDescent="0.3">
      <c r="A2047" s="34" t="s">
        <v>45</v>
      </c>
      <c r="B2047" s="61" t="s">
        <v>155</v>
      </c>
      <c r="C2047" s="61" t="s">
        <v>156</v>
      </c>
      <c r="D2047" s="69"/>
      <c r="E2047" s="74"/>
      <c r="F2047" s="80">
        <v>0</v>
      </c>
      <c r="G2047" s="61" t="str">
        <f>INDEX(SETORES!$B:$B,MATCH(A2047,SETORES!$A:$A,0))</f>
        <v>Clientes</v>
      </c>
      <c r="H2047" s="61" t="s">
        <v>20</v>
      </c>
    </row>
    <row r="2048" spans="1:8" ht="14.25" hidden="1" customHeight="1" x14ac:dyDescent="0.3">
      <c r="A2048" s="2" t="s">
        <v>45</v>
      </c>
      <c r="B2048" s="60" t="s">
        <v>155</v>
      </c>
      <c r="C2048" s="60" t="s">
        <v>157</v>
      </c>
      <c r="D2048" s="68"/>
      <c r="E2048" s="73"/>
      <c r="F2048" s="79">
        <v>0</v>
      </c>
      <c r="G2048" s="60" t="str">
        <f>INDEX(SETORES!$B:$B,MATCH(A2048,SETORES!$A:$A,0))</f>
        <v>Clientes</v>
      </c>
      <c r="H2048" s="60" t="s">
        <v>20</v>
      </c>
    </row>
    <row r="2049" spans="1:8" ht="14.25" hidden="1" customHeight="1" x14ac:dyDescent="0.3">
      <c r="A2049" s="2" t="s">
        <v>45</v>
      </c>
      <c r="B2049" s="60" t="s">
        <v>162</v>
      </c>
      <c r="C2049" s="60" t="s">
        <v>209</v>
      </c>
      <c r="D2049" s="68">
        <v>7</v>
      </c>
      <c r="E2049" s="73">
        <v>89.55</v>
      </c>
      <c r="F2049" s="79">
        <f>IFERROR(D2049*E2049,0)</f>
        <v>626.85</v>
      </c>
      <c r="G2049" s="60" t="str">
        <f>INDEX(SETORES!$B:$B,MATCH(A2049,SETORES!$A:$A,0))</f>
        <v>Clientes</v>
      </c>
      <c r="H2049" s="60" t="s">
        <v>20</v>
      </c>
    </row>
    <row r="2050" spans="1:8" ht="14.25" hidden="1" customHeight="1" x14ac:dyDescent="0.3">
      <c r="A2050" s="34" t="s">
        <v>45</v>
      </c>
      <c r="B2050" s="61" t="s">
        <v>155</v>
      </c>
      <c r="C2050" s="61" t="s">
        <v>184</v>
      </c>
      <c r="D2050" s="69">
        <v>1</v>
      </c>
      <c r="E2050" s="74">
        <v>470</v>
      </c>
      <c r="F2050" s="80">
        <f>IFERROR(D2050*E2050,0)</f>
        <v>470</v>
      </c>
      <c r="G2050" s="61" t="str">
        <f>INDEX(SETORES!$B:$B,MATCH(A2050,SETORES!$A:$A,0))</f>
        <v>Clientes</v>
      </c>
      <c r="H2050" s="61" t="s">
        <v>20</v>
      </c>
    </row>
    <row r="2051" spans="1:8" ht="14.25" hidden="1" customHeight="1" x14ac:dyDescent="0.3">
      <c r="A2051" s="2" t="s">
        <v>45</v>
      </c>
      <c r="B2051" s="60" t="s">
        <v>155</v>
      </c>
      <c r="C2051" s="60" t="s">
        <v>168</v>
      </c>
      <c r="D2051" s="68">
        <v>7</v>
      </c>
      <c r="E2051" s="73">
        <v>2.0699999999999998</v>
      </c>
      <c r="F2051" s="79">
        <f>IFERROR(D2051*E2051,0)</f>
        <v>14.489999999999998</v>
      </c>
      <c r="G2051" s="60" t="str">
        <f>INDEX(SETORES!$B:$B,MATCH(A2051,SETORES!$A:$A,0))</f>
        <v>Clientes</v>
      </c>
      <c r="H2051" s="60" t="s">
        <v>20</v>
      </c>
    </row>
    <row r="2052" spans="1:8" ht="14.25" hidden="1" customHeight="1" x14ac:dyDescent="0.3">
      <c r="A2052" s="34" t="s">
        <v>45</v>
      </c>
      <c r="B2052" s="61" t="s">
        <v>155</v>
      </c>
      <c r="C2052" s="61" t="s">
        <v>160</v>
      </c>
      <c r="D2052" s="69"/>
      <c r="E2052" s="74"/>
      <c r="F2052" s="80">
        <f>IFERROR(D2052*E2052,0)</f>
        <v>0</v>
      </c>
      <c r="G2052" s="61" t="str">
        <f>INDEX(SETORES!$B:$B,MATCH(A2052,SETORES!$A:$A,0))</f>
        <v>Clientes</v>
      </c>
      <c r="H2052" s="61" t="s">
        <v>20</v>
      </c>
    </row>
    <row r="2053" spans="1:8" ht="14.25" hidden="1" customHeight="1" x14ac:dyDescent="0.3">
      <c r="A2053" s="34" t="s">
        <v>45</v>
      </c>
      <c r="B2053" s="61" t="s">
        <v>155</v>
      </c>
      <c r="C2053" s="61" t="s">
        <v>193</v>
      </c>
      <c r="D2053" s="69">
        <v>1</v>
      </c>
      <c r="E2053" s="74">
        <v>513.44000000000005</v>
      </c>
      <c r="F2053" s="80">
        <f>IFERROR(D2053*E2053,0)</f>
        <v>513.44000000000005</v>
      </c>
      <c r="G2053" s="61" t="str">
        <f>INDEX(SETORES!$B:$B,MATCH(A2053,SETORES!$A:$A,0))</f>
        <v>Clientes</v>
      </c>
      <c r="H2053" s="61" t="s">
        <v>20</v>
      </c>
    </row>
    <row r="2054" spans="1:8" ht="14.25" hidden="1" customHeight="1" x14ac:dyDescent="0.3">
      <c r="A2054" s="2" t="s">
        <v>50</v>
      </c>
      <c r="B2054" s="60" t="s">
        <v>155</v>
      </c>
      <c r="C2054" s="60" t="s">
        <v>159</v>
      </c>
      <c r="D2054" s="68">
        <v>12</v>
      </c>
      <c r="E2054" s="73">
        <v>0.63429999999999997</v>
      </c>
      <c r="F2054" s="80">
        <f>IFERROR(D2054*E2054,0)</f>
        <v>7.6115999999999993</v>
      </c>
      <c r="G2054" s="60" t="str">
        <f>INDEX(SETORES!$B:$B,MATCH(A2054,SETORES!$A:$A,0))</f>
        <v>Clientes</v>
      </c>
      <c r="H2054" s="60" t="s">
        <v>20</v>
      </c>
    </row>
    <row r="2055" spans="1:8" ht="14.25" customHeight="1" x14ac:dyDescent="0.3">
      <c r="A2055" s="34" t="s">
        <v>50</v>
      </c>
      <c r="B2055" s="61" t="s">
        <v>155</v>
      </c>
      <c r="C2055" s="61" t="s">
        <v>171</v>
      </c>
      <c r="D2055" s="69">
        <v>13</v>
      </c>
      <c r="E2055" s="74">
        <v>47.79</v>
      </c>
      <c r="F2055" s="80">
        <f>IFERROR(D2055*E2055,0)</f>
        <v>621.27</v>
      </c>
      <c r="G2055" s="60" t="s">
        <v>98</v>
      </c>
      <c r="H2055" s="61" t="s">
        <v>20</v>
      </c>
    </row>
    <row r="2056" spans="1:8" ht="14.25" hidden="1" customHeight="1" x14ac:dyDescent="0.3">
      <c r="A2056" s="2" t="s">
        <v>50</v>
      </c>
      <c r="B2056" s="60" t="s">
        <v>155</v>
      </c>
      <c r="C2056" s="60" t="s">
        <v>170</v>
      </c>
      <c r="D2056" s="68">
        <v>13</v>
      </c>
      <c r="E2056" s="73">
        <v>28.31</v>
      </c>
      <c r="F2056" s="79">
        <f>IFERROR(D2056*E2056,0)</f>
        <v>368.03</v>
      </c>
      <c r="G2056" s="61" t="s">
        <v>98</v>
      </c>
      <c r="H2056" s="60" t="s">
        <v>20</v>
      </c>
    </row>
    <row r="2057" spans="1:8" ht="14.25" hidden="1" customHeight="1" x14ac:dyDescent="0.3">
      <c r="A2057" s="34" t="s">
        <v>50</v>
      </c>
      <c r="B2057" s="61" t="s">
        <v>155</v>
      </c>
      <c r="C2057" s="61" t="s">
        <v>169</v>
      </c>
      <c r="D2057" s="69">
        <v>13</v>
      </c>
      <c r="E2057" s="74">
        <v>64.569999999999993</v>
      </c>
      <c r="F2057" s="80">
        <f>IFERROR(D2057*E2057,0)</f>
        <v>839.40999999999985</v>
      </c>
      <c r="G2057" s="61" t="s">
        <v>98</v>
      </c>
      <c r="H2057" s="61" t="s">
        <v>20</v>
      </c>
    </row>
    <row r="2058" spans="1:8" ht="14.25" hidden="1" customHeight="1" x14ac:dyDescent="0.3">
      <c r="A2058" s="2" t="s">
        <v>50</v>
      </c>
      <c r="B2058" s="60" t="s">
        <v>155</v>
      </c>
      <c r="C2058" s="60" t="s">
        <v>158</v>
      </c>
      <c r="D2058" s="68">
        <v>12</v>
      </c>
      <c r="E2058" s="73">
        <v>24.8613</v>
      </c>
      <c r="F2058" s="80">
        <f t="shared" ref="F2058:F2070" si="1">IFERROR(D2058*E2058,0)</f>
        <v>298.3356</v>
      </c>
      <c r="G2058" s="60" t="str">
        <f>INDEX(SETORES!$B:$B,MATCH(A2058,SETORES!$A:$A,0))</f>
        <v>Clientes</v>
      </c>
      <c r="H2058" s="60" t="s">
        <v>20</v>
      </c>
    </row>
    <row r="2059" spans="1:8" ht="14.25" hidden="1" customHeight="1" x14ac:dyDescent="0.3">
      <c r="A2059" s="34" t="s">
        <v>50</v>
      </c>
      <c r="B2059" s="61" t="s">
        <v>162</v>
      </c>
      <c r="C2059" s="61" t="s">
        <v>165</v>
      </c>
      <c r="D2059" s="69">
        <v>1</v>
      </c>
      <c r="E2059" s="74">
        <v>176</v>
      </c>
      <c r="F2059" s="80">
        <f t="shared" si="1"/>
        <v>176</v>
      </c>
      <c r="G2059" s="61" t="str">
        <f>INDEX(SETORES!$B:$B,MATCH(A2059,SETORES!$A:$A,0))</f>
        <v>Clientes</v>
      </c>
      <c r="H2059" s="61" t="s">
        <v>20</v>
      </c>
    </row>
    <row r="2060" spans="1:8" ht="14.25" hidden="1" customHeight="1" x14ac:dyDescent="0.3">
      <c r="A2060" s="2" t="s">
        <v>50</v>
      </c>
      <c r="B2060" s="60" t="s">
        <v>162</v>
      </c>
      <c r="C2060" s="60" t="s">
        <v>163</v>
      </c>
      <c r="D2060" s="68">
        <v>1</v>
      </c>
      <c r="E2060" s="73">
        <v>135</v>
      </c>
      <c r="F2060" s="80">
        <f t="shared" si="1"/>
        <v>135</v>
      </c>
      <c r="G2060" s="60" t="str">
        <f>INDEX(SETORES!$B:$B,MATCH(A2060,SETORES!$A:$A,0))</f>
        <v>Clientes</v>
      </c>
      <c r="H2060" s="60" t="s">
        <v>20</v>
      </c>
    </row>
    <row r="2061" spans="1:8" ht="14.25" hidden="1" customHeight="1" x14ac:dyDescent="0.3">
      <c r="A2061" s="34" t="s">
        <v>50</v>
      </c>
      <c r="B2061" s="61" t="s">
        <v>162</v>
      </c>
      <c r="C2061" s="61" t="s">
        <v>164</v>
      </c>
      <c r="D2061" s="69"/>
      <c r="E2061" s="74"/>
      <c r="F2061" s="80">
        <f t="shared" si="1"/>
        <v>0</v>
      </c>
      <c r="G2061" s="61" t="str">
        <f>INDEX(SETORES!$B:$B,MATCH(A2061,SETORES!$A:$A,0))</f>
        <v>Clientes</v>
      </c>
      <c r="H2061" s="61" t="s">
        <v>20</v>
      </c>
    </row>
    <row r="2062" spans="1:8" ht="14.25" hidden="1" customHeight="1" x14ac:dyDescent="0.3">
      <c r="A2062" s="2" t="s">
        <v>50</v>
      </c>
      <c r="B2062" s="60" t="s">
        <v>155</v>
      </c>
      <c r="C2062" s="60" t="s">
        <v>161</v>
      </c>
      <c r="D2062" s="68">
        <v>1</v>
      </c>
      <c r="E2062" s="73">
        <v>54038.559999999998</v>
      </c>
      <c r="F2062" s="80">
        <f t="shared" si="1"/>
        <v>54038.559999999998</v>
      </c>
      <c r="G2062" s="60" t="str">
        <f>INDEX(SETORES!$B:$B,MATCH(A2062,SETORES!$A:$A,0))</f>
        <v>Clientes</v>
      </c>
      <c r="H2062" s="60" t="s">
        <v>20</v>
      </c>
    </row>
    <row r="2063" spans="1:8" ht="14.25" hidden="1" customHeight="1" x14ac:dyDescent="0.3">
      <c r="A2063" s="34" t="s">
        <v>50</v>
      </c>
      <c r="B2063" s="61" t="s">
        <v>155</v>
      </c>
      <c r="C2063" s="61" t="s">
        <v>167</v>
      </c>
      <c r="D2063" s="69">
        <v>13</v>
      </c>
      <c r="E2063" s="74">
        <v>10.050000000000001</v>
      </c>
      <c r="F2063" s="80">
        <f t="shared" si="1"/>
        <v>130.65</v>
      </c>
      <c r="G2063" s="61" t="str">
        <f>INDEX(SETORES!$B:$B,MATCH(A2063,SETORES!$A:$A,0))</f>
        <v>Clientes</v>
      </c>
      <c r="H2063" s="61" t="s">
        <v>20</v>
      </c>
    </row>
    <row r="2064" spans="1:8" ht="14.25" hidden="1" customHeight="1" x14ac:dyDescent="0.3">
      <c r="A2064" s="34" t="s">
        <v>50</v>
      </c>
      <c r="B2064" s="61" t="s">
        <v>162</v>
      </c>
      <c r="C2064" s="61" t="s">
        <v>218</v>
      </c>
      <c r="D2064" s="69"/>
      <c r="E2064" s="74"/>
      <c r="F2064" s="80">
        <f t="shared" si="1"/>
        <v>0</v>
      </c>
      <c r="G2064" s="61" t="str">
        <f>INDEX(SETORES!$B:$B,MATCH(A2064,SETORES!$A:$A,0))</f>
        <v>Clientes</v>
      </c>
      <c r="H2064" s="61" t="s">
        <v>20</v>
      </c>
    </row>
    <row r="2065" spans="1:8" ht="14.25" hidden="1" customHeight="1" x14ac:dyDescent="0.3">
      <c r="A2065" s="2" t="s">
        <v>50</v>
      </c>
      <c r="B2065" s="60" t="s">
        <v>155</v>
      </c>
      <c r="C2065" s="60" t="s">
        <v>166</v>
      </c>
      <c r="D2065" s="68">
        <v>14</v>
      </c>
      <c r="E2065" s="73">
        <v>50</v>
      </c>
      <c r="F2065" s="80">
        <f t="shared" si="1"/>
        <v>700</v>
      </c>
      <c r="G2065" s="60" t="str">
        <f>INDEX(SETORES!$B:$B,MATCH(A2065,SETORES!$A:$A,0))</f>
        <v>Clientes</v>
      </c>
      <c r="H2065" s="60" t="s">
        <v>20</v>
      </c>
    </row>
    <row r="2066" spans="1:8" ht="14.25" hidden="1" customHeight="1" x14ac:dyDescent="0.3">
      <c r="A2066" s="2" t="s">
        <v>50</v>
      </c>
      <c r="B2066" s="60" t="s">
        <v>155</v>
      </c>
      <c r="C2066" s="60" t="s">
        <v>156</v>
      </c>
      <c r="D2066" s="68"/>
      <c r="E2066" s="73"/>
      <c r="F2066" s="80">
        <f t="shared" si="1"/>
        <v>0</v>
      </c>
      <c r="G2066" s="60" t="str">
        <f>INDEX(SETORES!$B:$B,MATCH(A2066,SETORES!$A:$A,0))</f>
        <v>Clientes</v>
      </c>
      <c r="H2066" s="60" t="s">
        <v>20</v>
      </c>
    </row>
    <row r="2067" spans="1:8" ht="14.25" hidden="1" customHeight="1" x14ac:dyDescent="0.3">
      <c r="A2067" s="34" t="s">
        <v>50</v>
      </c>
      <c r="B2067" s="61" t="s">
        <v>155</v>
      </c>
      <c r="C2067" s="61" t="s">
        <v>157</v>
      </c>
      <c r="D2067" s="69"/>
      <c r="E2067" s="74"/>
      <c r="F2067" s="80">
        <f t="shared" si="1"/>
        <v>0</v>
      </c>
      <c r="G2067" s="61" t="str">
        <f>INDEX(SETORES!$B:$B,MATCH(A2067,SETORES!$A:$A,0))</f>
        <v>Clientes</v>
      </c>
      <c r="H2067" s="61" t="s">
        <v>20</v>
      </c>
    </row>
    <row r="2068" spans="1:8" ht="14.25" hidden="1" customHeight="1" x14ac:dyDescent="0.3">
      <c r="A2068" s="2" t="s">
        <v>50</v>
      </c>
      <c r="B2068" s="60" t="s">
        <v>162</v>
      </c>
      <c r="C2068" s="60" t="s">
        <v>209</v>
      </c>
      <c r="D2068" s="68">
        <v>12</v>
      </c>
      <c r="E2068" s="73">
        <v>89.55</v>
      </c>
      <c r="F2068" s="80">
        <f t="shared" si="1"/>
        <v>1074.5999999999999</v>
      </c>
      <c r="G2068" s="60" t="str">
        <f>INDEX(SETORES!$B:$B,MATCH(A2068,SETORES!$A:$A,0))</f>
        <v>Clientes</v>
      </c>
      <c r="H2068" s="60" t="s">
        <v>20</v>
      </c>
    </row>
    <row r="2069" spans="1:8" ht="14.25" hidden="1" customHeight="1" x14ac:dyDescent="0.3">
      <c r="A2069" s="2" t="s">
        <v>50</v>
      </c>
      <c r="B2069" s="60" t="s">
        <v>155</v>
      </c>
      <c r="C2069" s="60" t="s">
        <v>168</v>
      </c>
      <c r="D2069" s="68">
        <v>13</v>
      </c>
      <c r="E2069" s="73">
        <v>2.0699999999999998</v>
      </c>
      <c r="F2069" s="80">
        <f t="shared" si="1"/>
        <v>26.909999999999997</v>
      </c>
      <c r="G2069" s="60" t="str">
        <f>INDEX(SETORES!$B:$B,MATCH(A2069,SETORES!$A:$A,0))</f>
        <v>Clientes</v>
      </c>
      <c r="H2069" s="60" t="s">
        <v>20</v>
      </c>
    </row>
    <row r="2070" spans="1:8" ht="14.25" hidden="1" customHeight="1" x14ac:dyDescent="0.3">
      <c r="A2070" s="34" t="s">
        <v>50</v>
      </c>
      <c r="B2070" s="61" t="s">
        <v>155</v>
      </c>
      <c r="C2070" s="61" t="s">
        <v>160</v>
      </c>
      <c r="D2070" s="69"/>
      <c r="E2070" s="74"/>
      <c r="F2070" s="80">
        <f t="shared" si="1"/>
        <v>0</v>
      </c>
      <c r="G2070" s="61" t="str">
        <f>INDEX(SETORES!$B:$B,MATCH(A2070,SETORES!$A:$A,0))</f>
        <v>Clientes</v>
      </c>
      <c r="H2070" s="61" t="s">
        <v>20</v>
      </c>
    </row>
    <row r="2071" spans="1:8" ht="14.25" hidden="1" customHeight="1" x14ac:dyDescent="0.3">
      <c r="A2071" s="34" t="s">
        <v>36</v>
      </c>
      <c r="B2071" s="61" t="s">
        <v>155</v>
      </c>
      <c r="C2071" s="61" t="s">
        <v>159</v>
      </c>
      <c r="D2071" s="69">
        <v>1</v>
      </c>
      <c r="E2071" s="74">
        <v>0</v>
      </c>
      <c r="F2071" s="80">
        <v>0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34" t="s">
        <v>36</v>
      </c>
      <c r="B2072" s="61" t="s">
        <v>155</v>
      </c>
      <c r="C2072" s="61" t="s">
        <v>212</v>
      </c>
      <c r="D2072" s="69">
        <v>2</v>
      </c>
      <c r="E2072" s="74">
        <v>30</v>
      </c>
      <c r="F2072" s="80">
        <f>IFERROR(D2072*E2072,0)</f>
        <v>60</v>
      </c>
      <c r="G2072" s="61" t="str">
        <f>INDEX(SETORES!$B:$B,MATCH(A2072,SETORES!$A:$A,0))</f>
        <v>Clientes</v>
      </c>
      <c r="H2072" s="61" t="s">
        <v>20</v>
      </c>
    </row>
    <row r="2073" spans="1:8" ht="14.25" customHeight="1" x14ac:dyDescent="0.3">
      <c r="A2073" s="2" t="s">
        <v>36</v>
      </c>
      <c r="B2073" s="60" t="s">
        <v>155</v>
      </c>
      <c r="C2073" s="60" t="s">
        <v>171</v>
      </c>
      <c r="D2073" s="68">
        <v>8</v>
      </c>
      <c r="E2073" s="73">
        <v>47.79</v>
      </c>
      <c r="F2073" s="79">
        <f>IFERROR(D2073*E2073,0)</f>
        <v>382.32</v>
      </c>
      <c r="G2073" s="60" t="s">
        <v>98</v>
      </c>
      <c r="H2073" s="60" t="s">
        <v>20</v>
      </c>
    </row>
    <row r="2074" spans="1:8" ht="14.25" hidden="1" customHeight="1" x14ac:dyDescent="0.3">
      <c r="A2074" s="34" t="s">
        <v>36</v>
      </c>
      <c r="B2074" s="61" t="s">
        <v>155</v>
      </c>
      <c r="C2074" s="61" t="s">
        <v>170</v>
      </c>
      <c r="D2074" s="69">
        <v>8</v>
      </c>
      <c r="E2074" s="74">
        <v>28.31</v>
      </c>
      <c r="F2074" s="80">
        <f>IFERROR(D2074*E2074,0)</f>
        <v>226.48</v>
      </c>
      <c r="G2074" s="61" t="s">
        <v>98</v>
      </c>
      <c r="H2074" s="61" t="s">
        <v>20</v>
      </c>
    </row>
    <row r="2075" spans="1:8" ht="14.25" hidden="1" customHeight="1" x14ac:dyDescent="0.3">
      <c r="A2075" s="2" t="s">
        <v>36</v>
      </c>
      <c r="B2075" s="60" t="s">
        <v>155</v>
      </c>
      <c r="C2075" s="60" t="s">
        <v>169</v>
      </c>
      <c r="D2075" s="68">
        <v>8</v>
      </c>
      <c r="E2075" s="73">
        <v>64.569999999999993</v>
      </c>
      <c r="F2075" s="79">
        <f>IFERROR(D2075*E2075,0)</f>
        <v>516.55999999999995</v>
      </c>
      <c r="G2075" s="61" t="s">
        <v>98</v>
      </c>
      <c r="H2075" s="60" t="s">
        <v>20</v>
      </c>
    </row>
    <row r="2076" spans="1:8" ht="14.25" hidden="1" customHeight="1" x14ac:dyDescent="0.3">
      <c r="A2076" s="2" t="s">
        <v>36</v>
      </c>
      <c r="B2076" s="60" t="s">
        <v>155</v>
      </c>
      <c r="C2076" s="60" t="s">
        <v>158</v>
      </c>
      <c r="D2076" s="68">
        <v>1</v>
      </c>
      <c r="E2076" s="73">
        <v>59.575600000000001</v>
      </c>
      <c r="F2076" s="79">
        <v>59.575600000000001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34" t="s">
        <v>36</v>
      </c>
      <c r="B2077" s="61" t="s">
        <v>162</v>
      </c>
      <c r="C2077" s="61" t="s">
        <v>163</v>
      </c>
      <c r="D2077" s="69"/>
      <c r="E2077" s="74"/>
      <c r="F2077" s="80">
        <f>IFERROR(D2077*E2077,0)</f>
        <v>0</v>
      </c>
      <c r="G2077" s="61" t="str">
        <f>INDEX(SETORES!$B:$B,MATCH(A2077,SETORES!$A:$A,0))</f>
        <v>Clientes</v>
      </c>
      <c r="H2077" s="61" t="s">
        <v>20</v>
      </c>
    </row>
    <row r="2078" spans="1:8" ht="14.25" hidden="1" customHeight="1" x14ac:dyDescent="0.3">
      <c r="A2078" s="2" t="s">
        <v>36</v>
      </c>
      <c r="B2078" s="60" t="s">
        <v>162</v>
      </c>
      <c r="C2078" s="60" t="s">
        <v>164</v>
      </c>
      <c r="D2078" s="68">
        <v>1</v>
      </c>
      <c r="E2078" s="73">
        <v>68</v>
      </c>
      <c r="F2078" s="79">
        <f>IFERROR(D2078*E2078,0)</f>
        <v>68</v>
      </c>
      <c r="G2078" s="60" t="str">
        <f>INDEX(SETORES!$B:$B,MATCH(A2078,SETORES!$A:$A,0))</f>
        <v>Clientes</v>
      </c>
      <c r="H2078" s="60" t="s">
        <v>20</v>
      </c>
    </row>
    <row r="2079" spans="1:8" ht="14.25" hidden="1" customHeight="1" x14ac:dyDescent="0.3">
      <c r="A2079" s="34" t="s">
        <v>36</v>
      </c>
      <c r="B2079" s="61" t="s">
        <v>155</v>
      </c>
      <c r="C2079" s="61" t="s">
        <v>161</v>
      </c>
      <c r="D2079" s="69">
        <v>1</v>
      </c>
      <c r="E2079" s="74">
        <v>38547.99</v>
      </c>
      <c r="F2079" s="80">
        <f>IFERROR(E2079,0)</f>
        <v>38547.99</v>
      </c>
      <c r="G2079" s="61" t="str">
        <f>INDEX(SETORES!$B:$B,MATCH(A2079,SETORES!$A:$A,0))</f>
        <v>Clientes</v>
      </c>
      <c r="H2079" s="61" t="s">
        <v>20</v>
      </c>
    </row>
    <row r="2080" spans="1:8" ht="14.25" hidden="1" customHeight="1" x14ac:dyDescent="0.3">
      <c r="A2080" s="2" t="s">
        <v>36</v>
      </c>
      <c r="B2080" s="60" t="s">
        <v>155</v>
      </c>
      <c r="C2080" s="60" t="s">
        <v>167</v>
      </c>
      <c r="D2080" s="68">
        <v>8</v>
      </c>
      <c r="E2080" s="73">
        <v>10.050000000000001</v>
      </c>
      <c r="F2080" s="79">
        <f>IFERROR(D2080*E2080,0)</f>
        <v>80.400000000000006</v>
      </c>
      <c r="G2080" s="60" t="str">
        <f>INDEX(SETORES!$B:$B,MATCH(A2080,SETORES!$A:$A,0))</f>
        <v>Clientes</v>
      </c>
      <c r="H2080" s="60" t="s">
        <v>20</v>
      </c>
    </row>
    <row r="2081" spans="1:8" ht="14.25" hidden="1" customHeight="1" x14ac:dyDescent="0.3">
      <c r="A2081" s="34" t="s">
        <v>36</v>
      </c>
      <c r="B2081" s="61" t="s">
        <v>155</v>
      </c>
      <c r="C2081" s="61" t="s">
        <v>166</v>
      </c>
      <c r="D2081" s="69">
        <v>8</v>
      </c>
      <c r="E2081" s="74">
        <v>50</v>
      </c>
      <c r="F2081" s="80">
        <f>IFERROR(D2081*E2081,0)</f>
        <v>400</v>
      </c>
      <c r="G2081" s="61" t="str">
        <f>INDEX(SETORES!$B:$B,MATCH(A2081,SETORES!$A:$A,0))</f>
        <v>Clientes</v>
      </c>
      <c r="H2081" s="61" t="s">
        <v>20</v>
      </c>
    </row>
    <row r="2082" spans="1:8" ht="14.25" hidden="1" customHeight="1" x14ac:dyDescent="0.3">
      <c r="A2082" s="2" t="s">
        <v>36</v>
      </c>
      <c r="B2082" s="60" t="s">
        <v>155</v>
      </c>
      <c r="C2082" s="60" t="s">
        <v>219</v>
      </c>
      <c r="D2082" s="68">
        <v>1</v>
      </c>
      <c r="E2082" s="73">
        <v>29494.720000000001</v>
      </c>
      <c r="F2082" s="79">
        <f>IFERROR(D2082*E2082,0)</f>
        <v>29494.720000000001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2" t="s">
        <v>36</v>
      </c>
      <c r="B2083" s="60" t="s">
        <v>155</v>
      </c>
      <c r="C2083" s="60" t="s">
        <v>156</v>
      </c>
      <c r="D2083" s="68"/>
      <c r="E2083" s="73"/>
      <c r="F2083" s="79">
        <v>0</v>
      </c>
      <c r="G2083" s="60" t="str">
        <f>INDEX(SETORES!$B:$B,MATCH(A2083,SETORES!$A:$A,0))</f>
        <v>Clientes</v>
      </c>
      <c r="H2083" s="60" t="s">
        <v>20</v>
      </c>
    </row>
    <row r="2084" spans="1:8" ht="14.25" hidden="1" customHeight="1" x14ac:dyDescent="0.3">
      <c r="A2084" s="34" t="s">
        <v>36</v>
      </c>
      <c r="B2084" s="61" t="s">
        <v>155</v>
      </c>
      <c r="C2084" s="61" t="s">
        <v>157</v>
      </c>
      <c r="D2084" s="69"/>
      <c r="E2084" s="74"/>
      <c r="F2084" s="80">
        <v>0</v>
      </c>
      <c r="G2084" s="61" t="str">
        <f>INDEX(SETORES!$B:$B,MATCH(A2084,SETORES!$A:$A,0))</f>
        <v>Clientes</v>
      </c>
      <c r="H2084" s="61" t="s">
        <v>20</v>
      </c>
    </row>
    <row r="2085" spans="1:8" ht="14.25" hidden="1" customHeight="1" x14ac:dyDescent="0.3">
      <c r="A2085" s="2" t="s">
        <v>36</v>
      </c>
      <c r="B2085" s="60" t="s">
        <v>155</v>
      </c>
      <c r="C2085" s="60" t="s">
        <v>173</v>
      </c>
      <c r="D2085" s="68">
        <v>1</v>
      </c>
      <c r="E2085" s="73">
        <v>1614.4</v>
      </c>
      <c r="F2085" s="79">
        <f>IFERROR(D2085*E2085,0)</f>
        <v>1614.4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36</v>
      </c>
      <c r="B2086" s="61" t="s">
        <v>162</v>
      </c>
      <c r="C2086" s="61" t="s">
        <v>222</v>
      </c>
      <c r="D2086" s="69"/>
      <c r="E2086" s="74"/>
      <c r="F2086" s="80">
        <f>IFERROR(D2086*E2086,0)</f>
        <v>0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34" t="s">
        <v>36</v>
      </c>
      <c r="B2087" s="61" t="s">
        <v>155</v>
      </c>
      <c r="C2087" s="61" t="s">
        <v>168</v>
      </c>
      <c r="D2087" s="69">
        <v>8</v>
      </c>
      <c r="E2087" s="74">
        <v>2.0699999999999998</v>
      </c>
      <c r="F2087" s="80">
        <f>IFERROR(D2087*E2087,0)</f>
        <v>16.559999999999999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2" t="s">
        <v>36</v>
      </c>
      <c r="B2088" s="60" t="s">
        <v>155</v>
      </c>
      <c r="C2088" s="60" t="s">
        <v>160</v>
      </c>
      <c r="D2088" s="68"/>
      <c r="E2088" s="73"/>
      <c r="F2088" s="79">
        <f>IFERROR(D2088*E2088,0)</f>
        <v>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2" t="s">
        <v>81</v>
      </c>
      <c r="B2089" s="60" t="s">
        <v>155</v>
      </c>
      <c r="C2089" s="60" t="s">
        <v>212</v>
      </c>
      <c r="D2089" s="68">
        <v>2</v>
      </c>
      <c r="E2089" s="73">
        <v>30</v>
      </c>
      <c r="F2089" s="79">
        <f>IFERROR(D2089*E2089,0)</f>
        <v>60</v>
      </c>
      <c r="G2089" s="60" t="str">
        <f>INDEX(SETORES!$B:$B,MATCH(A2089,SETORES!$A:$A,0))</f>
        <v>Clientes</v>
      </c>
      <c r="H2089" s="60" t="s">
        <v>20</v>
      </c>
    </row>
    <row r="2090" spans="1:8" ht="14.25" customHeight="1" x14ac:dyDescent="0.3">
      <c r="A2090" s="34" t="s">
        <v>81</v>
      </c>
      <c r="B2090" s="61" t="s">
        <v>155</v>
      </c>
      <c r="C2090" s="61" t="s">
        <v>171</v>
      </c>
      <c r="D2090" s="69">
        <v>2</v>
      </c>
      <c r="E2090" s="74">
        <v>47.79</v>
      </c>
      <c r="F2090" s="80">
        <f>IFERROR(D2090*E2090,0)</f>
        <v>95.58</v>
      </c>
      <c r="G2090" s="60" t="s">
        <v>98</v>
      </c>
      <c r="H2090" s="61" t="s">
        <v>20</v>
      </c>
    </row>
    <row r="2091" spans="1:8" ht="14.25" hidden="1" customHeight="1" x14ac:dyDescent="0.3">
      <c r="A2091" s="2" t="s">
        <v>81</v>
      </c>
      <c r="B2091" s="60" t="s">
        <v>155</v>
      </c>
      <c r="C2091" s="60" t="s">
        <v>170</v>
      </c>
      <c r="D2091" s="68">
        <v>2</v>
      </c>
      <c r="E2091" s="73">
        <v>28.31</v>
      </c>
      <c r="F2091" s="79">
        <f>IFERROR(D2091*E2091,0)</f>
        <v>56.62</v>
      </c>
      <c r="G2091" s="61" t="s">
        <v>98</v>
      </c>
      <c r="H2091" s="60" t="s">
        <v>20</v>
      </c>
    </row>
    <row r="2092" spans="1:8" ht="14.25" hidden="1" customHeight="1" x14ac:dyDescent="0.3">
      <c r="A2092" s="2" t="s">
        <v>81</v>
      </c>
      <c r="B2092" s="60" t="s">
        <v>155</v>
      </c>
      <c r="C2092" s="60" t="s">
        <v>169</v>
      </c>
      <c r="D2092" s="68">
        <v>2</v>
      </c>
      <c r="E2092" s="73">
        <v>64.569999999999993</v>
      </c>
      <c r="F2092" s="79">
        <f>IFERROR(D2092*E2092,0)</f>
        <v>129.13999999999999</v>
      </c>
      <c r="G2092" s="61" t="s">
        <v>98</v>
      </c>
      <c r="H2092" s="60" t="s">
        <v>20</v>
      </c>
    </row>
    <row r="2093" spans="1:8" ht="14.25" hidden="1" customHeight="1" x14ac:dyDescent="0.3">
      <c r="A2093" s="2" t="s">
        <v>81</v>
      </c>
      <c r="B2093" s="60" t="s">
        <v>155</v>
      </c>
      <c r="C2093" s="60" t="s">
        <v>161</v>
      </c>
      <c r="D2093" s="68">
        <v>1</v>
      </c>
      <c r="E2093" s="73">
        <v>9414.74</v>
      </c>
      <c r="F2093" s="79">
        <f>IFERROR(E2093,0)</f>
        <v>9414.74</v>
      </c>
      <c r="G2093" s="60" t="str">
        <f>INDEX(SETORES!$B:$B,MATCH(A2093,SETORES!$A:$A,0))</f>
        <v>Clientes</v>
      </c>
      <c r="H2093" s="60" t="s">
        <v>20</v>
      </c>
    </row>
    <row r="2094" spans="1:8" ht="14.25" hidden="1" customHeight="1" x14ac:dyDescent="0.3">
      <c r="A2094" s="34" t="s">
        <v>81</v>
      </c>
      <c r="B2094" s="61" t="s">
        <v>155</v>
      </c>
      <c r="C2094" s="61" t="s">
        <v>167</v>
      </c>
      <c r="D2094" s="69">
        <v>2</v>
      </c>
      <c r="E2094" s="74">
        <v>10.050000000000001</v>
      </c>
      <c r="F2094" s="80">
        <f>IFERROR(D2094*E2094,0)</f>
        <v>20.100000000000001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81</v>
      </c>
      <c r="B2095" s="61" t="s">
        <v>155</v>
      </c>
      <c r="C2095" s="61" t="s">
        <v>238</v>
      </c>
      <c r="D2095" s="69">
        <v>1</v>
      </c>
      <c r="E2095" s="74">
        <v>2.2222219999999999</v>
      </c>
      <c r="F2095" s="80">
        <f>IFERROR(D2095*E2095,0)</f>
        <v>2.2222219999999999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34" t="s">
        <v>81</v>
      </c>
      <c r="B2096" s="61" t="s">
        <v>155</v>
      </c>
      <c r="C2096" s="61" t="s">
        <v>166</v>
      </c>
      <c r="D2096" s="69">
        <v>2</v>
      </c>
      <c r="E2096" s="74">
        <v>50</v>
      </c>
      <c r="F2096" s="80">
        <f>IFERROR(D2096*E2096,0)</f>
        <v>100</v>
      </c>
      <c r="G2096" s="61" t="str">
        <f>INDEX(SETORES!$B:$B,MATCH(A2096,SETORES!$A:$A,0))</f>
        <v>Clientes</v>
      </c>
      <c r="H2096" s="61" t="s">
        <v>20</v>
      </c>
    </row>
    <row r="2097" spans="1:8" ht="14.25" hidden="1" customHeight="1" x14ac:dyDescent="0.3">
      <c r="A2097" s="2" t="s">
        <v>81</v>
      </c>
      <c r="B2097" s="60" t="s">
        <v>162</v>
      </c>
      <c r="C2097" s="60" t="s">
        <v>222</v>
      </c>
      <c r="D2097" s="68"/>
      <c r="E2097" s="73"/>
      <c r="F2097" s="79">
        <f>IFERROR(D2097*E2097,0)</f>
        <v>0</v>
      </c>
      <c r="G2097" s="60" t="str">
        <f>INDEX(SETORES!$B:$B,MATCH(A2097,SETORES!$A:$A,0))</f>
        <v>Clientes</v>
      </c>
      <c r="H2097" s="60" t="s">
        <v>20</v>
      </c>
    </row>
    <row r="2098" spans="1:8" ht="14.25" hidden="1" customHeight="1" x14ac:dyDescent="0.3">
      <c r="A2098" s="2" t="s">
        <v>81</v>
      </c>
      <c r="B2098" s="60" t="s">
        <v>155</v>
      </c>
      <c r="C2098" s="60" t="s">
        <v>168</v>
      </c>
      <c r="D2098" s="68">
        <v>2</v>
      </c>
      <c r="E2098" s="73">
        <v>2.0699999999999998</v>
      </c>
      <c r="F2098" s="79">
        <f>IFERROR(D2098*E2098,0)</f>
        <v>4.1399999999999997</v>
      </c>
      <c r="G2098" s="60" t="str">
        <f>INDEX(SETORES!$B:$B,MATCH(A2098,SETORES!$A:$A,0))</f>
        <v>Clientes</v>
      </c>
      <c r="H2098" s="60" t="s">
        <v>20</v>
      </c>
    </row>
    <row r="2099" spans="1:8" ht="14.25" hidden="1" customHeight="1" x14ac:dyDescent="0.3">
      <c r="A2099" s="2" t="s">
        <v>82</v>
      </c>
      <c r="B2099" s="60" t="s">
        <v>162</v>
      </c>
      <c r="C2099" s="60" t="s">
        <v>217</v>
      </c>
      <c r="D2099" s="68">
        <v>1</v>
      </c>
      <c r="E2099" s="73">
        <v>14428.61</v>
      </c>
      <c r="F2099" s="79">
        <f>IFERROR(D2099*E2099,0)</f>
        <v>14428.61</v>
      </c>
      <c r="G2099" s="60" t="str">
        <f>INDEX(SETORES!$B:$B,MATCH(A2099,SETORES!$A:$A,0))</f>
        <v>Clientes</v>
      </c>
      <c r="H2099" s="60" t="s">
        <v>20</v>
      </c>
    </row>
    <row r="2100" spans="1:8" ht="14.25" hidden="1" customHeight="1" x14ac:dyDescent="0.3">
      <c r="A2100" s="34" t="s">
        <v>82</v>
      </c>
      <c r="B2100" s="61" t="s">
        <v>155</v>
      </c>
      <c r="C2100" s="61" t="s">
        <v>250</v>
      </c>
      <c r="D2100" s="69">
        <v>1</v>
      </c>
      <c r="E2100" s="74">
        <v>1632.05</v>
      </c>
      <c r="F2100" s="80">
        <f>IFERROR(D2100*E2100,0)</f>
        <v>1632.05</v>
      </c>
      <c r="G2100" s="61" t="str">
        <f>INDEX(SETORES!$B:$B,MATCH(A2100,SETORES!$A:$A,0))</f>
        <v>Clientes</v>
      </c>
      <c r="H2100" s="61" t="s">
        <v>20</v>
      </c>
    </row>
    <row r="2101" spans="1:8" ht="14.25" hidden="1" customHeight="1" x14ac:dyDescent="0.3">
      <c r="A2101" s="2" t="s">
        <v>82</v>
      </c>
      <c r="B2101" s="60" t="s">
        <v>155</v>
      </c>
      <c r="C2101" s="60" t="s">
        <v>251</v>
      </c>
      <c r="D2101" s="68">
        <v>1</v>
      </c>
      <c r="E2101" s="73">
        <v>3179.85</v>
      </c>
      <c r="F2101" s="79">
        <f>IFERROR(D2101*E2101,0)</f>
        <v>3179.85</v>
      </c>
      <c r="G2101" s="60" t="str">
        <f>INDEX(SETORES!$B:$B,MATCH(A2101,SETORES!$A:$A,0))</f>
        <v>Clientes</v>
      </c>
      <c r="H2101" s="60" t="s">
        <v>20</v>
      </c>
    </row>
    <row r="2102" spans="1:8" ht="14.25" customHeight="1" x14ac:dyDescent="0.3">
      <c r="A2102" s="34" t="s">
        <v>82</v>
      </c>
      <c r="B2102" s="61" t="s">
        <v>155</v>
      </c>
      <c r="C2102" s="61" t="s">
        <v>171</v>
      </c>
      <c r="D2102" s="69">
        <v>9</v>
      </c>
      <c r="E2102" s="74">
        <v>47.79</v>
      </c>
      <c r="F2102" s="80">
        <f>IFERROR(D2102*E2102,0)</f>
        <v>430.11</v>
      </c>
      <c r="G2102" s="60" t="s">
        <v>98</v>
      </c>
      <c r="H2102" s="61" t="s">
        <v>20</v>
      </c>
    </row>
    <row r="2103" spans="1:8" ht="14.25" hidden="1" customHeight="1" x14ac:dyDescent="0.3">
      <c r="A2103" s="2" t="s">
        <v>82</v>
      </c>
      <c r="B2103" s="60" t="s">
        <v>155</v>
      </c>
      <c r="C2103" s="60" t="s">
        <v>170</v>
      </c>
      <c r="D2103" s="68">
        <v>9</v>
      </c>
      <c r="E2103" s="73">
        <v>28.31</v>
      </c>
      <c r="F2103" s="79">
        <f>IFERROR(D2103*E2103,0)</f>
        <v>254.79</v>
      </c>
      <c r="G2103" s="61" t="s">
        <v>98</v>
      </c>
      <c r="H2103" s="60" t="s">
        <v>20</v>
      </c>
    </row>
    <row r="2104" spans="1:8" ht="14.25" hidden="1" customHeight="1" x14ac:dyDescent="0.3">
      <c r="A2104" s="2" t="s">
        <v>82</v>
      </c>
      <c r="B2104" s="60" t="s">
        <v>155</v>
      </c>
      <c r="C2104" s="60" t="s">
        <v>169</v>
      </c>
      <c r="D2104" s="68">
        <v>9</v>
      </c>
      <c r="E2104" s="73">
        <v>64.569999999999993</v>
      </c>
      <c r="F2104" s="79">
        <f>IFERROR(D2104*E2104,0)</f>
        <v>581.12999999999988</v>
      </c>
      <c r="G2104" s="61" t="s">
        <v>98</v>
      </c>
      <c r="H2104" s="60" t="s">
        <v>20</v>
      </c>
    </row>
    <row r="2105" spans="1:8" ht="14.25" hidden="1" customHeight="1" x14ac:dyDescent="0.3">
      <c r="A2105" s="34" t="s">
        <v>82</v>
      </c>
      <c r="B2105" s="61" t="s">
        <v>162</v>
      </c>
      <c r="C2105" s="61" t="s">
        <v>221</v>
      </c>
      <c r="D2105" s="69">
        <v>1</v>
      </c>
      <c r="E2105" s="74">
        <v>1397</v>
      </c>
      <c r="F2105" s="80">
        <f>IFERROR(D2105*E2105,0)</f>
        <v>1397</v>
      </c>
      <c r="G2105" s="61" t="str">
        <f>INDEX(SETORES!$B:$B,MATCH(A2105,SETORES!$A:$A,0))</f>
        <v>Clientes</v>
      </c>
      <c r="H2105" s="61" t="s">
        <v>20</v>
      </c>
    </row>
    <row r="2106" spans="1:8" ht="14.25" hidden="1" customHeight="1" x14ac:dyDescent="0.3">
      <c r="A2106" s="34" t="s">
        <v>82</v>
      </c>
      <c r="B2106" s="61" t="s">
        <v>155</v>
      </c>
      <c r="C2106" s="61" t="s">
        <v>161</v>
      </c>
      <c r="D2106" s="69">
        <v>1</v>
      </c>
      <c r="E2106" s="74">
        <v>51299.35</v>
      </c>
      <c r="F2106" s="80">
        <f>IFERROR(E2106,0)</f>
        <v>51299.35</v>
      </c>
      <c r="G2106" s="61" t="str">
        <f>INDEX(SETORES!$B:$B,MATCH(A2106,SETORES!$A:$A,0))</f>
        <v>Clientes</v>
      </c>
      <c r="H2106" s="61" t="s">
        <v>20</v>
      </c>
    </row>
    <row r="2107" spans="1:8" ht="14.25" hidden="1" customHeight="1" x14ac:dyDescent="0.3">
      <c r="A2107" s="34" t="s">
        <v>82</v>
      </c>
      <c r="B2107" s="61" t="s">
        <v>155</v>
      </c>
      <c r="C2107" s="61" t="s">
        <v>167</v>
      </c>
      <c r="D2107" s="69">
        <v>9</v>
      </c>
      <c r="E2107" s="74">
        <v>10.050000000000001</v>
      </c>
      <c r="F2107" s="80">
        <f>IFERROR(D2107*E2107,0)</f>
        <v>90.45</v>
      </c>
      <c r="G2107" s="61" t="str">
        <f>INDEX(SETORES!$B:$B,MATCH(A2107,SETORES!$A:$A,0))</f>
        <v>Clientes</v>
      </c>
      <c r="H2107" s="61" t="s">
        <v>20</v>
      </c>
    </row>
    <row r="2108" spans="1:8" ht="14.25" hidden="1" customHeight="1" x14ac:dyDescent="0.3">
      <c r="A2108" s="34" t="s">
        <v>82</v>
      </c>
      <c r="B2108" s="61" t="s">
        <v>155</v>
      </c>
      <c r="C2108" s="61" t="s">
        <v>166</v>
      </c>
      <c r="D2108" s="69">
        <v>10</v>
      </c>
      <c r="E2108" s="74">
        <v>50</v>
      </c>
      <c r="F2108" s="80">
        <f>IFERROR(D2108*E2108,0)</f>
        <v>500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34" t="s">
        <v>82</v>
      </c>
      <c r="B2109" s="61" t="s">
        <v>162</v>
      </c>
      <c r="C2109" s="61" t="s">
        <v>222</v>
      </c>
      <c r="D2109" s="69"/>
      <c r="E2109" s="74"/>
      <c r="F2109" s="80">
        <f>IFERROR(D2109*E2109,0)</f>
        <v>0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2" t="s">
        <v>82</v>
      </c>
      <c r="B2110" s="60" t="s">
        <v>155</v>
      </c>
      <c r="C2110" s="60" t="s">
        <v>168</v>
      </c>
      <c r="D2110" s="68">
        <v>9</v>
      </c>
      <c r="E2110" s="73">
        <v>2.0699999999999998</v>
      </c>
      <c r="F2110" s="79">
        <f>IFERROR(D2110*E2110,0)</f>
        <v>18.63</v>
      </c>
      <c r="G2110" s="60" t="str">
        <f>INDEX(SETORES!$B:$B,MATCH(A2110,SETORES!$A:$A,0))</f>
        <v>Clientes</v>
      </c>
      <c r="H2110" s="60" t="s">
        <v>20</v>
      </c>
    </row>
    <row r="2111" spans="1:8" ht="14.25" hidden="1" customHeight="1" x14ac:dyDescent="0.3">
      <c r="A2111" s="34" t="s">
        <v>34</v>
      </c>
      <c r="B2111" s="61" t="s">
        <v>155</v>
      </c>
      <c r="C2111" s="61" t="s">
        <v>159</v>
      </c>
      <c r="D2111" s="69">
        <v>1</v>
      </c>
      <c r="E2111" s="74">
        <v>0</v>
      </c>
      <c r="F2111" s="80">
        <v>0</v>
      </c>
      <c r="G2111" s="61" t="str">
        <f>INDEX(SETORES!$B:$B,MATCH(A2111,SETORES!$A:$A,0))</f>
        <v>Clientes</v>
      </c>
      <c r="H2111" s="61" t="s">
        <v>20</v>
      </c>
    </row>
    <row r="2112" spans="1:8" ht="14.25" hidden="1" customHeight="1" x14ac:dyDescent="0.3">
      <c r="A2112" s="34" t="s">
        <v>34</v>
      </c>
      <c r="B2112" s="61" t="s">
        <v>155</v>
      </c>
      <c r="C2112" s="61" t="s">
        <v>212</v>
      </c>
      <c r="D2112" s="69">
        <v>2</v>
      </c>
      <c r="E2112" s="74">
        <v>30</v>
      </c>
      <c r="F2112" s="80">
        <f>IFERROR(D2112*E2112,0)</f>
        <v>60</v>
      </c>
      <c r="G2112" s="61" t="str">
        <f>INDEX(SETORES!$B:$B,MATCH(A2112,SETORES!$A:$A,0))</f>
        <v>Clientes</v>
      </c>
      <c r="H2112" s="61" t="s">
        <v>20</v>
      </c>
    </row>
    <row r="2113" spans="1:8" ht="14.25" hidden="1" customHeight="1" x14ac:dyDescent="0.3">
      <c r="A2113" s="2" t="s">
        <v>34</v>
      </c>
      <c r="B2113" s="60" t="s">
        <v>155</v>
      </c>
      <c r="C2113" s="60" t="s">
        <v>248</v>
      </c>
      <c r="D2113" s="68">
        <v>1</v>
      </c>
      <c r="E2113" s="73">
        <v>2821.6</v>
      </c>
      <c r="F2113" s="79">
        <f>IFERROR(D2113*E2113,0)</f>
        <v>2821.6</v>
      </c>
      <c r="G2113" s="60" t="str">
        <f>INDEX(SETORES!$B:$B,MATCH(A2113,SETORES!$A:$A,0))</f>
        <v>Clientes</v>
      </c>
      <c r="H2113" s="60" t="s">
        <v>20</v>
      </c>
    </row>
    <row r="2114" spans="1:8" ht="14.25" customHeight="1" x14ac:dyDescent="0.3">
      <c r="A2114" s="2" t="s">
        <v>34</v>
      </c>
      <c r="B2114" s="60" t="s">
        <v>155</v>
      </c>
      <c r="C2114" s="60" t="s">
        <v>171</v>
      </c>
      <c r="D2114" s="68">
        <v>5</v>
      </c>
      <c r="E2114" s="73">
        <v>47.79</v>
      </c>
      <c r="F2114" s="79">
        <f>IFERROR(D2114*E2114,0)</f>
        <v>238.95</v>
      </c>
      <c r="G2114" s="60" t="s">
        <v>98</v>
      </c>
      <c r="H2114" s="60" t="s">
        <v>20</v>
      </c>
    </row>
    <row r="2115" spans="1:8" ht="14.25" hidden="1" customHeight="1" x14ac:dyDescent="0.3">
      <c r="A2115" s="34" t="s">
        <v>34</v>
      </c>
      <c r="B2115" s="61" t="s">
        <v>155</v>
      </c>
      <c r="C2115" s="61" t="s">
        <v>170</v>
      </c>
      <c r="D2115" s="69">
        <v>5</v>
      </c>
      <c r="E2115" s="74">
        <v>28.31</v>
      </c>
      <c r="F2115" s="80">
        <f>IFERROR(D2115*E2115,0)</f>
        <v>141.54999999999998</v>
      </c>
      <c r="G2115" s="61" t="s">
        <v>98</v>
      </c>
      <c r="H2115" s="61" t="s">
        <v>20</v>
      </c>
    </row>
    <row r="2116" spans="1:8" ht="14.25" hidden="1" customHeight="1" x14ac:dyDescent="0.3">
      <c r="A2116" s="2" t="s">
        <v>34</v>
      </c>
      <c r="B2116" s="60" t="s">
        <v>155</v>
      </c>
      <c r="C2116" s="60" t="s">
        <v>169</v>
      </c>
      <c r="D2116" s="68">
        <v>5</v>
      </c>
      <c r="E2116" s="73">
        <v>64.569999999999993</v>
      </c>
      <c r="F2116" s="79">
        <f>IFERROR(D2116*E2116,0)</f>
        <v>322.84999999999997</v>
      </c>
      <c r="G2116" s="61" t="s">
        <v>98</v>
      </c>
      <c r="H2116" s="60" t="s">
        <v>20</v>
      </c>
    </row>
    <row r="2117" spans="1:8" ht="14.25" hidden="1" customHeight="1" x14ac:dyDescent="0.3">
      <c r="A2117" s="2" t="s">
        <v>34</v>
      </c>
      <c r="B2117" s="60" t="s">
        <v>155</v>
      </c>
      <c r="C2117" s="60" t="s">
        <v>158</v>
      </c>
      <c r="D2117" s="68">
        <v>1</v>
      </c>
      <c r="E2117" s="73">
        <v>42.554000000000002</v>
      </c>
      <c r="F2117" s="79">
        <v>42.554000000000002</v>
      </c>
      <c r="G2117" s="60" t="str">
        <f>INDEX(SETORES!$B:$B,MATCH(A2117,SETORES!$A:$A,0))</f>
        <v>Clientes</v>
      </c>
      <c r="H2117" s="60" t="s">
        <v>20</v>
      </c>
    </row>
    <row r="2118" spans="1:8" ht="14.25" hidden="1" customHeight="1" x14ac:dyDescent="0.3">
      <c r="A2118" s="2" t="s">
        <v>34</v>
      </c>
      <c r="B2118" s="60" t="s">
        <v>162</v>
      </c>
      <c r="C2118" s="60" t="s">
        <v>165</v>
      </c>
      <c r="D2118" s="68"/>
      <c r="E2118" s="73"/>
      <c r="F2118" s="79">
        <f>IFERROR(D2118*E2118,0)</f>
        <v>0</v>
      </c>
      <c r="G2118" s="60" t="str">
        <f>INDEX(SETORES!$B:$B,MATCH(A2118,SETORES!$A:$A,0))</f>
        <v>Clientes</v>
      </c>
      <c r="H2118" s="60" t="s">
        <v>20</v>
      </c>
    </row>
    <row r="2119" spans="1:8" ht="14.25" hidden="1" customHeight="1" x14ac:dyDescent="0.3">
      <c r="A2119" s="2" t="s">
        <v>34</v>
      </c>
      <c r="B2119" s="60" t="s">
        <v>162</v>
      </c>
      <c r="C2119" s="60" t="s">
        <v>163</v>
      </c>
      <c r="D2119" s="68">
        <v>1</v>
      </c>
      <c r="E2119" s="73">
        <v>174</v>
      </c>
      <c r="F2119" s="79">
        <f>IFERROR(D2119*E2119,0)</f>
        <v>174</v>
      </c>
      <c r="G2119" s="60" t="str">
        <f>INDEX(SETORES!$B:$B,MATCH(A2119,SETORES!$A:$A,0))</f>
        <v>Clientes</v>
      </c>
      <c r="H2119" s="60" t="s">
        <v>20</v>
      </c>
    </row>
    <row r="2120" spans="1:8" ht="14.25" hidden="1" customHeight="1" x14ac:dyDescent="0.3">
      <c r="A2120" s="34" t="s">
        <v>34</v>
      </c>
      <c r="B2120" s="61" t="s">
        <v>162</v>
      </c>
      <c r="C2120" s="61" t="s">
        <v>164</v>
      </c>
      <c r="D2120" s="69">
        <v>1</v>
      </c>
      <c r="E2120" s="74">
        <v>38</v>
      </c>
      <c r="F2120" s="80">
        <f>IFERROR(D2120*E2120,0)</f>
        <v>38</v>
      </c>
      <c r="G2120" s="61" t="str">
        <f>INDEX(SETORES!$B:$B,MATCH(A2120,SETORES!$A:$A,0))</f>
        <v>Clientes</v>
      </c>
      <c r="H2120" s="61" t="s">
        <v>20</v>
      </c>
    </row>
    <row r="2121" spans="1:8" ht="14.25" hidden="1" customHeight="1" x14ac:dyDescent="0.3">
      <c r="A2121" s="34" t="s">
        <v>34</v>
      </c>
      <c r="B2121" s="61" t="s">
        <v>155</v>
      </c>
      <c r="C2121" s="61" t="s">
        <v>161</v>
      </c>
      <c r="D2121" s="69">
        <v>1</v>
      </c>
      <c r="E2121" s="74">
        <v>15762.09</v>
      </c>
      <c r="F2121" s="80">
        <f>IFERROR(E2121,0)</f>
        <v>15762.09</v>
      </c>
      <c r="G2121" s="61" t="str">
        <f>INDEX(SETORES!$B:$B,MATCH(A2121,SETORES!$A:$A,0))</f>
        <v>Clientes</v>
      </c>
      <c r="H2121" s="61" t="s">
        <v>20</v>
      </c>
    </row>
    <row r="2122" spans="1:8" ht="14.25" hidden="1" customHeight="1" x14ac:dyDescent="0.3">
      <c r="A2122" s="2" t="s">
        <v>34</v>
      </c>
      <c r="B2122" s="60" t="s">
        <v>155</v>
      </c>
      <c r="C2122" s="60" t="s">
        <v>167</v>
      </c>
      <c r="D2122" s="68">
        <v>5</v>
      </c>
      <c r="E2122" s="73">
        <v>10.050000000000001</v>
      </c>
      <c r="F2122" s="79">
        <f>IFERROR(D2122*E2122,0)</f>
        <v>50.25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34" t="s">
        <v>34</v>
      </c>
      <c r="B2123" s="61" t="s">
        <v>155</v>
      </c>
      <c r="C2123" s="61" t="s">
        <v>238</v>
      </c>
      <c r="D2123" s="69">
        <v>1</v>
      </c>
      <c r="E2123" s="74">
        <v>5.555555</v>
      </c>
      <c r="F2123" s="80">
        <f>IFERROR(D2123*E2123,0)</f>
        <v>5.555555</v>
      </c>
      <c r="G2123" s="61" t="str">
        <f>INDEX(SETORES!$B:$B,MATCH(A2123,SETORES!$A:$A,0))</f>
        <v>Clientes</v>
      </c>
      <c r="H2123" s="61" t="s">
        <v>20</v>
      </c>
    </row>
    <row r="2124" spans="1:8" ht="14.25" hidden="1" customHeight="1" x14ac:dyDescent="0.3">
      <c r="A2124" s="34" t="s">
        <v>34</v>
      </c>
      <c r="B2124" s="61" t="s">
        <v>155</v>
      </c>
      <c r="C2124" s="61" t="s">
        <v>166</v>
      </c>
      <c r="D2124" s="69">
        <v>8</v>
      </c>
      <c r="E2124" s="74">
        <v>50</v>
      </c>
      <c r="F2124" s="80">
        <f>IFERROR(D2124*E2124,0)</f>
        <v>400</v>
      </c>
      <c r="G2124" s="61" t="str">
        <f>INDEX(SETORES!$B:$B,MATCH(A2124,SETORES!$A:$A,0))</f>
        <v>Clientes</v>
      </c>
      <c r="H2124" s="61" t="s">
        <v>20</v>
      </c>
    </row>
    <row r="2125" spans="1:8" ht="14.25" hidden="1" customHeight="1" x14ac:dyDescent="0.3">
      <c r="A2125" s="2" t="s">
        <v>34</v>
      </c>
      <c r="B2125" s="60" t="s">
        <v>155</v>
      </c>
      <c r="C2125" s="60" t="s">
        <v>156</v>
      </c>
      <c r="D2125" s="68"/>
      <c r="E2125" s="73"/>
      <c r="F2125" s="79">
        <v>0</v>
      </c>
      <c r="G2125" s="60" t="str">
        <f>INDEX(SETORES!$B:$B,MATCH(A2125,SETORES!$A:$A,0))</f>
        <v>Clientes</v>
      </c>
      <c r="H2125" s="60" t="s">
        <v>20</v>
      </c>
    </row>
    <row r="2126" spans="1:8" ht="14.25" hidden="1" customHeight="1" x14ac:dyDescent="0.3">
      <c r="A2126" s="34" t="s">
        <v>34</v>
      </c>
      <c r="B2126" s="61" t="s">
        <v>155</v>
      </c>
      <c r="C2126" s="61" t="s">
        <v>157</v>
      </c>
      <c r="D2126" s="69">
        <v>1</v>
      </c>
      <c r="E2126" s="74">
        <v>130.4</v>
      </c>
      <c r="F2126" s="80">
        <v>130.4</v>
      </c>
      <c r="G2126" s="61" t="str">
        <f>INDEX(SETORES!$B:$B,MATCH(A2126,SETORES!$A:$A,0))</f>
        <v>Clientes</v>
      </c>
      <c r="H2126" s="61" t="s">
        <v>20</v>
      </c>
    </row>
    <row r="2127" spans="1:8" ht="14.25" hidden="1" customHeight="1" x14ac:dyDescent="0.3">
      <c r="A2127" s="2" t="s">
        <v>34</v>
      </c>
      <c r="B2127" s="60" t="s">
        <v>162</v>
      </c>
      <c r="C2127" s="60" t="s">
        <v>222</v>
      </c>
      <c r="D2127" s="68"/>
      <c r="E2127" s="73"/>
      <c r="F2127" s="79">
        <f>IFERROR(D2127*E2127,0)</f>
        <v>0</v>
      </c>
      <c r="G2127" s="60" t="str">
        <f>INDEX(SETORES!$B:$B,MATCH(A2127,SETORES!$A:$A,0))</f>
        <v>Clientes</v>
      </c>
      <c r="H2127" s="60" t="s">
        <v>20</v>
      </c>
    </row>
    <row r="2128" spans="1:8" ht="14.25" hidden="1" customHeight="1" x14ac:dyDescent="0.3">
      <c r="A2128" s="34" t="s">
        <v>34</v>
      </c>
      <c r="B2128" s="61" t="s">
        <v>155</v>
      </c>
      <c r="C2128" s="61" t="s">
        <v>168</v>
      </c>
      <c r="D2128" s="69">
        <v>5</v>
      </c>
      <c r="E2128" s="74">
        <v>2.0699999999999998</v>
      </c>
      <c r="F2128" s="80">
        <f>IFERROR(D2128*E2128,0)</f>
        <v>10.35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2" t="s">
        <v>34</v>
      </c>
      <c r="B2129" s="60" t="s">
        <v>155</v>
      </c>
      <c r="C2129" s="60" t="s">
        <v>160</v>
      </c>
      <c r="D2129" s="68"/>
      <c r="E2129" s="73"/>
      <c r="F2129" s="79">
        <f>IFERROR(D2129*E2129,0)</f>
        <v>0</v>
      </c>
      <c r="G2129" s="60" t="str">
        <f>INDEX(SETORES!$B:$B,MATCH(A2129,SETORES!$A:$A,0))</f>
        <v>Clientes</v>
      </c>
      <c r="H2129" s="60" t="s">
        <v>20</v>
      </c>
    </row>
    <row r="2130" spans="1:8" ht="14.25" hidden="1" customHeight="1" x14ac:dyDescent="0.3">
      <c r="A2130" s="2" t="s">
        <v>83</v>
      </c>
      <c r="B2130" s="60" t="s">
        <v>155</v>
      </c>
      <c r="C2130" s="60" t="s">
        <v>212</v>
      </c>
      <c r="D2130" s="68">
        <v>2</v>
      </c>
      <c r="E2130" s="73">
        <v>30</v>
      </c>
      <c r="F2130" s="79">
        <f>IFERROR(D2130*E2130,0)</f>
        <v>60</v>
      </c>
      <c r="G2130" s="60" t="str">
        <f>INDEX(SETORES!$B:$B,MATCH(A2130,SETORES!$A:$A,0))</f>
        <v>Clientes</v>
      </c>
      <c r="H2130" s="60" t="s">
        <v>20</v>
      </c>
    </row>
    <row r="2131" spans="1:8" ht="14.25" hidden="1" customHeight="1" x14ac:dyDescent="0.3">
      <c r="A2131" s="34" t="s">
        <v>83</v>
      </c>
      <c r="B2131" s="61" t="s">
        <v>155</v>
      </c>
      <c r="C2131" s="61" t="s">
        <v>237</v>
      </c>
      <c r="D2131" s="69">
        <v>1</v>
      </c>
      <c r="E2131" s="74">
        <v>7500</v>
      </c>
      <c r="F2131" s="80">
        <f>IFERROR(D2131*E2131,0)</f>
        <v>7500</v>
      </c>
      <c r="G2131" s="61" t="str">
        <f>INDEX(SETORES!$B:$B,MATCH(A2131,SETORES!$A:$A,0))</f>
        <v>Clientes</v>
      </c>
      <c r="H2131" s="61" t="s">
        <v>20</v>
      </c>
    </row>
    <row r="2132" spans="1:8" ht="14.25" customHeight="1" x14ac:dyDescent="0.3">
      <c r="A2132" s="34" t="s">
        <v>83</v>
      </c>
      <c r="B2132" s="61" t="s">
        <v>155</v>
      </c>
      <c r="C2132" s="61" t="s">
        <v>171</v>
      </c>
      <c r="D2132" s="69">
        <v>2</v>
      </c>
      <c r="E2132" s="74">
        <v>47.79</v>
      </c>
      <c r="F2132" s="80">
        <f>IFERROR(D2132*E2132,0)</f>
        <v>95.58</v>
      </c>
      <c r="G2132" s="60" t="s">
        <v>98</v>
      </c>
      <c r="H2132" s="61" t="s">
        <v>20</v>
      </c>
    </row>
    <row r="2133" spans="1:8" ht="14.25" hidden="1" customHeight="1" x14ac:dyDescent="0.3">
      <c r="A2133" s="2" t="s">
        <v>83</v>
      </c>
      <c r="B2133" s="60" t="s">
        <v>155</v>
      </c>
      <c r="C2133" s="60" t="s">
        <v>170</v>
      </c>
      <c r="D2133" s="68">
        <v>2</v>
      </c>
      <c r="E2133" s="73">
        <v>28.31</v>
      </c>
      <c r="F2133" s="79">
        <f>IFERROR(D2133*E2133,0)</f>
        <v>56.62</v>
      </c>
      <c r="G2133" s="61" t="s">
        <v>98</v>
      </c>
      <c r="H2133" s="60" t="s">
        <v>20</v>
      </c>
    </row>
    <row r="2134" spans="1:8" ht="14.25" hidden="1" customHeight="1" x14ac:dyDescent="0.3">
      <c r="A2134" s="2" t="s">
        <v>83</v>
      </c>
      <c r="B2134" s="60" t="s">
        <v>155</v>
      </c>
      <c r="C2134" s="60" t="s">
        <v>169</v>
      </c>
      <c r="D2134" s="68">
        <v>2</v>
      </c>
      <c r="E2134" s="73">
        <v>64.569999999999993</v>
      </c>
      <c r="F2134" s="79">
        <f>IFERROR(D2134*E2134,0)</f>
        <v>129.13999999999999</v>
      </c>
      <c r="G2134" s="61" t="s">
        <v>98</v>
      </c>
      <c r="H2134" s="60" t="s">
        <v>20</v>
      </c>
    </row>
    <row r="2135" spans="1:8" ht="14.25" hidden="1" customHeight="1" x14ac:dyDescent="0.3">
      <c r="A2135" s="34" t="s">
        <v>83</v>
      </c>
      <c r="B2135" s="61" t="s">
        <v>155</v>
      </c>
      <c r="C2135" s="61" t="s">
        <v>161</v>
      </c>
      <c r="D2135" s="69">
        <v>1</v>
      </c>
      <c r="E2135" s="74">
        <v>4665.95</v>
      </c>
      <c r="F2135" s="80">
        <f>IFERROR(E2135,0)</f>
        <v>4665.95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34" t="s">
        <v>83</v>
      </c>
      <c r="B2136" s="61" t="s">
        <v>155</v>
      </c>
      <c r="C2136" s="61" t="s">
        <v>167</v>
      </c>
      <c r="D2136" s="69">
        <v>2</v>
      </c>
      <c r="E2136" s="74">
        <v>10.050000000000001</v>
      </c>
      <c r="F2136" s="80">
        <f>IFERROR(D2136*E2136,0)</f>
        <v>20.100000000000001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34" t="s">
        <v>83</v>
      </c>
      <c r="B2137" s="61" t="s">
        <v>155</v>
      </c>
      <c r="C2137" s="61" t="s">
        <v>166</v>
      </c>
      <c r="D2137" s="69">
        <v>2</v>
      </c>
      <c r="E2137" s="74">
        <v>50</v>
      </c>
      <c r="F2137" s="80">
        <f>IFERROR(D2137*E2137,0)</f>
        <v>100</v>
      </c>
      <c r="G2137" s="61" t="str">
        <f>INDEX(SETORES!$B:$B,MATCH(A2137,SETORES!$A:$A,0))</f>
        <v>Clientes</v>
      </c>
      <c r="H2137" s="61" t="s">
        <v>20</v>
      </c>
    </row>
    <row r="2138" spans="1:8" ht="14.25" hidden="1" customHeight="1" x14ac:dyDescent="0.3">
      <c r="A2138" s="34" t="s">
        <v>83</v>
      </c>
      <c r="B2138" s="61" t="s">
        <v>162</v>
      </c>
      <c r="C2138" s="61" t="s">
        <v>222</v>
      </c>
      <c r="D2138" s="69"/>
      <c r="E2138" s="74"/>
      <c r="F2138" s="80">
        <f>IFERROR(D2138*E2138,0)</f>
        <v>0</v>
      </c>
      <c r="G2138" s="61" t="str">
        <f>INDEX(SETORES!$B:$B,MATCH(A2138,SETORES!$A:$A,0))</f>
        <v>Clientes</v>
      </c>
      <c r="H2138" s="61" t="s">
        <v>20</v>
      </c>
    </row>
    <row r="2139" spans="1:8" ht="14.25" hidden="1" customHeight="1" x14ac:dyDescent="0.3">
      <c r="A2139" s="2" t="s">
        <v>83</v>
      </c>
      <c r="B2139" s="60" t="s">
        <v>155</v>
      </c>
      <c r="C2139" s="60" t="s">
        <v>168</v>
      </c>
      <c r="D2139" s="68">
        <v>2</v>
      </c>
      <c r="E2139" s="73">
        <v>2.0699999999999998</v>
      </c>
      <c r="F2139" s="79">
        <f>IFERROR(D2139*E2139,0)</f>
        <v>4.1399999999999997</v>
      </c>
      <c r="G2139" s="60" t="str">
        <f>INDEX(SETORES!$B:$B,MATCH(A2139,SETORES!$A:$A,0))</f>
        <v>Clientes</v>
      </c>
      <c r="H2139" s="60" t="s">
        <v>20</v>
      </c>
    </row>
    <row r="2140" spans="1:8" ht="14.25" hidden="1" customHeight="1" x14ac:dyDescent="0.3">
      <c r="A2140" s="2" t="s">
        <v>84</v>
      </c>
      <c r="B2140" s="60" t="s">
        <v>162</v>
      </c>
      <c r="C2140" s="60" t="s">
        <v>217</v>
      </c>
      <c r="D2140" s="68">
        <v>1</v>
      </c>
      <c r="E2140" s="73">
        <v>13697.37</v>
      </c>
      <c r="F2140" s="79">
        <f>IFERROR(D2140*E2140,0)</f>
        <v>13697.37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84</v>
      </c>
      <c r="B2141" s="60" t="s">
        <v>155</v>
      </c>
      <c r="C2141" s="60" t="s">
        <v>250</v>
      </c>
      <c r="D2141" s="68">
        <v>1</v>
      </c>
      <c r="E2141" s="73">
        <v>3989.44</v>
      </c>
      <c r="F2141" s="79">
        <f>IFERROR(D2141*E2141,0)</f>
        <v>3989.44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34" t="s">
        <v>84</v>
      </c>
      <c r="B2142" s="61" t="s">
        <v>155</v>
      </c>
      <c r="C2142" s="61" t="s">
        <v>251</v>
      </c>
      <c r="D2142" s="69">
        <v>1</v>
      </c>
      <c r="E2142" s="74">
        <v>7772.95</v>
      </c>
      <c r="F2142" s="80">
        <f>IFERROR(D2142*E2142,0)</f>
        <v>7772.95</v>
      </c>
      <c r="G2142" s="61" t="str">
        <f>INDEX(SETORES!$B:$B,MATCH(A2142,SETORES!$A:$A,0))</f>
        <v>Clientes</v>
      </c>
      <c r="H2142" s="61" t="s">
        <v>20</v>
      </c>
    </row>
    <row r="2143" spans="1:8" ht="14.25" customHeight="1" x14ac:dyDescent="0.3">
      <c r="A2143" s="34" t="s">
        <v>84</v>
      </c>
      <c r="B2143" s="61" t="s">
        <v>155</v>
      </c>
      <c r="C2143" s="61" t="s">
        <v>171</v>
      </c>
      <c r="D2143" s="69">
        <v>22</v>
      </c>
      <c r="E2143" s="74">
        <v>47.79</v>
      </c>
      <c r="F2143" s="80">
        <f>IFERROR(D2143*E2143,0)</f>
        <v>1051.3799999999999</v>
      </c>
      <c r="G2143" s="60" t="s">
        <v>98</v>
      </c>
      <c r="H2143" s="61" t="s">
        <v>20</v>
      </c>
    </row>
    <row r="2144" spans="1:8" ht="14.25" hidden="1" customHeight="1" x14ac:dyDescent="0.3">
      <c r="A2144" s="2" t="s">
        <v>84</v>
      </c>
      <c r="B2144" s="60" t="s">
        <v>155</v>
      </c>
      <c r="C2144" s="60" t="s">
        <v>170</v>
      </c>
      <c r="D2144" s="68">
        <v>22</v>
      </c>
      <c r="E2144" s="73">
        <v>28.31</v>
      </c>
      <c r="F2144" s="79">
        <f>IFERROR(D2144*E2144,0)</f>
        <v>622.81999999999994</v>
      </c>
      <c r="G2144" s="61" t="s">
        <v>98</v>
      </c>
      <c r="H2144" s="60" t="s">
        <v>20</v>
      </c>
    </row>
    <row r="2145" spans="1:8" ht="14.25" hidden="1" customHeight="1" x14ac:dyDescent="0.3">
      <c r="A2145" s="2" t="s">
        <v>84</v>
      </c>
      <c r="B2145" s="60" t="s">
        <v>155</v>
      </c>
      <c r="C2145" s="60" t="s">
        <v>169</v>
      </c>
      <c r="D2145" s="68">
        <v>22</v>
      </c>
      <c r="E2145" s="73">
        <v>64.569999999999993</v>
      </c>
      <c r="F2145" s="79">
        <f>IFERROR(D2145*E2145,0)</f>
        <v>1420.54</v>
      </c>
      <c r="G2145" s="61" t="s">
        <v>98</v>
      </c>
      <c r="H2145" s="60" t="s">
        <v>20</v>
      </c>
    </row>
    <row r="2146" spans="1:8" ht="14.25" hidden="1" customHeight="1" x14ac:dyDescent="0.3">
      <c r="A2146" s="34" t="s">
        <v>84</v>
      </c>
      <c r="B2146" s="61" t="s">
        <v>162</v>
      </c>
      <c r="C2146" s="61" t="s">
        <v>221</v>
      </c>
      <c r="D2146" s="69">
        <v>1</v>
      </c>
      <c r="E2146" s="74">
        <v>7221.35</v>
      </c>
      <c r="F2146" s="80">
        <f>IFERROR(D2146*E2146,0)</f>
        <v>7221.35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34" t="s">
        <v>84</v>
      </c>
      <c r="B2147" s="61" t="s">
        <v>155</v>
      </c>
      <c r="C2147" s="61" t="s">
        <v>161</v>
      </c>
      <c r="D2147" s="69">
        <v>1</v>
      </c>
      <c r="E2147" s="74">
        <v>107136.79</v>
      </c>
      <c r="F2147" s="80">
        <f>IFERROR(E2147,0)</f>
        <v>107136.79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34" t="s">
        <v>84</v>
      </c>
      <c r="B2148" s="61" t="s">
        <v>155</v>
      </c>
      <c r="C2148" s="61" t="s">
        <v>167</v>
      </c>
      <c r="D2148" s="69">
        <v>22</v>
      </c>
      <c r="E2148" s="74">
        <v>10.050000000000001</v>
      </c>
      <c r="F2148" s="80">
        <f>IFERROR(D2148*E2148,0)</f>
        <v>221.10000000000002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34" t="s">
        <v>84</v>
      </c>
      <c r="B2149" s="61" t="s">
        <v>155</v>
      </c>
      <c r="C2149" s="61" t="s">
        <v>166</v>
      </c>
      <c r="D2149" s="69">
        <v>22</v>
      </c>
      <c r="E2149" s="74">
        <v>50</v>
      </c>
      <c r="F2149" s="80">
        <f>IFERROR(D2149*E2149,0)</f>
        <v>1100</v>
      </c>
      <c r="G2149" s="61" t="str">
        <f>INDEX(SETORES!$B:$B,MATCH(A2149,SETORES!$A:$A,0))</f>
        <v>Clientes</v>
      </c>
      <c r="H2149" s="61" t="s">
        <v>20</v>
      </c>
    </row>
    <row r="2150" spans="1:8" ht="14.25" hidden="1" customHeight="1" x14ac:dyDescent="0.3">
      <c r="A2150" s="2" t="s">
        <v>84</v>
      </c>
      <c r="B2150" s="60" t="s">
        <v>162</v>
      </c>
      <c r="C2150" s="60" t="s">
        <v>222</v>
      </c>
      <c r="D2150" s="68">
        <v>1</v>
      </c>
      <c r="E2150" s="73">
        <v>1746.63</v>
      </c>
      <c r="F2150" s="79">
        <f>IFERROR(D2150*E2150,0)</f>
        <v>1746.63</v>
      </c>
      <c r="G2150" s="60" t="str">
        <f>INDEX(SETORES!$B:$B,MATCH(A2150,SETORES!$A:$A,0))</f>
        <v>Clientes</v>
      </c>
      <c r="H2150" s="60" t="s">
        <v>20</v>
      </c>
    </row>
    <row r="2151" spans="1:8" ht="14.25" hidden="1" customHeight="1" x14ac:dyDescent="0.3">
      <c r="A2151" s="2" t="s">
        <v>84</v>
      </c>
      <c r="B2151" s="60" t="s">
        <v>155</v>
      </c>
      <c r="C2151" s="60" t="s">
        <v>168</v>
      </c>
      <c r="D2151" s="68">
        <v>22</v>
      </c>
      <c r="E2151" s="73">
        <v>2.0699999999999998</v>
      </c>
      <c r="F2151" s="79">
        <f>IFERROR(D2151*E2151,0)</f>
        <v>45.54</v>
      </c>
      <c r="G2151" s="60" t="str">
        <f>INDEX(SETORES!$B:$B,MATCH(A2151,SETORES!$A:$A,0))</f>
        <v>Clientes</v>
      </c>
      <c r="H2151" s="60" t="s">
        <v>20</v>
      </c>
    </row>
    <row r="2152" spans="1:8" ht="14.25" hidden="1" customHeight="1" x14ac:dyDescent="0.3">
      <c r="A2152" s="2" t="s">
        <v>48</v>
      </c>
      <c r="B2152" s="60" t="s">
        <v>155</v>
      </c>
      <c r="C2152" s="60" t="s">
        <v>159</v>
      </c>
      <c r="D2152" s="68">
        <v>12</v>
      </c>
      <c r="E2152" s="73">
        <v>0.63429999999999997</v>
      </c>
      <c r="F2152" s="79">
        <v>7.6116000000000001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34" t="s">
        <v>48</v>
      </c>
      <c r="B2153" s="61" t="s">
        <v>155</v>
      </c>
      <c r="C2153" s="61" t="s">
        <v>212</v>
      </c>
      <c r="D2153" s="69">
        <v>7</v>
      </c>
      <c r="E2153" s="74">
        <v>30</v>
      </c>
      <c r="F2153" s="80">
        <f>IFERROR(D2153*E2153,0)</f>
        <v>210</v>
      </c>
      <c r="G2153" s="61" t="str">
        <f>INDEX(SETORES!$B:$B,MATCH(A2153,SETORES!$A:$A,0))</f>
        <v>Clientes</v>
      </c>
      <c r="H2153" s="61" t="s">
        <v>20</v>
      </c>
    </row>
    <row r="2154" spans="1:8" ht="14.25" hidden="1" customHeight="1" x14ac:dyDescent="0.3">
      <c r="A2154" s="2" t="s">
        <v>48</v>
      </c>
      <c r="B2154" s="60" t="s">
        <v>162</v>
      </c>
      <c r="C2154" s="60" t="s">
        <v>217</v>
      </c>
      <c r="D2154" s="68">
        <v>1</v>
      </c>
      <c r="E2154" s="73">
        <v>53498.33</v>
      </c>
      <c r="F2154" s="79">
        <f>IFERROR(D2154*E2154,0)</f>
        <v>53498.33</v>
      </c>
      <c r="G2154" s="60" t="str">
        <f>INDEX(SETORES!$B:$B,MATCH(A2154,SETORES!$A:$A,0))</f>
        <v>Clientes</v>
      </c>
      <c r="H2154" s="60" t="s">
        <v>20</v>
      </c>
    </row>
    <row r="2155" spans="1:8" ht="14.25" hidden="1" customHeight="1" x14ac:dyDescent="0.3">
      <c r="A2155" s="2" t="s">
        <v>48</v>
      </c>
      <c r="B2155" s="60" t="s">
        <v>155</v>
      </c>
      <c r="C2155" s="60" t="s">
        <v>256</v>
      </c>
      <c r="D2155" s="68">
        <v>1</v>
      </c>
      <c r="E2155" s="73">
        <v>9389.2776319999994</v>
      </c>
      <c r="F2155" s="79">
        <v>9389.2776319999994</v>
      </c>
      <c r="G2155" s="60" t="s">
        <v>96</v>
      </c>
      <c r="H2155" s="60" t="s">
        <v>20</v>
      </c>
    </row>
    <row r="2156" spans="1:8" ht="14.25" customHeight="1" x14ac:dyDescent="0.3">
      <c r="A2156" s="34" t="s">
        <v>48</v>
      </c>
      <c r="B2156" s="61" t="s">
        <v>155</v>
      </c>
      <c r="C2156" s="61" t="s">
        <v>171</v>
      </c>
      <c r="D2156" s="69">
        <v>12</v>
      </c>
      <c r="E2156" s="74">
        <v>47.79</v>
      </c>
      <c r="F2156" s="80">
        <v>573.48</v>
      </c>
      <c r="G2156" s="60" t="s">
        <v>98</v>
      </c>
      <c r="H2156" s="61" t="s">
        <v>20</v>
      </c>
    </row>
    <row r="2157" spans="1:8" ht="14.25" hidden="1" customHeight="1" x14ac:dyDescent="0.3">
      <c r="A2157" s="2" t="s">
        <v>48</v>
      </c>
      <c r="B2157" s="60" t="s">
        <v>155</v>
      </c>
      <c r="C2157" s="60" t="s">
        <v>170</v>
      </c>
      <c r="D2157" s="68">
        <v>12</v>
      </c>
      <c r="E2157" s="73">
        <v>28.31</v>
      </c>
      <c r="F2157" s="79">
        <v>339.72</v>
      </c>
      <c r="G2157" s="61" t="s">
        <v>98</v>
      </c>
      <c r="H2157" s="60" t="s">
        <v>20</v>
      </c>
    </row>
    <row r="2158" spans="1:8" ht="14.25" hidden="1" customHeight="1" x14ac:dyDescent="0.3">
      <c r="A2158" s="34" t="s">
        <v>48</v>
      </c>
      <c r="B2158" s="61" t="s">
        <v>155</v>
      </c>
      <c r="C2158" s="61" t="s">
        <v>169</v>
      </c>
      <c r="D2158" s="69">
        <v>12</v>
      </c>
      <c r="E2158" s="74">
        <v>64.569999999999993</v>
      </c>
      <c r="F2158" s="80">
        <v>774.84</v>
      </c>
      <c r="G2158" s="61" t="s">
        <v>98</v>
      </c>
      <c r="H2158" s="61" t="s">
        <v>20</v>
      </c>
    </row>
    <row r="2159" spans="1:8" ht="14.25" hidden="1" customHeight="1" x14ac:dyDescent="0.3">
      <c r="A2159" s="2" t="s">
        <v>48</v>
      </c>
      <c r="B2159" s="60" t="s">
        <v>155</v>
      </c>
      <c r="C2159" s="60" t="s">
        <v>158</v>
      </c>
      <c r="D2159" s="68">
        <v>12</v>
      </c>
      <c r="E2159" s="73">
        <v>24.8613</v>
      </c>
      <c r="F2159" s="79">
        <v>298.3356</v>
      </c>
      <c r="G2159" s="60" t="str">
        <f>INDEX(SETORES!$B:$B,MATCH(A2159,SETORES!$A:$A,0))</f>
        <v>Clientes</v>
      </c>
      <c r="H2159" s="60" t="s">
        <v>20</v>
      </c>
    </row>
    <row r="2160" spans="1:8" ht="14.25" hidden="1" customHeight="1" x14ac:dyDescent="0.3">
      <c r="A2160" s="2" t="s">
        <v>48</v>
      </c>
      <c r="B2160" s="60" t="s">
        <v>162</v>
      </c>
      <c r="C2160" s="60" t="s">
        <v>221</v>
      </c>
      <c r="D2160" s="68">
        <v>1</v>
      </c>
      <c r="E2160" s="73">
        <v>56</v>
      </c>
      <c r="F2160" s="79">
        <f>IFERROR(D2160*E2160,0)</f>
        <v>56</v>
      </c>
      <c r="G2160" s="60" t="str">
        <f>INDEX(SETORES!$B:$B,MATCH(A2160,SETORES!$A:$A,0))</f>
        <v>Clientes</v>
      </c>
      <c r="H2160" s="60" t="s">
        <v>20</v>
      </c>
    </row>
    <row r="2161" spans="1:8" ht="14.25" hidden="1" customHeight="1" x14ac:dyDescent="0.3">
      <c r="A2161" s="2" t="s">
        <v>48</v>
      </c>
      <c r="B2161" s="60" t="s">
        <v>162</v>
      </c>
      <c r="C2161" s="60" t="s">
        <v>163</v>
      </c>
      <c r="D2161" s="68">
        <v>1</v>
      </c>
      <c r="E2161" s="73">
        <v>272</v>
      </c>
      <c r="F2161" s="79">
        <f>IFERROR(D2161*E2161,0)</f>
        <v>272</v>
      </c>
      <c r="G2161" s="60" t="str">
        <f>INDEX(SETORES!$B:$B,MATCH(A2161,SETORES!$A:$A,0))</f>
        <v>Clientes</v>
      </c>
      <c r="H2161" s="60" t="s">
        <v>20</v>
      </c>
    </row>
    <row r="2162" spans="1:8" ht="14.25" hidden="1" customHeight="1" x14ac:dyDescent="0.3">
      <c r="A2162" s="34" t="s">
        <v>48</v>
      </c>
      <c r="B2162" s="61" t="s">
        <v>162</v>
      </c>
      <c r="C2162" s="61" t="s">
        <v>164</v>
      </c>
      <c r="D2162" s="69"/>
      <c r="E2162" s="74"/>
      <c r="F2162" s="80">
        <f>IFERROR(D2162*E2162,0)</f>
        <v>0</v>
      </c>
      <c r="G2162" s="61" t="str">
        <f>INDEX(SETORES!$B:$B,MATCH(A2162,SETORES!$A:$A,0))</f>
        <v>Clientes</v>
      </c>
      <c r="H2162" s="61" t="s">
        <v>20</v>
      </c>
    </row>
    <row r="2163" spans="1:8" ht="14.25" hidden="1" customHeight="1" x14ac:dyDescent="0.3">
      <c r="A2163" s="34" t="s">
        <v>48</v>
      </c>
      <c r="B2163" s="61" t="s">
        <v>155</v>
      </c>
      <c r="C2163" s="61" t="s">
        <v>161</v>
      </c>
      <c r="D2163" s="69">
        <v>1</v>
      </c>
      <c r="E2163" s="74">
        <v>49817.213156999998</v>
      </c>
      <c r="F2163" s="80">
        <v>49817.213156999998</v>
      </c>
      <c r="G2163" s="61" t="str">
        <f>INDEX(SETORES!$B:$B,MATCH(A2163,SETORES!$A:$A,0))</f>
        <v>Clientes</v>
      </c>
      <c r="H2163" s="61" t="s">
        <v>20</v>
      </c>
    </row>
    <row r="2164" spans="1:8" ht="14.25" hidden="1" customHeight="1" x14ac:dyDescent="0.3">
      <c r="A2164" s="34" t="s">
        <v>48</v>
      </c>
      <c r="B2164" s="61" t="s">
        <v>155</v>
      </c>
      <c r="C2164" s="61" t="s">
        <v>167</v>
      </c>
      <c r="D2164" s="69">
        <v>12</v>
      </c>
      <c r="E2164" s="74">
        <v>10.050000000000001</v>
      </c>
      <c r="F2164" s="80">
        <v>120.6</v>
      </c>
      <c r="G2164" s="61" t="str">
        <f>INDEX(SETORES!$B:$B,MATCH(A2164,SETORES!$A:$A,0))</f>
        <v>Clientes</v>
      </c>
      <c r="H2164" s="61" t="s">
        <v>20</v>
      </c>
    </row>
    <row r="2165" spans="1:8" ht="14.25" hidden="1" customHeight="1" x14ac:dyDescent="0.3">
      <c r="A2165" s="2" t="s">
        <v>48</v>
      </c>
      <c r="B2165" s="60" t="s">
        <v>155</v>
      </c>
      <c r="C2165" s="60" t="s">
        <v>166</v>
      </c>
      <c r="D2165" s="68">
        <v>17</v>
      </c>
      <c r="E2165" s="73">
        <v>50</v>
      </c>
      <c r="F2165" s="79">
        <f>IFERROR(D2165*E2165,0)</f>
        <v>850</v>
      </c>
      <c r="G2165" s="60" t="str">
        <f>INDEX(SETORES!$B:$B,MATCH(A2165,SETORES!$A:$A,0))</f>
        <v>Clientes</v>
      </c>
      <c r="H2165" s="60" t="s">
        <v>20</v>
      </c>
    </row>
    <row r="2166" spans="1:8" ht="14.25" hidden="1" customHeight="1" x14ac:dyDescent="0.3">
      <c r="A2166" s="34" t="s">
        <v>48</v>
      </c>
      <c r="B2166" s="61" t="s">
        <v>162</v>
      </c>
      <c r="C2166" s="61" t="s">
        <v>220</v>
      </c>
      <c r="D2166" s="69"/>
      <c r="E2166" s="74"/>
      <c r="F2166" s="80">
        <f>IFERROR(D2166*E2166,0)</f>
        <v>0</v>
      </c>
      <c r="G2166" s="61" t="str">
        <f>INDEX(SETORES!$B:$B,MATCH(A2166,SETORES!$A:$A,0))</f>
        <v>Clientes</v>
      </c>
      <c r="H2166" s="61" t="s">
        <v>20</v>
      </c>
    </row>
    <row r="2167" spans="1:8" ht="14.25" hidden="1" customHeight="1" x14ac:dyDescent="0.3">
      <c r="A2167" s="2" t="s">
        <v>48</v>
      </c>
      <c r="B2167" s="60" t="s">
        <v>155</v>
      </c>
      <c r="C2167" s="60" t="s">
        <v>156</v>
      </c>
      <c r="D2167" s="68"/>
      <c r="E2167" s="73"/>
      <c r="F2167" s="79">
        <v>0</v>
      </c>
      <c r="G2167" s="60" t="str">
        <f>INDEX(SETORES!$B:$B,MATCH(A2167,SETORES!$A:$A,0))</f>
        <v>Clientes</v>
      </c>
      <c r="H2167" s="60" t="s">
        <v>20</v>
      </c>
    </row>
    <row r="2168" spans="1:8" ht="14.25" hidden="1" customHeight="1" x14ac:dyDescent="0.3">
      <c r="A2168" s="34" t="s">
        <v>48</v>
      </c>
      <c r="B2168" s="61" t="s">
        <v>155</v>
      </c>
      <c r="C2168" s="61" t="s">
        <v>157</v>
      </c>
      <c r="D2168" s="69"/>
      <c r="E2168" s="74"/>
      <c r="F2168" s="80">
        <v>0</v>
      </c>
      <c r="G2168" s="61" t="str">
        <f>INDEX(SETORES!$B:$B,MATCH(A2168,SETORES!$A:$A,0))</f>
        <v>Clientes</v>
      </c>
      <c r="H2168" s="61" t="s">
        <v>20</v>
      </c>
    </row>
    <row r="2169" spans="1:8" ht="14.25" hidden="1" customHeight="1" x14ac:dyDescent="0.3">
      <c r="A2169" s="34" t="s">
        <v>48</v>
      </c>
      <c r="B2169" s="61" t="s">
        <v>162</v>
      </c>
      <c r="C2169" s="61" t="s">
        <v>209</v>
      </c>
      <c r="D2169" s="69">
        <v>12</v>
      </c>
      <c r="E2169" s="74">
        <v>89.55</v>
      </c>
      <c r="F2169" s="80">
        <v>1074.5999999999999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2" t="s">
        <v>48</v>
      </c>
      <c r="B2170" s="60" t="s">
        <v>162</v>
      </c>
      <c r="C2170" s="60" t="s">
        <v>222</v>
      </c>
      <c r="D2170" s="68"/>
      <c r="E2170" s="73"/>
      <c r="F2170" s="79">
        <f>IFERROR(D2170*E2170,0)</f>
        <v>0</v>
      </c>
      <c r="G2170" s="60" t="str">
        <f>INDEX(SETORES!$B:$B,MATCH(A2170,SETORES!$A:$A,0))</f>
        <v>Clientes</v>
      </c>
      <c r="H2170" s="60" t="s">
        <v>20</v>
      </c>
    </row>
    <row r="2171" spans="1:8" ht="14.25" hidden="1" customHeight="1" x14ac:dyDescent="0.3">
      <c r="A2171" s="34" t="s">
        <v>48</v>
      </c>
      <c r="B2171" s="61" t="s">
        <v>155</v>
      </c>
      <c r="C2171" s="61" t="s">
        <v>186</v>
      </c>
      <c r="D2171" s="69">
        <v>1</v>
      </c>
      <c r="E2171" s="74">
        <v>2534</v>
      </c>
      <c r="F2171" s="80">
        <f>IFERROR(D2171*E2171,0)</f>
        <v>2534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2" t="s">
        <v>48</v>
      </c>
      <c r="B2172" s="60" t="s">
        <v>155</v>
      </c>
      <c r="C2172" s="60" t="s">
        <v>168</v>
      </c>
      <c r="D2172" s="68">
        <v>12</v>
      </c>
      <c r="E2172" s="73">
        <v>2.0699999999999998</v>
      </c>
      <c r="F2172" s="79">
        <v>24.84</v>
      </c>
      <c r="G2172" s="60" t="str">
        <f>INDEX(SETORES!$B:$B,MATCH(A2172,SETORES!$A:$A,0))</f>
        <v>Clientes</v>
      </c>
      <c r="H2172" s="60" t="s">
        <v>20</v>
      </c>
    </row>
    <row r="2173" spans="1:8" ht="14.25" hidden="1" customHeight="1" x14ac:dyDescent="0.3">
      <c r="A2173" s="2" t="s">
        <v>48</v>
      </c>
      <c r="B2173" s="60" t="s">
        <v>155</v>
      </c>
      <c r="C2173" s="60" t="s">
        <v>160</v>
      </c>
      <c r="D2173" s="68"/>
      <c r="E2173" s="73"/>
      <c r="F2173" s="79">
        <f>IFERROR(D2173*E2173,0)</f>
        <v>0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47</v>
      </c>
      <c r="B2174" s="60" t="s">
        <v>155</v>
      </c>
      <c r="C2174" s="60" t="s">
        <v>159</v>
      </c>
      <c r="D2174" s="68"/>
      <c r="E2174" s="73"/>
      <c r="F2174" s="79">
        <f>IFERROR(D2174*E2174,0)</f>
        <v>0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47</v>
      </c>
      <c r="B2175" s="60" t="s">
        <v>155</v>
      </c>
      <c r="C2175" s="60" t="s">
        <v>212</v>
      </c>
      <c r="D2175" s="68">
        <v>7</v>
      </c>
      <c r="E2175" s="73">
        <v>30</v>
      </c>
      <c r="F2175" s="79">
        <f>IFERROR(D2175*E2175,0)</f>
        <v>210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34" t="s">
        <v>47</v>
      </c>
      <c r="B2176" s="61" t="s">
        <v>162</v>
      </c>
      <c r="C2176" s="61" t="s">
        <v>217</v>
      </c>
      <c r="D2176" s="69">
        <v>1</v>
      </c>
      <c r="E2176" s="74">
        <v>14366.59</v>
      </c>
      <c r="F2176" s="80">
        <f>IFERROR(D2176*E2176,0)</f>
        <v>14366.59</v>
      </c>
      <c r="G2176" s="61" t="str">
        <f>INDEX(SETORES!$B:$B,MATCH(A2176,SETORES!$A:$A,0))</f>
        <v>Clientes</v>
      </c>
      <c r="H2176" s="61" t="s">
        <v>20</v>
      </c>
    </row>
    <row r="2177" spans="1:8" ht="14.25" hidden="1" customHeight="1" x14ac:dyDescent="0.3">
      <c r="A2177" s="34" t="s">
        <v>47</v>
      </c>
      <c r="B2177" s="61" t="s">
        <v>155</v>
      </c>
      <c r="C2177" s="61" t="s">
        <v>250</v>
      </c>
      <c r="D2177" s="69">
        <v>1</v>
      </c>
      <c r="E2177" s="74">
        <v>2176.06</v>
      </c>
      <c r="F2177" s="80">
        <f>IFERROR(D2177*E2177,0)</f>
        <v>2176.06</v>
      </c>
      <c r="G2177" s="61" t="str">
        <f>INDEX(SETORES!$B:$B,MATCH(A2177,SETORES!$A:$A,0))</f>
        <v>Clientes</v>
      </c>
      <c r="H2177" s="61" t="s">
        <v>20</v>
      </c>
    </row>
    <row r="2178" spans="1:8" ht="14.25" customHeight="1" x14ac:dyDescent="0.3">
      <c r="A2178" s="2" t="s">
        <v>47</v>
      </c>
      <c r="B2178" s="60" t="s">
        <v>155</v>
      </c>
      <c r="C2178" s="60" t="s">
        <v>171</v>
      </c>
      <c r="D2178" s="68">
        <v>12</v>
      </c>
      <c r="E2178" s="73">
        <v>47.79</v>
      </c>
      <c r="F2178" s="79">
        <f>IFERROR(D2178*E2178,0)</f>
        <v>573.48</v>
      </c>
      <c r="G2178" s="60" t="s">
        <v>98</v>
      </c>
      <c r="H2178" s="60" t="s">
        <v>20</v>
      </c>
    </row>
    <row r="2179" spans="1:8" ht="14.25" hidden="1" customHeight="1" x14ac:dyDescent="0.3">
      <c r="A2179" s="34" t="s">
        <v>47</v>
      </c>
      <c r="B2179" s="61" t="s">
        <v>155</v>
      </c>
      <c r="C2179" s="61" t="s">
        <v>170</v>
      </c>
      <c r="D2179" s="69">
        <v>12</v>
      </c>
      <c r="E2179" s="74">
        <v>28.31</v>
      </c>
      <c r="F2179" s="80">
        <f>IFERROR(D2179*E2179,0)</f>
        <v>339.71999999999997</v>
      </c>
      <c r="G2179" s="61" t="s">
        <v>98</v>
      </c>
      <c r="H2179" s="61" t="s">
        <v>20</v>
      </c>
    </row>
    <row r="2180" spans="1:8" ht="14.25" hidden="1" customHeight="1" x14ac:dyDescent="0.3">
      <c r="A2180" s="2" t="s">
        <v>47</v>
      </c>
      <c r="B2180" s="60" t="s">
        <v>155</v>
      </c>
      <c r="C2180" s="60" t="s">
        <v>169</v>
      </c>
      <c r="D2180" s="68">
        <v>12</v>
      </c>
      <c r="E2180" s="73">
        <v>64.569999999999993</v>
      </c>
      <c r="F2180" s="79">
        <f>IFERROR(D2180*E2180,0)</f>
        <v>774.83999999999992</v>
      </c>
      <c r="G2180" s="61" t="s">
        <v>98</v>
      </c>
      <c r="H2180" s="60" t="s">
        <v>20</v>
      </c>
    </row>
    <row r="2181" spans="1:8" ht="14.25" hidden="1" customHeight="1" x14ac:dyDescent="0.3">
      <c r="A2181" s="2" t="s">
        <v>47</v>
      </c>
      <c r="B2181" s="60" t="s">
        <v>162</v>
      </c>
      <c r="C2181" s="60" t="s">
        <v>221</v>
      </c>
      <c r="D2181" s="68">
        <v>1</v>
      </c>
      <c r="E2181" s="73">
        <v>1478.5</v>
      </c>
      <c r="F2181" s="79">
        <f>IFERROR(D2181*E2181,0)</f>
        <v>1478.5</v>
      </c>
      <c r="G2181" s="60" t="str">
        <f>INDEX(SETORES!$B:$B,MATCH(A2181,SETORES!$A:$A,0))</f>
        <v>Clientes</v>
      </c>
      <c r="H2181" s="60" t="s">
        <v>20</v>
      </c>
    </row>
    <row r="2182" spans="1:8" ht="14.25" hidden="1" customHeight="1" x14ac:dyDescent="0.3">
      <c r="A2182" s="2" t="s">
        <v>47</v>
      </c>
      <c r="B2182" s="60" t="s">
        <v>155</v>
      </c>
      <c r="C2182" s="60" t="s">
        <v>161</v>
      </c>
      <c r="D2182" s="68">
        <v>1</v>
      </c>
      <c r="E2182" s="73">
        <v>115351.05</v>
      </c>
      <c r="F2182" s="79">
        <f>IFERROR(E2182,0)</f>
        <v>115351.05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47</v>
      </c>
      <c r="B2183" s="60" t="s">
        <v>155</v>
      </c>
      <c r="C2183" s="60" t="s">
        <v>167</v>
      </c>
      <c r="D2183" s="68">
        <v>12</v>
      </c>
      <c r="E2183" s="73">
        <v>10.050000000000001</v>
      </c>
      <c r="F2183" s="79">
        <f>IFERROR(D2183*E2183,0)</f>
        <v>120.60000000000001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34" t="s">
        <v>47</v>
      </c>
      <c r="B2184" s="61" t="s">
        <v>162</v>
      </c>
      <c r="C2184" s="61" t="s">
        <v>218</v>
      </c>
      <c r="D2184" s="69"/>
      <c r="E2184" s="74"/>
      <c r="F2184" s="80">
        <f>IFERROR(D2184*E2184,0)</f>
        <v>0</v>
      </c>
      <c r="G2184" s="61" t="str">
        <f>INDEX(SETORES!$B:$B,MATCH(A2184,SETORES!$A:$A,0))</f>
        <v>Clientes</v>
      </c>
      <c r="H2184" s="61" t="s">
        <v>20</v>
      </c>
    </row>
    <row r="2185" spans="1:8" ht="14.25" hidden="1" customHeight="1" x14ac:dyDescent="0.3">
      <c r="A2185" s="2" t="s">
        <v>47</v>
      </c>
      <c r="B2185" s="60" t="s">
        <v>155</v>
      </c>
      <c r="C2185" s="60" t="s">
        <v>166</v>
      </c>
      <c r="D2185" s="68">
        <v>1</v>
      </c>
      <c r="E2185" s="73">
        <v>50</v>
      </c>
      <c r="F2185" s="79">
        <f>IFERROR(D2185*E2185,0)</f>
        <v>50</v>
      </c>
      <c r="G2185" s="60" t="str">
        <f>INDEX(SETORES!$B:$B,MATCH(A2185,SETORES!$A:$A,0))</f>
        <v>Clientes</v>
      </c>
      <c r="H2185" s="60" t="s">
        <v>20</v>
      </c>
    </row>
    <row r="2186" spans="1:8" ht="14.25" hidden="1" customHeight="1" x14ac:dyDescent="0.3">
      <c r="A2186" s="2" t="s">
        <v>47</v>
      </c>
      <c r="B2186" s="60" t="s">
        <v>155</v>
      </c>
      <c r="C2186" s="60" t="s">
        <v>156</v>
      </c>
      <c r="D2186" s="68"/>
      <c r="E2186" s="73"/>
      <c r="F2186" s="79">
        <v>0</v>
      </c>
      <c r="G2186" s="60" t="str">
        <f>INDEX(SETORES!$B:$B,MATCH(A2186,SETORES!$A:$A,0))</f>
        <v>Clientes</v>
      </c>
      <c r="H2186" s="60" t="s">
        <v>20</v>
      </c>
    </row>
    <row r="2187" spans="1:8" ht="14.25" hidden="1" customHeight="1" x14ac:dyDescent="0.3">
      <c r="A2187" s="34" t="s">
        <v>47</v>
      </c>
      <c r="B2187" s="61" t="s">
        <v>155</v>
      </c>
      <c r="C2187" s="61" t="s">
        <v>157</v>
      </c>
      <c r="D2187" s="69"/>
      <c r="E2187" s="74"/>
      <c r="F2187" s="80">
        <v>0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34" t="s">
        <v>47</v>
      </c>
      <c r="B2188" s="61" t="s">
        <v>162</v>
      </c>
      <c r="C2188" s="61" t="s">
        <v>222</v>
      </c>
      <c r="D2188" s="69">
        <v>1</v>
      </c>
      <c r="E2188" s="74">
        <v>1954.84</v>
      </c>
      <c r="F2188" s="80">
        <f>IFERROR(D2188*E2188,0)</f>
        <v>1954.84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34" t="s">
        <v>47</v>
      </c>
      <c r="B2189" s="61" t="s">
        <v>155</v>
      </c>
      <c r="C2189" s="61" t="s">
        <v>168</v>
      </c>
      <c r="D2189" s="69">
        <v>12</v>
      </c>
      <c r="E2189" s="74">
        <v>2.0699999999999998</v>
      </c>
      <c r="F2189" s="80">
        <f>IFERROR(D2189*E2189,0)</f>
        <v>24.839999999999996</v>
      </c>
      <c r="G2189" s="61" t="str">
        <f>INDEX(SETORES!$B:$B,MATCH(A2189,SETORES!$A:$A,0))</f>
        <v>Clientes</v>
      </c>
      <c r="H2189" s="61" t="s">
        <v>20</v>
      </c>
    </row>
    <row r="2190" spans="1:8" ht="14.25" hidden="1" customHeight="1" x14ac:dyDescent="0.3">
      <c r="A2190" s="34" t="s">
        <v>47</v>
      </c>
      <c r="B2190" s="61" t="s">
        <v>155</v>
      </c>
      <c r="C2190" s="61" t="s">
        <v>160</v>
      </c>
      <c r="D2190" s="69"/>
      <c r="E2190" s="74"/>
      <c r="F2190" s="80">
        <f>IFERROR(D2190*E2190,0)</f>
        <v>0</v>
      </c>
      <c r="G2190" s="61" t="str">
        <f>INDEX(SETORES!$B:$B,MATCH(A2190,SETORES!$A:$A,0))</f>
        <v>Clientes</v>
      </c>
      <c r="H2190" s="61" t="s">
        <v>20</v>
      </c>
    </row>
    <row r="2191" spans="1:8" ht="14.25" hidden="1" customHeight="1" x14ac:dyDescent="0.3">
      <c r="A2191" s="34" t="s">
        <v>85</v>
      </c>
      <c r="B2191" s="61" t="s">
        <v>155</v>
      </c>
      <c r="C2191" s="61" t="s">
        <v>212</v>
      </c>
      <c r="D2191" s="69">
        <v>10</v>
      </c>
      <c r="E2191" s="74">
        <v>30</v>
      </c>
      <c r="F2191" s="80">
        <f>IFERROR(D2191*E2191,0)</f>
        <v>300</v>
      </c>
      <c r="G2191" s="61" t="str">
        <f>INDEX(SETORES!$B:$B,MATCH(A2191,SETORES!$A:$A,0))</f>
        <v>Clientes</v>
      </c>
      <c r="H2191" s="61" t="s">
        <v>20</v>
      </c>
    </row>
    <row r="2192" spans="1:8" ht="14.25" hidden="1" customHeight="1" x14ac:dyDescent="0.3">
      <c r="A2192" s="34" t="s">
        <v>85</v>
      </c>
      <c r="B2192" s="61" t="s">
        <v>162</v>
      </c>
      <c r="C2192" s="61" t="s">
        <v>217</v>
      </c>
      <c r="D2192" s="69">
        <v>1</v>
      </c>
      <c r="E2192" s="74">
        <v>2716.71</v>
      </c>
      <c r="F2192" s="80">
        <f>IFERROR(D2192*E2192,0)</f>
        <v>2716.71</v>
      </c>
      <c r="G2192" s="61" t="str">
        <f>INDEX(SETORES!$B:$B,MATCH(A2192,SETORES!$A:$A,0))</f>
        <v>Clientes</v>
      </c>
      <c r="H2192" s="61" t="s">
        <v>20</v>
      </c>
    </row>
    <row r="2193" spans="1:8" ht="14.25" customHeight="1" x14ac:dyDescent="0.3">
      <c r="A2193" s="34" t="s">
        <v>85</v>
      </c>
      <c r="B2193" s="61" t="s">
        <v>155</v>
      </c>
      <c r="C2193" s="61" t="s">
        <v>171</v>
      </c>
      <c r="D2193" s="69">
        <v>12</v>
      </c>
      <c r="E2193" s="74">
        <v>47.79</v>
      </c>
      <c r="F2193" s="80">
        <f>IFERROR(D2193*E2193,0)</f>
        <v>573.48</v>
      </c>
      <c r="G2193" s="60" t="s">
        <v>98</v>
      </c>
      <c r="H2193" s="61" t="s">
        <v>20</v>
      </c>
    </row>
    <row r="2194" spans="1:8" ht="14.25" hidden="1" customHeight="1" x14ac:dyDescent="0.3">
      <c r="A2194" s="2" t="s">
        <v>85</v>
      </c>
      <c r="B2194" s="60" t="s">
        <v>155</v>
      </c>
      <c r="C2194" s="60" t="s">
        <v>170</v>
      </c>
      <c r="D2194" s="68">
        <v>12</v>
      </c>
      <c r="E2194" s="73">
        <v>28.31</v>
      </c>
      <c r="F2194" s="79">
        <f>IFERROR(D2194*E2194,0)</f>
        <v>339.71999999999997</v>
      </c>
      <c r="G2194" s="61" t="s">
        <v>98</v>
      </c>
      <c r="H2194" s="60" t="s">
        <v>20</v>
      </c>
    </row>
    <row r="2195" spans="1:8" ht="14.25" hidden="1" customHeight="1" x14ac:dyDescent="0.3">
      <c r="A2195" s="2" t="s">
        <v>85</v>
      </c>
      <c r="B2195" s="60" t="s">
        <v>155</v>
      </c>
      <c r="C2195" s="60" t="s">
        <v>169</v>
      </c>
      <c r="D2195" s="68">
        <v>12</v>
      </c>
      <c r="E2195" s="73">
        <v>64.569999999999993</v>
      </c>
      <c r="F2195" s="79">
        <f>IFERROR(D2195*E2195,0)</f>
        <v>774.83999999999992</v>
      </c>
      <c r="G2195" s="61" t="s">
        <v>98</v>
      </c>
      <c r="H2195" s="60" t="s">
        <v>20</v>
      </c>
    </row>
    <row r="2196" spans="1:8" ht="14.25" hidden="1" customHeight="1" x14ac:dyDescent="0.3">
      <c r="A2196" s="2" t="s">
        <v>85</v>
      </c>
      <c r="B2196" s="60" t="s">
        <v>155</v>
      </c>
      <c r="C2196" s="60" t="s">
        <v>158</v>
      </c>
      <c r="D2196" s="68">
        <v>1</v>
      </c>
      <c r="E2196" s="73">
        <v>102.12949999999999</v>
      </c>
      <c r="F2196" s="79">
        <v>102.12949999999999</v>
      </c>
      <c r="G2196" s="60" t="s">
        <v>96</v>
      </c>
      <c r="H2196" s="60" t="s">
        <v>20</v>
      </c>
    </row>
    <row r="2197" spans="1:8" ht="14.25" hidden="1" customHeight="1" x14ac:dyDescent="0.3">
      <c r="A2197" s="2" t="s">
        <v>85</v>
      </c>
      <c r="B2197" s="60" t="s">
        <v>155</v>
      </c>
      <c r="C2197" s="60" t="s">
        <v>161</v>
      </c>
      <c r="D2197" s="68">
        <v>1</v>
      </c>
      <c r="E2197" s="73">
        <v>55569.77</v>
      </c>
      <c r="F2197" s="79">
        <f>IFERROR(E2197,0)</f>
        <v>55569.77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34" t="s">
        <v>85</v>
      </c>
      <c r="B2198" s="61" t="s">
        <v>155</v>
      </c>
      <c r="C2198" s="61" t="s">
        <v>167</v>
      </c>
      <c r="D2198" s="69">
        <v>12</v>
      </c>
      <c r="E2198" s="74">
        <v>10.050000000000001</v>
      </c>
      <c r="F2198" s="80">
        <f>IFERROR(D2198*E2198,0)</f>
        <v>120.60000000000001</v>
      </c>
      <c r="G2198" s="61" t="str">
        <f>INDEX(SETORES!$B:$B,MATCH(A2198,SETORES!$A:$A,0))</f>
        <v>Clientes</v>
      </c>
      <c r="H2198" s="61" t="s">
        <v>20</v>
      </c>
    </row>
    <row r="2199" spans="1:8" ht="14.25" hidden="1" customHeight="1" x14ac:dyDescent="0.3">
      <c r="A2199" s="34" t="s">
        <v>85</v>
      </c>
      <c r="B2199" s="61" t="s">
        <v>155</v>
      </c>
      <c r="C2199" s="61" t="s">
        <v>166</v>
      </c>
      <c r="D2199" s="69">
        <v>12</v>
      </c>
      <c r="E2199" s="74">
        <v>50</v>
      </c>
      <c r="F2199" s="80">
        <f>IFERROR(D2199*E2199,0)</f>
        <v>600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34" t="s">
        <v>85</v>
      </c>
      <c r="B2200" s="61" t="s">
        <v>162</v>
      </c>
      <c r="C2200" s="61" t="s">
        <v>222</v>
      </c>
      <c r="D2200" s="69"/>
      <c r="E2200" s="74"/>
      <c r="F2200" s="80">
        <f>IFERROR(D2200*E2200,0)</f>
        <v>0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2" t="s">
        <v>85</v>
      </c>
      <c r="B2201" s="60" t="s">
        <v>155</v>
      </c>
      <c r="C2201" s="60" t="s">
        <v>168</v>
      </c>
      <c r="D2201" s="68">
        <v>12</v>
      </c>
      <c r="E2201" s="73">
        <v>2.0699999999999998</v>
      </c>
      <c r="F2201" s="79">
        <f>IFERROR(D2201*E2201,0)</f>
        <v>24.839999999999996</v>
      </c>
      <c r="G2201" s="60" t="str">
        <f>INDEX(SETORES!$B:$B,MATCH(A2201,SETORES!$A:$A,0))</f>
        <v>Clientes</v>
      </c>
      <c r="H2201" s="60" t="s">
        <v>20</v>
      </c>
    </row>
    <row r="2202" spans="1:8" ht="14.25" hidden="1" customHeight="1" x14ac:dyDescent="0.3">
      <c r="A2202" s="2" t="s">
        <v>31</v>
      </c>
      <c r="B2202" s="60" t="s">
        <v>155</v>
      </c>
      <c r="C2202" s="60" t="s">
        <v>159</v>
      </c>
      <c r="D2202" s="68">
        <v>1</v>
      </c>
      <c r="E2202" s="73">
        <v>0</v>
      </c>
      <c r="F2202" s="79">
        <v>0</v>
      </c>
      <c r="G2202" s="60" t="str">
        <f>INDEX(SETORES!$B:$B,MATCH(A2202,SETORES!$A:$A,0))</f>
        <v>Clientes</v>
      </c>
      <c r="H2202" s="60" t="s">
        <v>20</v>
      </c>
    </row>
    <row r="2203" spans="1:8" ht="14.25" hidden="1" customHeight="1" x14ac:dyDescent="0.3">
      <c r="A2203" s="2" t="s">
        <v>31</v>
      </c>
      <c r="B2203" s="60" t="s">
        <v>155</v>
      </c>
      <c r="C2203" s="60" t="s">
        <v>212</v>
      </c>
      <c r="D2203" s="68">
        <v>3</v>
      </c>
      <c r="E2203" s="73">
        <v>30</v>
      </c>
      <c r="F2203" s="79">
        <f>IFERROR(D2203*E2203,0)</f>
        <v>90</v>
      </c>
      <c r="G2203" s="60" t="str">
        <f>INDEX(SETORES!$B:$B,MATCH(A2203,SETORES!$A:$A,0))</f>
        <v>Clientes</v>
      </c>
      <c r="H2203" s="60" t="s">
        <v>20</v>
      </c>
    </row>
    <row r="2204" spans="1:8" ht="14.25" hidden="1" customHeight="1" x14ac:dyDescent="0.3">
      <c r="A2204" s="2" t="s">
        <v>31</v>
      </c>
      <c r="B2204" s="60" t="s">
        <v>162</v>
      </c>
      <c r="C2204" s="60" t="s">
        <v>217</v>
      </c>
      <c r="D2204" s="68">
        <v>1</v>
      </c>
      <c r="E2204" s="73">
        <v>2859.16</v>
      </c>
      <c r="F2204" s="79">
        <f>IFERROR(D2204*E2204,0)</f>
        <v>2859.16</v>
      </c>
      <c r="G2204" s="60" t="str">
        <f>INDEX(SETORES!$B:$B,MATCH(A2204,SETORES!$A:$A,0))</f>
        <v>Clientes</v>
      </c>
      <c r="H2204" s="60" t="s">
        <v>20</v>
      </c>
    </row>
    <row r="2205" spans="1:8" ht="14.25" customHeight="1" x14ac:dyDescent="0.3">
      <c r="A2205" s="34" t="s">
        <v>31</v>
      </c>
      <c r="B2205" s="61" t="s">
        <v>155</v>
      </c>
      <c r="C2205" s="61" t="s">
        <v>171</v>
      </c>
      <c r="D2205" s="69">
        <v>4</v>
      </c>
      <c r="E2205" s="74">
        <v>47.79</v>
      </c>
      <c r="F2205" s="80">
        <f>IFERROR(D2205*E2205,0)</f>
        <v>191.16</v>
      </c>
      <c r="G2205" s="60" t="s">
        <v>98</v>
      </c>
      <c r="H2205" s="61" t="s">
        <v>20</v>
      </c>
    </row>
    <row r="2206" spans="1:8" ht="14.25" hidden="1" customHeight="1" x14ac:dyDescent="0.3">
      <c r="A2206" s="2" t="s">
        <v>31</v>
      </c>
      <c r="B2206" s="60" t="s">
        <v>155</v>
      </c>
      <c r="C2206" s="60" t="s">
        <v>170</v>
      </c>
      <c r="D2206" s="68">
        <v>4</v>
      </c>
      <c r="E2206" s="73">
        <v>28.31</v>
      </c>
      <c r="F2206" s="79">
        <f>IFERROR(D2206*E2206,0)</f>
        <v>113.24</v>
      </c>
      <c r="G2206" s="61" t="s">
        <v>98</v>
      </c>
      <c r="H2206" s="60" t="s">
        <v>20</v>
      </c>
    </row>
    <row r="2207" spans="1:8" ht="14.25" hidden="1" customHeight="1" x14ac:dyDescent="0.3">
      <c r="A2207" s="34" t="s">
        <v>31</v>
      </c>
      <c r="B2207" s="61" t="s">
        <v>155</v>
      </c>
      <c r="C2207" s="61" t="s">
        <v>169</v>
      </c>
      <c r="D2207" s="69">
        <v>4</v>
      </c>
      <c r="E2207" s="74">
        <v>64.569999999999993</v>
      </c>
      <c r="F2207" s="80">
        <f>IFERROR(D2207*E2207,0)</f>
        <v>258.27999999999997</v>
      </c>
      <c r="G2207" s="61" t="s">
        <v>98</v>
      </c>
      <c r="H2207" s="61" t="s">
        <v>20</v>
      </c>
    </row>
    <row r="2208" spans="1:8" ht="14.25" hidden="1" customHeight="1" x14ac:dyDescent="0.3">
      <c r="A2208" s="34" t="s">
        <v>31</v>
      </c>
      <c r="B2208" s="61" t="s">
        <v>155</v>
      </c>
      <c r="C2208" s="61" t="s">
        <v>158</v>
      </c>
      <c r="D2208" s="69">
        <v>1</v>
      </c>
      <c r="E2208" s="74">
        <v>34.043199999999999</v>
      </c>
      <c r="F2208" s="80">
        <v>34.043199999999999</v>
      </c>
      <c r="G2208" s="61" t="str">
        <f>INDEX(SETORES!$B:$B,MATCH(A2208,SETORES!$A:$A,0))</f>
        <v>Clientes</v>
      </c>
      <c r="H2208" s="61" t="s">
        <v>20</v>
      </c>
    </row>
    <row r="2209" spans="1:8" ht="14.25" hidden="1" customHeight="1" x14ac:dyDescent="0.3">
      <c r="A2209" s="2" t="s">
        <v>31</v>
      </c>
      <c r="B2209" s="60" t="s">
        <v>155</v>
      </c>
      <c r="C2209" s="60" t="s">
        <v>161</v>
      </c>
      <c r="D2209" s="68">
        <v>1</v>
      </c>
      <c r="E2209" s="73">
        <v>44988.49</v>
      </c>
      <c r="F2209" s="79">
        <f>IFERROR(E2209,0)</f>
        <v>44988.49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34" t="s">
        <v>31</v>
      </c>
      <c r="B2210" s="61" t="s">
        <v>155</v>
      </c>
      <c r="C2210" s="61" t="s">
        <v>167</v>
      </c>
      <c r="D2210" s="69">
        <v>4</v>
      </c>
      <c r="E2210" s="74">
        <v>10.050000000000001</v>
      </c>
      <c r="F2210" s="80">
        <f>IFERROR(D2210*E2210,0)</f>
        <v>40.200000000000003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31</v>
      </c>
      <c r="B2211" s="61" t="s">
        <v>155</v>
      </c>
      <c r="C2211" s="61" t="s">
        <v>166</v>
      </c>
      <c r="D2211" s="69">
        <v>4</v>
      </c>
      <c r="E2211" s="74">
        <v>50</v>
      </c>
      <c r="F2211" s="80">
        <f>IFERROR(D2211*E2211,0)</f>
        <v>200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31</v>
      </c>
      <c r="B2212" s="61" t="s">
        <v>155</v>
      </c>
      <c r="C2212" s="61" t="s">
        <v>172</v>
      </c>
      <c r="D2212" s="69"/>
      <c r="E2212" s="74"/>
      <c r="F2212" s="80">
        <f>IFERROR(D2212*E2212,0)</f>
        <v>0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31</v>
      </c>
      <c r="B2213" s="61" t="s">
        <v>155</v>
      </c>
      <c r="C2213" s="61" t="s">
        <v>156</v>
      </c>
      <c r="D2213" s="69"/>
      <c r="E2213" s="74"/>
      <c r="F2213" s="80">
        <v>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2" t="s">
        <v>31</v>
      </c>
      <c r="B2214" s="60" t="s">
        <v>155</v>
      </c>
      <c r="C2214" s="60" t="s">
        <v>157</v>
      </c>
      <c r="D2214" s="68"/>
      <c r="E2214" s="73"/>
      <c r="F2214" s="79">
        <v>0</v>
      </c>
      <c r="G2214" s="60" t="str">
        <f>INDEX(SETORES!$B:$B,MATCH(A2214,SETORES!$A:$A,0))</f>
        <v>Clientes</v>
      </c>
      <c r="H2214" s="60" t="s">
        <v>20</v>
      </c>
    </row>
    <row r="2215" spans="1:8" ht="14.25" hidden="1" customHeight="1" x14ac:dyDescent="0.3">
      <c r="A2215" s="2" t="s">
        <v>31</v>
      </c>
      <c r="B2215" s="60" t="s">
        <v>155</v>
      </c>
      <c r="C2215" s="60" t="s">
        <v>168</v>
      </c>
      <c r="D2215" s="68">
        <v>4</v>
      </c>
      <c r="E2215" s="73">
        <v>2.0699999999999998</v>
      </c>
      <c r="F2215" s="79">
        <f>IFERROR(D2215*E2215,0)</f>
        <v>8.2799999999999994</v>
      </c>
      <c r="G2215" s="60" t="str">
        <f>INDEX(SETORES!$B:$B,MATCH(A2215,SETORES!$A:$A,0))</f>
        <v>Clientes</v>
      </c>
      <c r="H2215" s="60" t="s">
        <v>20</v>
      </c>
    </row>
    <row r="2216" spans="1:8" ht="14.25" hidden="1" customHeight="1" x14ac:dyDescent="0.3">
      <c r="A2216" s="34" t="s">
        <v>31</v>
      </c>
      <c r="B2216" s="61" t="s">
        <v>155</v>
      </c>
      <c r="C2216" s="61" t="s">
        <v>160</v>
      </c>
      <c r="D2216" s="69"/>
      <c r="E2216" s="74"/>
      <c r="F2216" s="80">
        <f>IFERROR(D2216*E2216,0)</f>
        <v>0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34" t="s">
        <v>37</v>
      </c>
      <c r="B2217" s="61" t="s">
        <v>155</v>
      </c>
      <c r="C2217" s="61" t="s">
        <v>159</v>
      </c>
      <c r="D2217" s="69">
        <v>1</v>
      </c>
      <c r="E2217" s="74">
        <v>0</v>
      </c>
      <c r="F2217" s="80">
        <v>0</v>
      </c>
      <c r="G2217" s="61" t="str">
        <f>INDEX(SETORES!$B:$B,MATCH(A2217,SETORES!$A:$A,0))</f>
        <v>Clientes</v>
      </c>
      <c r="H2217" s="61" t="s">
        <v>20</v>
      </c>
    </row>
    <row r="2218" spans="1:8" ht="14.25" hidden="1" customHeight="1" x14ac:dyDescent="0.3">
      <c r="A2218" s="34" t="s">
        <v>37</v>
      </c>
      <c r="B2218" s="61" t="s">
        <v>155</v>
      </c>
      <c r="C2218" s="61" t="s">
        <v>249</v>
      </c>
      <c r="D2218" s="69">
        <v>1</v>
      </c>
      <c r="E2218" s="74">
        <v>4985.26</v>
      </c>
      <c r="F2218" s="80">
        <f>IFERROR(D2218*E2218,0)</f>
        <v>4985.26</v>
      </c>
      <c r="G2218" s="61" t="str">
        <f>INDEX(SETORES!$B:$B,MATCH(A2218,SETORES!$A:$A,0))</f>
        <v>Clientes</v>
      </c>
      <c r="H2218" s="61" t="s">
        <v>20</v>
      </c>
    </row>
    <row r="2219" spans="1:8" ht="14.25" customHeight="1" x14ac:dyDescent="0.3">
      <c r="A2219" s="34" t="s">
        <v>37</v>
      </c>
      <c r="B2219" s="61" t="s">
        <v>155</v>
      </c>
      <c r="C2219" s="61" t="s">
        <v>171</v>
      </c>
      <c r="D2219" s="69">
        <v>41</v>
      </c>
      <c r="E2219" s="74">
        <v>47.79</v>
      </c>
      <c r="F2219" s="80">
        <f>IFERROR(D2219*E2219,0)</f>
        <v>1959.3899999999999</v>
      </c>
      <c r="G2219" s="60" t="s">
        <v>98</v>
      </c>
      <c r="H2219" s="61" t="s">
        <v>20</v>
      </c>
    </row>
    <row r="2220" spans="1:8" ht="14.25" hidden="1" customHeight="1" x14ac:dyDescent="0.3">
      <c r="A2220" s="2" t="s">
        <v>37</v>
      </c>
      <c r="B2220" s="60" t="s">
        <v>155</v>
      </c>
      <c r="C2220" s="60" t="s">
        <v>170</v>
      </c>
      <c r="D2220" s="68">
        <v>41</v>
      </c>
      <c r="E2220" s="73">
        <v>28.31</v>
      </c>
      <c r="F2220" s="79">
        <f>IFERROR(D2220*E2220,0)</f>
        <v>1160.71</v>
      </c>
      <c r="G2220" s="61" t="s">
        <v>98</v>
      </c>
      <c r="H2220" s="60" t="s">
        <v>20</v>
      </c>
    </row>
    <row r="2221" spans="1:8" ht="14.25" hidden="1" customHeight="1" x14ac:dyDescent="0.3">
      <c r="A2221" s="34" t="s">
        <v>37</v>
      </c>
      <c r="B2221" s="61" t="s">
        <v>155</v>
      </c>
      <c r="C2221" s="61" t="s">
        <v>169</v>
      </c>
      <c r="D2221" s="69">
        <v>41</v>
      </c>
      <c r="E2221" s="74">
        <v>64.569999999999993</v>
      </c>
      <c r="F2221" s="80">
        <f>IFERROR(D2221*E2221,0)</f>
        <v>2647.37</v>
      </c>
      <c r="G2221" s="61" t="s">
        <v>98</v>
      </c>
      <c r="H2221" s="61" t="s">
        <v>20</v>
      </c>
    </row>
    <row r="2222" spans="1:8" ht="14.25" hidden="1" customHeight="1" x14ac:dyDescent="0.3">
      <c r="A2222" s="2" t="s">
        <v>37</v>
      </c>
      <c r="B2222" s="60" t="s">
        <v>162</v>
      </c>
      <c r="C2222" s="60" t="s">
        <v>192</v>
      </c>
      <c r="D2222" s="68">
        <v>1</v>
      </c>
      <c r="E2222" s="73">
        <v>242.73</v>
      </c>
      <c r="F2222" s="79">
        <f>IFERROR(D2222*E2222,0)</f>
        <v>242.73</v>
      </c>
      <c r="G2222" s="60" t="str">
        <f>INDEX(SETORES!$B:$B,MATCH(A2222,SETORES!$A:$A,0))</f>
        <v>Clientes</v>
      </c>
      <c r="H2222" s="60" t="s">
        <v>20</v>
      </c>
    </row>
    <row r="2223" spans="1:8" ht="14.25" hidden="1" customHeight="1" x14ac:dyDescent="0.3">
      <c r="A2223" s="2" t="s">
        <v>37</v>
      </c>
      <c r="B2223" s="60" t="s">
        <v>162</v>
      </c>
      <c r="C2223" s="60" t="s">
        <v>194</v>
      </c>
      <c r="D2223" s="68">
        <v>1</v>
      </c>
      <c r="E2223" s="73">
        <v>23.5</v>
      </c>
      <c r="F2223" s="79">
        <f>IFERROR(D2223*E2223,0)</f>
        <v>23.5</v>
      </c>
      <c r="G2223" s="60" t="str">
        <f>INDEX(SETORES!$B:$B,MATCH(A2223,SETORES!$A:$A,0))</f>
        <v>Clientes</v>
      </c>
      <c r="H2223" s="60" t="s">
        <v>20</v>
      </c>
    </row>
    <row r="2224" spans="1:8" ht="14.25" hidden="1" customHeight="1" x14ac:dyDescent="0.3">
      <c r="A2224" s="2" t="s">
        <v>37</v>
      </c>
      <c r="B2224" s="60" t="s">
        <v>155</v>
      </c>
      <c r="C2224" s="60" t="s">
        <v>158</v>
      </c>
      <c r="D2224" s="68">
        <v>1</v>
      </c>
      <c r="E2224" s="73">
        <v>348.9425</v>
      </c>
      <c r="F2224" s="79">
        <v>348.9425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34" t="s">
        <v>37</v>
      </c>
      <c r="B2225" s="61" t="s">
        <v>162</v>
      </c>
      <c r="C2225" s="61" t="s">
        <v>165</v>
      </c>
      <c r="D2225" s="69">
        <v>1</v>
      </c>
      <c r="E2225" s="74">
        <v>316.67</v>
      </c>
      <c r="F2225" s="80">
        <f>IFERROR(D2225*E2225,0)</f>
        <v>316.67</v>
      </c>
      <c r="G2225" s="61" t="str">
        <f>INDEX(SETORES!$B:$B,MATCH(A2225,SETORES!$A:$A,0))</f>
        <v>Clientes</v>
      </c>
      <c r="H2225" s="61" t="s">
        <v>20</v>
      </c>
    </row>
    <row r="2226" spans="1:8" ht="14.25" hidden="1" customHeight="1" x14ac:dyDescent="0.3">
      <c r="A2226" s="34" t="s">
        <v>37</v>
      </c>
      <c r="B2226" s="61" t="s">
        <v>162</v>
      </c>
      <c r="C2226" s="61" t="s">
        <v>163</v>
      </c>
      <c r="D2226" s="69">
        <v>1</v>
      </c>
      <c r="E2226" s="74">
        <v>340</v>
      </c>
      <c r="F2226" s="80">
        <f>IFERROR(D2226*E2226,0)</f>
        <v>340</v>
      </c>
      <c r="G2226" s="61" t="str">
        <f>INDEX(SETORES!$B:$B,MATCH(A2226,SETORES!$A:$A,0))</f>
        <v>Clientes</v>
      </c>
      <c r="H2226" s="61" t="s">
        <v>20</v>
      </c>
    </row>
    <row r="2227" spans="1:8" ht="14.25" hidden="1" customHeight="1" x14ac:dyDescent="0.3">
      <c r="A2227" s="2" t="s">
        <v>37</v>
      </c>
      <c r="B2227" s="60" t="s">
        <v>162</v>
      </c>
      <c r="C2227" s="60" t="s">
        <v>164</v>
      </c>
      <c r="D2227" s="68">
        <v>1</v>
      </c>
      <c r="E2227" s="73">
        <v>181.33</v>
      </c>
      <c r="F2227" s="79">
        <f>IFERROR(D2227*E2227,0)</f>
        <v>181.33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34" t="s">
        <v>37</v>
      </c>
      <c r="B2228" s="61" t="s">
        <v>155</v>
      </c>
      <c r="C2228" s="61" t="s">
        <v>161</v>
      </c>
      <c r="D2228" s="69">
        <v>1</v>
      </c>
      <c r="E2228" s="74">
        <v>132451.46</v>
      </c>
      <c r="F2228" s="80">
        <f>IFERROR(E2228,0)</f>
        <v>132451.46</v>
      </c>
      <c r="G2228" s="61" t="str">
        <f>INDEX(SETORES!$B:$B,MATCH(A2228,SETORES!$A:$A,0))</f>
        <v>Clientes</v>
      </c>
      <c r="H2228" s="61" t="s">
        <v>20</v>
      </c>
    </row>
    <row r="2229" spans="1:8" ht="14.25" hidden="1" customHeight="1" x14ac:dyDescent="0.3">
      <c r="A2229" s="34" t="s">
        <v>37</v>
      </c>
      <c r="B2229" s="61" t="s">
        <v>155</v>
      </c>
      <c r="C2229" s="61" t="s">
        <v>167</v>
      </c>
      <c r="D2229" s="69">
        <v>41</v>
      </c>
      <c r="E2229" s="74">
        <v>10.050000000000001</v>
      </c>
      <c r="F2229" s="80">
        <f>IFERROR(D2229*E2229,0)</f>
        <v>412.05</v>
      </c>
      <c r="G2229" s="61" t="str">
        <f>INDEX(SETORES!$B:$B,MATCH(A2229,SETORES!$A:$A,0))</f>
        <v>Clientes</v>
      </c>
      <c r="H2229" s="61" t="s">
        <v>20</v>
      </c>
    </row>
    <row r="2230" spans="1:8" ht="14.25" hidden="1" customHeight="1" x14ac:dyDescent="0.3">
      <c r="A2230" s="2" t="s">
        <v>37</v>
      </c>
      <c r="B2230" s="60" t="s">
        <v>155</v>
      </c>
      <c r="C2230" s="60" t="s">
        <v>166</v>
      </c>
      <c r="D2230" s="68">
        <v>43</v>
      </c>
      <c r="E2230" s="73">
        <v>50</v>
      </c>
      <c r="F2230" s="79">
        <f>IFERROR(D2230*E2230,0)</f>
        <v>2150</v>
      </c>
      <c r="G2230" s="60" t="str">
        <f>INDEX(SETORES!$B:$B,MATCH(A2230,SETORES!$A:$A,0))</f>
        <v>Clientes</v>
      </c>
      <c r="H2230" s="60" t="s">
        <v>20</v>
      </c>
    </row>
    <row r="2231" spans="1:8" ht="14.25" hidden="1" customHeight="1" x14ac:dyDescent="0.3">
      <c r="A2231" s="2" t="s">
        <v>37</v>
      </c>
      <c r="B2231" s="60" t="s">
        <v>155</v>
      </c>
      <c r="C2231" s="60" t="s">
        <v>223</v>
      </c>
      <c r="D2231" s="68"/>
      <c r="E2231" s="73"/>
      <c r="F2231" s="79">
        <f>IFERROR(D2231*E2231,0)</f>
        <v>0</v>
      </c>
      <c r="G2231" s="60" t="str">
        <f>INDEX(SETORES!$B:$B,MATCH(A2231,SETORES!$A:$A,0))</f>
        <v>Clientes</v>
      </c>
      <c r="H2231" s="60" t="s">
        <v>20</v>
      </c>
    </row>
    <row r="2232" spans="1:8" ht="14.25" hidden="1" customHeight="1" x14ac:dyDescent="0.3">
      <c r="A2232" s="2" t="s">
        <v>37</v>
      </c>
      <c r="B2232" s="60" t="s">
        <v>155</v>
      </c>
      <c r="C2232" s="60" t="s">
        <v>156</v>
      </c>
      <c r="D2232" s="68">
        <v>41</v>
      </c>
      <c r="E2232" s="73">
        <v>0.36480000000000001</v>
      </c>
      <c r="F2232" s="79">
        <v>14.956799999999999</v>
      </c>
      <c r="G2232" s="60" t="str">
        <f>INDEX(SETORES!$B:$B,MATCH(A2232,SETORES!$A:$A,0))</f>
        <v>Clientes</v>
      </c>
      <c r="H2232" s="60" t="s">
        <v>20</v>
      </c>
    </row>
    <row r="2233" spans="1:8" ht="14.25" hidden="1" customHeight="1" x14ac:dyDescent="0.3">
      <c r="A2233" s="34" t="s">
        <v>37</v>
      </c>
      <c r="B2233" s="61" t="s">
        <v>155</v>
      </c>
      <c r="C2233" s="61" t="s">
        <v>157</v>
      </c>
      <c r="D2233" s="69">
        <v>1</v>
      </c>
      <c r="E2233" s="74">
        <v>1160.2222409999999</v>
      </c>
      <c r="F2233" s="80">
        <v>1160.2222409999999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37</v>
      </c>
      <c r="B2234" s="61" t="s">
        <v>155</v>
      </c>
      <c r="C2234" s="61" t="s">
        <v>189</v>
      </c>
      <c r="D2234" s="69">
        <v>1</v>
      </c>
      <c r="E2234" s="74">
        <v>883.62068399999998</v>
      </c>
      <c r="F2234" s="80">
        <f>IFERROR(D2234*E2234,0)</f>
        <v>883.62068399999998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2" t="s">
        <v>37</v>
      </c>
      <c r="B2235" s="60" t="s">
        <v>155</v>
      </c>
      <c r="C2235" s="60" t="s">
        <v>190</v>
      </c>
      <c r="D2235" s="68">
        <v>1</v>
      </c>
      <c r="E2235" s="73">
        <v>117.814894</v>
      </c>
      <c r="F2235" s="79">
        <f>IFERROR(D2235*E2235,0)</f>
        <v>117.814894</v>
      </c>
      <c r="G2235" s="60" t="str">
        <f>INDEX(SETORES!$B:$B,MATCH(A2235,SETORES!$A:$A,0))</f>
        <v>Clientes</v>
      </c>
      <c r="H2235" s="60" t="s">
        <v>20</v>
      </c>
    </row>
    <row r="2236" spans="1:8" ht="14.25" hidden="1" customHeight="1" x14ac:dyDescent="0.3">
      <c r="A2236" s="34" t="s">
        <v>37</v>
      </c>
      <c r="B2236" s="61" t="s">
        <v>162</v>
      </c>
      <c r="C2236" s="61" t="s">
        <v>191</v>
      </c>
      <c r="D2236" s="69">
        <v>1</v>
      </c>
      <c r="E2236" s="74">
        <v>326.52613200000002</v>
      </c>
      <c r="F2236" s="80">
        <f>IFERROR(D2236*E2236,0)</f>
        <v>326.52613200000002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34" t="s">
        <v>37</v>
      </c>
      <c r="B2237" s="61" t="s">
        <v>155</v>
      </c>
      <c r="C2237" s="61" t="s">
        <v>187</v>
      </c>
      <c r="D2237" s="69">
        <v>1</v>
      </c>
      <c r="E2237" s="74">
        <v>1879.493013</v>
      </c>
      <c r="F2237" s="80">
        <f>IFERROR(D2237*E2237,0)</f>
        <v>1879.493013</v>
      </c>
      <c r="G2237" s="61" t="str">
        <f>INDEX(SETORES!$B:$B,MATCH(A2237,SETORES!$A:$A,0))</f>
        <v>Clientes</v>
      </c>
      <c r="H2237" s="61" t="s">
        <v>20</v>
      </c>
    </row>
    <row r="2238" spans="1:8" ht="14.25" hidden="1" customHeight="1" x14ac:dyDescent="0.3">
      <c r="A2238" s="2" t="s">
        <v>37</v>
      </c>
      <c r="B2238" s="60" t="s">
        <v>155</v>
      </c>
      <c r="C2238" s="60" t="s">
        <v>168</v>
      </c>
      <c r="D2238" s="68">
        <v>41</v>
      </c>
      <c r="E2238" s="73">
        <v>2.0699999999999998</v>
      </c>
      <c r="F2238" s="79">
        <f>IFERROR(D2238*E2238,0)</f>
        <v>84.86999999999999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2" t="s">
        <v>37</v>
      </c>
      <c r="B2239" s="60" t="s">
        <v>155</v>
      </c>
      <c r="C2239" s="60" t="s">
        <v>188</v>
      </c>
      <c r="D2239" s="68">
        <v>1</v>
      </c>
      <c r="E2239" s="73">
        <v>1641.88</v>
      </c>
      <c r="F2239" s="79">
        <f>IFERROR(D2239*E2239,0)</f>
        <v>1641.88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2" t="s">
        <v>37</v>
      </c>
      <c r="B2240" s="60" t="s">
        <v>155</v>
      </c>
      <c r="C2240" s="60" t="s">
        <v>160</v>
      </c>
      <c r="D2240" s="68"/>
      <c r="E2240" s="73"/>
      <c r="F2240" s="79">
        <f>IFERROR(D2240*E2240,0)</f>
        <v>0</v>
      </c>
      <c r="G2240" s="60" t="str">
        <f>INDEX(SETORES!$B:$B,MATCH(A2240,SETORES!$A:$A,0))</f>
        <v>Clientes</v>
      </c>
      <c r="H2240" s="60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193</v>
      </c>
      <c r="D2241" s="69">
        <v>1</v>
      </c>
      <c r="E2241" s="74">
        <v>52</v>
      </c>
      <c r="F2241" s="80">
        <f>IFERROR(D2241*E2241,0)</f>
        <v>52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2" t="s">
        <v>46</v>
      </c>
      <c r="B2242" s="60" t="s">
        <v>155</v>
      </c>
      <c r="C2242" s="60" t="s">
        <v>159</v>
      </c>
      <c r="D2242" s="68"/>
      <c r="E2242" s="73"/>
      <c r="F2242" s="79">
        <f>IFERROR(D2242*E2242,0)</f>
        <v>0</v>
      </c>
      <c r="G2242" s="60" t="str">
        <f>INDEX(SETORES!$B:$B,MATCH(A2242,SETORES!$A:$A,0))</f>
        <v>Clientes</v>
      </c>
      <c r="H2242" s="60" t="s">
        <v>20</v>
      </c>
    </row>
    <row r="2243" spans="1:8" ht="14.25" hidden="1" customHeight="1" x14ac:dyDescent="0.3">
      <c r="A2243" s="34" t="s">
        <v>46</v>
      </c>
      <c r="B2243" s="61" t="s">
        <v>155</v>
      </c>
      <c r="C2243" s="61" t="s">
        <v>212</v>
      </c>
      <c r="D2243" s="69">
        <v>4</v>
      </c>
      <c r="E2243" s="74">
        <v>30</v>
      </c>
      <c r="F2243" s="80">
        <f>IFERROR(D2243*E2243,0)</f>
        <v>120</v>
      </c>
      <c r="G2243" s="61" t="str">
        <f>INDEX(SETORES!$B:$B,MATCH(A2243,SETORES!$A:$A,0))</f>
        <v>Clientes</v>
      </c>
      <c r="H2243" s="61" t="s">
        <v>20</v>
      </c>
    </row>
    <row r="2244" spans="1:8" ht="14.25" hidden="1" customHeight="1" x14ac:dyDescent="0.3">
      <c r="A2244" s="2" t="s">
        <v>46</v>
      </c>
      <c r="B2244" s="60" t="s">
        <v>162</v>
      </c>
      <c r="C2244" s="60" t="s">
        <v>217</v>
      </c>
      <c r="D2244" s="68">
        <v>1</v>
      </c>
      <c r="E2244" s="73">
        <v>14279.2</v>
      </c>
      <c r="F2244" s="79">
        <f>IFERROR(D2244*E2244,0)</f>
        <v>14279.2</v>
      </c>
      <c r="G2244" s="60" t="str">
        <f>INDEX(SETORES!$B:$B,MATCH(A2244,SETORES!$A:$A,0))</f>
        <v>Clientes</v>
      </c>
      <c r="H2244" s="60" t="s">
        <v>20</v>
      </c>
    </row>
    <row r="2245" spans="1:8" ht="14.25" hidden="1" customHeight="1" x14ac:dyDescent="0.3">
      <c r="A2245" s="2" t="s">
        <v>46</v>
      </c>
      <c r="B2245" s="60" t="s">
        <v>155</v>
      </c>
      <c r="C2245" s="60" t="s">
        <v>250</v>
      </c>
      <c r="D2245" s="68">
        <v>1</v>
      </c>
      <c r="E2245" s="73">
        <v>4170.78</v>
      </c>
      <c r="F2245" s="79">
        <f>IFERROR(D2245*E2245,0)</f>
        <v>4170.78</v>
      </c>
      <c r="G2245" s="60" t="str">
        <f>INDEX(SETORES!$B:$B,MATCH(A2245,SETORES!$A:$A,0))</f>
        <v>Clientes</v>
      </c>
      <c r="H2245" s="60" t="s">
        <v>20</v>
      </c>
    </row>
    <row r="2246" spans="1:8" ht="14.25" customHeight="1" x14ac:dyDescent="0.3">
      <c r="A2246" s="34" t="s">
        <v>46</v>
      </c>
      <c r="B2246" s="61" t="s">
        <v>155</v>
      </c>
      <c r="C2246" s="61" t="s">
        <v>171</v>
      </c>
      <c r="D2246" s="69">
        <v>23</v>
      </c>
      <c r="E2246" s="74">
        <v>47.79</v>
      </c>
      <c r="F2246" s="80">
        <f>IFERROR(D2246*E2246,0)</f>
        <v>1099.17</v>
      </c>
      <c r="G2246" s="60" t="s">
        <v>98</v>
      </c>
      <c r="H2246" s="61" t="s">
        <v>20</v>
      </c>
    </row>
    <row r="2247" spans="1:8" ht="14.25" hidden="1" customHeight="1" x14ac:dyDescent="0.3">
      <c r="A2247" s="2" t="s">
        <v>46</v>
      </c>
      <c r="B2247" s="60" t="s">
        <v>155</v>
      </c>
      <c r="C2247" s="60" t="s">
        <v>170</v>
      </c>
      <c r="D2247" s="68">
        <v>23</v>
      </c>
      <c r="E2247" s="73">
        <v>28.31</v>
      </c>
      <c r="F2247" s="79">
        <f>IFERROR(D2247*E2247,0)</f>
        <v>651.13</v>
      </c>
      <c r="G2247" s="61" t="s">
        <v>98</v>
      </c>
      <c r="H2247" s="60" t="s">
        <v>20</v>
      </c>
    </row>
    <row r="2248" spans="1:8" ht="14.25" hidden="1" customHeight="1" x14ac:dyDescent="0.3">
      <c r="A2248" s="34" t="s">
        <v>46</v>
      </c>
      <c r="B2248" s="61" t="s">
        <v>155</v>
      </c>
      <c r="C2248" s="61" t="s">
        <v>169</v>
      </c>
      <c r="D2248" s="69">
        <v>23</v>
      </c>
      <c r="E2248" s="74">
        <v>64.569999999999993</v>
      </c>
      <c r="F2248" s="80">
        <f>IFERROR(D2248*E2248,0)</f>
        <v>1485.11</v>
      </c>
      <c r="G2248" s="61" t="s">
        <v>98</v>
      </c>
      <c r="H2248" s="61" t="s">
        <v>20</v>
      </c>
    </row>
    <row r="2249" spans="1:8" ht="14.25" hidden="1" customHeight="1" x14ac:dyDescent="0.3">
      <c r="A2249" s="2" t="s">
        <v>46</v>
      </c>
      <c r="B2249" s="60" t="s">
        <v>162</v>
      </c>
      <c r="C2249" s="60" t="s">
        <v>221</v>
      </c>
      <c r="D2249" s="68">
        <v>1</v>
      </c>
      <c r="E2249" s="73">
        <v>4422.3900000000003</v>
      </c>
      <c r="F2249" s="79">
        <f>IFERROR(D2249*E2249,0)</f>
        <v>4422.3900000000003</v>
      </c>
      <c r="G2249" s="60" t="str">
        <f>INDEX(SETORES!$B:$B,MATCH(A2249,SETORES!$A:$A,0))</f>
        <v>Clientes</v>
      </c>
      <c r="H2249" s="60" t="s">
        <v>20</v>
      </c>
    </row>
    <row r="2250" spans="1:8" ht="14.25" hidden="1" customHeight="1" x14ac:dyDescent="0.3">
      <c r="A2250" s="2" t="s">
        <v>46</v>
      </c>
      <c r="B2250" s="60" t="s">
        <v>155</v>
      </c>
      <c r="C2250" s="60" t="s">
        <v>161</v>
      </c>
      <c r="D2250" s="68">
        <v>1</v>
      </c>
      <c r="E2250" s="73">
        <v>158228.71</v>
      </c>
      <c r="F2250" s="79">
        <f>IFERROR(E2250,0)</f>
        <v>158228.71</v>
      </c>
      <c r="G2250" s="60" t="str">
        <f>INDEX(SETORES!$B:$B,MATCH(A2250,SETORES!$A:$A,0))</f>
        <v>Clientes</v>
      </c>
      <c r="H2250" s="60" t="s">
        <v>20</v>
      </c>
    </row>
    <row r="2251" spans="1:8" ht="14.25" hidden="1" customHeight="1" x14ac:dyDescent="0.3">
      <c r="A2251" s="34" t="s">
        <v>46</v>
      </c>
      <c r="B2251" s="61" t="s">
        <v>155</v>
      </c>
      <c r="C2251" s="61" t="s">
        <v>167</v>
      </c>
      <c r="D2251" s="69">
        <v>23</v>
      </c>
      <c r="E2251" s="74">
        <v>10.050000000000001</v>
      </c>
      <c r="F2251" s="80">
        <f>IFERROR(D2251*E2251,0)</f>
        <v>231.15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34" t="s">
        <v>46</v>
      </c>
      <c r="B2252" s="61" t="s">
        <v>162</v>
      </c>
      <c r="C2252" s="61" t="s">
        <v>218</v>
      </c>
      <c r="D2252" s="69"/>
      <c r="E2252" s="74"/>
      <c r="F2252" s="80">
        <f>IFERROR(D2252*E2252,0)</f>
        <v>0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34" t="s">
        <v>46</v>
      </c>
      <c r="B2253" s="61" t="s">
        <v>155</v>
      </c>
      <c r="C2253" s="61" t="s">
        <v>166</v>
      </c>
      <c r="D2253" s="69"/>
      <c r="E2253" s="74"/>
      <c r="F2253" s="80">
        <f>IFERROR(D2253*E2253,0)</f>
        <v>0</v>
      </c>
      <c r="G2253" s="61" t="str">
        <f>INDEX(SETORES!$B:$B,MATCH(A2253,SETORES!$A:$A,0))</f>
        <v>Clientes</v>
      </c>
      <c r="H2253" s="61" t="s">
        <v>20</v>
      </c>
    </row>
    <row r="2254" spans="1:8" ht="14.25" hidden="1" customHeight="1" x14ac:dyDescent="0.3">
      <c r="A2254" s="2" t="s">
        <v>46</v>
      </c>
      <c r="B2254" s="60" t="s">
        <v>155</v>
      </c>
      <c r="C2254" s="60" t="s">
        <v>156</v>
      </c>
      <c r="D2254" s="68"/>
      <c r="E2254" s="73"/>
      <c r="F2254" s="79">
        <v>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34" t="s">
        <v>46</v>
      </c>
      <c r="B2255" s="61" t="s">
        <v>155</v>
      </c>
      <c r="C2255" s="61" t="s">
        <v>157</v>
      </c>
      <c r="D2255" s="69"/>
      <c r="E2255" s="74"/>
      <c r="F2255" s="80">
        <v>0</v>
      </c>
      <c r="G2255" s="61" t="str">
        <f>INDEX(SETORES!$B:$B,MATCH(A2255,SETORES!$A:$A,0))</f>
        <v>Clientes</v>
      </c>
      <c r="H2255" s="61" t="s">
        <v>20</v>
      </c>
    </row>
    <row r="2256" spans="1:8" ht="14.25" hidden="1" customHeight="1" x14ac:dyDescent="0.3">
      <c r="A2256" s="2" t="s">
        <v>46</v>
      </c>
      <c r="B2256" s="60" t="s">
        <v>155</v>
      </c>
      <c r="C2256" s="60" t="s">
        <v>168</v>
      </c>
      <c r="D2256" s="68">
        <v>23</v>
      </c>
      <c r="E2256" s="73">
        <v>2.0699999999999998</v>
      </c>
      <c r="F2256" s="79">
        <f>IFERROR(D2256*E2256,0)</f>
        <v>47.61</v>
      </c>
      <c r="G2256" s="60" t="str">
        <f>INDEX(SETORES!$B:$B,MATCH(A2256,SETORES!$A:$A,0))</f>
        <v>Clientes</v>
      </c>
      <c r="H2256" s="60" t="s">
        <v>20</v>
      </c>
    </row>
    <row r="2257" spans="1:8" ht="14.25" hidden="1" customHeight="1" x14ac:dyDescent="0.3">
      <c r="A2257" s="34" t="s">
        <v>46</v>
      </c>
      <c r="B2257" s="61" t="s">
        <v>155</v>
      </c>
      <c r="C2257" s="61" t="s">
        <v>160</v>
      </c>
      <c r="D2257" s="69"/>
      <c r="E2257" s="74"/>
      <c r="F2257" s="80">
        <f>IFERROR(D2257*E2257,0)</f>
        <v>0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2" t="s">
        <v>49</v>
      </c>
      <c r="B2258" s="60" t="s">
        <v>155</v>
      </c>
      <c r="C2258" s="60" t="s">
        <v>159</v>
      </c>
      <c r="D2258" s="68">
        <v>4</v>
      </c>
      <c r="E2258" s="73">
        <v>0.63429999999999997</v>
      </c>
      <c r="F2258" s="79">
        <v>2.5371999999999999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2" t="s">
        <v>49</v>
      </c>
      <c r="B2259" s="60" t="s">
        <v>162</v>
      </c>
      <c r="C2259" s="60" t="s">
        <v>217</v>
      </c>
      <c r="D2259" s="68"/>
      <c r="E2259" s="73"/>
      <c r="F2259" s="79">
        <f>IFERROR(D2259*E2259,0)</f>
        <v>0</v>
      </c>
      <c r="G2259" s="60" t="str">
        <f>INDEX(SETORES!$B:$B,MATCH(A2259,SETORES!$A:$A,0))</f>
        <v>Clientes</v>
      </c>
      <c r="H2259" s="60" t="s">
        <v>20</v>
      </c>
    </row>
    <row r="2260" spans="1:8" ht="14.25" hidden="1" customHeight="1" x14ac:dyDescent="0.3">
      <c r="A2260" s="2" t="s">
        <v>49</v>
      </c>
      <c r="B2260" s="60" t="s">
        <v>155</v>
      </c>
      <c r="C2260" s="60" t="s">
        <v>256</v>
      </c>
      <c r="D2260" s="68">
        <v>1</v>
      </c>
      <c r="E2260" s="73">
        <v>3129.7592110000001</v>
      </c>
      <c r="F2260" s="79">
        <v>3129.7592110000001</v>
      </c>
      <c r="G2260" s="60" t="s">
        <v>96</v>
      </c>
      <c r="H2260" s="60" t="s">
        <v>20</v>
      </c>
    </row>
    <row r="2261" spans="1:8" ht="14.25" customHeight="1" x14ac:dyDescent="0.3">
      <c r="A2261" s="2" t="s">
        <v>49</v>
      </c>
      <c r="B2261" s="60" t="s">
        <v>155</v>
      </c>
      <c r="C2261" s="60" t="s">
        <v>171</v>
      </c>
      <c r="D2261" s="68">
        <v>4</v>
      </c>
      <c r="E2261" s="73">
        <v>47.79</v>
      </c>
      <c r="F2261" s="79">
        <f>IFERROR(D2261*E2261,0)</f>
        <v>191.16</v>
      </c>
      <c r="G2261" s="60" t="s">
        <v>98</v>
      </c>
      <c r="H2261" s="60" t="s">
        <v>20</v>
      </c>
    </row>
    <row r="2262" spans="1:8" ht="14.25" hidden="1" customHeight="1" x14ac:dyDescent="0.3">
      <c r="A2262" s="34" t="s">
        <v>49</v>
      </c>
      <c r="B2262" s="61" t="s">
        <v>155</v>
      </c>
      <c r="C2262" s="61" t="s">
        <v>170</v>
      </c>
      <c r="D2262" s="69">
        <v>4</v>
      </c>
      <c r="E2262" s="74">
        <v>28.31</v>
      </c>
      <c r="F2262" s="80">
        <f>IFERROR(D2262*E2262,0)</f>
        <v>113.24</v>
      </c>
      <c r="G2262" s="61" t="s">
        <v>98</v>
      </c>
      <c r="H2262" s="61" t="s">
        <v>20</v>
      </c>
    </row>
    <row r="2263" spans="1:8" ht="14.25" hidden="1" customHeight="1" x14ac:dyDescent="0.3">
      <c r="A2263" s="2" t="s">
        <v>49</v>
      </c>
      <c r="B2263" s="60" t="s">
        <v>155</v>
      </c>
      <c r="C2263" s="60" t="s">
        <v>169</v>
      </c>
      <c r="D2263" s="68">
        <v>4</v>
      </c>
      <c r="E2263" s="73">
        <v>64.569999999999993</v>
      </c>
      <c r="F2263" s="79">
        <f>IFERROR(D2263*E2263,0)</f>
        <v>258.27999999999997</v>
      </c>
      <c r="G2263" s="61" t="s">
        <v>98</v>
      </c>
      <c r="H2263" s="60" t="s">
        <v>20</v>
      </c>
    </row>
    <row r="2264" spans="1:8" ht="14.25" hidden="1" customHeight="1" x14ac:dyDescent="0.3">
      <c r="A2264" s="34" t="s">
        <v>49</v>
      </c>
      <c r="B2264" s="61" t="s">
        <v>155</v>
      </c>
      <c r="C2264" s="61" t="s">
        <v>158</v>
      </c>
      <c r="D2264" s="69">
        <v>4</v>
      </c>
      <c r="E2264" s="74">
        <v>24.8613</v>
      </c>
      <c r="F2264" s="80">
        <v>99.4452</v>
      </c>
      <c r="G2264" s="61" t="str">
        <f>INDEX(SETORES!$B:$B,MATCH(A2264,SETORES!$A:$A,0))</f>
        <v>Clientes</v>
      </c>
      <c r="H2264" s="61" t="s">
        <v>20</v>
      </c>
    </row>
    <row r="2265" spans="1:8" ht="14.25" hidden="1" customHeight="1" x14ac:dyDescent="0.3">
      <c r="A2265" s="34" t="s">
        <v>49</v>
      </c>
      <c r="B2265" s="61" t="s">
        <v>162</v>
      </c>
      <c r="C2265" s="61" t="s">
        <v>165</v>
      </c>
      <c r="D2265" s="69">
        <v>1</v>
      </c>
      <c r="E2265" s="74">
        <v>184</v>
      </c>
      <c r="F2265" s="80">
        <f>IFERROR(D2265*E2265,0)</f>
        <v>184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49</v>
      </c>
      <c r="B2266" s="60" t="s">
        <v>155</v>
      </c>
      <c r="C2266" s="60" t="s">
        <v>161</v>
      </c>
      <c r="D2266" s="68">
        <v>1</v>
      </c>
      <c r="E2266" s="73">
        <v>23497.040000000001</v>
      </c>
      <c r="F2266" s="79">
        <f>IFERROR(E2266,0)</f>
        <v>23497.040000000001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2" t="s">
        <v>49</v>
      </c>
      <c r="B2267" s="60" t="s">
        <v>155</v>
      </c>
      <c r="C2267" s="60" t="s">
        <v>167</v>
      </c>
      <c r="D2267" s="68">
        <v>4</v>
      </c>
      <c r="E2267" s="73">
        <v>10.050000000000001</v>
      </c>
      <c r="F2267" s="79">
        <f>IFERROR(D2267*E2267,0)</f>
        <v>40.200000000000003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34" t="s">
        <v>49</v>
      </c>
      <c r="B2268" s="61" t="s">
        <v>162</v>
      </c>
      <c r="C2268" s="61" t="s">
        <v>220</v>
      </c>
      <c r="D2268" s="69"/>
      <c r="E2268" s="74"/>
      <c r="F2268" s="80">
        <f>IFERROR(D2268*E2268,0)</f>
        <v>0</v>
      </c>
      <c r="G2268" s="61" t="str">
        <f>INDEX(SETORES!$B:$B,MATCH(A2268,SETORES!$A:$A,0))</f>
        <v>Clientes</v>
      </c>
      <c r="H2268" s="61" t="s">
        <v>20</v>
      </c>
    </row>
    <row r="2269" spans="1:8" ht="14.25" hidden="1" customHeight="1" x14ac:dyDescent="0.3">
      <c r="A2269" s="34" t="s">
        <v>49</v>
      </c>
      <c r="B2269" s="61" t="s">
        <v>155</v>
      </c>
      <c r="C2269" s="61" t="s">
        <v>156</v>
      </c>
      <c r="D2269" s="69"/>
      <c r="E2269" s="74"/>
      <c r="F2269" s="80">
        <v>0</v>
      </c>
      <c r="G2269" s="61" t="str">
        <f>INDEX(SETORES!$B:$B,MATCH(A2269,SETORES!$A:$A,0))</f>
        <v>Clientes</v>
      </c>
      <c r="H2269" s="61" t="s">
        <v>20</v>
      </c>
    </row>
    <row r="2270" spans="1:8" ht="14.25" hidden="1" customHeight="1" x14ac:dyDescent="0.3">
      <c r="A2270" s="2" t="s">
        <v>49</v>
      </c>
      <c r="B2270" s="60" t="s">
        <v>155</v>
      </c>
      <c r="C2270" s="60" t="s">
        <v>157</v>
      </c>
      <c r="D2270" s="68"/>
      <c r="E2270" s="73"/>
      <c r="F2270" s="79">
        <v>0</v>
      </c>
      <c r="G2270" s="60" t="str">
        <f>INDEX(SETORES!$B:$B,MATCH(A2270,SETORES!$A:$A,0))</f>
        <v>Clientes</v>
      </c>
      <c r="H2270" s="60" t="s">
        <v>20</v>
      </c>
    </row>
    <row r="2271" spans="1:8" ht="14.25" hidden="1" customHeight="1" x14ac:dyDescent="0.3">
      <c r="A2271" s="2" t="s">
        <v>49</v>
      </c>
      <c r="B2271" s="60" t="s">
        <v>162</v>
      </c>
      <c r="C2271" s="60" t="s">
        <v>209</v>
      </c>
      <c r="D2271" s="68">
        <v>4</v>
      </c>
      <c r="E2271" s="73">
        <v>89.55</v>
      </c>
      <c r="F2271" s="79">
        <f>IFERROR(D2271*E2271,0)</f>
        <v>358.2</v>
      </c>
      <c r="G2271" s="60" t="str">
        <f>INDEX(SETORES!$B:$B,MATCH(A2271,SETORES!$A:$A,0))</f>
        <v>Clientes</v>
      </c>
      <c r="H2271" s="60" t="s">
        <v>20</v>
      </c>
    </row>
    <row r="2272" spans="1:8" ht="14.25" hidden="1" customHeight="1" x14ac:dyDescent="0.3">
      <c r="A2272" s="2" t="s">
        <v>49</v>
      </c>
      <c r="B2272" s="60" t="s">
        <v>162</v>
      </c>
      <c r="C2272" s="60" t="s">
        <v>222</v>
      </c>
      <c r="D2272" s="68"/>
      <c r="E2272" s="73"/>
      <c r="F2272" s="79">
        <f>IFERROR(D2272*E2272,0)</f>
        <v>0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34" t="s">
        <v>49</v>
      </c>
      <c r="B2273" s="61" t="s">
        <v>155</v>
      </c>
      <c r="C2273" s="61" t="s">
        <v>224</v>
      </c>
      <c r="D2273" s="69">
        <v>1</v>
      </c>
      <c r="E2273" s="74">
        <v>1800</v>
      </c>
      <c r="F2273" s="80">
        <f>IFERROR(D2273*E2273,0)</f>
        <v>1800</v>
      </c>
      <c r="G2273" s="61" t="str">
        <f>INDEX(SETORES!$B:$B,MATCH(A2273,SETORES!$A:$A,0))</f>
        <v>Clientes</v>
      </c>
      <c r="H2273" s="61" t="s">
        <v>20</v>
      </c>
    </row>
    <row r="2274" spans="1:8" ht="14.25" hidden="1" customHeight="1" x14ac:dyDescent="0.3">
      <c r="A2274" s="34" t="s">
        <v>49</v>
      </c>
      <c r="B2274" s="61" t="s">
        <v>155</v>
      </c>
      <c r="C2274" s="61" t="s">
        <v>168</v>
      </c>
      <c r="D2274" s="69">
        <v>4</v>
      </c>
      <c r="E2274" s="74">
        <v>2.0699999999999998</v>
      </c>
      <c r="F2274" s="80">
        <f>IFERROR(D2274*E2274,0)</f>
        <v>8.2799999999999994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49</v>
      </c>
      <c r="B2275" s="61" t="s">
        <v>155</v>
      </c>
      <c r="C2275" s="61" t="s">
        <v>160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5" t="s">
        <v>146</v>
      </c>
      <c r="B2276" s="66" t="s">
        <v>155</v>
      </c>
      <c r="C2276" s="66" t="s">
        <v>161</v>
      </c>
      <c r="D2276" s="66">
        <v>1</v>
      </c>
      <c r="E2276" s="78">
        <v>15936.7</v>
      </c>
      <c r="F2276" s="78">
        <f>IFERROR(D2276*E2276,0)</f>
        <v>15936.7</v>
      </c>
      <c r="G2276" s="66" t="str">
        <f>INDEX(SETORES!$B:$B,MATCH(A2276,SETORES!$A:$A,0))</f>
        <v>Clientes</v>
      </c>
      <c r="H2276" s="66" t="s">
        <v>20</v>
      </c>
    </row>
    <row r="2277" spans="1:8" ht="14.25" hidden="1" customHeight="1" x14ac:dyDescent="0.3">
      <c r="A2277" s="2" t="s">
        <v>86</v>
      </c>
      <c r="B2277" s="60" t="s">
        <v>155</v>
      </c>
      <c r="C2277" s="60" t="s">
        <v>212</v>
      </c>
      <c r="D2277" s="68">
        <v>4</v>
      </c>
      <c r="E2277" s="73">
        <v>30</v>
      </c>
      <c r="F2277" s="79">
        <f>IFERROR(D2277*E2277,0)</f>
        <v>120</v>
      </c>
      <c r="G2277" s="60" t="str">
        <f>INDEX(SETORES!$B:$B,MATCH(A2277,SETORES!$A:$A,0))</f>
        <v>Clientes</v>
      </c>
      <c r="H2277" s="60" t="s">
        <v>20</v>
      </c>
    </row>
    <row r="2278" spans="1:8" ht="14.25" customHeight="1" x14ac:dyDescent="0.3">
      <c r="A2278" s="34" t="s">
        <v>86</v>
      </c>
      <c r="B2278" s="61" t="s">
        <v>155</v>
      </c>
      <c r="C2278" s="61" t="s">
        <v>171</v>
      </c>
      <c r="D2278" s="69">
        <v>7</v>
      </c>
      <c r="E2278" s="74">
        <v>47.79</v>
      </c>
      <c r="F2278" s="80">
        <f>IFERROR(D2278*E2278,0)</f>
        <v>334.53</v>
      </c>
      <c r="G2278" s="60" t="s">
        <v>98</v>
      </c>
      <c r="H2278" s="61" t="s">
        <v>20</v>
      </c>
    </row>
    <row r="2279" spans="1:8" ht="14.25" hidden="1" customHeight="1" x14ac:dyDescent="0.3">
      <c r="A2279" s="2" t="s">
        <v>86</v>
      </c>
      <c r="B2279" s="60" t="s">
        <v>155</v>
      </c>
      <c r="C2279" s="60" t="s">
        <v>170</v>
      </c>
      <c r="D2279" s="68">
        <v>7</v>
      </c>
      <c r="E2279" s="73">
        <v>28.31</v>
      </c>
      <c r="F2279" s="79">
        <f>IFERROR(D2279*E2279,0)</f>
        <v>198.17</v>
      </c>
      <c r="G2279" s="61" t="s">
        <v>98</v>
      </c>
      <c r="H2279" s="60" t="s">
        <v>20</v>
      </c>
    </row>
    <row r="2280" spans="1:8" ht="14.25" hidden="1" customHeight="1" x14ac:dyDescent="0.3">
      <c r="A2280" s="2" t="s">
        <v>86</v>
      </c>
      <c r="B2280" s="60" t="s">
        <v>155</v>
      </c>
      <c r="C2280" s="60" t="s">
        <v>169</v>
      </c>
      <c r="D2280" s="68">
        <v>7</v>
      </c>
      <c r="E2280" s="73">
        <v>64.569999999999993</v>
      </c>
      <c r="F2280" s="79">
        <f>IFERROR(D2280*E2280,0)</f>
        <v>451.98999999999995</v>
      </c>
      <c r="G2280" s="61" t="s">
        <v>98</v>
      </c>
      <c r="H2280" s="60" t="s">
        <v>20</v>
      </c>
    </row>
    <row r="2281" spans="1:8" ht="14.25" hidden="1" customHeight="1" x14ac:dyDescent="0.3">
      <c r="A2281" s="34" t="s">
        <v>86</v>
      </c>
      <c r="B2281" s="61" t="s">
        <v>155</v>
      </c>
      <c r="C2281" s="61" t="s">
        <v>161</v>
      </c>
      <c r="D2281" s="69">
        <v>1</v>
      </c>
      <c r="E2281" s="74">
        <v>24142.91</v>
      </c>
      <c r="F2281" s="80">
        <f>IFERROR(E2281,0)</f>
        <v>24142.91</v>
      </c>
      <c r="G2281" s="61" t="str">
        <f>INDEX(SETORES!$B:$B,MATCH(A2281,SETORES!$A:$A,0))</f>
        <v>Clientes</v>
      </c>
      <c r="H2281" s="61" t="s">
        <v>20</v>
      </c>
    </row>
    <row r="2282" spans="1:8" ht="14.25" hidden="1" customHeight="1" x14ac:dyDescent="0.3">
      <c r="A2282" s="34" t="s">
        <v>86</v>
      </c>
      <c r="B2282" s="61" t="s">
        <v>155</v>
      </c>
      <c r="C2282" s="61" t="s">
        <v>167</v>
      </c>
      <c r="D2282" s="69">
        <v>7</v>
      </c>
      <c r="E2282" s="74">
        <v>10.050000000000001</v>
      </c>
      <c r="F2282" s="80">
        <f>IFERROR(D2282*E2282,0)</f>
        <v>70.350000000000009</v>
      </c>
      <c r="G2282" s="61" t="str">
        <f>INDEX(SETORES!$B:$B,MATCH(A2282,SETORES!$A:$A,0))</f>
        <v>Clientes</v>
      </c>
      <c r="H2282" s="61" t="s">
        <v>20</v>
      </c>
    </row>
    <row r="2283" spans="1:8" ht="14.25" hidden="1" customHeight="1" x14ac:dyDescent="0.3">
      <c r="A2283" s="34" t="s">
        <v>86</v>
      </c>
      <c r="B2283" s="61" t="s">
        <v>155</v>
      </c>
      <c r="C2283" s="61" t="s">
        <v>238</v>
      </c>
      <c r="D2283" s="69">
        <v>1</v>
      </c>
      <c r="E2283" s="74">
        <v>7.7777770000000004</v>
      </c>
      <c r="F2283" s="80">
        <f>IFERROR(D2283*E2283,0)</f>
        <v>7.7777770000000004</v>
      </c>
      <c r="G2283" s="61" t="str">
        <f>INDEX(SETORES!$B:$B,MATCH(A2283,SETORES!$A:$A,0))</f>
        <v>Clientes</v>
      </c>
      <c r="H2283" s="61" t="s">
        <v>20</v>
      </c>
    </row>
    <row r="2284" spans="1:8" ht="14.25" hidden="1" customHeight="1" x14ac:dyDescent="0.3">
      <c r="A2284" s="34" t="s">
        <v>86</v>
      </c>
      <c r="B2284" s="61" t="s">
        <v>155</v>
      </c>
      <c r="C2284" s="61" t="s">
        <v>166</v>
      </c>
      <c r="D2284" s="69">
        <v>8</v>
      </c>
      <c r="E2284" s="74">
        <v>50</v>
      </c>
      <c r="F2284" s="80">
        <f>IFERROR(D2284*E2284,0)</f>
        <v>400</v>
      </c>
      <c r="G2284" s="61" t="str">
        <f>INDEX(SETORES!$B:$B,MATCH(A2284,SETORES!$A:$A,0))</f>
        <v>Clientes</v>
      </c>
      <c r="H2284" s="61" t="s">
        <v>20</v>
      </c>
    </row>
    <row r="2285" spans="1:8" ht="14.25" hidden="1" customHeight="1" x14ac:dyDescent="0.3">
      <c r="A2285" s="2" t="s">
        <v>86</v>
      </c>
      <c r="B2285" s="60" t="s">
        <v>155</v>
      </c>
      <c r="C2285" s="60" t="s">
        <v>157</v>
      </c>
      <c r="D2285" s="68">
        <v>1</v>
      </c>
      <c r="E2285" s="73">
        <v>160.86000000000001</v>
      </c>
      <c r="F2285" s="79">
        <v>160.86000000000001</v>
      </c>
      <c r="G2285" s="60" t="str">
        <f>INDEX(SETORES!$B:$B,MATCH(A2285,SETORES!$A:$A,0))</f>
        <v>Clientes</v>
      </c>
      <c r="H2285" s="60" t="s">
        <v>20</v>
      </c>
    </row>
    <row r="2286" spans="1:8" ht="14.25" hidden="1" customHeight="1" x14ac:dyDescent="0.3">
      <c r="A2286" s="34" t="s">
        <v>86</v>
      </c>
      <c r="B2286" s="61" t="s">
        <v>162</v>
      </c>
      <c r="C2286" s="61" t="s">
        <v>222</v>
      </c>
      <c r="D2286" s="69"/>
      <c r="E2286" s="74"/>
      <c r="F2286" s="80">
        <f>IFERROR(D2286*E2286,0)</f>
        <v>0</v>
      </c>
      <c r="G2286" s="61" t="str">
        <f>INDEX(SETORES!$B:$B,MATCH(A2286,SETORES!$A:$A,0))</f>
        <v>Clientes</v>
      </c>
      <c r="H2286" s="61" t="s">
        <v>20</v>
      </c>
    </row>
    <row r="2287" spans="1:8" ht="14.25" hidden="1" customHeight="1" x14ac:dyDescent="0.3">
      <c r="A2287" s="2" t="s">
        <v>86</v>
      </c>
      <c r="B2287" s="60" t="s">
        <v>155</v>
      </c>
      <c r="C2287" s="60" t="s">
        <v>168</v>
      </c>
      <c r="D2287" s="68">
        <v>7</v>
      </c>
      <c r="E2287" s="73">
        <v>2.0699999999999998</v>
      </c>
      <c r="F2287" s="79">
        <f>IFERROR(D2287*E2287,0)</f>
        <v>14.489999999999998</v>
      </c>
      <c r="G2287" s="60" t="str">
        <f>INDEX(SETORES!$B:$B,MATCH(A2287,SETORES!$A:$A,0))</f>
        <v>Clientes</v>
      </c>
      <c r="H2287" s="60" t="s">
        <v>20</v>
      </c>
    </row>
    <row r="2288" spans="1:8" ht="14.25" hidden="1" customHeight="1" x14ac:dyDescent="0.3">
      <c r="A2288" s="2" t="s">
        <v>39</v>
      </c>
      <c r="B2288" s="60" t="s">
        <v>155</v>
      </c>
      <c r="C2288" s="60" t="s">
        <v>159</v>
      </c>
      <c r="D2288" s="68">
        <v>1</v>
      </c>
      <c r="E2288" s="73">
        <v>0</v>
      </c>
      <c r="F2288" s="79">
        <v>0</v>
      </c>
      <c r="G2288" s="60" t="str">
        <f>INDEX(SETORES!$B:$B,MATCH(A2288,SETORES!$A:$A,0))</f>
        <v>Clientes</v>
      </c>
      <c r="H2288" s="60" t="s">
        <v>20</v>
      </c>
    </row>
    <row r="2289" spans="1:8" ht="14.25" hidden="1" customHeight="1" x14ac:dyDescent="0.3">
      <c r="A2289" s="34" t="s">
        <v>39</v>
      </c>
      <c r="B2289" s="61" t="s">
        <v>155</v>
      </c>
      <c r="C2289" s="61" t="s">
        <v>249</v>
      </c>
      <c r="D2289" s="69">
        <v>1</v>
      </c>
      <c r="E2289" s="74">
        <v>1215.92</v>
      </c>
      <c r="F2289" s="80">
        <f>IFERROR(D2289*E2289,0)</f>
        <v>1215.92</v>
      </c>
      <c r="G2289" s="61" t="str">
        <f>INDEX(SETORES!$B:$B,MATCH(A2289,SETORES!$A:$A,0))</f>
        <v>Clientes</v>
      </c>
      <c r="H2289" s="61" t="s">
        <v>20</v>
      </c>
    </row>
    <row r="2290" spans="1:8" ht="14.25" customHeight="1" x14ac:dyDescent="0.3">
      <c r="A2290" s="34" t="s">
        <v>39</v>
      </c>
      <c r="B2290" s="61" t="s">
        <v>155</v>
      </c>
      <c r="C2290" s="61" t="s">
        <v>171</v>
      </c>
      <c r="D2290" s="69">
        <v>10</v>
      </c>
      <c r="E2290" s="74">
        <v>47.79</v>
      </c>
      <c r="F2290" s="80">
        <f>IFERROR(D2290*E2290,0)</f>
        <v>477.9</v>
      </c>
      <c r="G2290" s="60" t="s">
        <v>98</v>
      </c>
      <c r="H2290" s="61" t="s">
        <v>20</v>
      </c>
    </row>
    <row r="2291" spans="1:8" ht="14.25" hidden="1" customHeight="1" x14ac:dyDescent="0.3">
      <c r="A2291" s="2" t="s">
        <v>39</v>
      </c>
      <c r="B2291" s="60" t="s">
        <v>155</v>
      </c>
      <c r="C2291" s="60" t="s">
        <v>170</v>
      </c>
      <c r="D2291" s="68">
        <v>10</v>
      </c>
      <c r="E2291" s="73">
        <v>28.31</v>
      </c>
      <c r="F2291" s="79">
        <f>IFERROR(D2291*E2291,0)</f>
        <v>283.09999999999997</v>
      </c>
      <c r="G2291" s="61" t="s">
        <v>98</v>
      </c>
      <c r="H2291" s="60" t="s">
        <v>20</v>
      </c>
    </row>
    <row r="2292" spans="1:8" ht="14.25" hidden="1" customHeight="1" x14ac:dyDescent="0.3">
      <c r="A2292" s="34" t="s">
        <v>39</v>
      </c>
      <c r="B2292" s="61" t="s">
        <v>155</v>
      </c>
      <c r="C2292" s="61" t="s">
        <v>169</v>
      </c>
      <c r="D2292" s="69">
        <v>10</v>
      </c>
      <c r="E2292" s="74">
        <v>64.569999999999993</v>
      </c>
      <c r="F2292" s="80">
        <f>IFERROR(D2292*E2292,0)</f>
        <v>645.69999999999993</v>
      </c>
      <c r="G2292" s="61" t="s">
        <v>98</v>
      </c>
      <c r="H2292" s="61" t="s">
        <v>20</v>
      </c>
    </row>
    <row r="2293" spans="1:8" ht="14.25" hidden="1" customHeight="1" x14ac:dyDescent="0.3">
      <c r="A2293" s="2" t="s">
        <v>39</v>
      </c>
      <c r="B2293" s="60" t="s">
        <v>162</v>
      </c>
      <c r="C2293" s="60" t="s">
        <v>192</v>
      </c>
      <c r="D2293" s="68">
        <v>1</v>
      </c>
      <c r="E2293" s="73">
        <v>242.73</v>
      </c>
      <c r="F2293" s="79">
        <f>IFERROR(D2293*E2293,0)</f>
        <v>242.73</v>
      </c>
      <c r="G2293" s="60" t="str">
        <f>INDEX(SETORES!$B:$B,MATCH(A2293,SETORES!$A:$A,0))</f>
        <v>Clientes</v>
      </c>
      <c r="H2293" s="60" t="s">
        <v>20</v>
      </c>
    </row>
    <row r="2294" spans="1:8" ht="14.25" hidden="1" customHeight="1" x14ac:dyDescent="0.3">
      <c r="A2294" s="2" t="s">
        <v>39</v>
      </c>
      <c r="B2294" s="60" t="s">
        <v>162</v>
      </c>
      <c r="C2294" s="60" t="s">
        <v>194</v>
      </c>
      <c r="D2294" s="68">
        <v>1</v>
      </c>
      <c r="E2294" s="73">
        <v>23.5</v>
      </c>
      <c r="F2294" s="79">
        <f>IFERROR(D2294*E2294,0)</f>
        <v>23.5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34" t="s">
        <v>39</v>
      </c>
      <c r="B2295" s="61" t="s">
        <v>155</v>
      </c>
      <c r="C2295" s="61" t="s">
        <v>158</v>
      </c>
      <c r="D2295" s="69">
        <v>1</v>
      </c>
      <c r="E2295" s="74">
        <v>85.107900000000001</v>
      </c>
      <c r="F2295" s="80">
        <v>85.107900000000001</v>
      </c>
      <c r="G2295" s="61" t="str">
        <f>INDEX(SETORES!$B:$B,MATCH(A2295,SETORES!$A:$A,0))</f>
        <v>Clientes</v>
      </c>
      <c r="H2295" s="61" t="s">
        <v>20</v>
      </c>
    </row>
    <row r="2296" spans="1:8" ht="14.25" hidden="1" customHeight="1" x14ac:dyDescent="0.3">
      <c r="A2296" s="34" t="s">
        <v>39</v>
      </c>
      <c r="B2296" s="61" t="s">
        <v>162</v>
      </c>
      <c r="C2296" s="61" t="s">
        <v>165</v>
      </c>
      <c r="D2296" s="69">
        <v>1</v>
      </c>
      <c r="E2296" s="74">
        <v>316.67</v>
      </c>
      <c r="F2296" s="80">
        <f>IFERROR(D2296*E2296,0)</f>
        <v>316.67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39</v>
      </c>
      <c r="B2297" s="61" t="s">
        <v>162</v>
      </c>
      <c r="C2297" s="61" t="s">
        <v>163</v>
      </c>
      <c r="D2297" s="69">
        <v>1</v>
      </c>
      <c r="E2297" s="74">
        <v>340</v>
      </c>
      <c r="F2297" s="80">
        <f>IFERROR(D2297*E2297,0)</f>
        <v>340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2" t="s">
        <v>39</v>
      </c>
      <c r="B2298" s="60" t="s">
        <v>162</v>
      </c>
      <c r="C2298" s="60" t="s">
        <v>164</v>
      </c>
      <c r="D2298" s="68">
        <v>1</v>
      </c>
      <c r="E2298" s="73">
        <v>181.33</v>
      </c>
      <c r="F2298" s="79">
        <f>IFERROR(D2298*E2298,0)</f>
        <v>181.33</v>
      </c>
      <c r="G2298" s="60" t="str">
        <f>INDEX(SETORES!$B:$B,MATCH(A2298,SETORES!$A:$A,0))</f>
        <v>Clientes</v>
      </c>
      <c r="H2298" s="60" t="s">
        <v>20</v>
      </c>
    </row>
    <row r="2299" spans="1:8" ht="14.25" hidden="1" customHeight="1" x14ac:dyDescent="0.3">
      <c r="A2299" s="2" t="s">
        <v>39</v>
      </c>
      <c r="B2299" s="60" t="s">
        <v>155</v>
      </c>
      <c r="C2299" s="60" t="s">
        <v>161</v>
      </c>
      <c r="D2299" s="68">
        <v>1</v>
      </c>
      <c r="E2299" s="73">
        <v>30713.94</v>
      </c>
      <c r="F2299" s="79">
        <f>IFERROR(E2299,0)</f>
        <v>30713.94</v>
      </c>
      <c r="G2299" s="60" t="str">
        <f>INDEX(SETORES!$B:$B,MATCH(A2299,SETORES!$A:$A,0))</f>
        <v>Clientes</v>
      </c>
      <c r="H2299" s="60" t="s">
        <v>20</v>
      </c>
    </row>
    <row r="2300" spans="1:8" ht="14.25" hidden="1" customHeight="1" x14ac:dyDescent="0.3">
      <c r="A2300" s="34" t="s">
        <v>39</v>
      </c>
      <c r="B2300" s="61" t="s">
        <v>155</v>
      </c>
      <c r="C2300" s="61" t="s">
        <v>167</v>
      </c>
      <c r="D2300" s="69">
        <v>10</v>
      </c>
      <c r="E2300" s="74">
        <v>10.050000000000001</v>
      </c>
      <c r="F2300" s="80">
        <f>IFERROR(D2300*E2300,0)</f>
        <v>100.5</v>
      </c>
      <c r="G2300" s="61" t="str">
        <f>INDEX(SETORES!$B:$B,MATCH(A2300,SETORES!$A:$A,0))</f>
        <v>Clientes</v>
      </c>
      <c r="H2300" s="61" t="s">
        <v>20</v>
      </c>
    </row>
    <row r="2301" spans="1:8" ht="14.25" hidden="1" customHeight="1" x14ac:dyDescent="0.3">
      <c r="A2301" s="2" t="s">
        <v>39</v>
      </c>
      <c r="B2301" s="60" t="s">
        <v>155</v>
      </c>
      <c r="C2301" s="60" t="s">
        <v>166</v>
      </c>
      <c r="D2301" s="68">
        <v>11</v>
      </c>
      <c r="E2301" s="73">
        <v>50</v>
      </c>
      <c r="F2301" s="79">
        <f>IFERROR(D2301*E2301,0)</f>
        <v>550</v>
      </c>
      <c r="G2301" s="60" t="str">
        <f>INDEX(SETORES!$B:$B,MATCH(A2301,SETORES!$A:$A,0))</f>
        <v>Clientes</v>
      </c>
      <c r="H2301" s="60" t="s">
        <v>20</v>
      </c>
    </row>
    <row r="2302" spans="1:8" ht="14.25" hidden="1" customHeight="1" x14ac:dyDescent="0.3">
      <c r="A2302" s="34" t="s">
        <v>39</v>
      </c>
      <c r="B2302" s="61" t="s">
        <v>155</v>
      </c>
      <c r="C2302" s="61" t="s">
        <v>223</v>
      </c>
      <c r="D2302" s="69"/>
      <c r="E2302" s="74"/>
      <c r="F2302" s="80">
        <f>IFERROR(D2302*E2302,0)</f>
        <v>0</v>
      </c>
      <c r="G2302" s="61" t="str">
        <f>INDEX(SETORES!$B:$B,MATCH(A2302,SETORES!$A:$A,0))</f>
        <v>Clientes</v>
      </c>
      <c r="H2302" s="61" t="s">
        <v>20</v>
      </c>
    </row>
    <row r="2303" spans="1:8" ht="14.25" hidden="1" customHeight="1" x14ac:dyDescent="0.3">
      <c r="A2303" s="34" t="s">
        <v>39</v>
      </c>
      <c r="B2303" s="61" t="s">
        <v>155</v>
      </c>
      <c r="C2303" s="61" t="s">
        <v>156</v>
      </c>
      <c r="D2303" s="69">
        <v>10</v>
      </c>
      <c r="E2303" s="74">
        <v>0.36480000000000001</v>
      </c>
      <c r="F2303" s="80">
        <v>3.6480000000000001</v>
      </c>
      <c r="G2303" s="61" t="str">
        <f>INDEX(SETORES!$B:$B,MATCH(A2303,SETORES!$A:$A,0))</f>
        <v>Clientes</v>
      </c>
      <c r="H2303" s="61" t="s">
        <v>20</v>
      </c>
    </row>
    <row r="2304" spans="1:8" ht="14.25" hidden="1" customHeight="1" x14ac:dyDescent="0.3">
      <c r="A2304" s="2" t="s">
        <v>39</v>
      </c>
      <c r="B2304" s="60" t="s">
        <v>155</v>
      </c>
      <c r="C2304" s="60" t="s">
        <v>157</v>
      </c>
      <c r="D2304" s="68">
        <v>1</v>
      </c>
      <c r="E2304" s="73">
        <v>282.98103400000002</v>
      </c>
      <c r="F2304" s="79">
        <v>282.98103400000002</v>
      </c>
      <c r="G2304" s="60" t="str">
        <f>INDEX(SETORES!$B:$B,MATCH(A2304,SETORES!$A:$A,0))</f>
        <v>Clientes</v>
      </c>
      <c r="H2304" s="60" t="s">
        <v>20</v>
      </c>
    </row>
    <row r="2305" spans="1:8" ht="14.25" hidden="1" customHeight="1" x14ac:dyDescent="0.3">
      <c r="A2305" s="2" t="s">
        <v>39</v>
      </c>
      <c r="B2305" s="60" t="s">
        <v>162</v>
      </c>
      <c r="C2305" s="60" t="s">
        <v>231</v>
      </c>
      <c r="D2305" s="68"/>
      <c r="E2305" s="73"/>
      <c r="F2305" s="79">
        <f>IFERROR(D2305*E2305,0)</f>
        <v>0</v>
      </c>
      <c r="G2305" s="60" t="str">
        <f>INDEX(SETORES!$B:$B,MATCH(A2305,SETORES!$A:$A,0))</f>
        <v>Clientes</v>
      </c>
      <c r="H2305" s="60" t="s">
        <v>20</v>
      </c>
    </row>
    <row r="2306" spans="1:8" ht="14.25" hidden="1" customHeight="1" x14ac:dyDescent="0.3">
      <c r="A2306" s="34" t="s">
        <v>39</v>
      </c>
      <c r="B2306" s="61" t="s">
        <v>155</v>
      </c>
      <c r="C2306" s="61" t="s">
        <v>189</v>
      </c>
      <c r="D2306" s="69">
        <v>1</v>
      </c>
      <c r="E2306" s="74">
        <v>215.51723999999999</v>
      </c>
      <c r="F2306" s="80">
        <f>IFERROR(D2306*E2306,0)</f>
        <v>215.51723999999999</v>
      </c>
      <c r="G2306" s="61" t="str">
        <f>INDEX(SETORES!$B:$B,MATCH(A2306,SETORES!$A:$A,0))</f>
        <v>Clientes</v>
      </c>
      <c r="H2306" s="61" t="s">
        <v>20</v>
      </c>
    </row>
    <row r="2307" spans="1:8" ht="14.25" hidden="1" customHeight="1" x14ac:dyDescent="0.3">
      <c r="A2307" s="2" t="s">
        <v>39</v>
      </c>
      <c r="B2307" s="60" t="s">
        <v>155</v>
      </c>
      <c r="C2307" s="60" t="s">
        <v>190</v>
      </c>
      <c r="D2307" s="68">
        <v>1</v>
      </c>
      <c r="E2307" s="73">
        <v>28.735340000000001</v>
      </c>
      <c r="F2307" s="79">
        <f>IFERROR(D2307*E2307,0)</f>
        <v>28.735340000000001</v>
      </c>
      <c r="G2307" s="60" t="str">
        <f>INDEX(SETORES!$B:$B,MATCH(A2307,SETORES!$A:$A,0))</f>
        <v>Clientes</v>
      </c>
      <c r="H2307" s="60" t="s">
        <v>20</v>
      </c>
    </row>
    <row r="2308" spans="1:8" ht="14.25" hidden="1" customHeight="1" x14ac:dyDescent="0.3">
      <c r="A2308" s="34" t="s">
        <v>39</v>
      </c>
      <c r="B2308" s="61" t="s">
        <v>162</v>
      </c>
      <c r="C2308" s="61" t="s">
        <v>191</v>
      </c>
      <c r="D2308" s="69">
        <v>1</v>
      </c>
      <c r="E2308" s="74">
        <v>79.640519999999995</v>
      </c>
      <c r="F2308" s="80">
        <f>IFERROR(D2308*E2308,0)</f>
        <v>79.640519999999995</v>
      </c>
      <c r="G2308" s="61" t="str">
        <f>INDEX(SETORES!$B:$B,MATCH(A2308,SETORES!$A:$A,0))</f>
        <v>Clientes</v>
      </c>
      <c r="H2308" s="61" t="s">
        <v>20</v>
      </c>
    </row>
    <row r="2309" spans="1:8" ht="14.25" hidden="1" customHeight="1" x14ac:dyDescent="0.3">
      <c r="A2309" s="34" t="s">
        <v>39</v>
      </c>
      <c r="B2309" s="61" t="s">
        <v>155</v>
      </c>
      <c r="C2309" s="61" t="s">
        <v>187</v>
      </c>
      <c r="D2309" s="69">
        <v>1</v>
      </c>
      <c r="E2309" s="74">
        <v>458.41293000000002</v>
      </c>
      <c r="F2309" s="80">
        <f>IFERROR(D2309*E2309,0)</f>
        <v>458.41293000000002</v>
      </c>
      <c r="G2309" s="61" t="str">
        <f>INDEX(SETORES!$B:$B,MATCH(A2309,SETORES!$A:$A,0))</f>
        <v>Clientes</v>
      </c>
      <c r="H2309" s="61" t="s">
        <v>20</v>
      </c>
    </row>
    <row r="2310" spans="1:8" ht="14.25" hidden="1" customHeight="1" x14ac:dyDescent="0.3">
      <c r="A2310" s="2" t="s">
        <v>39</v>
      </c>
      <c r="B2310" s="60" t="s">
        <v>155</v>
      </c>
      <c r="C2310" s="60" t="s">
        <v>168</v>
      </c>
      <c r="D2310" s="68">
        <v>10</v>
      </c>
      <c r="E2310" s="73">
        <v>2.0699999999999998</v>
      </c>
      <c r="F2310" s="79">
        <f>IFERROR(D2310*E2310,0)</f>
        <v>20.7</v>
      </c>
      <c r="G2310" s="60" t="str">
        <f>INDEX(SETORES!$B:$B,MATCH(A2310,SETORES!$A:$A,0))</f>
        <v>Clientes</v>
      </c>
      <c r="H2310" s="60" t="s">
        <v>20</v>
      </c>
    </row>
    <row r="2311" spans="1:8" ht="14.25" hidden="1" customHeight="1" x14ac:dyDescent="0.3">
      <c r="A2311" s="2" t="s">
        <v>39</v>
      </c>
      <c r="B2311" s="60" t="s">
        <v>155</v>
      </c>
      <c r="C2311" s="60" t="s">
        <v>188</v>
      </c>
      <c r="D2311" s="68">
        <v>1</v>
      </c>
      <c r="E2311" s="73">
        <v>1641.85</v>
      </c>
      <c r="F2311" s="79">
        <f>IFERROR(D2311*E2311,0)</f>
        <v>1641.85</v>
      </c>
      <c r="G2311" s="60" t="str">
        <f>INDEX(SETORES!$B:$B,MATCH(A2311,SETORES!$A:$A,0))</f>
        <v>Clientes</v>
      </c>
      <c r="H2311" s="60" t="s">
        <v>20</v>
      </c>
    </row>
    <row r="2312" spans="1:8" ht="14.25" hidden="1" customHeight="1" x14ac:dyDescent="0.3">
      <c r="A2312" s="34" t="s">
        <v>39</v>
      </c>
      <c r="B2312" s="61" t="s">
        <v>155</v>
      </c>
      <c r="C2312" s="61" t="s">
        <v>160</v>
      </c>
      <c r="D2312" s="69"/>
      <c r="E2312" s="74"/>
      <c r="F2312" s="80">
        <f>IFERROR(D2312*E2312,0)</f>
        <v>0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39</v>
      </c>
      <c r="B2313" s="61" t="s">
        <v>155</v>
      </c>
      <c r="C2313" s="61" t="s">
        <v>193</v>
      </c>
      <c r="D2313" s="69">
        <v>1</v>
      </c>
      <c r="E2313" s="74">
        <v>52</v>
      </c>
      <c r="F2313" s="80">
        <f>IFERROR(D2313*E2313,0)</f>
        <v>52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32</v>
      </c>
      <c r="B2314" s="61" t="s">
        <v>155</v>
      </c>
      <c r="C2314" s="61" t="s">
        <v>229</v>
      </c>
      <c r="D2314" s="69"/>
      <c r="E2314" s="74"/>
      <c r="F2314" s="80">
        <f>IFERROR(D2314*E2314,0)</f>
        <v>0</v>
      </c>
      <c r="G2314" s="61" t="str">
        <f>INDEX(SETORES!$B:$B,MATCH(A2314,SETORES!$A:$A,0))</f>
        <v>Funcionários</v>
      </c>
      <c r="H2314" s="61" t="s">
        <v>20</v>
      </c>
    </row>
    <row r="2315" spans="1:8" ht="14.25" hidden="1" customHeight="1" x14ac:dyDescent="0.3">
      <c r="A2315" s="2" t="s">
        <v>32</v>
      </c>
      <c r="B2315" s="60" t="s">
        <v>155</v>
      </c>
      <c r="C2315" s="60" t="s">
        <v>159</v>
      </c>
      <c r="D2315" s="68">
        <v>1</v>
      </c>
      <c r="E2315" s="73">
        <v>0</v>
      </c>
      <c r="F2315" s="79">
        <v>0</v>
      </c>
      <c r="G2315" s="60" t="str">
        <f>INDEX(SETORES!$B:$B,MATCH(A2315,SETORES!$A:$A,0))</f>
        <v>Funcionários</v>
      </c>
      <c r="H2315" s="60" t="s">
        <v>20</v>
      </c>
    </row>
    <row r="2316" spans="1:8" ht="14.25" hidden="1" customHeight="1" x14ac:dyDescent="0.3">
      <c r="A2316" s="34" t="s">
        <v>32</v>
      </c>
      <c r="B2316" s="61" t="s">
        <v>155</v>
      </c>
      <c r="C2316" s="61" t="s">
        <v>212</v>
      </c>
      <c r="D2316" s="69">
        <v>3</v>
      </c>
      <c r="E2316" s="74">
        <v>30</v>
      </c>
      <c r="F2316" s="80">
        <f>IFERROR(D2316*E2316,0)</f>
        <v>90</v>
      </c>
      <c r="G2316" s="61" t="str">
        <f>INDEX(SETORES!$B:$B,MATCH(A2316,SETORES!$A:$A,0))</f>
        <v>Funcionários</v>
      </c>
      <c r="H2316" s="61" t="s">
        <v>20</v>
      </c>
    </row>
    <row r="2317" spans="1:8" ht="14.25" customHeight="1" x14ac:dyDescent="0.3">
      <c r="A2317" s="2" t="s">
        <v>32</v>
      </c>
      <c r="B2317" s="60" t="s">
        <v>155</v>
      </c>
      <c r="C2317" s="60" t="s">
        <v>171</v>
      </c>
      <c r="D2317" s="68">
        <v>4</v>
      </c>
      <c r="E2317" s="73">
        <v>47.79</v>
      </c>
      <c r="F2317" s="79">
        <f>IFERROR(D2317*E2317,0)</f>
        <v>191.16</v>
      </c>
      <c r="G2317" s="60" t="s">
        <v>98</v>
      </c>
      <c r="H2317" s="60" t="s">
        <v>20</v>
      </c>
    </row>
    <row r="2318" spans="1:8" ht="14.25" hidden="1" customHeight="1" x14ac:dyDescent="0.3">
      <c r="A2318" s="34" t="s">
        <v>32</v>
      </c>
      <c r="B2318" s="61" t="s">
        <v>155</v>
      </c>
      <c r="C2318" s="61" t="s">
        <v>170</v>
      </c>
      <c r="D2318" s="69">
        <v>4</v>
      </c>
      <c r="E2318" s="74">
        <v>28.31</v>
      </c>
      <c r="F2318" s="80">
        <f>IFERROR(D2318*E2318,0)</f>
        <v>113.24</v>
      </c>
      <c r="G2318" s="61" t="s">
        <v>98</v>
      </c>
      <c r="H2318" s="61" t="s">
        <v>20</v>
      </c>
    </row>
    <row r="2319" spans="1:8" ht="14.25" hidden="1" customHeight="1" x14ac:dyDescent="0.3">
      <c r="A2319" s="2" t="s">
        <v>32</v>
      </c>
      <c r="B2319" s="60" t="s">
        <v>155</v>
      </c>
      <c r="C2319" s="60" t="s">
        <v>169</v>
      </c>
      <c r="D2319" s="68">
        <f>D2039</f>
        <v>7</v>
      </c>
      <c r="E2319" s="73">
        <v>64.569999999999993</v>
      </c>
      <c r="F2319" s="79">
        <f>IFERROR(D2319*E2319,0)</f>
        <v>451.98999999999995</v>
      </c>
      <c r="G2319" s="61" t="s">
        <v>98</v>
      </c>
      <c r="H2319" s="60" t="s">
        <v>20</v>
      </c>
    </row>
    <row r="2320" spans="1:8" ht="14.25" hidden="1" customHeight="1" x14ac:dyDescent="0.3">
      <c r="A2320" s="34" t="s">
        <v>32</v>
      </c>
      <c r="B2320" s="61" t="s">
        <v>155</v>
      </c>
      <c r="C2320" s="61" t="s">
        <v>158</v>
      </c>
      <c r="D2320" s="69">
        <v>1</v>
      </c>
      <c r="E2320" s="74">
        <v>34.043199999999999</v>
      </c>
      <c r="F2320" s="80">
        <v>34.043199999999999</v>
      </c>
      <c r="G2320" s="61" t="str">
        <f>INDEX(SETORES!$B:$B,MATCH(A2320,SETORES!$A:$A,0))</f>
        <v>Funcionários</v>
      </c>
      <c r="H2320" s="61" t="s">
        <v>20</v>
      </c>
    </row>
    <row r="2321" spans="1:8" ht="14.25" hidden="1" customHeight="1" x14ac:dyDescent="0.3">
      <c r="A2321" s="34" t="s">
        <v>32</v>
      </c>
      <c r="B2321" s="61" t="s">
        <v>162</v>
      </c>
      <c r="C2321" s="61" t="s">
        <v>225</v>
      </c>
      <c r="D2321" s="69"/>
      <c r="E2321" s="74"/>
      <c r="F2321" s="80">
        <f>IFERROR(D2321*E2321,0)</f>
        <v>0</v>
      </c>
      <c r="G2321" s="61" t="str">
        <f>INDEX(SETORES!$B:$B,MATCH(A2321,SETORES!$A:$A,0))</f>
        <v>Funcionários</v>
      </c>
      <c r="H2321" s="61" t="s">
        <v>20</v>
      </c>
    </row>
    <row r="2322" spans="1:8" ht="14.25" hidden="1" customHeight="1" x14ac:dyDescent="0.3">
      <c r="A2322" s="2" t="s">
        <v>32</v>
      </c>
      <c r="B2322" s="60" t="s">
        <v>162</v>
      </c>
      <c r="C2322" s="60" t="s">
        <v>226</v>
      </c>
      <c r="D2322" s="68"/>
      <c r="E2322" s="73"/>
      <c r="F2322" s="79">
        <f>IFERROR(D2322*E2322,0)</f>
        <v>0</v>
      </c>
      <c r="G2322" s="60" t="str">
        <f>INDEX(SETORES!$B:$B,MATCH(A2322,SETORES!$A:$A,0))</f>
        <v>Funcionários</v>
      </c>
      <c r="H2322" s="60" t="s">
        <v>20</v>
      </c>
    </row>
    <row r="2323" spans="1:8" ht="14.25" hidden="1" customHeight="1" x14ac:dyDescent="0.3">
      <c r="A2323" s="2" t="s">
        <v>32</v>
      </c>
      <c r="B2323" s="60" t="s">
        <v>155</v>
      </c>
      <c r="C2323" s="60" t="s">
        <v>161</v>
      </c>
      <c r="D2323" s="68">
        <v>1</v>
      </c>
      <c r="E2323" s="73">
        <v>21711.439999999999</v>
      </c>
      <c r="F2323" s="79">
        <f>IFERROR(E2323,0)</f>
        <v>21711.439999999999</v>
      </c>
      <c r="G2323" s="60" t="str">
        <f>INDEX(SETORES!$B:$B,MATCH(A2323,SETORES!$A:$A,0))</f>
        <v>Funcionários</v>
      </c>
      <c r="H2323" s="60" t="s">
        <v>20</v>
      </c>
    </row>
    <row r="2324" spans="1:8" ht="14.25" hidden="1" customHeight="1" x14ac:dyDescent="0.3">
      <c r="A2324" s="2" t="s">
        <v>32</v>
      </c>
      <c r="B2324" s="60" t="s">
        <v>155</v>
      </c>
      <c r="C2324" s="60" t="s">
        <v>167</v>
      </c>
      <c r="D2324" s="68">
        <v>4</v>
      </c>
      <c r="E2324" s="73">
        <v>10.050000000000001</v>
      </c>
      <c r="F2324" s="79">
        <f>IFERROR(D2324*E2324,0)</f>
        <v>40.200000000000003</v>
      </c>
      <c r="G2324" s="60" t="str">
        <f>INDEX(SETORES!$B:$B,MATCH(A2324,SETORES!$A:$A,0))</f>
        <v>Funcionários</v>
      </c>
      <c r="H2324" s="60" t="s">
        <v>20</v>
      </c>
    </row>
    <row r="2325" spans="1:8" ht="14.25" hidden="1" customHeight="1" x14ac:dyDescent="0.3">
      <c r="A2325" s="2" t="s">
        <v>32</v>
      </c>
      <c r="B2325" s="60" t="s">
        <v>155</v>
      </c>
      <c r="C2325" s="60" t="s">
        <v>238</v>
      </c>
      <c r="D2325" s="68">
        <v>1</v>
      </c>
      <c r="E2325" s="73">
        <v>4.4444439999999998</v>
      </c>
      <c r="F2325" s="79">
        <f>IFERROR(D2325*E2325,0)</f>
        <v>4.4444439999999998</v>
      </c>
      <c r="G2325" s="60" t="str">
        <f>INDEX(SETORES!$B:$B,MATCH(A2325,SETORES!$A:$A,0))</f>
        <v>Funcionários</v>
      </c>
      <c r="H2325" s="60" t="s">
        <v>20</v>
      </c>
    </row>
    <row r="2326" spans="1:8" ht="14.25" hidden="1" customHeight="1" x14ac:dyDescent="0.3">
      <c r="A2326" s="34" t="s">
        <v>32</v>
      </c>
      <c r="B2326" s="61" t="s">
        <v>155</v>
      </c>
      <c r="C2326" s="61" t="s">
        <v>166</v>
      </c>
      <c r="D2326" s="69">
        <v>4</v>
      </c>
      <c r="E2326" s="74">
        <v>50</v>
      </c>
      <c r="F2326" s="80">
        <f>IFERROR(D2326*E2326,0)</f>
        <v>200</v>
      </c>
      <c r="G2326" s="61" t="str">
        <f>INDEX(SETORES!$B:$B,MATCH(A2326,SETORES!$A:$A,0))</f>
        <v>Funcionários</v>
      </c>
      <c r="H2326" s="61" t="s">
        <v>20</v>
      </c>
    </row>
    <row r="2327" spans="1:8" ht="14.25" hidden="1" customHeight="1" x14ac:dyDescent="0.3">
      <c r="A2327" s="34" t="s">
        <v>32</v>
      </c>
      <c r="B2327" s="61" t="s">
        <v>155</v>
      </c>
      <c r="C2327" s="61" t="s">
        <v>156</v>
      </c>
      <c r="D2327" s="69"/>
      <c r="E2327" s="74"/>
      <c r="F2327" s="80">
        <v>0</v>
      </c>
      <c r="G2327" s="61" t="str">
        <f>INDEX(SETORES!$B:$B,MATCH(A2327,SETORES!$A:$A,0))</f>
        <v>Funcionários</v>
      </c>
      <c r="H2327" s="61" t="s">
        <v>20</v>
      </c>
    </row>
    <row r="2328" spans="1:8" ht="14.25" hidden="1" customHeight="1" x14ac:dyDescent="0.3">
      <c r="A2328" s="2" t="s">
        <v>32</v>
      </c>
      <c r="B2328" s="60" t="s">
        <v>155</v>
      </c>
      <c r="C2328" s="60" t="s">
        <v>157</v>
      </c>
      <c r="D2328" s="68">
        <v>1</v>
      </c>
      <c r="E2328" s="73">
        <v>65.7</v>
      </c>
      <c r="F2328" s="79">
        <v>65.7</v>
      </c>
      <c r="G2328" s="60" t="str">
        <f>INDEX(SETORES!$B:$B,MATCH(A2328,SETORES!$A:$A,0))</f>
        <v>Funcionários</v>
      </c>
      <c r="H2328" s="60" t="s">
        <v>20</v>
      </c>
    </row>
    <row r="2329" spans="1:8" ht="14.25" hidden="1" customHeight="1" x14ac:dyDescent="0.3">
      <c r="A2329" s="2" t="s">
        <v>32</v>
      </c>
      <c r="B2329" s="60" t="s">
        <v>155</v>
      </c>
      <c r="C2329" s="60" t="s">
        <v>230</v>
      </c>
      <c r="D2329" s="68"/>
      <c r="E2329" s="73"/>
      <c r="F2329" s="79">
        <f>IFERROR(D2329*E2329,0)</f>
        <v>0</v>
      </c>
      <c r="G2329" s="60" t="str">
        <f>INDEX(SETORES!$B:$B,MATCH(A2329,SETORES!$A:$A,0))</f>
        <v>Funcionários</v>
      </c>
      <c r="H2329" s="60" t="s">
        <v>20</v>
      </c>
    </row>
    <row r="2330" spans="1:8" ht="14.25" hidden="1" customHeight="1" x14ac:dyDescent="0.3">
      <c r="A2330" s="34" t="s">
        <v>32</v>
      </c>
      <c r="B2330" s="61" t="s">
        <v>155</v>
      </c>
      <c r="C2330" s="61" t="s">
        <v>174</v>
      </c>
      <c r="D2330" s="69">
        <v>1</v>
      </c>
      <c r="E2330" s="74">
        <v>2000</v>
      </c>
      <c r="F2330" s="80">
        <f>IFERROR(D2330*E2330,0)</f>
        <v>2000</v>
      </c>
      <c r="G2330" s="61" t="s">
        <v>98</v>
      </c>
      <c r="H2330" s="61" t="s">
        <v>20</v>
      </c>
    </row>
    <row r="2331" spans="1:8" ht="14.25" hidden="1" customHeight="1" x14ac:dyDescent="0.3">
      <c r="A2331" s="2" t="s">
        <v>32</v>
      </c>
      <c r="B2331" s="60" t="s">
        <v>162</v>
      </c>
      <c r="C2331" s="60" t="s">
        <v>228</v>
      </c>
      <c r="D2331" s="68"/>
      <c r="E2331" s="73"/>
      <c r="F2331" s="79">
        <f>IFERROR(D2331*E2331,0)</f>
        <v>0</v>
      </c>
      <c r="G2331" s="60" t="str">
        <f>INDEX(SETORES!$B:$B,MATCH(A2331,SETORES!$A:$A,0))</f>
        <v>Funcionários</v>
      </c>
      <c r="H2331" s="60" t="s">
        <v>20</v>
      </c>
    </row>
    <row r="2332" spans="1:8" ht="14.25" hidden="1" customHeight="1" x14ac:dyDescent="0.3">
      <c r="A2332" s="2" t="s">
        <v>32</v>
      </c>
      <c r="B2332" s="60" t="s">
        <v>162</v>
      </c>
      <c r="C2332" s="60" t="s">
        <v>222</v>
      </c>
      <c r="D2332" s="68"/>
      <c r="E2332" s="73"/>
      <c r="F2332" s="79">
        <f>IFERROR(D2332*E2332,0)</f>
        <v>0</v>
      </c>
      <c r="G2332" s="60" t="str">
        <f>INDEX(SETORES!$B:$B,MATCH(A2332,SETORES!$A:$A,0))</f>
        <v>Funcionários</v>
      </c>
      <c r="H2332" s="60" t="s">
        <v>20</v>
      </c>
    </row>
    <row r="2333" spans="1:8" ht="14.25" hidden="1" customHeight="1" x14ac:dyDescent="0.3">
      <c r="A2333" s="2" t="s">
        <v>32</v>
      </c>
      <c r="B2333" s="60" t="s">
        <v>155</v>
      </c>
      <c r="C2333" s="60" t="s">
        <v>175</v>
      </c>
      <c r="D2333" s="68">
        <v>1</v>
      </c>
      <c r="E2333" s="73">
        <v>2500</v>
      </c>
      <c r="F2333" s="79">
        <f>IFERROR(D2333*E2333,0)</f>
        <v>2500</v>
      </c>
      <c r="G2333" s="61" t="s">
        <v>98</v>
      </c>
      <c r="H2333" s="60" t="s">
        <v>20</v>
      </c>
    </row>
    <row r="2334" spans="1:8" ht="14.25" hidden="1" customHeight="1" x14ac:dyDescent="0.3">
      <c r="A2334" s="34" t="s">
        <v>32</v>
      </c>
      <c r="B2334" s="61" t="s">
        <v>155</v>
      </c>
      <c r="C2334" s="61" t="s">
        <v>176</v>
      </c>
      <c r="D2334" s="69">
        <v>1</v>
      </c>
      <c r="E2334" s="74">
        <v>2612.9</v>
      </c>
      <c r="F2334" s="80">
        <f>IFERROR(D2334*E2334,0)</f>
        <v>2612.9</v>
      </c>
      <c r="G2334" s="61" t="s">
        <v>98</v>
      </c>
      <c r="H2334" s="61" t="s">
        <v>20</v>
      </c>
    </row>
    <row r="2335" spans="1:8" ht="14.25" hidden="1" customHeight="1" x14ac:dyDescent="0.3">
      <c r="A2335" s="34" t="s">
        <v>32</v>
      </c>
      <c r="B2335" s="61" t="s">
        <v>155</v>
      </c>
      <c r="C2335" s="61" t="s">
        <v>168</v>
      </c>
      <c r="D2335" s="69">
        <v>4</v>
      </c>
      <c r="E2335" s="74">
        <v>2.0699999999999998</v>
      </c>
      <c r="F2335" s="80">
        <f>IFERROR(D2335*E2335,0)</f>
        <v>8.2799999999999994</v>
      </c>
      <c r="G2335" s="61" t="str">
        <f>INDEX(SETORES!$B:$B,MATCH(A2335,SETORES!$A:$A,0))</f>
        <v>Funcionários</v>
      </c>
      <c r="H2335" s="61" t="s">
        <v>20</v>
      </c>
    </row>
    <row r="2336" spans="1:8" ht="14.25" hidden="1" customHeight="1" x14ac:dyDescent="0.3">
      <c r="A2336" s="34" t="s">
        <v>32</v>
      </c>
      <c r="B2336" s="61" t="s">
        <v>155</v>
      </c>
      <c r="C2336" s="61" t="s">
        <v>160</v>
      </c>
      <c r="D2336" s="69"/>
      <c r="E2336" s="74"/>
      <c r="F2336" s="80">
        <f>IFERROR(D2336*E2336,0)</f>
        <v>0</v>
      </c>
      <c r="G2336" s="61" t="str">
        <f>INDEX(SETORES!$B:$B,MATCH(A2336,SETORES!$A:$A,0))</f>
        <v>Funcionários</v>
      </c>
      <c r="H2336" s="61" t="s">
        <v>20</v>
      </c>
    </row>
    <row r="2337" spans="1:8" ht="14.25" hidden="1" customHeight="1" x14ac:dyDescent="0.3">
      <c r="A2337" s="34" t="s">
        <v>32</v>
      </c>
      <c r="B2337" s="61" t="s">
        <v>155</v>
      </c>
      <c r="C2337" s="61" t="s">
        <v>227</v>
      </c>
      <c r="D2337" s="69"/>
      <c r="E2337" s="74"/>
      <c r="F2337" s="80">
        <f>IFERROR(D2337*E2337,0)</f>
        <v>0</v>
      </c>
      <c r="G2337" s="61" t="str">
        <f>INDEX(SETORES!$B:$B,MATCH(A2337,SETORES!$A:$A,0))</f>
        <v>Funcionários</v>
      </c>
      <c r="H2337" s="61" t="s">
        <v>20</v>
      </c>
    </row>
    <row r="2338" spans="1:8" ht="14.25" hidden="1" customHeight="1" x14ac:dyDescent="0.3">
      <c r="A2338" s="2" t="s">
        <v>44</v>
      </c>
      <c r="B2338" s="60" t="s">
        <v>155</v>
      </c>
      <c r="C2338" s="60" t="s">
        <v>159</v>
      </c>
      <c r="D2338" s="68">
        <v>6</v>
      </c>
      <c r="E2338" s="73">
        <v>0.63429999999999997</v>
      </c>
      <c r="F2338" s="79">
        <v>3.8058000000000001</v>
      </c>
      <c r="G2338" s="60" t="str">
        <f>INDEX(SETORES!$B:$B,MATCH(A2338,SETORES!$A:$A,0))</f>
        <v>Funcionários</v>
      </c>
      <c r="H2338" s="60" t="s">
        <v>20</v>
      </c>
    </row>
    <row r="2339" spans="1:8" ht="14.25" hidden="1" customHeight="1" x14ac:dyDescent="0.3">
      <c r="A2339" s="2" t="s">
        <v>44</v>
      </c>
      <c r="B2339" s="60" t="s">
        <v>155</v>
      </c>
      <c r="C2339" s="60" t="s">
        <v>212</v>
      </c>
      <c r="D2339" s="68">
        <v>4</v>
      </c>
      <c r="E2339" s="73">
        <v>30</v>
      </c>
      <c r="F2339" s="79">
        <v>120</v>
      </c>
      <c r="G2339" s="60" t="str">
        <f>INDEX(SETORES!$B:$B,MATCH(A2339,SETORES!$A:$A,0))</f>
        <v>Funcionários</v>
      </c>
      <c r="H2339" s="60" t="s">
        <v>20</v>
      </c>
    </row>
    <row r="2340" spans="1:8" ht="14.25" hidden="1" customHeight="1" x14ac:dyDescent="0.3">
      <c r="A2340" s="2" t="s">
        <v>44</v>
      </c>
      <c r="B2340" s="60" t="s">
        <v>162</v>
      </c>
      <c r="C2340" s="60" t="s">
        <v>217</v>
      </c>
      <c r="D2340" s="68">
        <v>1</v>
      </c>
      <c r="E2340" s="73">
        <v>4445.72</v>
      </c>
      <c r="F2340" s="79">
        <v>4445.72</v>
      </c>
      <c r="G2340" s="60" t="str">
        <f>INDEX(SETORES!$B:$B,MATCH(A2340,SETORES!$A:$A,0))</f>
        <v>Funcionários</v>
      </c>
      <c r="H2340" s="60" t="s">
        <v>20</v>
      </c>
    </row>
    <row r="2341" spans="1:8" ht="14.25" customHeight="1" x14ac:dyDescent="0.3">
      <c r="A2341" s="34" t="s">
        <v>44</v>
      </c>
      <c r="B2341" s="61" t="s">
        <v>155</v>
      </c>
      <c r="C2341" s="61" t="s">
        <v>171</v>
      </c>
      <c r="D2341" s="69">
        <v>6</v>
      </c>
      <c r="E2341" s="74">
        <v>47.79</v>
      </c>
      <c r="F2341" s="80">
        <f>IFERROR(D2341*E2341,0)</f>
        <v>286.74</v>
      </c>
      <c r="G2341" s="60" t="s">
        <v>98</v>
      </c>
      <c r="H2341" s="61" t="s">
        <v>20</v>
      </c>
    </row>
    <row r="2342" spans="1:8" ht="14.25" hidden="1" customHeight="1" x14ac:dyDescent="0.3">
      <c r="A2342" s="2" t="s">
        <v>44</v>
      </c>
      <c r="B2342" s="60" t="s">
        <v>155</v>
      </c>
      <c r="C2342" s="60" t="s">
        <v>170</v>
      </c>
      <c r="D2342" s="68">
        <v>6</v>
      </c>
      <c r="E2342" s="73">
        <v>28.31</v>
      </c>
      <c r="F2342" s="79">
        <f>IFERROR(D2342*E2342,0)</f>
        <v>169.85999999999999</v>
      </c>
      <c r="G2342" s="61" t="s">
        <v>98</v>
      </c>
      <c r="H2342" s="60" t="s">
        <v>20</v>
      </c>
    </row>
    <row r="2343" spans="1:8" ht="14.25" hidden="1" customHeight="1" x14ac:dyDescent="0.3">
      <c r="A2343" s="34" t="s">
        <v>44</v>
      </c>
      <c r="B2343" s="61" t="s">
        <v>155</v>
      </c>
      <c r="C2343" s="61" t="s">
        <v>169</v>
      </c>
      <c r="D2343" s="69">
        <v>6</v>
      </c>
      <c r="E2343" s="74">
        <v>64.569999999999993</v>
      </c>
      <c r="F2343" s="80">
        <f>IFERROR(D2343*E2343,0)</f>
        <v>387.41999999999996</v>
      </c>
      <c r="G2343" s="61" t="s">
        <v>98</v>
      </c>
      <c r="H2343" s="61" t="s">
        <v>20</v>
      </c>
    </row>
    <row r="2344" spans="1:8" ht="14.25" hidden="1" customHeight="1" x14ac:dyDescent="0.3">
      <c r="A2344" s="34" t="s">
        <v>44</v>
      </c>
      <c r="B2344" s="61" t="s">
        <v>155</v>
      </c>
      <c r="C2344" s="61" t="s">
        <v>158</v>
      </c>
      <c r="D2344" s="69">
        <v>6</v>
      </c>
      <c r="E2344" s="74">
        <v>24.8613</v>
      </c>
      <c r="F2344" s="80">
        <v>149.1678</v>
      </c>
      <c r="G2344" s="61" t="str">
        <f>INDEX(SETORES!$B:$B,MATCH(A2344,SETORES!$A:$A,0))</f>
        <v>Funcionários</v>
      </c>
      <c r="H2344" s="61" t="s">
        <v>20</v>
      </c>
    </row>
    <row r="2345" spans="1:8" ht="14.25" hidden="1" customHeight="1" x14ac:dyDescent="0.3">
      <c r="A2345" s="34" t="s">
        <v>44</v>
      </c>
      <c r="B2345" s="61" t="s">
        <v>162</v>
      </c>
      <c r="C2345" s="61" t="s">
        <v>221</v>
      </c>
      <c r="D2345" s="69"/>
      <c r="E2345" s="74"/>
      <c r="F2345" s="80">
        <f>IFERROR(D2345*E2345,0)</f>
        <v>0</v>
      </c>
      <c r="G2345" s="61" t="str">
        <f>INDEX(SETORES!$B:$B,MATCH(A2345,SETORES!$A:$A,0))</f>
        <v>Funcionários</v>
      </c>
      <c r="H2345" s="61" t="s">
        <v>20</v>
      </c>
    </row>
    <row r="2346" spans="1:8" ht="14.25" hidden="1" customHeight="1" x14ac:dyDescent="0.3">
      <c r="A2346" s="2" t="s">
        <v>44</v>
      </c>
      <c r="B2346" s="60" t="s">
        <v>162</v>
      </c>
      <c r="C2346" s="60" t="s">
        <v>165</v>
      </c>
      <c r="D2346" s="68"/>
      <c r="E2346" s="73"/>
      <c r="F2346" s="79">
        <f>IFERROR(D2346*E2346,0)</f>
        <v>0</v>
      </c>
      <c r="G2346" s="60" t="str">
        <f>INDEX(SETORES!$B:$B,MATCH(A2346,SETORES!$A:$A,0))</f>
        <v>Funcionários</v>
      </c>
      <c r="H2346" s="60" t="s">
        <v>20</v>
      </c>
    </row>
    <row r="2347" spans="1:8" ht="14.25" hidden="1" customHeight="1" x14ac:dyDescent="0.3">
      <c r="A2347" s="34" t="s">
        <v>44</v>
      </c>
      <c r="B2347" s="61" t="s">
        <v>162</v>
      </c>
      <c r="C2347" s="61" t="s">
        <v>163</v>
      </c>
      <c r="D2347" s="69"/>
      <c r="E2347" s="74"/>
      <c r="F2347" s="80">
        <f>IFERROR(D2347*E2347,0)</f>
        <v>0</v>
      </c>
      <c r="G2347" s="61" t="str">
        <f>INDEX(SETORES!$B:$B,MATCH(A2347,SETORES!$A:$A,0))</f>
        <v>Funcionários</v>
      </c>
      <c r="H2347" s="61" t="s">
        <v>20</v>
      </c>
    </row>
    <row r="2348" spans="1:8" ht="14.25" hidden="1" customHeight="1" x14ac:dyDescent="0.3">
      <c r="A2348" s="2" t="s">
        <v>44</v>
      </c>
      <c r="B2348" s="60" t="s">
        <v>162</v>
      </c>
      <c r="C2348" s="60" t="s">
        <v>164</v>
      </c>
      <c r="D2348" s="68"/>
      <c r="E2348" s="73"/>
      <c r="F2348" s="79">
        <f>IFERROR(D2348*E2348,0)</f>
        <v>0</v>
      </c>
      <c r="G2348" s="60" t="str">
        <f>INDEX(SETORES!$B:$B,MATCH(A2348,SETORES!$A:$A,0))</f>
        <v>Funcionários</v>
      </c>
      <c r="H2348" s="60" t="s">
        <v>20</v>
      </c>
    </row>
    <row r="2349" spans="1:8" ht="14.25" hidden="1" customHeight="1" x14ac:dyDescent="0.3">
      <c r="A2349" s="2" t="s">
        <v>44</v>
      </c>
      <c r="B2349" s="60" t="s">
        <v>155</v>
      </c>
      <c r="C2349" s="60" t="s">
        <v>161</v>
      </c>
      <c r="D2349" s="68">
        <v>1</v>
      </c>
      <c r="E2349" s="73">
        <v>38002.07</v>
      </c>
      <c r="F2349" s="79">
        <f>IFERROR(E2349,0)</f>
        <v>38002.07</v>
      </c>
      <c r="G2349" s="60" t="str">
        <f>INDEX(SETORES!$B:$B,MATCH(A2349,SETORES!$A:$A,0))</f>
        <v>Funcionários</v>
      </c>
      <c r="H2349" s="60" t="s">
        <v>20</v>
      </c>
    </row>
    <row r="2350" spans="1:8" ht="14.25" hidden="1" customHeight="1" x14ac:dyDescent="0.3">
      <c r="A2350" s="34" t="s">
        <v>44</v>
      </c>
      <c r="B2350" s="61" t="s">
        <v>155</v>
      </c>
      <c r="C2350" s="61" t="s">
        <v>167</v>
      </c>
      <c r="D2350" s="69">
        <v>6</v>
      </c>
      <c r="E2350" s="74">
        <v>10.050000000000001</v>
      </c>
      <c r="F2350" s="80">
        <f>IFERROR(D2350*E2350,0)</f>
        <v>60.300000000000004</v>
      </c>
      <c r="G2350" s="61" t="str">
        <f>INDEX(SETORES!$B:$B,MATCH(A2350,SETORES!$A:$A,0))</f>
        <v>Funcionários</v>
      </c>
      <c r="H2350" s="61" t="s">
        <v>20</v>
      </c>
    </row>
    <row r="2351" spans="1:8" ht="14.25" hidden="1" customHeight="1" x14ac:dyDescent="0.3">
      <c r="A2351" s="34" t="s">
        <v>44</v>
      </c>
      <c r="B2351" s="61" t="s">
        <v>155</v>
      </c>
      <c r="C2351" s="61" t="s">
        <v>166</v>
      </c>
      <c r="D2351" s="69">
        <v>9</v>
      </c>
      <c r="E2351" s="74">
        <v>50</v>
      </c>
      <c r="F2351" s="80">
        <f>IFERROR(D2351*E2351,0)</f>
        <v>450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34" t="s">
        <v>44</v>
      </c>
      <c r="B2352" s="61" t="s">
        <v>155</v>
      </c>
      <c r="C2352" s="61" t="s">
        <v>156</v>
      </c>
      <c r="D2352" s="69"/>
      <c r="E2352" s="74"/>
      <c r="F2352" s="80">
        <v>0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2" t="s">
        <v>44</v>
      </c>
      <c r="B2353" s="60" t="s">
        <v>155</v>
      </c>
      <c r="C2353" s="60" t="s">
        <v>157</v>
      </c>
      <c r="D2353" s="68"/>
      <c r="E2353" s="73"/>
      <c r="F2353" s="79">
        <v>0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44</v>
      </c>
      <c r="B2354" s="60" t="s">
        <v>162</v>
      </c>
      <c r="C2354" s="60" t="s">
        <v>232</v>
      </c>
      <c r="D2354" s="68">
        <v>1</v>
      </c>
      <c r="E2354" s="73">
        <v>7689.8</v>
      </c>
      <c r="F2354" s="79">
        <f>IFERROR(D2354*E2354,0)</f>
        <v>7689.8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34" t="s">
        <v>44</v>
      </c>
      <c r="B2355" s="61" t="s">
        <v>162</v>
      </c>
      <c r="C2355" s="61" t="s">
        <v>209</v>
      </c>
      <c r="D2355" s="69">
        <v>6</v>
      </c>
      <c r="E2355" s="74">
        <v>89.55</v>
      </c>
      <c r="F2355" s="80">
        <f>IFERROR(D2355*E2355,0)</f>
        <v>537.29999999999995</v>
      </c>
      <c r="G2355" s="61" t="str">
        <f>INDEX(SETORES!$B:$B,MATCH(A2355,SETORES!$A:$A,0))</f>
        <v>Funcionários</v>
      </c>
      <c r="H2355" s="61" t="s">
        <v>20</v>
      </c>
    </row>
    <row r="2356" spans="1:8" ht="14.25" hidden="1" customHeight="1" x14ac:dyDescent="0.3">
      <c r="A2356" s="2" t="s">
        <v>44</v>
      </c>
      <c r="B2356" s="60" t="s">
        <v>155</v>
      </c>
      <c r="C2356" s="60" t="s">
        <v>168</v>
      </c>
      <c r="D2356" s="68">
        <v>6</v>
      </c>
      <c r="E2356" s="73">
        <v>2.0699999999999998</v>
      </c>
      <c r="F2356" s="79">
        <f>IFERROR(D2356*E2356,0)</f>
        <v>12.419999999999998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34" t="s">
        <v>44</v>
      </c>
      <c r="B2357" s="61" t="s">
        <v>155</v>
      </c>
      <c r="C2357" s="61" t="s">
        <v>160</v>
      </c>
      <c r="D2357" s="69"/>
      <c r="E2357" s="74"/>
      <c r="F2357" s="80">
        <f>IFERROR(D2357*E2357,0)</f>
        <v>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2" t="s">
        <v>139</v>
      </c>
      <c r="B2358" s="60" t="s">
        <v>155</v>
      </c>
      <c r="C2358" s="60" t="s">
        <v>250</v>
      </c>
      <c r="D2358" s="68">
        <v>1</v>
      </c>
      <c r="E2358" s="73">
        <v>906.69</v>
      </c>
      <c r="F2358" s="79">
        <f>IFERROR(D2358*E2358,0)</f>
        <v>906.69</v>
      </c>
      <c r="G2358" s="60" t="str">
        <f>INDEX(SETORES!$B:$B,MATCH(A2358,SETORES!$A:$A,0))</f>
        <v>Funcionários</v>
      </c>
      <c r="H2358" s="60" t="s">
        <v>20</v>
      </c>
    </row>
    <row r="2359" spans="1:8" ht="14.25" customHeight="1" x14ac:dyDescent="0.3">
      <c r="A2359" s="2" t="s">
        <v>139</v>
      </c>
      <c r="B2359" s="60" t="s">
        <v>155</v>
      </c>
      <c r="C2359" s="60" t="s">
        <v>171</v>
      </c>
      <c r="D2359" s="68">
        <v>5</v>
      </c>
      <c r="E2359" s="73">
        <v>47.79</v>
      </c>
      <c r="F2359" s="79">
        <f>IFERROR(D2359*E2359,0)</f>
        <v>238.95</v>
      </c>
      <c r="G2359" s="60" t="s">
        <v>98</v>
      </c>
      <c r="H2359" s="60" t="s">
        <v>20</v>
      </c>
    </row>
    <row r="2360" spans="1:8" ht="14.25" hidden="1" customHeight="1" x14ac:dyDescent="0.3">
      <c r="A2360" s="2" t="s">
        <v>139</v>
      </c>
      <c r="B2360" s="60" t="s">
        <v>155</v>
      </c>
      <c r="C2360" s="60" t="s">
        <v>170</v>
      </c>
      <c r="D2360" s="68">
        <v>5</v>
      </c>
      <c r="E2360" s="73">
        <v>28.31</v>
      </c>
      <c r="F2360" s="79">
        <f>IFERROR(D2360*E2360,0)</f>
        <v>141.54999999999998</v>
      </c>
      <c r="G2360" s="61" t="s">
        <v>98</v>
      </c>
      <c r="H2360" s="60" t="s">
        <v>20</v>
      </c>
    </row>
    <row r="2361" spans="1:8" ht="14.25" hidden="1" customHeight="1" x14ac:dyDescent="0.3">
      <c r="A2361" s="2" t="s">
        <v>139</v>
      </c>
      <c r="B2361" s="60" t="s">
        <v>155</v>
      </c>
      <c r="C2361" s="60" t="s">
        <v>169</v>
      </c>
      <c r="D2361" s="68">
        <v>5</v>
      </c>
      <c r="E2361" s="73">
        <v>64.569999999999993</v>
      </c>
      <c r="F2361" s="79">
        <f>IFERROR(D2361*E2361,0)</f>
        <v>322.84999999999997</v>
      </c>
      <c r="G2361" s="61" t="s">
        <v>98</v>
      </c>
      <c r="H2361" s="60" t="s">
        <v>20</v>
      </c>
    </row>
    <row r="2362" spans="1:8" ht="14.25" hidden="1" customHeight="1" x14ac:dyDescent="0.3">
      <c r="A2362" s="34" t="s">
        <v>139</v>
      </c>
      <c r="B2362" s="61" t="s">
        <v>155</v>
      </c>
      <c r="C2362" s="61" t="s">
        <v>161</v>
      </c>
      <c r="D2362" s="69">
        <v>1</v>
      </c>
      <c r="E2362" s="74">
        <v>13579.53</v>
      </c>
      <c r="F2362" s="80">
        <v>13579.53</v>
      </c>
      <c r="G2362" s="61" t="str">
        <f>INDEX(SETORES!$B:$B,MATCH(A2362,SETORES!$A:$A,0))</f>
        <v>Funcionários</v>
      </c>
      <c r="H2362" s="61" t="s">
        <v>20</v>
      </c>
    </row>
    <row r="2363" spans="1:8" ht="14.25" hidden="1" customHeight="1" x14ac:dyDescent="0.3">
      <c r="A2363" s="2" t="s">
        <v>139</v>
      </c>
      <c r="B2363" s="60" t="s">
        <v>155</v>
      </c>
      <c r="C2363" s="60" t="s">
        <v>167</v>
      </c>
      <c r="D2363" s="68">
        <v>5</v>
      </c>
      <c r="E2363" s="73">
        <v>10.050000000000001</v>
      </c>
      <c r="F2363" s="79">
        <f>IFERROR(D2363*E2363,0)</f>
        <v>50.25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34" t="s">
        <v>139</v>
      </c>
      <c r="B2364" s="61" t="s">
        <v>155</v>
      </c>
      <c r="C2364" s="61" t="s">
        <v>168</v>
      </c>
      <c r="D2364" s="69">
        <v>5</v>
      </c>
      <c r="E2364" s="74">
        <v>2.0699999999999998</v>
      </c>
      <c r="F2364" s="80">
        <f>IFERROR(D2364*E2364,0)</f>
        <v>10.35</v>
      </c>
      <c r="G2364" s="61" t="str">
        <f>INDEX(SETORES!$B:$B,MATCH(A2364,SETORES!$A:$A,0))</f>
        <v>Funcionários</v>
      </c>
      <c r="H2364" s="61" t="s">
        <v>20</v>
      </c>
    </row>
    <row r="2365" spans="1:8" ht="14.25" hidden="1" customHeight="1" x14ac:dyDescent="0.3">
      <c r="A2365" s="2" t="s">
        <v>53</v>
      </c>
      <c r="B2365" s="60" t="s">
        <v>155</v>
      </c>
      <c r="C2365" s="60" t="s">
        <v>159</v>
      </c>
      <c r="D2365" s="68">
        <v>1</v>
      </c>
      <c r="E2365" s="73">
        <v>0</v>
      </c>
      <c r="F2365" s="79">
        <v>0</v>
      </c>
      <c r="G2365" s="60" t="str">
        <f>INDEX(SETORES!$B:$B,MATCH(A2365,SETORES!$A:$A,0))</f>
        <v>Clientes</v>
      </c>
      <c r="H2365" s="60" t="s">
        <v>20</v>
      </c>
    </row>
    <row r="2366" spans="1:8" ht="14.25" hidden="1" customHeight="1" x14ac:dyDescent="0.3">
      <c r="A2366" s="2" t="s">
        <v>53</v>
      </c>
      <c r="B2366" s="60" t="s">
        <v>162</v>
      </c>
      <c r="C2366" s="60" t="s">
        <v>217</v>
      </c>
      <c r="D2366" s="68"/>
      <c r="E2366" s="73"/>
      <c r="F2366" s="79">
        <f>IFERROR(D2366*E2366,0)</f>
        <v>0</v>
      </c>
      <c r="G2366" s="60" t="str">
        <f>INDEX(SETORES!$B:$B,MATCH(A2366,SETORES!$A:$A,0))</f>
        <v>Clientes</v>
      </c>
      <c r="H2366" s="60" t="s">
        <v>20</v>
      </c>
    </row>
    <row r="2367" spans="1:8" ht="14.25" hidden="1" customHeight="1" x14ac:dyDescent="0.3">
      <c r="A2367" s="34" t="s">
        <v>53</v>
      </c>
      <c r="B2367" s="61" t="s">
        <v>155</v>
      </c>
      <c r="C2367" s="61" t="s">
        <v>249</v>
      </c>
      <c r="D2367" s="69">
        <v>1</v>
      </c>
      <c r="E2367" s="74">
        <v>3769.34</v>
      </c>
      <c r="F2367" s="80">
        <f>IFERROR(D2367*E2367,0)</f>
        <v>3769.34</v>
      </c>
      <c r="G2367" s="61" t="str">
        <f>INDEX(SETORES!$B:$B,MATCH(A2367,SETORES!$A:$A,0))</f>
        <v>Clientes</v>
      </c>
      <c r="H2367" s="61" t="s">
        <v>20</v>
      </c>
    </row>
    <row r="2368" spans="1:8" ht="14.25" customHeight="1" x14ac:dyDescent="0.3">
      <c r="A2368" s="2" t="s">
        <v>53</v>
      </c>
      <c r="B2368" s="60" t="s">
        <v>155</v>
      </c>
      <c r="C2368" s="60" t="s">
        <v>171</v>
      </c>
      <c r="D2368" s="68">
        <v>31</v>
      </c>
      <c r="E2368" s="73">
        <v>47.79</v>
      </c>
      <c r="F2368" s="79">
        <f>IFERROR(D2368*E2368,0)</f>
        <v>1481.49</v>
      </c>
      <c r="G2368" s="60" t="s">
        <v>98</v>
      </c>
      <c r="H2368" s="60" t="s">
        <v>20</v>
      </c>
    </row>
    <row r="2369" spans="1:8" ht="14.25" hidden="1" customHeight="1" x14ac:dyDescent="0.3">
      <c r="A2369" s="34" t="s">
        <v>53</v>
      </c>
      <c r="B2369" s="61" t="s">
        <v>155</v>
      </c>
      <c r="C2369" s="61" t="s">
        <v>170</v>
      </c>
      <c r="D2369" s="69">
        <v>31</v>
      </c>
      <c r="E2369" s="74">
        <v>28.31</v>
      </c>
      <c r="F2369" s="80">
        <f>IFERROR(D2369*E2369,0)</f>
        <v>877.61</v>
      </c>
      <c r="G2369" s="61" t="s">
        <v>98</v>
      </c>
      <c r="H2369" s="61" t="s">
        <v>20</v>
      </c>
    </row>
    <row r="2370" spans="1:8" ht="14.25" hidden="1" customHeight="1" x14ac:dyDescent="0.3">
      <c r="A2370" s="2" t="s">
        <v>53</v>
      </c>
      <c r="B2370" s="60" t="s">
        <v>155</v>
      </c>
      <c r="C2370" s="60" t="s">
        <v>169</v>
      </c>
      <c r="D2370" s="68">
        <v>31</v>
      </c>
      <c r="E2370" s="73">
        <v>64.569999999999993</v>
      </c>
      <c r="F2370" s="79">
        <f>IFERROR(D2370*E2370,0)</f>
        <v>2001.6699999999998</v>
      </c>
      <c r="G2370" s="61" t="s">
        <v>98</v>
      </c>
      <c r="H2370" s="60" t="s">
        <v>20</v>
      </c>
    </row>
    <row r="2371" spans="1:8" ht="14.25" hidden="1" customHeight="1" x14ac:dyDescent="0.3">
      <c r="A2371" s="34" t="s">
        <v>53</v>
      </c>
      <c r="B2371" s="61" t="s">
        <v>162</v>
      </c>
      <c r="C2371" s="61" t="s">
        <v>192</v>
      </c>
      <c r="D2371" s="69">
        <v>1</v>
      </c>
      <c r="E2371" s="74">
        <v>242.73</v>
      </c>
      <c r="F2371" s="80">
        <f>IFERROR(D2371*E2371,0)</f>
        <v>242.73</v>
      </c>
      <c r="G2371" s="61" t="str">
        <f>INDEX(SETORES!$B:$B,MATCH(A2371,SETORES!$A:$A,0))</f>
        <v>Clientes</v>
      </c>
      <c r="H2371" s="61" t="s">
        <v>20</v>
      </c>
    </row>
    <row r="2372" spans="1:8" ht="14.25" hidden="1" customHeight="1" x14ac:dyDescent="0.3">
      <c r="A2372" s="34" t="s">
        <v>53</v>
      </c>
      <c r="B2372" s="61" t="s">
        <v>162</v>
      </c>
      <c r="C2372" s="61" t="s">
        <v>194</v>
      </c>
      <c r="D2372" s="69">
        <v>1</v>
      </c>
      <c r="E2372" s="74">
        <v>23.5</v>
      </c>
      <c r="F2372" s="80">
        <f>IFERROR(D2372*E2372,0)</f>
        <v>23.5</v>
      </c>
      <c r="G2372" s="61" t="str">
        <f>INDEX(SETORES!$B:$B,MATCH(A2372,SETORES!$A:$A,0))</f>
        <v>Clientes</v>
      </c>
      <c r="H2372" s="61" t="s">
        <v>20</v>
      </c>
    </row>
    <row r="2373" spans="1:8" ht="14.25" hidden="1" customHeight="1" x14ac:dyDescent="0.3">
      <c r="A2373" s="34" t="s">
        <v>53</v>
      </c>
      <c r="B2373" s="61" t="s">
        <v>155</v>
      </c>
      <c r="C2373" s="61" t="s">
        <v>158</v>
      </c>
      <c r="D2373" s="69">
        <v>1</v>
      </c>
      <c r="E2373" s="74">
        <v>263.83460000000002</v>
      </c>
      <c r="F2373" s="80">
        <v>263.83460000000002</v>
      </c>
      <c r="G2373" s="61" t="str">
        <f>INDEX(SETORES!$B:$B,MATCH(A2373,SETORES!$A:$A,0))</f>
        <v>Clientes</v>
      </c>
      <c r="H2373" s="61" t="s">
        <v>20</v>
      </c>
    </row>
    <row r="2374" spans="1:8" ht="14.25" hidden="1" customHeight="1" x14ac:dyDescent="0.3">
      <c r="A2374" s="34" t="s">
        <v>53</v>
      </c>
      <c r="B2374" s="61" t="s">
        <v>162</v>
      </c>
      <c r="C2374" s="61" t="s">
        <v>165</v>
      </c>
      <c r="D2374" s="69">
        <v>1</v>
      </c>
      <c r="E2374" s="74">
        <v>9622.9</v>
      </c>
      <c r="F2374" s="80">
        <f>IFERROR(D2374*E2374,0)</f>
        <v>9622.9</v>
      </c>
      <c r="G2374" s="61" t="str">
        <f>INDEX(SETORES!$B:$B,MATCH(A2374,SETORES!$A:$A,0))</f>
        <v>Clientes</v>
      </c>
      <c r="H2374" s="61" t="s">
        <v>20</v>
      </c>
    </row>
    <row r="2375" spans="1:8" ht="14.25" hidden="1" customHeight="1" x14ac:dyDescent="0.3">
      <c r="A2375" s="2" t="s">
        <v>53</v>
      </c>
      <c r="B2375" s="60" t="s">
        <v>155</v>
      </c>
      <c r="C2375" s="60" t="s">
        <v>161</v>
      </c>
      <c r="D2375" s="68">
        <v>1</v>
      </c>
      <c r="E2375" s="73">
        <v>92773.57</v>
      </c>
      <c r="F2375" s="79">
        <f>IFERROR(E2375,0)</f>
        <v>92773.57</v>
      </c>
      <c r="G2375" s="60" t="str">
        <f>INDEX(SETORES!$B:$B,MATCH(A2375,SETORES!$A:$A,0))</f>
        <v>Clientes</v>
      </c>
      <c r="H2375" s="60" t="s">
        <v>20</v>
      </c>
    </row>
    <row r="2376" spans="1:8" ht="14.25" hidden="1" customHeight="1" x14ac:dyDescent="0.3">
      <c r="A2376" s="2" t="s">
        <v>53</v>
      </c>
      <c r="B2376" s="60" t="s">
        <v>155</v>
      </c>
      <c r="C2376" s="60" t="s">
        <v>167</v>
      </c>
      <c r="D2376" s="68">
        <v>31</v>
      </c>
      <c r="E2376" s="73">
        <v>10.050000000000001</v>
      </c>
      <c r="F2376" s="79">
        <f>IFERROR(D2376*E2376,0)</f>
        <v>311.55</v>
      </c>
      <c r="G2376" s="60" t="str">
        <f>INDEX(SETORES!$B:$B,MATCH(A2376,SETORES!$A:$A,0))</f>
        <v>Clientes</v>
      </c>
      <c r="H2376" s="60" t="s">
        <v>20</v>
      </c>
    </row>
    <row r="2377" spans="1:8" ht="14.25" hidden="1" customHeight="1" x14ac:dyDescent="0.3">
      <c r="A2377" s="34" t="s">
        <v>53</v>
      </c>
      <c r="B2377" s="61" t="s">
        <v>155</v>
      </c>
      <c r="C2377" s="61" t="s">
        <v>166</v>
      </c>
      <c r="D2377" s="69">
        <v>31</v>
      </c>
      <c r="E2377" s="74"/>
      <c r="F2377" s="80">
        <f>IFERROR(D2377*E2377,0)</f>
        <v>0</v>
      </c>
      <c r="G2377" s="61" t="str">
        <f>INDEX(SETORES!$B:$B,MATCH(A2377,SETORES!$A:$A,0))</f>
        <v>Clientes</v>
      </c>
      <c r="H2377" s="61" t="s">
        <v>20</v>
      </c>
    </row>
    <row r="2378" spans="1:8" ht="14.25" hidden="1" customHeight="1" x14ac:dyDescent="0.3">
      <c r="A2378" s="34" t="s">
        <v>53</v>
      </c>
      <c r="B2378" s="61" t="s">
        <v>155</v>
      </c>
      <c r="C2378" s="61" t="s">
        <v>156</v>
      </c>
      <c r="D2378" s="69">
        <v>31</v>
      </c>
      <c r="E2378" s="74">
        <v>0.36480000000000001</v>
      </c>
      <c r="F2378" s="80">
        <v>11.3088</v>
      </c>
      <c r="G2378" s="61" t="str">
        <f>INDEX(SETORES!$B:$B,MATCH(A2378,SETORES!$A:$A,0))</f>
        <v>Clientes</v>
      </c>
      <c r="H2378" s="61" t="s">
        <v>20</v>
      </c>
    </row>
    <row r="2379" spans="1:8" ht="14.25" hidden="1" customHeight="1" x14ac:dyDescent="0.3">
      <c r="A2379" s="2" t="s">
        <v>53</v>
      </c>
      <c r="B2379" s="60" t="s">
        <v>155</v>
      </c>
      <c r="C2379" s="60" t="s">
        <v>157</v>
      </c>
      <c r="D2379" s="68">
        <v>1</v>
      </c>
      <c r="E2379" s="73">
        <v>877.24120700000003</v>
      </c>
      <c r="F2379" s="79">
        <v>877.24120700000003</v>
      </c>
      <c r="G2379" s="60" t="str">
        <f>INDEX(SETORES!$B:$B,MATCH(A2379,SETORES!$A:$A,0))</f>
        <v>Clientes</v>
      </c>
      <c r="H2379" s="60" t="s">
        <v>20</v>
      </c>
    </row>
    <row r="2380" spans="1:8" ht="14.25" hidden="1" customHeight="1" x14ac:dyDescent="0.3">
      <c r="A2380" s="2" t="s">
        <v>53</v>
      </c>
      <c r="B2380" s="60" t="s">
        <v>162</v>
      </c>
      <c r="C2380" s="60" t="s">
        <v>222</v>
      </c>
      <c r="D2380" s="68"/>
      <c r="E2380" s="73"/>
      <c r="F2380" s="79">
        <f>IFERROR(D2380*E2380,0)</f>
        <v>0</v>
      </c>
      <c r="G2380" s="60" t="str">
        <f>INDEX(SETORES!$B:$B,MATCH(A2380,SETORES!$A:$A,0))</f>
        <v>Clientes</v>
      </c>
      <c r="H2380" s="60" t="s">
        <v>20</v>
      </c>
    </row>
    <row r="2381" spans="1:8" ht="14.25" hidden="1" customHeight="1" x14ac:dyDescent="0.3">
      <c r="A2381" s="2" t="s">
        <v>53</v>
      </c>
      <c r="B2381" s="60" t="s">
        <v>155</v>
      </c>
      <c r="C2381" s="60" t="s">
        <v>189</v>
      </c>
      <c r="D2381" s="68">
        <v>1</v>
      </c>
      <c r="E2381" s="73">
        <v>668.10344399999997</v>
      </c>
      <c r="F2381" s="79">
        <f>IFERROR(D2381*E2381,0)</f>
        <v>668.10344399999997</v>
      </c>
      <c r="G2381" s="60" t="str">
        <f>INDEX(SETORES!$B:$B,MATCH(A2381,SETORES!$A:$A,0))</f>
        <v>Clientes</v>
      </c>
      <c r="H2381" s="60" t="s">
        <v>20</v>
      </c>
    </row>
    <row r="2382" spans="1:8" ht="14.25" hidden="1" customHeight="1" x14ac:dyDescent="0.3">
      <c r="A2382" s="34" t="s">
        <v>53</v>
      </c>
      <c r="B2382" s="61" t="s">
        <v>155</v>
      </c>
      <c r="C2382" s="61" t="s">
        <v>190</v>
      </c>
      <c r="D2382" s="69">
        <v>1</v>
      </c>
      <c r="E2382" s="74">
        <v>89.079554000000002</v>
      </c>
      <c r="F2382" s="80">
        <f>IFERROR(D2382*E2382,0)</f>
        <v>89.079554000000002</v>
      </c>
      <c r="G2382" s="61" t="str">
        <f>INDEX(SETORES!$B:$B,MATCH(A2382,SETORES!$A:$A,0))</f>
        <v>Clientes</v>
      </c>
      <c r="H2382" s="61" t="s">
        <v>20</v>
      </c>
    </row>
    <row r="2383" spans="1:8" ht="14.25" hidden="1" customHeight="1" x14ac:dyDescent="0.3">
      <c r="A2383" s="2" t="s">
        <v>53</v>
      </c>
      <c r="B2383" s="60" t="s">
        <v>162</v>
      </c>
      <c r="C2383" s="60" t="s">
        <v>191</v>
      </c>
      <c r="D2383" s="68">
        <v>1</v>
      </c>
      <c r="E2383" s="73">
        <v>246.88561200000001</v>
      </c>
      <c r="F2383" s="79">
        <f>IFERROR(D2383*E2383,0)</f>
        <v>246.88561200000001</v>
      </c>
      <c r="G2383" s="60" t="str">
        <f>INDEX(SETORES!$B:$B,MATCH(A2383,SETORES!$A:$A,0))</f>
        <v>Clientes</v>
      </c>
      <c r="H2383" s="60" t="s">
        <v>20</v>
      </c>
    </row>
    <row r="2384" spans="1:8" ht="14.25" hidden="1" customHeight="1" x14ac:dyDescent="0.3">
      <c r="A2384" s="2" t="s">
        <v>53</v>
      </c>
      <c r="B2384" s="60" t="s">
        <v>155</v>
      </c>
      <c r="C2384" s="60" t="s">
        <v>187</v>
      </c>
      <c r="D2384" s="68">
        <v>1</v>
      </c>
      <c r="E2384" s="73">
        <v>1421.0800830000001</v>
      </c>
      <c r="F2384" s="79">
        <f>IFERROR(D2384*E2384,0)</f>
        <v>1421.0800830000001</v>
      </c>
      <c r="G2384" s="60" t="str">
        <f>INDEX(SETORES!$B:$B,MATCH(A2384,SETORES!$A:$A,0))</f>
        <v>Clientes</v>
      </c>
      <c r="H2384" s="60" t="s">
        <v>20</v>
      </c>
    </row>
    <row r="2385" spans="1:8" ht="14.25" hidden="1" customHeight="1" x14ac:dyDescent="0.3">
      <c r="A2385" s="34" t="s">
        <v>53</v>
      </c>
      <c r="B2385" s="61" t="s">
        <v>155</v>
      </c>
      <c r="C2385" s="61" t="s">
        <v>168</v>
      </c>
      <c r="D2385" s="69">
        <v>31</v>
      </c>
      <c r="E2385" s="74">
        <v>2.0699999999999998</v>
      </c>
      <c r="F2385" s="80">
        <f>IFERROR(D2385*E2385,0)</f>
        <v>64.17</v>
      </c>
      <c r="G2385" s="61" t="str">
        <f>INDEX(SETORES!$B:$B,MATCH(A2385,SETORES!$A:$A,0))</f>
        <v>Clientes</v>
      </c>
      <c r="H2385" s="61" t="s">
        <v>20</v>
      </c>
    </row>
    <row r="2386" spans="1:8" ht="14.25" hidden="1" customHeight="1" x14ac:dyDescent="0.3">
      <c r="A2386" s="34" t="s">
        <v>53</v>
      </c>
      <c r="B2386" s="61" t="s">
        <v>155</v>
      </c>
      <c r="C2386" s="61" t="s">
        <v>188</v>
      </c>
      <c r="D2386" s="69">
        <v>1</v>
      </c>
      <c r="E2386" s="74">
        <v>1641.85</v>
      </c>
      <c r="F2386" s="80">
        <f>IFERROR(D2386*E2386,0)</f>
        <v>1641.85</v>
      </c>
      <c r="G2386" s="61" t="str">
        <f>INDEX(SETORES!$B:$B,MATCH(A2386,SETORES!$A:$A,0))</f>
        <v>Clientes</v>
      </c>
      <c r="H2386" s="61" t="s">
        <v>20</v>
      </c>
    </row>
    <row r="2387" spans="1:8" ht="14.25" hidden="1" customHeight="1" x14ac:dyDescent="0.3">
      <c r="A2387" s="34" t="s">
        <v>53</v>
      </c>
      <c r="B2387" s="61" t="s">
        <v>155</v>
      </c>
      <c r="C2387" s="61" t="s">
        <v>160</v>
      </c>
      <c r="D2387" s="69"/>
      <c r="E2387" s="74"/>
      <c r="F2387" s="80">
        <f>IFERROR(D2387*E2387,0)</f>
        <v>0</v>
      </c>
      <c r="G2387" s="61" t="str">
        <f>INDEX(SETORES!$B:$B,MATCH(A2387,SETORES!$A:$A,0))</f>
        <v>Clientes</v>
      </c>
      <c r="H2387" s="61" t="s">
        <v>20</v>
      </c>
    </row>
    <row r="2388" spans="1:8" ht="14.25" hidden="1" customHeight="1" x14ac:dyDescent="0.3">
      <c r="A2388" s="2" t="s">
        <v>53</v>
      </c>
      <c r="B2388" s="60" t="s">
        <v>155</v>
      </c>
      <c r="C2388" s="60" t="s">
        <v>193</v>
      </c>
      <c r="D2388" s="68">
        <v>1</v>
      </c>
      <c r="E2388" s="73">
        <v>52</v>
      </c>
      <c r="F2388" s="79">
        <f>IFERROR(D2388*E2388,0)</f>
        <v>52</v>
      </c>
      <c r="G2388" s="60" t="str">
        <f>INDEX(SETORES!$B:$B,MATCH(A2388,SETORES!$A:$A,0))</f>
        <v>Clientes</v>
      </c>
      <c r="H2388" s="60" t="s">
        <v>20</v>
      </c>
    </row>
    <row r="2389" spans="1:8" ht="14.25" hidden="1" customHeight="1" x14ac:dyDescent="0.3">
      <c r="A2389" s="34" t="s">
        <v>52</v>
      </c>
      <c r="B2389" s="61" t="s">
        <v>155</v>
      </c>
      <c r="C2389" s="61" t="s">
        <v>159</v>
      </c>
      <c r="D2389" s="69">
        <v>1</v>
      </c>
      <c r="E2389" s="74">
        <v>0</v>
      </c>
      <c r="F2389" s="80">
        <v>0</v>
      </c>
      <c r="G2389" s="61" t="str">
        <f>INDEX(SETORES!$B:$B,MATCH(A2389,SETORES!$A:$A,0))</f>
        <v>Clientes</v>
      </c>
      <c r="H2389" s="61" t="s">
        <v>20</v>
      </c>
    </row>
    <row r="2390" spans="1:8" ht="14.25" hidden="1" customHeight="1" x14ac:dyDescent="0.3">
      <c r="A2390" s="2" t="s">
        <v>52</v>
      </c>
      <c r="B2390" s="60" t="s">
        <v>155</v>
      </c>
      <c r="C2390" s="60" t="s">
        <v>249</v>
      </c>
      <c r="D2390" s="68">
        <v>1</v>
      </c>
      <c r="E2390" s="73">
        <v>1094.33</v>
      </c>
      <c r="F2390" s="79">
        <f>IFERROR(D2390*E2390,0)</f>
        <v>1094.33</v>
      </c>
      <c r="G2390" s="60" t="str">
        <f>INDEX(SETORES!$B:$B,MATCH(A2390,SETORES!$A:$A,0))</f>
        <v>Clientes</v>
      </c>
      <c r="H2390" s="60" t="s">
        <v>20</v>
      </c>
    </row>
    <row r="2391" spans="1:8" ht="14.25" customHeight="1" x14ac:dyDescent="0.3">
      <c r="A2391" s="2" t="s">
        <v>52</v>
      </c>
      <c r="B2391" s="60" t="s">
        <v>155</v>
      </c>
      <c r="C2391" s="60" t="s">
        <v>171</v>
      </c>
      <c r="D2391" s="68">
        <v>9</v>
      </c>
      <c r="E2391" s="73">
        <v>47.79</v>
      </c>
      <c r="F2391" s="79">
        <f>IFERROR(D2391*E2391,0)</f>
        <v>430.11</v>
      </c>
      <c r="G2391" s="60" t="s">
        <v>98</v>
      </c>
      <c r="H2391" s="60" t="s">
        <v>20</v>
      </c>
    </row>
    <row r="2392" spans="1:8" ht="14.25" hidden="1" customHeight="1" x14ac:dyDescent="0.3">
      <c r="A2392" s="34" t="s">
        <v>52</v>
      </c>
      <c r="B2392" s="61" t="s">
        <v>155</v>
      </c>
      <c r="C2392" s="61" t="s">
        <v>170</v>
      </c>
      <c r="D2392" s="69">
        <v>9</v>
      </c>
      <c r="E2392" s="74">
        <v>28.31</v>
      </c>
      <c r="F2392" s="80">
        <f>IFERROR(D2392*E2392,0)</f>
        <v>254.79</v>
      </c>
      <c r="G2392" s="61" t="s">
        <v>98</v>
      </c>
      <c r="H2392" s="61" t="s">
        <v>20</v>
      </c>
    </row>
    <row r="2393" spans="1:8" ht="14.25" hidden="1" customHeight="1" x14ac:dyDescent="0.3">
      <c r="A2393" s="2" t="s">
        <v>52</v>
      </c>
      <c r="B2393" s="60" t="s">
        <v>155</v>
      </c>
      <c r="C2393" s="60" t="s">
        <v>169</v>
      </c>
      <c r="D2393" s="68">
        <v>9</v>
      </c>
      <c r="E2393" s="73">
        <v>64.569999999999993</v>
      </c>
      <c r="F2393" s="79">
        <f>IFERROR(D2393*E2393,0)</f>
        <v>581.12999999999988</v>
      </c>
      <c r="G2393" s="61" t="s">
        <v>98</v>
      </c>
      <c r="H2393" s="60" t="s">
        <v>20</v>
      </c>
    </row>
    <row r="2394" spans="1:8" ht="14.25" hidden="1" customHeight="1" x14ac:dyDescent="0.3">
      <c r="A2394" s="34" t="s">
        <v>52</v>
      </c>
      <c r="B2394" s="61" t="s">
        <v>162</v>
      </c>
      <c r="C2394" s="61" t="s">
        <v>192</v>
      </c>
      <c r="D2394" s="69">
        <v>1</v>
      </c>
      <c r="E2394" s="74">
        <v>242.73</v>
      </c>
      <c r="F2394" s="80">
        <f>IFERROR(D2394*E2394,0)</f>
        <v>242.73</v>
      </c>
      <c r="G2394" s="61" t="str">
        <f>INDEX(SETORES!$B:$B,MATCH(A2394,SETORES!$A:$A,0))</f>
        <v>Clientes</v>
      </c>
      <c r="H2394" s="61" t="s">
        <v>20</v>
      </c>
    </row>
    <row r="2395" spans="1:8" ht="14.25" hidden="1" customHeight="1" x14ac:dyDescent="0.3">
      <c r="A2395" s="34" t="s">
        <v>52</v>
      </c>
      <c r="B2395" s="61" t="s">
        <v>162</v>
      </c>
      <c r="C2395" s="61" t="s">
        <v>194</v>
      </c>
      <c r="D2395" s="69">
        <v>1</v>
      </c>
      <c r="E2395" s="74">
        <v>23.5</v>
      </c>
      <c r="F2395" s="80">
        <f>IFERROR(D2395*E2395,0)</f>
        <v>23.5</v>
      </c>
      <c r="G2395" s="61" t="str">
        <f>INDEX(SETORES!$B:$B,MATCH(A2395,SETORES!$A:$A,0))</f>
        <v>Clientes</v>
      </c>
      <c r="H2395" s="61" t="s">
        <v>20</v>
      </c>
    </row>
    <row r="2396" spans="1:8" ht="14.25" hidden="1" customHeight="1" x14ac:dyDescent="0.3">
      <c r="A2396" s="2" t="s">
        <v>52</v>
      </c>
      <c r="B2396" s="60" t="s">
        <v>155</v>
      </c>
      <c r="C2396" s="60" t="s">
        <v>158</v>
      </c>
      <c r="D2396" s="68">
        <v>1</v>
      </c>
      <c r="E2396" s="73">
        <v>76.597099999999998</v>
      </c>
      <c r="F2396" s="79">
        <v>76.597099999999998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34" t="s">
        <v>52</v>
      </c>
      <c r="B2397" s="61" t="s">
        <v>155</v>
      </c>
      <c r="C2397" s="61" t="s">
        <v>161</v>
      </c>
      <c r="D2397" s="69">
        <v>1</v>
      </c>
      <c r="E2397" s="74">
        <v>29920.5</v>
      </c>
      <c r="F2397" s="80">
        <f>IFERROR(E2397,0)</f>
        <v>29920.5</v>
      </c>
      <c r="G2397" s="61" t="str">
        <f>INDEX(SETORES!$B:$B,MATCH(A2397,SETORES!$A:$A,0))</f>
        <v>Clientes</v>
      </c>
      <c r="H2397" s="61" t="s">
        <v>20</v>
      </c>
    </row>
    <row r="2398" spans="1:8" ht="14.25" hidden="1" customHeight="1" x14ac:dyDescent="0.3">
      <c r="A2398" s="2" t="s">
        <v>52</v>
      </c>
      <c r="B2398" s="60" t="s">
        <v>155</v>
      </c>
      <c r="C2398" s="60" t="s">
        <v>167</v>
      </c>
      <c r="D2398" s="68">
        <v>9</v>
      </c>
      <c r="E2398" s="73">
        <v>10.050000000000001</v>
      </c>
      <c r="F2398" s="79">
        <f>IFERROR(D2398*E2398,0)</f>
        <v>90.45</v>
      </c>
      <c r="G2398" s="60" t="str">
        <f>INDEX(SETORES!$B:$B,MATCH(A2398,SETORES!$A:$A,0))</f>
        <v>Clientes</v>
      </c>
      <c r="H2398" s="60" t="s">
        <v>20</v>
      </c>
    </row>
    <row r="2399" spans="1:8" ht="14.25" hidden="1" customHeight="1" x14ac:dyDescent="0.3">
      <c r="A2399" s="2" t="s">
        <v>52</v>
      </c>
      <c r="B2399" s="60" t="s">
        <v>155</v>
      </c>
      <c r="C2399" s="60" t="s">
        <v>166</v>
      </c>
      <c r="D2399" s="68">
        <v>8</v>
      </c>
      <c r="E2399" s="73">
        <v>50</v>
      </c>
      <c r="F2399" s="79">
        <f>IFERROR(D2399*E2399,0)</f>
        <v>400</v>
      </c>
      <c r="G2399" s="60" t="str">
        <f>INDEX(SETORES!$B:$B,MATCH(A2399,SETORES!$A:$A,0))</f>
        <v>Clientes</v>
      </c>
      <c r="H2399" s="60" t="s">
        <v>20</v>
      </c>
    </row>
    <row r="2400" spans="1:8" ht="14.25" hidden="1" customHeight="1" x14ac:dyDescent="0.3">
      <c r="A2400" s="2" t="s">
        <v>52</v>
      </c>
      <c r="B2400" s="60" t="s">
        <v>155</v>
      </c>
      <c r="C2400" s="60" t="s">
        <v>156</v>
      </c>
      <c r="D2400" s="68">
        <v>9</v>
      </c>
      <c r="E2400" s="73">
        <v>0.36480000000000001</v>
      </c>
      <c r="F2400" s="79">
        <v>3.2831999999999999</v>
      </c>
      <c r="G2400" s="60" t="str">
        <f>INDEX(SETORES!$B:$B,MATCH(A2400,SETORES!$A:$A,0))</f>
        <v>Clientes</v>
      </c>
      <c r="H2400" s="60" t="s">
        <v>20</v>
      </c>
    </row>
    <row r="2401" spans="1:8" ht="14.25" hidden="1" customHeight="1" x14ac:dyDescent="0.3">
      <c r="A2401" s="34" t="s">
        <v>52</v>
      </c>
      <c r="B2401" s="61" t="s">
        <v>155</v>
      </c>
      <c r="C2401" s="61" t="s">
        <v>157</v>
      </c>
      <c r="D2401" s="69">
        <v>1</v>
      </c>
      <c r="E2401" s="74">
        <v>254.682931</v>
      </c>
      <c r="F2401" s="80">
        <v>254.682931</v>
      </c>
      <c r="G2401" s="61" t="str">
        <f>INDEX(SETORES!$B:$B,MATCH(A2401,SETORES!$A:$A,0))</f>
        <v>Clientes</v>
      </c>
      <c r="H2401" s="61" t="s">
        <v>20</v>
      </c>
    </row>
    <row r="2402" spans="1:8" ht="14.25" hidden="1" customHeight="1" x14ac:dyDescent="0.3">
      <c r="A2402" s="2" t="s">
        <v>52</v>
      </c>
      <c r="B2402" s="60" t="s">
        <v>155</v>
      </c>
      <c r="C2402" s="60" t="s">
        <v>189</v>
      </c>
      <c r="D2402" s="68">
        <v>1</v>
      </c>
      <c r="E2402" s="73">
        <v>193.96551600000001</v>
      </c>
      <c r="F2402" s="79">
        <f>IFERROR(D2402*E2402,0)</f>
        <v>193.96551600000001</v>
      </c>
      <c r="G2402" s="60" t="str">
        <f>INDEX(SETORES!$B:$B,MATCH(A2402,SETORES!$A:$A,0))</f>
        <v>Clientes</v>
      </c>
      <c r="H2402" s="60" t="s">
        <v>20</v>
      </c>
    </row>
    <row r="2403" spans="1:8" ht="14.25" hidden="1" customHeight="1" x14ac:dyDescent="0.3">
      <c r="A2403" s="34" t="s">
        <v>52</v>
      </c>
      <c r="B2403" s="61" t="s">
        <v>155</v>
      </c>
      <c r="C2403" s="61" t="s">
        <v>190</v>
      </c>
      <c r="D2403" s="69">
        <v>1</v>
      </c>
      <c r="E2403" s="74">
        <v>25.861806000000001</v>
      </c>
      <c r="F2403" s="80">
        <f>IFERROR(D2403*E2403,0)</f>
        <v>25.861806000000001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2" t="s">
        <v>52</v>
      </c>
      <c r="B2404" s="60" t="s">
        <v>162</v>
      </c>
      <c r="C2404" s="60" t="s">
        <v>191</v>
      </c>
      <c r="D2404" s="68">
        <v>1</v>
      </c>
      <c r="E2404" s="73">
        <v>71.676468</v>
      </c>
      <c r="F2404" s="79">
        <f>IFERROR(D2404*E2404,0)</f>
        <v>71.676468</v>
      </c>
      <c r="G2404" s="60" t="str">
        <f>INDEX(SETORES!$B:$B,MATCH(A2404,SETORES!$A:$A,0))</f>
        <v>Clientes</v>
      </c>
      <c r="H2404" s="60" t="s">
        <v>20</v>
      </c>
    </row>
    <row r="2405" spans="1:8" ht="14.25" hidden="1" customHeight="1" x14ac:dyDescent="0.3">
      <c r="A2405" s="2" t="s">
        <v>52</v>
      </c>
      <c r="B2405" s="60" t="s">
        <v>155</v>
      </c>
      <c r="C2405" s="60" t="s">
        <v>187</v>
      </c>
      <c r="D2405" s="68">
        <v>1</v>
      </c>
      <c r="E2405" s="73">
        <v>412.57163700000001</v>
      </c>
      <c r="F2405" s="79">
        <f>IFERROR(D2405*E2405,0)</f>
        <v>412.57163700000001</v>
      </c>
      <c r="G2405" s="60" t="str">
        <f>INDEX(SETORES!$B:$B,MATCH(A2405,SETORES!$A:$A,0))</f>
        <v>Clientes</v>
      </c>
      <c r="H2405" s="60" t="s">
        <v>20</v>
      </c>
    </row>
    <row r="2406" spans="1:8" ht="14.25" hidden="1" customHeight="1" x14ac:dyDescent="0.3">
      <c r="A2406" s="34" t="s">
        <v>52</v>
      </c>
      <c r="B2406" s="61" t="s">
        <v>155</v>
      </c>
      <c r="C2406" s="61" t="s">
        <v>168</v>
      </c>
      <c r="D2406" s="69">
        <v>9</v>
      </c>
      <c r="E2406" s="74">
        <v>2.0699999999999998</v>
      </c>
      <c r="F2406" s="80">
        <f>IFERROR(D2406*E2406,0)</f>
        <v>18.63</v>
      </c>
      <c r="G2406" s="61" t="str">
        <f>INDEX(SETORES!$B:$B,MATCH(A2406,SETORES!$A:$A,0))</f>
        <v>Clientes</v>
      </c>
      <c r="H2406" s="61" t="s">
        <v>20</v>
      </c>
    </row>
    <row r="2407" spans="1:8" ht="14.25" hidden="1" customHeight="1" x14ac:dyDescent="0.3">
      <c r="A2407" s="34" t="s">
        <v>52</v>
      </c>
      <c r="B2407" s="61" t="s">
        <v>155</v>
      </c>
      <c r="C2407" s="61" t="s">
        <v>233</v>
      </c>
      <c r="D2407" s="69"/>
      <c r="E2407" s="74"/>
      <c r="F2407" s="80">
        <f>IFERROR(D2407*E2407,0)</f>
        <v>0</v>
      </c>
      <c r="G2407" s="61" t="str">
        <f>INDEX(SETORES!$B:$B,MATCH(A2407,SETORES!$A:$A,0))</f>
        <v>Clientes</v>
      </c>
      <c r="H2407" s="61" t="s">
        <v>20</v>
      </c>
    </row>
    <row r="2408" spans="1:8" ht="14.25" hidden="1" customHeight="1" x14ac:dyDescent="0.3">
      <c r="A2408" s="34" t="s">
        <v>52</v>
      </c>
      <c r="B2408" s="61" t="s">
        <v>155</v>
      </c>
      <c r="C2408" s="61" t="s">
        <v>188</v>
      </c>
      <c r="D2408" s="69">
        <v>1</v>
      </c>
      <c r="E2408" s="74">
        <v>1641.85</v>
      </c>
      <c r="F2408" s="80">
        <f>IFERROR(D2408*E2408,0)</f>
        <v>1641.85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2" t="s">
        <v>52</v>
      </c>
      <c r="B2409" s="60" t="s">
        <v>155</v>
      </c>
      <c r="C2409" s="60" t="s">
        <v>160</v>
      </c>
      <c r="D2409" s="68"/>
      <c r="E2409" s="73"/>
      <c r="F2409" s="79">
        <f>IFERROR(D2409*E2409,0)</f>
        <v>0</v>
      </c>
      <c r="G2409" s="60" t="str">
        <f>INDEX(SETORES!$B:$B,MATCH(A2409,SETORES!$A:$A,0))</f>
        <v>Clientes</v>
      </c>
      <c r="H2409" s="60" t="s">
        <v>20</v>
      </c>
    </row>
    <row r="2410" spans="1:8" ht="14.25" hidden="1" customHeight="1" x14ac:dyDescent="0.3">
      <c r="A2410" s="2" t="s">
        <v>52</v>
      </c>
      <c r="B2410" s="60" t="s">
        <v>155</v>
      </c>
      <c r="C2410" s="60" t="s">
        <v>193</v>
      </c>
      <c r="D2410" s="68">
        <v>1</v>
      </c>
      <c r="E2410" s="73">
        <v>52</v>
      </c>
      <c r="F2410" s="79">
        <f>IFERROR(D2410*E2410,0)</f>
        <v>52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51</v>
      </c>
      <c r="B2411" s="60" t="s">
        <v>155</v>
      </c>
      <c r="C2411" s="60" t="s">
        <v>159</v>
      </c>
      <c r="D2411" s="68">
        <v>1</v>
      </c>
      <c r="E2411" s="73">
        <v>0</v>
      </c>
      <c r="F2411" s="79">
        <v>0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34" t="s">
        <v>51</v>
      </c>
      <c r="B2412" s="61" t="s">
        <v>162</v>
      </c>
      <c r="C2412" s="61" t="s">
        <v>217</v>
      </c>
      <c r="D2412" s="69"/>
      <c r="E2412" s="74"/>
      <c r="F2412" s="80">
        <f>IFERROR(D2412*E2412,0)</f>
        <v>0</v>
      </c>
      <c r="G2412" s="61" t="str">
        <f>INDEX(SETORES!$B:$B,MATCH(A2412,SETORES!$A:$A,0))</f>
        <v>Clientes</v>
      </c>
      <c r="H2412" s="61" t="s">
        <v>20</v>
      </c>
    </row>
    <row r="2413" spans="1:8" ht="14.25" hidden="1" customHeight="1" x14ac:dyDescent="0.3">
      <c r="A2413" s="2" t="s">
        <v>51</v>
      </c>
      <c r="B2413" s="60" t="s">
        <v>155</v>
      </c>
      <c r="C2413" s="60" t="s">
        <v>249</v>
      </c>
      <c r="D2413" s="68">
        <v>1</v>
      </c>
      <c r="E2413" s="73">
        <v>1215.92</v>
      </c>
      <c r="F2413" s="79">
        <f>IFERROR(D2413*E2413,0)</f>
        <v>1215.92</v>
      </c>
      <c r="G2413" s="60" t="str">
        <f>INDEX(SETORES!$B:$B,MATCH(A2413,SETORES!$A:$A,0))</f>
        <v>Clientes</v>
      </c>
      <c r="H2413" s="60" t="s">
        <v>20</v>
      </c>
    </row>
    <row r="2414" spans="1:8" ht="14.25" customHeight="1" x14ac:dyDescent="0.3">
      <c r="A2414" s="34" t="s">
        <v>51</v>
      </c>
      <c r="B2414" s="61" t="s">
        <v>155</v>
      </c>
      <c r="C2414" s="61" t="s">
        <v>171</v>
      </c>
      <c r="D2414" s="69">
        <v>13</v>
      </c>
      <c r="E2414" s="74">
        <v>47.79</v>
      </c>
      <c r="F2414" s="80">
        <v>621.27</v>
      </c>
      <c r="G2414" s="60" t="s">
        <v>98</v>
      </c>
      <c r="H2414" s="61" t="s">
        <v>20</v>
      </c>
    </row>
    <row r="2415" spans="1:8" ht="14.25" hidden="1" customHeight="1" x14ac:dyDescent="0.3">
      <c r="A2415" s="2" t="s">
        <v>51</v>
      </c>
      <c r="B2415" s="60" t="s">
        <v>155</v>
      </c>
      <c r="C2415" s="60" t="s">
        <v>170</v>
      </c>
      <c r="D2415" s="68">
        <v>13</v>
      </c>
      <c r="E2415" s="73">
        <v>28.31</v>
      </c>
      <c r="F2415" s="79">
        <v>368.03</v>
      </c>
      <c r="G2415" s="61" t="s">
        <v>98</v>
      </c>
      <c r="H2415" s="60" t="s">
        <v>20</v>
      </c>
    </row>
    <row r="2416" spans="1:8" ht="14.25" hidden="1" customHeight="1" x14ac:dyDescent="0.3">
      <c r="A2416" s="34" t="s">
        <v>51</v>
      </c>
      <c r="B2416" s="61" t="s">
        <v>155</v>
      </c>
      <c r="C2416" s="61" t="s">
        <v>169</v>
      </c>
      <c r="D2416" s="69">
        <v>13</v>
      </c>
      <c r="E2416" s="74">
        <v>64.569999999999993</v>
      </c>
      <c r="F2416" s="79">
        <f>IFERROR(D2416*E2416,0)</f>
        <v>839.40999999999985</v>
      </c>
      <c r="G2416" s="61" t="s">
        <v>98</v>
      </c>
      <c r="H2416" s="61" t="s">
        <v>20</v>
      </c>
    </row>
    <row r="2417" spans="1:8" ht="14.25" hidden="1" customHeight="1" x14ac:dyDescent="0.3">
      <c r="A2417" s="2" t="s">
        <v>51</v>
      </c>
      <c r="B2417" s="60" t="s">
        <v>162</v>
      </c>
      <c r="C2417" s="60" t="s">
        <v>192</v>
      </c>
      <c r="D2417" s="68">
        <v>1</v>
      </c>
      <c r="E2417" s="73">
        <v>242.73</v>
      </c>
      <c r="F2417" s="79">
        <f>IFERROR(D2417*E2417,0)</f>
        <v>242.73</v>
      </c>
      <c r="G2417" s="60" t="str">
        <f>INDEX(SETORES!$B:$B,MATCH(A2417,SETORES!$A:$A,0))</f>
        <v>Clientes</v>
      </c>
      <c r="H2417" s="60" t="s">
        <v>20</v>
      </c>
    </row>
    <row r="2418" spans="1:8" ht="14.25" hidden="1" customHeight="1" x14ac:dyDescent="0.3">
      <c r="A2418" s="2" t="s">
        <v>51</v>
      </c>
      <c r="B2418" s="60" t="s">
        <v>162</v>
      </c>
      <c r="C2418" s="60" t="s">
        <v>194</v>
      </c>
      <c r="D2418" s="68">
        <v>1</v>
      </c>
      <c r="E2418" s="73">
        <v>23.5</v>
      </c>
      <c r="F2418" s="79">
        <f>IFERROR(D2418*E2418,0)</f>
        <v>23.5</v>
      </c>
      <c r="G2418" s="60" t="str">
        <f>INDEX(SETORES!$B:$B,MATCH(A2418,SETORES!$A:$A,0))</f>
        <v>Clientes</v>
      </c>
      <c r="H2418" s="60" t="s">
        <v>20</v>
      </c>
    </row>
    <row r="2419" spans="1:8" ht="14.25" hidden="1" customHeight="1" x14ac:dyDescent="0.3">
      <c r="A2419" s="34" t="s">
        <v>51</v>
      </c>
      <c r="B2419" s="61" t="s">
        <v>155</v>
      </c>
      <c r="C2419" s="61" t="s">
        <v>158</v>
      </c>
      <c r="D2419" s="69">
        <v>1</v>
      </c>
      <c r="E2419" s="74">
        <v>110.6403</v>
      </c>
      <c r="F2419" s="80">
        <v>110.6403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51</v>
      </c>
      <c r="B2420" s="60" t="s">
        <v>155</v>
      </c>
      <c r="C2420" s="60" t="s">
        <v>161</v>
      </c>
      <c r="D2420" s="68">
        <v>1</v>
      </c>
      <c r="E2420" s="73">
        <v>56398.229955555602</v>
      </c>
      <c r="F2420" s="79">
        <v>56398.229955555602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34" t="s">
        <v>51</v>
      </c>
      <c r="B2421" s="61" t="s">
        <v>155</v>
      </c>
      <c r="C2421" s="61" t="s">
        <v>167</v>
      </c>
      <c r="D2421" s="69">
        <v>13</v>
      </c>
      <c r="E2421" s="74">
        <v>10.050000000000001</v>
      </c>
      <c r="F2421" s="80">
        <v>130.65</v>
      </c>
      <c r="G2421" s="61" t="str">
        <f>INDEX(SETORES!$B:$B,MATCH(A2421,SETORES!$A:$A,0))</f>
        <v>Clientes</v>
      </c>
      <c r="H2421" s="61" t="s">
        <v>20</v>
      </c>
    </row>
    <row r="2422" spans="1:8" ht="14.25" hidden="1" customHeight="1" x14ac:dyDescent="0.3">
      <c r="A2422" s="34" t="s">
        <v>51</v>
      </c>
      <c r="B2422" s="61" t="s">
        <v>155</v>
      </c>
      <c r="C2422" s="61" t="s">
        <v>166</v>
      </c>
      <c r="D2422" s="69">
        <v>14</v>
      </c>
      <c r="E2422" s="74">
        <v>50</v>
      </c>
      <c r="F2422" s="80">
        <f>IFERROR(D2422*E2422,0)</f>
        <v>700</v>
      </c>
      <c r="G2422" s="61" t="str">
        <f>INDEX(SETORES!$B:$B,MATCH(A2422,SETORES!$A:$A,0))</f>
        <v>Clientes</v>
      </c>
      <c r="H2422" s="61" t="s">
        <v>20</v>
      </c>
    </row>
    <row r="2423" spans="1:8" ht="14.25" hidden="1" customHeight="1" x14ac:dyDescent="0.3">
      <c r="A2423" s="34" t="s">
        <v>51</v>
      </c>
      <c r="B2423" s="61" t="s">
        <v>155</v>
      </c>
      <c r="C2423" s="61" t="s">
        <v>156</v>
      </c>
      <c r="D2423" s="69">
        <v>13</v>
      </c>
      <c r="E2423" s="74">
        <v>0.36480000000000001</v>
      </c>
      <c r="F2423" s="80">
        <v>4.7423999999999999</v>
      </c>
      <c r="G2423" s="61" t="str">
        <f>INDEX(SETORES!$B:$B,MATCH(A2423,SETORES!$A:$A,0))</f>
        <v>Clientes</v>
      </c>
      <c r="H2423" s="61" t="s">
        <v>20</v>
      </c>
    </row>
    <row r="2424" spans="1:8" ht="14.25" hidden="1" customHeight="1" x14ac:dyDescent="0.3">
      <c r="A2424" s="2" t="s">
        <v>51</v>
      </c>
      <c r="B2424" s="60" t="s">
        <v>155</v>
      </c>
      <c r="C2424" s="60" t="s">
        <v>157</v>
      </c>
      <c r="D2424" s="68">
        <v>1</v>
      </c>
      <c r="E2424" s="73">
        <v>367.87534499999998</v>
      </c>
      <c r="F2424" s="79">
        <v>367.87534499999998</v>
      </c>
      <c r="G2424" s="60" t="str">
        <f>INDEX(SETORES!$B:$B,MATCH(A2424,SETORES!$A:$A,0))</f>
        <v>Clientes</v>
      </c>
      <c r="H2424" s="60" t="s">
        <v>20</v>
      </c>
    </row>
    <row r="2425" spans="1:8" ht="14.25" hidden="1" customHeight="1" x14ac:dyDescent="0.3">
      <c r="A2425" s="34" t="s">
        <v>51</v>
      </c>
      <c r="B2425" s="61" t="s">
        <v>162</v>
      </c>
      <c r="C2425" s="61" t="s">
        <v>222</v>
      </c>
      <c r="D2425" s="69"/>
      <c r="E2425" s="74"/>
      <c r="F2425" s="80">
        <f>IFERROR(D2425*E2425,0)</f>
        <v>0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34" t="s">
        <v>51</v>
      </c>
      <c r="B2426" s="61" t="s">
        <v>155</v>
      </c>
      <c r="C2426" s="61" t="s">
        <v>189</v>
      </c>
      <c r="D2426" s="69">
        <v>1</v>
      </c>
      <c r="E2426" s="74">
        <v>280.17241200000001</v>
      </c>
      <c r="F2426" s="80">
        <f>IFERROR(D2426*E2426,0)</f>
        <v>280.17241200000001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2" t="s">
        <v>51</v>
      </c>
      <c r="B2427" s="60" t="s">
        <v>155</v>
      </c>
      <c r="C2427" s="60" t="s">
        <v>190</v>
      </c>
      <c r="D2427" s="68">
        <v>1</v>
      </c>
      <c r="E2427" s="73">
        <v>37.355941999999999</v>
      </c>
      <c r="F2427" s="79">
        <f>IFERROR(D2427*E2427,0)</f>
        <v>37.355941999999999</v>
      </c>
      <c r="G2427" s="60" t="str">
        <f>INDEX(SETORES!$B:$B,MATCH(A2427,SETORES!$A:$A,0))</f>
        <v>Clientes</v>
      </c>
      <c r="H2427" s="60" t="s">
        <v>20</v>
      </c>
    </row>
    <row r="2428" spans="1:8" ht="14.25" hidden="1" customHeight="1" x14ac:dyDescent="0.3">
      <c r="A2428" s="34" t="s">
        <v>51</v>
      </c>
      <c r="B2428" s="61" t="s">
        <v>162</v>
      </c>
      <c r="C2428" s="61" t="s">
        <v>191</v>
      </c>
      <c r="D2428" s="69">
        <v>1</v>
      </c>
      <c r="E2428" s="74">
        <v>103.532676</v>
      </c>
      <c r="F2428" s="80">
        <f>IFERROR(D2428*E2428,0)</f>
        <v>103.532676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34" t="s">
        <v>51</v>
      </c>
      <c r="B2429" s="61" t="s">
        <v>155</v>
      </c>
      <c r="C2429" s="61" t="s">
        <v>235</v>
      </c>
      <c r="D2429" s="69">
        <v>1</v>
      </c>
      <c r="E2429" s="74">
        <v>595.93680900000004</v>
      </c>
      <c r="F2429" s="80">
        <f>IFERROR(D2429*E2429,0)</f>
        <v>595.93680900000004</v>
      </c>
      <c r="G2429" s="61" t="str">
        <f>INDEX(SETORES!$B:$B,MATCH(A2429,SETORES!$A:$A,0))</f>
        <v>Clientes</v>
      </c>
      <c r="H2429" s="61" t="s">
        <v>20</v>
      </c>
    </row>
    <row r="2430" spans="1:8" ht="14.25" hidden="1" customHeight="1" x14ac:dyDescent="0.3">
      <c r="A2430" s="2" t="s">
        <v>51</v>
      </c>
      <c r="B2430" s="60" t="s">
        <v>155</v>
      </c>
      <c r="C2430" s="60" t="s">
        <v>168</v>
      </c>
      <c r="D2430" s="68">
        <v>13</v>
      </c>
      <c r="E2430" s="73">
        <v>2.0699999999999998</v>
      </c>
      <c r="F2430" s="79">
        <v>26.91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51</v>
      </c>
      <c r="B2431" s="60" t="s">
        <v>155</v>
      </c>
      <c r="C2431" s="60" t="s">
        <v>188</v>
      </c>
      <c r="D2431" s="68">
        <v>1</v>
      </c>
      <c r="E2431" s="73">
        <v>1641.85</v>
      </c>
      <c r="F2431" s="79">
        <f>IFERROR(D2431*E2431,0)</f>
        <v>1641.85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34" t="s">
        <v>51</v>
      </c>
      <c r="B2432" s="61" t="s">
        <v>155</v>
      </c>
      <c r="C2432" s="61" t="s">
        <v>160</v>
      </c>
      <c r="D2432" s="69"/>
      <c r="E2432" s="74"/>
      <c r="F2432" s="80">
        <f>IFERROR(D2432*E2432,0)</f>
        <v>0</v>
      </c>
      <c r="G2432" s="61" t="str">
        <f>INDEX(SETORES!$B:$B,MATCH(A2432,SETORES!$A:$A,0))</f>
        <v>Clientes</v>
      </c>
      <c r="H2432" s="61" t="s">
        <v>20</v>
      </c>
    </row>
    <row r="2433" spans="1:8" ht="14.25" hidden="1" customHeight="1" x14ac:dyDescent="0.3">
      <c r="A2433" s="2" t="s">
        <v>51</v>
      </c>
      <c r="B2433" s="60" t="s">
        <v>162</v>
      </c>
      <c r="C2433" s="60" t="s">
        <v>234</v>
      </c>
      <c r="D2433" s="68"/>
      <c r="E2433" s="73"/>
      <c r="F2433" s="79">
        <f>IFERROR(D2433*E2433,0)</f>
        <v>0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34" t="s">
        <v>51</v>
      </c>
      <c r="B2434" s="61" t="s">
        <v>155</v>
      </c>
      <c r="C2434" s="61" t="s">
        <v>193</v>
      </c>
      <c r="D2434" s="69">
        <v>1</v>
      </c>
      <c r="E2434" s="74">
        <v>52</v>
      </c>
      <c r="F2434" s="80">
        <f>IFERROR(D2434*E2434,0)</f>
        <v>52</v>
      </c>
      <c r="G2434" s="61" t="str">
        <f>INDEX(SETORES!$B:$B,MATCH(A2434,SETORES!$A:$A,0))</f>
        <v>Clientes</v>
      </c>
      <c r="H2434" s="61" t="s">
        <v>20</v>
      </c>
    </row>
    <row r="2435" spans="1:8" ht="14.25" hidden="1" customHeight="1" x14ac:dyDescent="0.3">
      <c r="A2435" s="34" t="s">
        <v>87</v>
      </c>
      <c r="B2435" s="61" t="s">
        <v>155</v>
      </c>
      <c r="C2435" s="61" t="s">
        <v>212</v>
      </c>
      <c r="D2435" s="69">
        <v>5</v>
      </c>
      <c r="E2435" s="74">
        <v>30</v>
      </c>
      <c r="F2435" s="80">
        <f>IFERROR(D2435*E2435,0)</f>
        <v>150</v>
      </c>
      <c r="G2435" s="61" t="str">
        <f>INDEX(SETORES!$B:$B,MATCH(A2435,SETORES!$A:$A,0))</f>
        <v>Clientes</v>
      </c>
      <c r="H2435" s="61" t="s">
        <v>20</v>
      </c>
    </row>
    <row r="2436" spans="1:8" ht="14.25" customHeight="1" x14ac:dyDescent="0.3">
      <c r="A2436" s="34" t="s">
        <v>87</v>
      </c>
      <c r="B2436" s="61" t="s">
        <v>155</v>
      </c>
      <c r="C2436" s="61" t="s">
        <v>171</v>
      </c>
      <c r="D2436" s="69">
        <v>6</v>
      </c>
      <c r="E2436" s="74">
        <v>47.79</v>
      </c>
      <c r="F2436" s="80">
        <f>IFERROR(D2436*E2436,0)</f>
        <v>286.74</v>
      </c>
      <c r="G2436" s="60" t="s">
        <v>98</v>
      </c>
      <c r="H2436" s="61" t="s">
        <v>20</v>
      </c>
    </row>
    <row r="2437" spans="1:8" ht="14.25" hidden="1" customHeight="1" x14ac:dyDescent="0.3">
      <c r="A2437" s="2" t="s">
        <v>87</v>
      </c>
      <c r="B2437" s="60" t="s">
        <v>155</v>
      </c>
      <c r="C2437" s="60" t="s">
        <v>170</v>
      </c>
      <c r="D2437" s="68">
        <v>6</v>
      </c>
      <c r="E2437" s="73">
        <v>28.31</v>
      </c>
      <c r="F2437" s="79">
        <f>IFERROR(D2437*E2437,0)</f>
        <v>169.85999999999999</v>
      </c>
      <c r="G2437" s="61" t="s">
        <v>98</v>
      </c>
      <c r="H2437" s="60" t="s">
        <v>20</v>
      </c>
    </row>
    <row r="2438" spans="1:8" ht="14.25" hidden="1" customHeight="1" x14ac:dyDescent="0.3">
      <c r="A2438" s="2" t="s">
        <v>87</v>
      </c>
      <c r="B2438" s="60" t="s">
        <v>155</v>
      </c>
      <c r="C2438" s="60" t="s">
        <v>169</v>
      </c>
      <c r="D2438" s="68">
        <v>6</v>
      </c>
      <c r="E2438" s="73">
        <v>64.569999999999993</v>
      </c>
      <c r="F2438" s="79">
        <f>IFERROR(D2438*E2438,0)</f>
        <v>387.41999999999996</v>
      </c>
      <c r="G2438" s="61" t="s">
        <v>98</v>
      </c>
      <c r="H2438" s="60" t="s">
        <v>20</v>
      </c>
    </row>
    <row r="2439" spans="1:8" ht="14.25" hidden="1" customHeight="1" x14ac:dyDescent="0.3">
      <c r="A2439" s="57" t="s">
        <v>87</v>
      </c>
      <c r="B2439" s="63" t="s">
        <v>155</v>
      </c>
      <c r="C2439" s="63" t="s">
        <v>158</v>
      </c>
      <c r="D2439" s="71">
        <v>1</v>
      </c>
      <c r="E2439" s="76">
        <v>51.064799999999998</v>
      </c>
      <c r="F2439" s="82">
        <v>51.064799999999998</v>
      </c>
      <c r="G2439" s="63" t="s">
        <v>96</v>
      </c>
      <c r="H2439" s="63" t="s">
        <v>20</v>
      </c>
    </row>
    <row r="2440" spans="1:8" ht="14.25" hidden="1" customHeight="1" x14ac:dyDescent="0.3">
      <c r="A2440" s="57" t="s">
        <v>87</v>
      </c>
      <c r="B2440" s="63" t="s">
        <v>155</v>
      </c>
      <c r="C2440" s="63" t="s">
        <v>161</v>
      </c>
      <c r="D2440" s="71">
        <v>1</v>
      </c>
      <c r="E2440" s="76">
        <v>26750.76</v>
      </c>
      <c r="F2440" s="82">
        <f>IFERROR(E2440,0)</f>
        <v>26750.76</v>
      </c>
      <c r="G2440" s="63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58" t="s">
        <v>87</v>
      </c>
      <c r="B2441" s="62" t="s">
        <v>155</v>
      </c>
      <c r="C2441" s="62" t="s">
        <v>167</v>
      </c>
      <c r="D2441" s="70">
        <v>6</v>
      </c>
      <c r="E2441" s="75">
        <v>10.050000000000001</v>
      </c>
      <c r="F2441" s="81">
        <f>IFERROR(D2441*E2441,0)</f>
        <v>60.300000000000004</v>
      </c>
      <c r="G2441" s="62" t="str">
        <f>INDEX(SETORES!$B:$B,MATCH(A2441,SETORES!$A:$A,0))</f>
        <v>Clientes</v>
      </c>
      <c r="H2441" s="62" t="s">
        <v>20</v>
      </c>
    </row>
    <row r="2442" spans="1:8" ht="14.25" hidden="1" customHeight="1" x14ac:dyDescent="0.3">
      <c r="A2442" s="57" t="s">
        <v>87</v>
      </c>
      <c r="B2442" s="63" t="s">
        <v>155</v>
      </c>
      <c r="C2442" s="63" t="s">
        <v>238</v>
      </c>
      <c r="D2442" s="71">
        <v>1</v>
      </c>
      <c r="E2442" s="76">
        <v>6.6666660000000002</v>
      </c>
      <c r="F2442" s="82">
        <f>IFERROR(D2442*E2442,0)</f>
        <v>6.6666660000000002</v>
      </c>
      <c r="G2442" s="63" t="str">
        <f>INDEX(SETORES!$B:$B,MATCH(A2442,SETORES!$A:$A,0))</f>
        <v>Clientes</v>
      </c>
      <c r="H2442" s="63" t="s">
        <v>20</v>
      </c>
    </row>
    <row r="2443" spans="1:8" ht="14.25" hidden="1" customHeight="1" x14ac:dyDescent="0.3">
      <c r="A2443" s="58" t="s">
        <v>87</v>
      </c>
      <c r="B2443" s="62" t="s">
        <v>155</v>
      </c>
      <c r="C2443" s="62" t="s">
        <v>166</v>
      </c>
      <c r="D2443" s="70">
        <v>6</v>
      </c>
      <c r="E2443" s="75">
        <v>100</v>
      </c>
      <c r="F2443" s="81">
        <f>IFERROR(D2443*E2443,0)</f>
        <v>600</v>
      </c>
      <c r="G2443" s="62" t="str">
        <f>INDEX(SETORES!$B:$B,MATCH(A2443,SETORES!$A:$A,0))</f>
        <v>Clientes</v>
      </c>
      <c r="H2443" s="62" t="s">
        <v>20</v>
      </c>
    </row>
    <row r="2444" spans="1:8" ht="14.25" hidden="1" customHeight="1" x14ac:dyDescent="0.3">
      <c r="A2444" s="57" t="s">
        <v>87</v>
      </c>
      <c r="B2444" s="63" t="s">
        <v>155</v>
      </c>
      <c r="C2444" s="63" t="s">
        <v>168</v>
      </c>
      <c r="D2444" s="71">
        <v>6</v>
      </c>
      <c r="E2444" s="76">
        <v>2.0699999999999998</v>
      </c>
      <c r="F2444" s="82">
        <f>IFERROR(D2444*E2444,0)</f>
        <v>12.419999999999998</v>
      </c>
      <c r="G2444" s="63" t="str">
        <f>INDEX(SETORES!$B:$B,MATCH(A2444,SETORES!$A:$A,0))</f>
        <v>Clientes</v>
      </c>
      <c r="H2444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76157.099918019114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76157.099918019114</v>
      </c>
      <c r="F4" s="11">
        <f t="shared" ref="F4:F11" si="1">IFERROR(B4/B$12,0)</f>
        <v>3.1841629345309583E-2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150715.62952957107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150715.62952957107</v>
      </c>
      <c r="F5" s="2">
        <f t="shared" si="1"/>
        <v>6.3014889185533787E-2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171875.74248547273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171875.74248547273</v>
      </c>
      <c r="F6" s="11">
        <f t="shared" si="1"/>
        <v>7.1862028511637324E-2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44130.681488380862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44130.681488380862</v>
      </c>
      <c r="F7" s="2">
        <f t="shared" si="1"/>
        <v>1.8451238351008474E-2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81282.875250132493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81282.875250132493</v>
      </c>
      <c r="F8" s="11">
        <f t="shared" si="1"/>
        <v>3.3984739290517312E-2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54691.144992856425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54691.144992856425</v>
      </c>
      <c r="F9" s="2">
        <f t="shared" si="1"/>
        <v>2.2866616102868203E-2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57686.94828282902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57686.94828282902</v>
      </c>
      <c r="F10" s="11">
        <f t="shared" si="1"/>
        <v>2.4119175063929642E-2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1755206.2014624537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1755206.2014624537</v>
      </c>
      <c r="F11" s="2">
        <f t="shared" si="1"/>
        <v>0.73385968414919556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2391746.3234097157</v>
      </c>
      <c r="C12" s="32">
        <f>SUM(C4:C11)</f>
        <v>0</v>
      </c>
      <c r="D12" s="32">
        <f>SUM(D4:D11)</f>
        <v>0</v>
      </c>
      <c r="E12" s="32">
        <f>SUM(E4:E11)</f>
        <v>2391746.3234097157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65465.084840911804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65465.084840911804</v>
      </c>
      <c r="F14" s="11">
        <f t="shared" ref="F14:F21" si="3">IFERROR(B14/B$22,0)</f>
        <v>3.1665912279196261E-2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132760.3875147349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132760.3875147349</v>
      </c>
      <c r="F15" s="2">
        <f t="shared" si="3"/>
        <v>6.4217113525627936E-2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150306.28530707618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150306.28530707618</v>
      </c>
      <c r="F16" s="11">
        <f t="shared" si="3"/>
        <v>7.2704185095186197E-2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38334.918288060791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38334.918288060791</v>
      </c>
      <c r="F17" s="2">
        <f t="shared" si="3"/>
        <v>1.8542863920360607E-2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71152.656193317918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71152.656193317918</v>
      </c>
      <c r="F18" s="11">
        <f t="shared" si="3"/>
        <v>3.4417029702546918E-2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47843.857502579456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47843.857502579456</v>
      </c>
      <c r="F19" s="2">
        <f t="shared" si="3"/>
        <v>2.3142403289581462E-2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51202.105730445182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51202.105730445182</v>
      </c>
      <c r="F20" s="11">
        <f t="shared" si="3"/>
        <v>2.4766811079684942E-2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1510302.4236928462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1510302.4236928462</v>
      </c>
      <c r="F21" s="2">
        <f t="shared" si="3"/>
        <v>0.73054368110781565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2067367.7190699724</v>
      </c>
      <c r="C22" s="32">
        <f>SUM(C14:C21)</f>
        <v>0</v>
      </c>
      <c r="D22" s="32">
        <f>SUM(D14:D21)</f>
        <v>0</v>
      </c>
      <c r="E22" s="32">
        <f>SUM(E14:E21)</f>
        <v>2067367.7190699724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81468.122678562097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81468.122678562097</v>
      </c>
      <c r="F24" s="11">
        <f t="shared" ref="F24:F31" si="5">IFERROR(B24/B$32,0)</f>
        <v>3.1662513593094688E-2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147726.91840145376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147726.91840145376</v>
      </c>
      <c r="F25" s="2">
        <f t="shared" si="5"/>
        <v>5.7413935759966318E-2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179881.51876295885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179881.51876295885</v>
      </c>
      <c r="F26" s="11">
        <f t="shared" si="5"/>
        <v>6.9910792659979168E-2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45812.570277605198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45812.570277605198</v>
      </c>
      <c r="F27" s="2">
        <f t="shared" si="5"/>
        <v>1.7805014789311974E-2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85737.862859601402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85737.862859601402</v>
      </c>
      <c r="F28" s="11">
        <f t="shared" si="5"/>
        <v>3.3321944325953763E-2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57512.378515422206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57512.378515422206</v>
      </c>
      <c r="F29" s="2">
        <f t="shared" si="5"/>
        <v>2.2352134879805516E-2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61272.918090437757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61272.918090437757</v>
      </c>
      <c r="F30" s="11">
        <f t="shared" si="5"/>
        <v>2.3813665248942552E-2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1913602.7188095513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1913602.7188095513</v>
      </c>
      <c r="F31" s="2">
        <f t="shared" si="5"/>
        <v>0.74371999874294603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2573015.0083955927</v>
      </c>
      <c r="C32" s="32">
        <f>SUM(C24:C31)</f>
        <v>0</v>
      </c>
      <c r="D32" s="32">
        <f>SUM(D24:D31)</f>
        <v>0</v>
      </c>
      <c r="E32" s="32">
        <f>SUM(E24:E31)</f>
        <v>2573015.0083955927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80740.322358540056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80740.322358540056</v>
      </c>
      <c r="F33" s="11">
        <f>IFERROR(B33/B$32,0)</f>
        <v>3.1379654644488761E-2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180620.96212699707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180620.96212699707</v>
      </c>
      <c r="F35" s="11">
        <f t="shared" ref="F35:F40" si="7">IFERROR(B35/B$32,0)</f>
        <v>7.0198176667311221E-2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45631.668105515288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45631.668105515288</v>
      </c>
      <c r="F36" s="2">
        <f t="shared" si="7"/>
        <v>1.7734707320642092E-2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83386.308876484603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83386.308876484603</v>
      </c>
      <c r="F37" s="11">
        <f t="shared" si="7"/>
        <v>3.2408014956928008E-2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57259.034827101306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57259.034827101306</v>
      </c>
      <c r="F38" s="2">
        <f t="shared" si="7"/>
        <v>2.2253673080129162E-2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60590.780443770505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60590.780443770505</v>
      </c>
      <c r="F39" s="11">
        <f t="shared" si="7"/>
        <v>2.3548553057819891E-2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1830469.983102845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1830469.983102845</v>
      </c>
      <c r="F40" s="2">
        <f t="shared" si="7"/>
        <v>0.71141053477345917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2338699.0598412538</v>
      </c>
      <c r="C41" s="32">
        <f>SUM(C33:C40)</f>
        <v>0</v>
      </c>
      <c r="D41" s="32">
        <f>SUM(D33:D40)</f>
        <v>0</v>
      </c>
      <c r="E41" s="32">
        <f>SUM(E33:E40)</f>
        <v>2338699.0598412538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2026-09-17T17:36:39Z</dcterms:modified>
  <dc:language>en-US</dc:language>
</cp:coreProperties>
</file>